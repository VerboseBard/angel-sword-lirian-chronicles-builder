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sheetId="1" r:id="rId5"/>
    <sheet state="visible" name="Abilities" sheetId="2" r:id="rId6"/>
    <sheet state="visible" name="Breakthrough" sheetId="3" r:id="rId7"/>
    <sheet state="visible" name="Inventory" sheetId="4" r:id="rId8"/>
    <sheet state="visible" name="Mirane Locker" sheetId="5" r:id="rId9"/>
    <sheet state="visible" name="EXP &amp; Transactions" sheetId="6" r:id="rId10"/>
    <sheet state="visible" name="Leveling Planner" sheetId="7" r:id="rId11"/>
    <sheet state="visible" name="Images" sheetId="8" r:id="rId12"/>
    <sheet state="visible" name="Backstory" sheetId="9" r:id="rId13"/>
    <sheet state="visible" name="Journals" sheetId="10" r:id="rId14"/>
    <sheet state="visible" name="Custom Abilities" sheetId="11" r:id="rId15"/>
    <sheet state="visible" name="Basic Gatherer &amp; Crafter Action" sheetId="12" r:id="rId16"/>
    <sheet state="hidden" name="All Abilities" sheetId="13" r:id="rId17"/>
    <sheet state="hidden" name="Breakthroughs" sheetId="14" r:id="rId18"/>
    <sheet state="hidden" name="Classes" sheetId="15" r:id="rId19"/>
    <sheet state="hidden" name="Races"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2">
      <text>
        <t xml:space="preserve">This should be a positive number
Active Bonus from Armor</t>
      </text>
    </comment>
    <comment authorId="0" ref="F5">
      <text>
        <t xml:space="preserve">2d4+Power</t>
      </text>
    </comment>
    <comment authorId="0" ref="K42">
      <text>
        <t xml:space="preserve">This value should be a positive number.
Light is -1 Initiative
Medium is -2 Initiative
Heavy is -3 Initiative</t>
      </text>
    </comment>
    <comment authorId="0" ref="K9">
      <text>
        <t xml:space="preserve">Description</t>
      </text>
    </comment>
    <comment authorId="0" ref="H38">
      <text>
        <t xml:space="preserve">This value should have a - for penalties
                 Old Rules
Armor has a flat penalty for evasion/dodge and RP
                New Rules
Light is -2 Evasion/Dodge
Medium is -4 Evasion/Dodge
Heavy is -6 Evasion/Dodge</t>
      </text>
    </comment>
    <comment authorId="0" ref="H5">
      <text>
        <t xml:space="preserve">11+Focus</t>
      </text>
    </comment>
    <comment authorId="0" ref="I38">
      <text>
        <t xml:space="preserve">This value should have a - for penalties
                 Old Rules
Armor has a flat penalty for evasion/dodge and RP
                New Rules
Light is -2 Evasion/Dodge
Medium is -4 Evasion/Dodge
Heavy is -6 Evasion/Dodge</t>
      </text>
    </comment>
    <comment authorId="0" ref="M42">
      <text>
        <t xml:space="preserve">Your movement speed is reduced by 10.</t>
      </text>
    </comment>
    <comment authorId="0" ref="J38">
      <text>
        <t xml:space="preserve">This should be a positive number
Active Bonus from Armor</t>
      </text>
    </comment>
    <comment authorId="0" ref="K38">
      <text>
        <t xml:space="preserve">This value should be a positive number.
Light is -1 Initiative
Medium is -2 Initiative
Heavy is -3 Initiative</t>
      </text>
    </comment>
    <comment authorId="0" ref="O42">
      <text>
        <t xml:space="preserve">Your movement speed is reduced by 5.</t>
      </text>
    </comment>
    <comment authorId="0" ref="K5">
      <text>
        <t xml:space="preserve">These values are auto calculated, leave them alone.</t>
      </text>
    </comment>
    <comment authorId="0" ref="M38">
      <text>
        <t xml:space="preserve">Your main hand becomes broken.  You immediately drop whatever you are holding in your main hand after taking an action with the object you are wielding.</t>
      </text>
    </comment>
    <comment authorId="0" ref="K34">
      <text>
        <t xml:space="preserve">Negative for Negative (-3)
Positive for Positive (3)</t>
      </text>
    </comment>
    <comment authorId="0" ref="O38">
      <text>
        <t xml:space="preserve">You receive 1 less AP on your turn.</t>
      </text>
    </comment>
    <comment authorId="0" ref="E26">
      <text>
        <t xml:space="preserve">This skill describes your ability to form bonds with animals.  This can assist with riding, herding, keeping pets and calming animals.  Examples of expertise: Horses, Hawks, Raptors.</t>
      </text>
    </comment>
    <comment authorId="0" ref="E22">
      <text>
        <t xml:space="preserve">This skill describes the usages of magic devices called “Artifices”.  These devices consume magical fuel in order to operate.  This encompasses the knowledge of the general use, function and construction of Artifice technology.  Examples of expertise skill: Craftsmanship, Swords, Guns, Manufacturers.</t>
      </text>
    </comment>
    <comment authorId="0" ref="E18">
      <text>
        <t xml:space="preserve">This skill describes your understanding of faith-based phenomena.  It can be used to understand faith spells but can also be used to for knowledges on specific religions.  Examples of expertise skills:  Faith Spell Identification, Church of Westria.</t>
      </text>
    </comment>
    <comment authorId="0" ref="E14">
      <text>
        <t xml:space="preserve">This skill describes your ability to render medical aid and general biology knowledge.  Examples of expertise skills:  Natural Medicines, Biology:  Humans.</t>
      </text>
    </comment>
    <comment authorId="0" ref="A39">
      <text>
        <t xml:space="preserve">Weapon Description</t>
      </text>
    </comment>
    <comment authorId="0" ref="E10">
      <text>
        <t xml:space="preserve">This skill describes your ability to mount a creature or vehicle and maintain control of it in tough conditions.  Examples of expertise skills:  Horses, Raptors, Giant Rabbits.</t>
      </text>
    </comment>
    <comment authorId="0" ref="C6">
      <text>
        <t xml:space="preserve">Lockout Start</t>
      </text>
    </comment>
    <comment authorId="0" ref="D6">
      <text>
        <t xml:space="preserve">Lockout End</t>
      </text>
    </comment>
    <comment authorId="0" ref="F6">
      <text>
        <t xml:space="preserve">4d6+Power*2 for 1-handed weapons
OR
5d6+Power*2 for 2-handed weapons</t>
      </text>
    </comment>
    <comment authorId="0" ref="K10">
      <text>
        <t xml:space="preserve">Common, </t>
      </text>
    </comment>
    <comment authorId="0" ref="H39">
      <text>
        <t xml:space="preserve">This value should have a - for penalties
                 Old Rules
Armor has a flat penalty for evasion/dodge and RP
                New Rules
Light is -2 Evasion/Dodge
Medium is -4 Evasion/Dodge
Heavy is -6 Evasion/Dodge</t>
      </text>
    </comment>
    <comment authorId="0" ref="H6">
      <text>
        <t xml:space="preserve">Base: 20ft</t>
      </text>
    </comment>
    <comment authorId="0" ref="I39">
      <text>
        <t xml:space="preserve">This value should have a - for penalties
                 Old Rules
Armor has a flat penalty for evasion/dodge and RP
                New Rules
Light is -2 Evasion/Dodge
Medium is -4 Evasion/Dodge
Heavy is -6 Evasion/Dodge</t>
      </text>
    </comment>
    <comment authorId="0" ref="J39">
      <text>
        <t xml:space="preserve">This should be a positive number
Active Bonus from Armor</t>
      </text>
    </comment>
    <comment authorId="0" ref="F2">
      <text>
        <t xml:space="preserve">20+Toughness*10</t>
      </text>
    </comment>
    <comment authorId="0" ref="K39">
      <text>
        <t xml:space="preserve">This value should be a positive number.
Light is -1 Initiative
Medium is -2 Initiative
Heavy is -3 Initiative</t>
      </text>
    </comment>
    <comment authorId="0" ref="K6">
      <text>
        <t xml:space="preserve">These values are auto calculated, leave them alone.</t>
      </text>
    </comment>
    <comment authorId="0" ref="H2">
      <text>
        <t xml:space="preserve">7 + Agility - Equipment Penalty
</t>
      </text>
    </comment>
    <comment authorId="0" ref="M39">
      <text>
        <t xml:space="preserve">You have 2 less RP.</t>
      </text>
    </comment>
    <comment authorId="0" ref="O39">
      <text>
        <t xml:space="preserve">Everytime you take damage, you take an additional 1 damage and your Evasion rating is reduced by 2.</t>
      </text>
    </comment>
    <comment authorId="0" ref="K2">
      <text>
        <t xml:space="preserve">20 + Agility - Equipment Penalty</t>
      </text>
    </comment>
    <comment authorId="0" ref="L2">
      <text>
        <t xml:space="preserve">EDIT IN THE CORRECT TAB, NOT THIS CELL</t>
      </text>
    </comment>
    <comment authorId="0" ref="E27">
      <text>
        <t xml:space="preserve">This skill describes your ability to create and perform art.  Examples of expertise:  Cartography, Memory Drawing, Singing, Dancing.</t>
      </text>
    </comment>
    <comment authorId="0" ref="E23">
      <text>
        <t xml:space="preserve">This skill describes your ability to perceive what is around you, even when not paying full attention.  Examples of expertise:  Urban, Forest, Snow, Hearing.</t>
      </text>
    </comment>
    <comment authorId="0" ref="E19">
      <text>
        <t xml:space="preserve">This skill represents your ability to evaluate the quality, authenticity, and value of items, from common goods to rare artifacts. It can be used to detect forgeries, negotiate fair prices, or recognize historically significant objects. Examples of expertise skills: Gemstone Grading, Antique Weapons, Merchant Guild Valuations, Forgery Detection.</t>
      </text>
    </comment>
    <comment authorId="0" ref="E15">
      <text>
        <t xml:space="preserve">This skill describes your ability to recall only commonly known knowledge about subjects.  Expertise in this skill becomes Expert Knowledge which gives you understanding beyond that of the layman.  Examples of expertise skills:  Airships, Forests, Physics, Chemistry, Linguistics.</t>
      </text>
    </comment>
    <comment authorId="0" ref="A40">
      <text>
        <t xml:space="preserve">Weapon Description</t>
      </text>
    </comment>
    <comment authorId="0" ref="E11">
      <text>
        <t xml:space="preserve">This skill describes your ability to prevent yourself and your actions from being perceived by others.  Examples of expertise skills:  Forests, Urban, Snow.</t>
      </text>
    </comment>
    <comment authorId="0" ref="D7">
      <text>
        <t xml:space="preserve">DO NOT EDIT THIS, USE THE CORRECT TAB</t>
      </text>
    </comment>
    <comment authorId="0" ref="F7">
      <text>
        <t xml:space="preserve">New Rules
2 + Agility
Old Rules
2 + (Agility - Equpiment Penalty)</t>
      </text>
    </comment>
    <comment authorId="0" ref="C3">
      <text>
        <t xml:space="preserve">For Mixed House Demons, on the Breakthrough page there is a section to show both houses at once. Be sure to still pick your main house here however.</t>
      </text>
    </comment>
    <comment authorId="0" ref="K11">
      <text>
        <t xml:space="preserve">Description</t>
      </text>
    </comment>
    <comment authorId="0" ref="H40">
      <text>
        <t xml:space="preserve">This value should have a - for penalties
                 Old Rules
Armor has a flat penalty for evasion/dodge and RP
                New Rules
Light is -2 Evasion/Dodge
Medium is -4 Evasion/Dodge
Heavy is -6 Evasion/Dodge</t>
      </text>
    </comment>
    <comment authorId="0" ref="H7">
      <text>
        <t xml:space="preserve">Any permament HP bonuses from classes or other sources.</t>
      </text>
    </comment>
    <comment authorId="0" ref="I40">
      <text>
        <t xml:space="preserve">This value should have a - for penalties
                 Old Rules
Armor has a flat penalty for evasion/dodge and RP
                New Rules
Light is -2 Evasion/Dodge
Medium is -4 Evasion/Dodge
Heavy is -6 Evasion/Dodge</t>
      </text>
    </comment>
    <comment authorId="0" ref="J40">
      <text>
        <t xml:space="preserve">This should be a positive number
Active Bonus from Armor</t>
      </text>
    </comment>
    <comment authorId="0" ref="F3">
      <text>
        <t xml:space="preserve">6 + Power</t>
      </text>
    </comment>
    <comment authorId="0" ref="K40">
      <text>
        <t xml:space="preserve">This value should be a positive number.
Light is -1 Initiative
Medium is -2 Initiative
Heavy is -3 Initiative</t>
      </text>
    </comment>
    <comment authorId="0" ref="K7">
      <text>
        <t xml:space="preserve">Total bulk of weapons and items carried into combat.
These values are auto calculated, leave them alone.</t>
      </text>
    </comment>
    <comment authorId="0" ref="H3">
      <text>
        <t xml:space="preserve">Toughness + Equipment Passive</t>
      </text>
    </comment>
    <comment authorId="0" ref="M40">
      <text>
        <t xml:space="preserve">You do not regenerate mana from food.</t>
      </text>
    </comment>
    <comment authorId="0" ref="O40">
      <text>
        <t xml:space="preserve">Reduces any sight-related checks by 10 and reduces your hit rate by 3.</t>
      </text>
    </comment>
    <comment authorId="0" ref="K3">
      <text>
        <t xml:space="preserve">Toughness * 2 + Equipment Active</t>
      </text>
    </comment>
    <comment authorId="0" ref="E28">
      <text>
        <t xml:space="preserve">This skill describes your ability to sway sentiment in your favor.  It describes your ability to socially function.  Examples of expertise:  Mercantile, Nobility, Commonfolk.</t>
      </text>
    </comment>
    <comment authorId="0" ref="E24">
      <text>
        <t xml:space="preserve">This skill describes your ability to perceive a specific object or person, including picking up on subtle details.  Examples of expertise: Body Language, Handwriting.</t>
      </text>
    </comment>
    <comment authorId="0" ref="E20">
      <text>
        <t xml:space="preserve">This skill describes your knowledge and understanding of history.  It can be used as a tactical and strategic skill and can also be used for knowing about the past.  Examples of expertise skills:  Westrian History, Northi Noble Houses, Royal Ettiquette, Battlefield Command.</t>
      </text>
    </comment>
    <comment authorId="0" ref="E16">
      <text>
        <t xml:space="preserve">This skill describes your ability to decipher languages. It can be used to interpret foreign languages, ancient languages, and codes. Examples of expertise skills: </t>
      </text>
    </comment>
    <comment authorId="0" ref="A41">
      <text>
        <t xml:space="preserve">Weapon Description</t>
      </text>
    </comment>
    <comment authorId="0" ref="A8">
      <text>
        <t xml:space="preserve">DO NOT EDIT THESE, USE THE ARRAY AT THE BOTTOM</t>
      </text>
    </comment>
    <comment authorId="0" ref="E12">
      <text>
        <t xml:space="preserve">This skill describes your ability to deceive others.  Examples of expertise skills:  Distraction, Lying. </t>
      </text>
    </comment>
    <comment authorId="0" ref="C8">
      <text>
        <t xml:space="preserve">DO NOT EDIT THESE, USE THE ARRAY AT THE BOTTOM</t>
      </text>
    </comment>
    <comment authorId="0" ref="A37">
      <text>
        <t xml:space="preserve">Weapon Description</t>
      </text>
    </comment>
    <comment authorId="0" ref="K12">
      <text>
        <t xml:space="preserve">Surprise</t>
      </text>
    </comment>
    <comment authorId="0" ref="H41">
      <text>
        <t xml:space="preserve">This value should have a - for penalties
                 Old Rules
Armor has a flat penalty for evasion/dodge and RP
                New Rules
Light is -2 Evasion/Dodge
Medium is -4 Evasion/Dodge
Heavy is -6 Evasion/Dodge</t>
      </text>
    </comment>
    <comment authorId="0" ref="D4">
      <text>
        <t xml:space="preserve">DO NOT EDIT THIS, USE THE CORRECT TAB</t>
      </text>
    </comment>
    <comment authorId="0" ref="I41">
      <text>
        <t xml:space="preserve">This value should have a - for penalties
                 Old Rules
Armor has a flat penalty for evasion/dodge and RP
                New Rules
Light is -2 Evasion/Dodge
Medium is -4 Evasion/Dodge
Heavy is -6 Evasion/Dodge</t>
      </text>
    </comment>
    <comment authorId="0" ref="J41">
      <text>
        <t xml:space="preserve">This should be a positive number
Active Bonus from Armor</t>
      </text>
    </comment>
    <comment authorId="0" ref="F4">
      <text>
        <t xml:space="preserve">Agility - Equipment Penalty</t>
      </text>
    </comment>
    <comment authorId="0" ref="K41">
      <text>
        <t xml:space="preserve">This value should be a positive number.
Light is -1 Initiative
Medium is -2 Initiative
Heavy is -3 Initiative</t>
      </text>
    </comment>
    <comment authorId="0" ref="H37">
      <text>
        <t xml:space="preserve">This value should have a - for penalties
                 Old Rules
Armor has a flat penalty for evasion/dodge and RP
                New Rules
Light is -2 Evasion/Dodge
Medium is -4 Evasion/Dodge
Heavy is -6 Evasion/Dodge</t>
      </text>
    </comment>
    <comment authorId="0" ref="H4">
      <text>
        <t xml:space="preserve">Toughness
2d10+Toughness is the roll</t>
      </text>
    </comment>
    <comment authorId="0" ref="I37">
      <text>
        <t xml:space="preserve">This value should have a - for penalties
                 Old Rules
Armor has a flat penalty for evasion/dodge and RP
                New Rules
Light is -2 Evasion/Dodge
Medium is -4 Evasion/Dodge
Heavy is -6 Evasion/Dodge</t>
      </text>
    </comment>
    <comment authorId="0" ref="M41">
      <text>
        <t xml:space="preserve">Your off hand becomes broken.  You immediately drop whatever you are holding in your off hand after taking an action with the object you are wielding.</t>
      </text>
    </comment>
    <comment authorId="0" ref="J37">
      <text>
        <t xml:space="preserve">This should be a positive number
Active Bonus from Armor</t>
      </text>
    </comment>
    <comment authorId="0" ref="K37">
      <text>
        <t xml:space="preserve">This value should be a positive number.
Light is -1 Initiative
Medium is -2 Initiative
Heavy is -3 Initiative</t>
      </text>
    </comment>
    <comment authorId="0" ref="O41">
      <text>
        <t xml:space="preserve">If you use all of your available AP in a turn you immediately receive 1d6 true damage.</t>
      </text>
    </comment>
    <comment authorId="0" ref="K4">
      <text>
        <t xml:space="preserve">These values are auto calculated, leave them alone.</t>
      </text>
    </comment>
    <comment authorId="0" ref="E29">
      <text>
        <t xml:space="preserve">This skill describes your ability to use fear to gain an upper hand in a social situation.  Examples of expertise:  Mercantile, Nobility, Commonfolk.</t>
      </text>
    </comment>
    <comment authorId="0" ref="E25">
      <text>
        <t xml:space="preserve">This skill describes your ability to prepare against hostile environments.  Survival can help you create and find shelter and find food.  Examples of expertise:  Improvised Cooking, Wayfinding, Forest Survival, Fishing.</t>
      </text>
    </comment>
    <comment authorId="0" ref="E21">
      <text>
        <t xml:space="preserve">This skill describes your knowledge of flying devices and ability to utilize them.  Examples of expertise skills:  Cruiser-Class Airships, Aerial Staves, Airship Shields, Airship Engines, Airship Navigation, Leyline Cartography.</t>
      </text>
    </comment>
    <comment authorId="0" ref="E17">
      <text>
        <t xml:space="preserve">This skill describes your knowledge of arcane phenomena.  It can be used to understand spells, disable certain spells and identify them.  Examples of expertise skills:  Dispel, Magic Hacking, Fire Magic, Magic Traps.</t>
      </text>
    </comment>
    <comment authorId="0" ref="A42">
      <text>
        <t xml:space="preserve">Weapon Description</t>
      </text>
    </comment>
    <comment authorId="0" ref="E13">
      <text>
        <t xml:space="preserve">This skill describes your ability to take subterfuge actions.  Things like picking locks, rigging traps etc.  Examples of expertise skills:  Lockpicking, Jury Rigging, Traps.</t>
      </text>
    </comment>
    <comment authorId="0" ref="A38">
      <text>
        <t xml:space="preserve">Weapon Description</t>
      </text>
    </comment>
    <comment authorId="0" ref="E9">
      <text>
        <t xml:space="preserve">This skill describes using strength to perform tasks.  It can be used to push, pull, lift and carry.  Examples of expertise skills:  Swimming, Jumping, Climbing, Basketball</t>
      </text>
    </comment>
    <comment authorId="0" ref="C5">
      <text>
        <t xml:space="preserve">Total EXP both spent and held.</t>
      </text>
    </comment>
    <comment authorId="0" ref="H42">
      <text>
        <t xml:space="preserve">This value should have a - for penalties
                 Old Rules
Armor has a flat penalty for evasion/dodge and RP
                New Rules
Light is -2 Evasion/Dodge
Medium is -4 Evasion/Dodge
Heavy is -6 Evasion/Dodge</t>
      </text>
    </comment>
    <comment authorId="0" ref="D5">
      <text>
        <t xml:space="preserve">DO NOT EDIT THIS, USE THE CORRECT TAB</t>
      </text>
    </comment>
    <comment authorId="0" ref="I42">
      <text>
        <t xml:space="preserve">This value should have a - for penalties
                 Old Rules
Armor has a flat penalty for evasion/dodge and RP
                New Rules
Light is -2 Evasion/Dodge
Medium is -4 Evasion/Dodge
Heavy is -6 Evasion/Dodge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Generally food/material units are 2u to 1c so the value is 0.5c
Junk units are generally 4u to 1c so the value is 0.25c</t>
      </text>
    </comment>
    <comment authorId="0" ref="E1">
      <text>
        <t xml:space="preserve">Leave it alone, lmao</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Generally food/material units are 2u to 1c so the value is 0.25c
Junk units are generally 4u to 1c so the value is 0.25c</t>
      </text>
    </comment>
    <comment authorId="0" ref="E1">
      <text>
        <t xml:space="preserve">Leave this one alone as well, lmao</t>
      </text>
    </comment>
  </commentList>
</comments>
</file>

<file path=xl/sharedStrings.xml><?xml version="1.0" encoding="utf-8"?>
<sst xmlns="http://schemas.openxmlformats.org/spreadsheetml/2006/main" count="478" uniqueCount="276">
  <si>
    <t>Personal Info</t>
  </si>
  <si>
    <t>Combat Info</t>
  </si>
  <si>
    <t>Clim Total Available</t>
  </si>
  <si>
    <t>Name</t>
  </si>
  <si>
    <t>Race</t>
  </si>
  <si>
    <t>HP</t>
  </si>
  <si>
    <t>Evasion</t>
  </si>
  <si>
    <t>Dodge</t>
  </si>
  <si>
    <t>Gender</t>
  </si>
  <si>
    <t>Sub-Race | House</t>
  </si>
  <si>
    <t>Mana</t>
  </si>
  <si>
    <t>Guard</t>
  </si>
  <si>
    <t>Block</t>
  </si>
  <si>
    <t>Age</t>
  </si>
  <si>
    <t>Exp</t>
  </si>
  <si>
    <t>Initiative</t>
  </si>
  <si>
    <t>Save Bonus</t>
  </si>
  <si>
    <t>Equipment Guard Value</t>
  </si>
  <si>
    <t>Height</t>
  </si>
  <si>
    <t>Spirit Core</t>
  </si>
  <si>
    <t>Light Damage</t>
  </si>
  <si>
    <t>Potency</t>
  </si>
  <si>
    <t>Equipment Block Value</t>
  </si>
  <si>
    <t>Weight</t>
  </si>
  <si>
    <t>6/14/2026</t>
  </si>
  <si>
    <t>Heavy Damage</t>
  </si>
  <si>
    <t>Speed</t>
  </si>
  <si>
    <t>20</t>
  </si>
  <si>
    <t>Equipment Penalty</t>
  </si>
  <si>
    <t>Worships</t>
  </si>
  <si>
    <t>RNGesus</t>
  </si>
  <si>
    <t>Breakthrough</t>
  </si>
  <si>
    <t>RP</t>
  </si>
  <si>
    <t>HP Bonus</t>
  </si>
  <si>
    <t>0</t>
  </si>
  <si>
    <t>Combat Burden</t>
  </si>
  <si>
    <t>Main Stats</t>
  </si>
  <si>
    <t>Sub-Stats</t>
  </si>
  <si>
    <t>Skill</t>
  </si>
  <si>
    <t>Stat</t>
  </si>
  <si>
    <t>Bonus</t>
  </si>
  <si>
    <t>Skill Points</t>
  </si>
  <si>
    <t>Expertise</t>
  </si>
  <si>
    <t>Proficiencies</t>
  </si>
  <si>
    <t>Crafting Skill</t>
  </si>
  <si>
    <t>Total Bonus</t>
  </si>
  <si>
    <t>Equipment Bonus</t>
  </si>
  <si>
    <t>Focus</t>
  </si>
  <si>
    <t>Fitness</t>
  </si>
  <si>
    <t>Athletics</t>
  </si>
  <si>
    <t>Armor</t>
  </si>
  <si>
    <t>Power</t>
  </si>
  <si>
    <t>Cunning</t>
  </si>
  <si>
    <t>Riding</t>
  </si>
  <si>
    <t>Language</t>
  </si>
  <si>
    <t>Agility</t>
  </si>
  <si>
    <t>Reason</t>
  </si>
  <si>
    <t>Stealth</t>
  </si>
  <si>
    <t>Weapons</t>
  </si>
  <si>
    <t>Toughness</t>
  </si>
  <si>
    <t>Awareness</t>
  </si>
  <si>
    <t>Deception</t>
  </si>
  <si>
    <t>Elemental Mastery</t>
  </si>
  <si>
    <t>Presence</t>
  </si>
  <si>
    <t>Roguecraft</t>
  </si>
  <si>
    <t>Class</t>
  </si>
  <si>
    <t>Class Tier</t>
  </si>
  <si>
    <t>Class Level</t>
  </si>
  <si>
    <t>Cost (EXP)</t>
  </si>
  <si>
    <t>Medicine</t>
  </si>
  <si>
    <t>Common Knowledge</t>
  </si>
  <si>
    <t>Linguistics</t>
  </si>
  <si>
    <t>Magic</t>
  </si>
  <si>
    <t>Religion</t>
  </si>
  <si>
    <t>Appraise</t>
  </si>
  <si>
    <t>History</t>
  </si>
  <si>
    <t>Flight</t>
  </si>
  <si>
    <t>Artifice</t>
  </si>
  <si>
    <t>Perception</t>
  </si>
  <si>
    <t>Insight</t>
  </si>
  <si>
    <t>Survival</t>
  </si>
  <si>
    <t>Animal Husbandry</t>
  </si>
  <si>
    <t>Art</t>
  </si>
  <si>
    <t>Negotiation</t>
  </si>
  <si>
    <t>Intimidation</t>
  </si>
  <si>
    <t>Check Box if Old Armor Calc</t>
  </si>
  <si>
    <t>Evasion Bonus</t>
  </si>
  <si>
    <t>Bonus Save Value</t>
  </si>
  <si>
    <t>Dodge Bonus</t>
  </si>
  <si>
    <t>Mana Adjustments</t>
  </si>
  <si>
    <t>Toughness Adjustments</t>
  </si>
  <si>
    <t>Agility Adjustments (Racial Ability)</t>
  </si>
  <si>
    <t>Add - for Negative</t>
  </si>
  <si>
    <t>Positive</t>
  </si>
  <si>
    <t>Negative</t>
  </si>
  <si>
    <t>RP Adjustment (Negative)</t>
  </si>
  <si>
    <t>Initiative Adjustment (- for negative)</t>
  </si>
  <si>
    <t>Injuries</t>
  </si>
  <si>
    <t>Weapon</t>
  </si>
  <si>
    <t>Light/Heavy Attack</t>
  </si>
  <si>
    <t>Precise Attack</t>
  </si>
  <si>
    <t>Equipment</t>
  </si>
  <si>
    <t>Guard (Passive) Bonus</t>
  </si>
  <si>
    <t>Evasion
- for negative</t>
  </si>
  <si>
    <t>Dodge
- for negative</t>
  </si>
  <si>
    <t>Block (Active) Bonus</t>
  </si>
  <si>
    <t>Initiative Penalty (Positive Number)</t>
  </si>
  <si>
    <t>Armor Equipped?</t>
  </si>
  <si>
    <t>Main Hand</t>
  </si>
  <si>
    <t>Head</t>
  </si>
  <si>
    <t>Muscle</t>
  </si>
  <si>
    <t>Wound</t>
  </si>
  <si>
    <t>Spirit Circuit</t>
  </si>
  <si>
    <t>Eye</t>
  </si>
  <si>
    <t>Off Hand</t>
  </si>
  <si>
    <t>Laceration</t>
  </si>
  <si>
    <t>Leg</t>
  </si>
  <si>
    <t>Foot</t>
  </si>
  <si>
    <t>Character Creation Array</t>
  </si>
  <si>
    <t>USE AURASENSE TO CHECK FOR GRUNTS AND HEROICS. IF YOU HAVE STATUS ASSESSMENT THEN USE THAT AS WELL, BOTH OF THESE ACTIONS ARE FREE.                                                                              ASK ABOUT THEIR WEAPONS AND ARMOR (Status assessment is a quick action, so if a character uses another quick action it will up the cost of the next quick action.)</t>
  </si>
  <si>
    <t>Main Stat Array</t>
  </si>
  <si>
    <t>Stat Choice</t>
  </si>
  <si>
    <t>Sub-Stat Array</t>
  </si>
  <si>
    <t>Sub-stat Choice</t>
  </si>
  <si>
    <t>Main Stat Bonuses (Racials and Classes)</t>
  </si>
  <si>
    <t>Sub Stat Bonuses (Racials and Classes)</t>
  </si>
  <si>
    <t>Check Box if Pure Human --&gt;</t>
  </si>
  <si>
    <t>Check Box if Slow Starter --&gt;</t>
  </si>
  <si>
    <t>Starter Skill points</t>
  </si>
  <si>
    <t>Starter Skill Points Spent</t>
  </si>
  <si>
    <t>Starter Interlude points = 3</t>
  </si>
  <si>
    <t>Skill Points Gained (List Bonus and Skill)</t>
  </si>
  <si>
    <t>Choose What Starter IP Was Spent On Below</t>
  </si>
  <si>
    <t>Starting Clim</t>
  </si>
  <si>
    <t>Mirane?</t>
  </si>
  <si>
    <t>Active Ability Name</t>
  </si>
  <si>
    <t>Cost</t>
  </si>
  <si>
    <t>Keywords</t>
  </si>
  <si>
    <t>Range</t>
  </si>
  <si>
    <t>Requirement</t>
  </si>
  <si>
    <t>Description</t>
  </si>
  <si>
    <t>Benefits</t>
  </si>
  <si>
    <t>Passive Ability Name</t>
  </si>
  <si>
    <t>Place Ability to the Left, the roll20 macro will be to the right.</t>
  </si>
  <si>
    <t>XP Spent</t>
  </si>
  <si>
    <r>
      <rPr>
        <rFont val="Calibri"/>
        <b/>
        <color rgb="FFFFFFFF"/>
        <sz val="33.0"/>
      </rPr>
      <t xml:space="preserve">Each character starts with 300 exp that can only be used on breakthroughs. This EXP is not added to your spirit core and any exp not spent during this time is removed after the character creation process. 
</t>
    </r>
    <r>
      <rPr>
        <rFont val="Calibri"/>
        <b/>
        <color rgb="FFFFFFFF"/>
        <sz val="42.0"/>
      </rPr>
      <t>Any breakthroughs taken during character creation using this 300xp should be left at 0 XP Spent in the dropdown.</t>
    </r>
  </si>
  <si>
    <t>If Taking 'Mixed House' Breakthrough Select Both Chosen Houses</t>
  </si>
  <si>
    <t>Wi, Homeless</t>
  </si>
  <si>
    <t>Expedition Inventory</t>
  </si>
  <si>
    <t>Amount</t>
  </si>
  <si>
    <t>Burden</t>
  </si>
  <si>
    <t>Clim Cost (Price of 1 Item)</t>
  </si>
  <si>
    <t>Item Total Clim Value</t>
  </si>
  <si>
    <t>Burden Total</t>
  </si>
  <si>
    <t>Inventory Clim Value</t>
  </si>
  <si>
    <t>Total Character Clim Value</t>
  </si>
  <si>
    <t>Combat Loadout</t>
  </si>
  <si>
    <t>Combat Burden Total</t>
  </si>
  <si>
    <t>Adventurer's Kit</t>
  </si>
  <si>
    <t>Adventurer's Kit Total Burden Carried</t>
  </si>
  <si>
    <t xml:space="preserve">ADVENTURER'S KIT CAN STORE 5 BURDEN MAX IN COMBAT READY STATE                
                </t>
  </si>
  <si>
    <t>Alchemy Rig</t>
  </si>
  <si>
    <t>Alchemy Rig Burden Total</t>
  </si>
  <si>
    <t>Mirane Locker</t>
  </si>
  <si>
    <t>Item Type</t>
  </si>
  <si>
    <t>Total Item Clim Value</t>
  </si>
  <si>
    <t>Notes</t>
  </si>
  <si>
    <t>Mirane Locker Clim Value Total</t>
  </si>
  <si>
    <t>Event</t>
  </si>
  <si>
    <t>Date</t>
  </si>
  <si>
    <t>Amount of Experience Gained</t>
  </si>
  <si>
    <t>Experience Total</t>
  </si>
  <si>
    <t>Service or Item Sold/Purchased</t>
  </si>
  <si>
    <t>Clim Value (Negative for Purchases)</t>
  </si>
  <si>
    <t>Clim Purchase and Earned Total</t>
  </si>
  <si>
    <t>Character Creation</t>
  </si>
  <si>
    <t>N/A</t>
  </si>
  <si>
    <t>Retirement/Death</t>
  </si>
  <si>
    <t>Slow Starter and Human EXP changes are already accounted for by the checkboxes in the 'Core' tab. Do not add/subtract them here.</t>
  </si>
  <si>
    <t>Character Creation Purchases</t>
  </si>
  <si>
    <t>Level Ups</t>
  </si>
  <si>
    <t>Ability Name</t>
  </si>
  <si>
    <t>Custom Active Ability Name</t>
  </si>
  <si>
    <t>Custom Passive Ability Name</t>
  </si>
  <si>
    <t>Basic Craft</t>
  </si>
  <si>
    <t>1 Crafting Dice</t>
  </si>
  <si>
    <t>Rapid</t>
  </si>
  <si>
    <t>Self</t>
  </si>
  <si>
    <t>Must be in a crafting session</t>
  </si>
  <si>
    <t>You add a crafting check to the item.</t>
  </si>
  <si>
    <t>Beginner's Luck</t>
  </si>
  <si>
    <t>You do not add your crafting skill to the check, but you roll two d10s and pick the highest one.</t>
  </si>
  <si>
    <t>Standard Finish</t>
  </si>
  <si>
    <t>2 Crafting Dice</t>
  </si>
  <si>
    <t>Double the current crafting points and end crafting.  Cannot be used if the item being crafted has been modified beyond it's base form (for example, by adding a +1 power bonus to it via blacksmithing).</t>
  </si>
  <si>
    <t>Steady Craft</t>
  </si>
  <si>
    <t>You add a crafting check to the item.  The crafting dice automatically is a 5.</t>
  </si>
  <si>
    <t>Basic Strike</t>
  </si>
  <si>
    <t>1 Strike Dice</t>
  </si>
  <si>
    <t>Must be in a gathering session</t>
  </si>
  <si>
    <t>You add a gathering check to the node points to the target node.</t>
  </si>
  <si>
    <t>Lucky Strike</t>
  </si>
  <si>
    <t>1 Strike Dice, 10 Node Points</t>
  </si>
  <si>
    <t>You add a gathering check to the lucky points to the target node. This strike has a +10 bonus.</t>
  </si>
  <si>
    <t>Novice's Perseverance</t>
  </si>
  <si>
    <t>You do not add your crafting skill to the check, but you roll two d10s and pick the highest. Can be used against either NP or LP</t>
  </si>
  <si>
    <t>Back to Basics</t>
  </si>
  <si>
    <t>2 Strike Dice</t>
  </si>
  <si>
    <t>Convert all LP up to a maximum of 60 to NP.</t>
  </si>
  <si>
    <t>Iron Focus</t>
  </si>
  <si>
    <t>1 Strike Dice, 5 Lucky Points</t>
  </si>
  <si>
    <t>Make a gathering check. Afterwards, you gain a +5 bonus to all gathering checks for the rest of this gathering session.</t>
  </si>
  <si>
    <t>Place Ability Row Number to the Left, the roll20 macro will be to the right.</t>
  </si>
  <si>
    <t>WI</t>
  </si>
  <si>
    <t>LIR</t>
  </si>
  <si>
    <t>Ancient Marionette</t>
  </si>
  <si>
    <t>D'</t>
  </si>
  <si>
    <t>Anubis</t>
  </si>
  <si>
    <t>AR</t>
  </si>
  <si>
    <t>Bearfolk</t>
  </si>
  <si>
    <t>LU</t>
  </si>
  <si>
    <t>Bullfolk</t>
  </si>
  <si>
    <t>NI</t>
  </si>
  <si>
    <t>Cait Sith</t>
  </si>
  <si>
    <t>UN</t>
  </si>
  <si>
    <t>Catfolk</t>
  </si>
  <si>
    <t>VI</t>
  </si>
  <si>
    <t>Centaur</t>
  </si>
  <si>
    <t>HOMELESS</t>
  </si>
  <si>
    <t>Cowfolk</t>
  </si>
  <si>
    <t>Cu Sith</t>
  </si>
  <si>
    <t>Dogfolk</t>
  </si>
  <si>
    <t>Dryad</t>
  </si>
  <si>
    <t>Dullahan</t>
  </si>
  <si>
    <t>Gnome</t>
  </si>
  <si>
    <t>Harpy</t>
  </si>
  <si>
    <t>High Fae</t>
  </si>
  <si>
    <t>Horse-Folk</t>
  </si>
  <si>
    <t>Jiangshi</t>
  </si>
  <si>
    <t>Kitsune</t>
  </si>
  <si>
    <t>Lamiafolk</t>
  </si>
  <si>
    <t>Lizardfolk</t>
  </si>
  <si>
    <t>Mothfolk</t>
  </si>
  <si>
    <t>Nekomata</t>
  </si>
  <si>
    <t>Nio</t>
  </si>
  <si>
    <t>Oni</t>
  </si>
  <si>
    <t>Phoenix</t>
  </si>
  <si>
    <t>Pixie</t>
  </si>
  <si>
    <t>Rabbitfolk</t>
  </si>
  <si>
    <t>Raijin</t>
  </si>
  <si>
    <t>Ratfolk</t>
  </si>
  <si>
    <t>Red Pandafolk</t>
  </si>
  <si>
    <t>Ryujin</t>
  </si>
  <si>
    <t>Salamander</t>
  </si>
  <si>
    <t>Selkie</t>
  </si>
  <si>
    <t>Sheepfolk</t>
  </si>
  <si>
    <t>Slimefolk</t>
  </si>
  <si>
    <t>Spiderfolk</t>
  </si>
  <si>
    <t>Suryan</t>
  </si>
  <si>
    <t>Sylph</t>
  </si>
  <si>
    <t>Tengu</t>
  </si>
  <si>
    <t>Unseelie</t>
  </si>
  <si>
    <t>Willo Wisp</t>
  </si>
  <si>
    <t>Wolf-Folk</t>
  </si>
  <si>
    <t>Yuki-Onna</t>
  </si>
  <si>
    <t/>
  </si>
  <si>
    <t>VAMPIRE</t>
  </si>
  <si>
    <t>Vampire</t>
  </si>
  <si>
    <t>Wi</t>
  </si>
  <si>
    <t>Lir</t>
  </si>
  <si>
    <t>Ar</t>
  </si>
  <si>
    <t>Lu</t>
  </si>
  <si>
    <t>Ni</t>
  </si>
  <si>
    <t>Un</t>
  </si>
  <si>
    <t>Vi</t>
  </si>
  <si>
    <t>Homeless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</si>
</sst>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0.0"/>
    <numFmt numFmtId="166" formatCode="mm/dd/yyyy"/>
  </numFmts>
  <fonts count="43">
    <font>
      <sz val="11.0"/>
      <color theme="1"/>
      <name val="Calibri"/>
      <scheme val="minor"/>
    </font>
    <font>
      <b/>
      <sz val="13.0"/>
      <color theme="1"/>
      <name val="Calibri"/>
    </font>
    <font>
      <b/>
      <sz val="11.0"/>
      <color theme="1"/>
      <name val="Calibri"/>
    </font>
    <font>
      <b/>
      <sz val="19.0"/>
      <color theme="1"/>
      <name val="Calibri"/>
    </font>
    <font>
      <b/>
      <color theme="1"/>
      <name val="Calibri"/>
    </font>
    <font>
      <b/>
      <sz val="11.0"/>
      <color rgb="FFFFFFFF"/>
      <name val="Calibri"/>
    </font>
    <font>
      <color theme="1"/>
      <name val="Calibri"/>
    </font>
    <font>
      <sz val="11.0"/>
      <color theme="1"/>
      <name val="Calibri"/>
    </font>
    <font>
      <b/>
      <sz val="12.0"/>
      <color rgb="FFFFFFFF"/>
      <name val="Calibri"/>
    </font>
    <font>
      <b/>
      <sz val="12.0"/>
      <color theme="1"/>
      <name val="Calibri"/>
    </font>
    <font>
      <color theme="1"/>
      <name val="Calibri"/>
      <scheme val="minor"/>
    </font>
    <font>
      <b/>
      <sz val="14.0"/>
      <color rgb="FF000000"/>
      <name val="Calibri"/>
    </font>
    <font>
      <b/>
      <sz val="15.0"/>
      <color theme="1"/>
      <name val="Calibri"/>
    </font>
    <font>
      <b/>
      <sz val="15.0"/>
      <color rgb="FF000000"/>
      <name val="Calibri"/>
    </font>
    <font>
      <b/>
      <sz val="13.0"/>
      <color rgb="FF000000"/>
      <name val="Calibri"/>
    </font>
    <font>
      <b/>
      <sz val="14.0"/>
      <color theme="1"/>
      <name val="Calibri"/>
    </font>
    <font>
      <b/>
      <sz val="11.0"/>
      <color rgb="FF000000"/>
      <name val="Calibri"/>
    </font>
    <font>
      <b/>
      <sz val="16.0"/>
      <color rgb="FFFFFFFF"/>
      <name val="Calibri"/>
    </font>
    <font>
      <sz val="11.0"/>
      <color rgb="FF000000"/>
      <name val="Calibri"/>
    </font>
    <font>
      <b/>
      <sz val="16.0"/>
      <color theme="1"/>
      <name val="Calibri"/>
    </font>
    <font>
      <b/>
      <sz val="31.0"/>
      <color theme="1"/>
      <name val="Calibri"/>
    </font>
    <font>
      <sz val="12.0"/>
      <color theme="1"/>
      <name val="Calibri"/>
    </font>
    <font>
      <b/>
      <sz val="14.0"/>
      <color rgb="FFFFFFFF"/>
      <name val="Calibri"/>
    </font>
    <font>
      <b/>
      <sz val="12.0"/>
      <color theme="1"/>
      <name val="Calibri"/>
      <scheme val="minor"/>
    </font>
    <font>
      <b/>
      <color theme="1"/>
      <name val="Calibri"/>
      <scheme val="minor"/>
    </font>
    <font>
      <b/>
      <sz val="11.0"/>
      <color rgb="FFFFFFFF"/>
      <name val="Calibri"/>
      <scheme val="minor"/>
    </font>
    <font>
      <b/>
      <sz val="17.0"/>
      <color theme="1"/>
      <name val="Calibri"/>
    </font>
    <font>
      <b/>
      <sz val="28.0"/>
      <color theme="1"/>
      <name val="Calibri"/>
    </font>
    <font>
      <b/>
      <sz val="33.0"/>
      <color rgb="FFFFFFFF"/>
      <name val="Calibri"/>
      <scheme val="minor"/>
    </font>
    <font>
      <b/>
      <u/>
      <sz val="29.0"/>
      <color rgb="FFFFFFFF"/>
      <name val="Calibri"/>
      <scheme val="minor"/>
    </font>
    <font/>
    <font>
      <sz val="41.0"/>
      <color theme="1"/>
      <name val="Calibri"/>
      <scheme val="minor"/>
    </font>
    <font>
      <b/>
      <sz val="14.0"/>
      <color theme="1"/>
      <name val="Calibri"/>
      <scheme val="minor"/>
    </font>
    <font>
      <sz val="13.0"/>
      <color rgb="FFFFFFFF"/>
      <name val="Calibri"/>
    </font>
    <font>
      <sz val="13.0"/>
      <color rgb="FFFFFFFF"/>
      <name val="Calibri"/>
      <scheme val="minor"/>
    </font>
    <font>
      <sz val="12.0"/>
      <color rgb="FFFFFFFF"/>
      <name val="Calibri"/>
    </font>
    <font>
      <sz val="14.0"/>
      <color rgb="FFFFFFFF"/>
      <name val="Calibri"/>
      <scheme val="minor"/>
    </font>
    <font>
      <sz val="15.0"/>
      <color rgb="FFFFFFFF"/>
      <name val="Calibri"/>
    </font>
    <font>
      <sz val="17.0"/>
      <color rgb="FFFFFFFF"/>
      <name val="Calibri"/>
    </font>
    <font>
      <b/>
      <sz val="14.0"/>
      <color rgb="FFFFFFFF"/>
      <name val="Calibri"/>
      <scheme val="minor"/>
    </font>
    <font>
      <b/>
      <sz val="14.0"/>
      <color rgb="FF000000"/>
      <name val="Calibri"/>
      <scheme val="minor"/>
    </font>
    <font>
      <b/>
      <sz val="13.0"/>
      <color theme="1"/>
      <name val="Calibri"/>
      <scheme val="minor"/>
    </font>
    <font>
      <b/>
      <sz val="16.0"/>
      <color theme="1"/>
      <name val="Calibri"/>
      <scheme val="minor"/>
    </font>
  </fonts>
  <fills count="54">
    <fill>
      <patternFill patternType="none"/>
    </fill>
    <fill>
      <patternFill patternType="lightGray"/>
    </fill>
    <fill>
      <patternFill patternType="solid">
        <fgColor rgb="FF6AA84F"/>
        <bgColor rgb="FF6AA84F"/>
      </patternFill>
    </fill>
    <fill>
      <patternFill patternType="solid">
        <fgColor rgb="FFF46524"/>
        <bgColor rgb="FFF46524"/>
      </patternFill>
    </fill>
    <fill>
      <patternFill patternType="solid">
        <fgColor rgb="FF8E7CC3"/>
        <bgColor rgb="FF8E7CC3"/>
      </patternFill>
    </fill>
    <fill>
      <patternFill patternType="solid">
        <fgColor rgb="FF93C47D"/>
        <bgColor rgb="FF93C47D"/>
      </patternFill>
    </fill>
    <fill>
      <patternFill patternType="solid">
        <fgColor rgb="FFE6B8AF"/>
        <bgColor rgb="FFE6B8AF"/>
      </patternFill>
    </fill>
    <fill>
      <patternFill patternType="solid">
        <fgColor rgb="FFB4A7D6"/>
        <bgColor rgb="FFB4A7D6"/>
      </patternFill>
    </fill>
    <fill>
      <patternFill patternType="solid">
        <fgColor rgb="FFDD7E6B"/>
        <bgColor rgb="FFDD7E6B"/>
      </patternFill>
    </fill>
    <fill>
      <patternFill patternType="solid">
        <fgColor theme="4"/>
        <bgColor theme="4"/>
      </patternFill>
    </fill>
    <fill>
      <patternFill patternType="solid">
        <fgColor rgb="FF999999"/>
        <bgColor rgb="FF999999"/>
      </patternFill>
    </fill>
    <fill>
      <patternFill patternType="solid">
        <fgColor rgb="FFBF9000"/>
        <bgColor rgb="FFBF9000"/>
      </patternFill>
    </fill>
    <fill>
      <patternFill patternType="solid">
        <fgColor rgb="FF3D85C6"/>
        <bgColor rgb="FF3D85C6"/>
      </patternFill>
    </fill>
    <fill>
      <patternFill patternType="solid">
        <fgColor theme="1"/>
        <bgColor theme="1"/>
      </patternFill>
    </fill>
    <fill>
      <patternFill patternType="solid">
        <fgColor rgb="FFB4C6E7"/>
        <bgColor rgb="FFB4C6E7"/>
      </patternFill>
    </fill>
    <fill>
      <patternFill patternType="solid">
        <fgColor rgb="FF666666"/>
        <bgColor rgb="FF666666"/>
      </patternFill>
    </fill>
    <fill>
      <patternFill patternType="solid">
        <fgColor rgb="FFFFD966"/>
        <bgColor rgb="FFFFD966"/>
      </patternFill>
    </fill>
    <fill>
      <patternFill patternType="solid">
        <fgColor rgb="FF6FA8DC"/>
        <bgColor rgb="FF6FA8DC"/>
      </patternFill>
    </fill>
    <fill>
      <patternFill patternType="solid">
        <fgColor rgb="FFA5A5A5"/>
        <bgColor rgb="FFA5A5A5"/>
      </patternFill>
    </fill>
    <fill>
      <patternFill patternType="solid">
        <fgColor rgb="FFD9E2F3"/>
        <bgColor rgb="FFD9E2F3"/>
      </patternFill>
    </fill>
    <fill>
      <patternFill patternType="solid">
        <fgColor rgb="FFFF9900"/>
        <bgColor rgb="FFFF9900"/>
      </patternFill>
    </fill>
    <fill>
      <patternFill patternType="solid">
        <fgColor rgb="FF9FC5E8"/>
        <bgColor rgb="FF9FC5E8"/>
      </patternFill>
    </fill>
    <fill>
      <patternFill patternType="solid">
        <fgColor rgb="FFD8D8D8"/>
        <bgColor rgb="FFD8D8D8"/>
      </patternFill>
    </fill>
    <fill>
      <patternFill patternType="solid">
        <fgColor rgb="FFB7B7B7"/>
        <bgColor rgb="FFB7B7B7"/>
      </patternFill>
    </fill>
    <fill>
      <patternFill patternType="solid">
        <fgColor rgb="FF000000"/>
        <bgColor rgb="FF000000"/>
      </patternFill>
    </fill>
    <fill>
      <patternFill patternType="solid">
        <fgColor rgb="FFD9D9D9"/>
        <bgColor rgb="FFD9D9D9"/>
      </patternFill>
    </fill>
    <fill>
      <patternFill patternType="solid">
        <fgColor rgb="FFA64D79"/>
        <bgColor rgb="FFA64D79"/>
      </patternFill>
    </fill>
    <fill>
      <patternFill patternType="solid">
        <fgColor rgb="FFC27BA0"/>
        <bgColor rgb="FFC27BA0"/>
      </patternFill>
    </fill>
    <fill>
      <patternFill patternType="solid">
        <fgColor rgb="FFD5A6BD"/>
        <bgColor rgb="FFD5A6BD"/>
      </patternFill>
    </fill>
    <fill>
      <patternFill patternType="solid">
        <fgColor rgb="FFCCCCCC"/>
        <bgColor rgb="FFCCCCCC"/>
      </patternFill>
    </fill>
    <fill>
      <patternFill patternType="solid">
        <fgColor rgb="FFFFFFFF"/>
        <bgColor rgb="FFFFFFFF"/>
      </patternFill>
    </fill>
    <fill>
      <patternFill patternType="solid">
        <fgColor theme="9"/>
        <bgColor theme="9"/>
      </patternFill>
    </fill>
    <fill>
      <patternFill patternType="solid">
        <fgColor rgb="FFC5E0B3"/>
        <bgColor rgb="FFC5E0B3"/>
      </patternFill>
    </fill>
    <fill>
      <patternFill patternType="solid">
        <fgColor rgb="FFF4CCCC"/>
        <bgColor rgb="FFF4CCCC"/>
      </patternFill>
    </fill>
    <fill>
      <patternFill patternType="solid">
        <fgColor rgb="FFED7D31"/>
        <bgColor rgb="FFED7D31"/>
      </patternFill>
    </fill>
    <fill>
      <patternFill patternType="solid">
        <fgColor rgb="FFFF0000"/>
        <bgColor rgb="FFFF0000"/>
      </patternFill>
    </fill>
    <fill>
      <patternFill patternType="solid">
        <fgColor rgb="FFF7CAAC"/>
        <bgColor rgb="FFF7CAAC"/>
      </patternFill>
    </fill>
    <fill>
      <patternFill patternType="solid">
        <fgColor rgb="FFFBE4D5"/>
        <bgColor rgb="FFFBE4D5"/>
      </patternFill>
    </fill>
    <fill>
      <patternFill patternType="solid">
        <fgColor rgb="FFFEF2CB"/>
        <bgColor rgb="FFFEF2CB"/>
      </patternFill>
    </fill>
    <fill>
      <patternFill patternType="solid">
        <fgColor rgb="FFEAD1DC"/>
        <bgColor rgb="FFEAD1DC"/>
      </patternFill>
    </fill>
    <fill>
      <patternFill patternType="solid">
        <fgColor rgb="FF8989EB"/>
        <bgColor rgb="FF8989EB"/>
      </patternFill>
    </fill>
    <fill>
      <patternFill patternType="solid">
        <fgColor rgb="FFE8E7FC"/>
        <bgColor rgb="FFE8E7FC"/>
      </patternFill>
    </fill>
    <fill>
      <patternFill patternType="solid">
        <fgColor rgb="FFF6B26B"/>
        <bgColor rgb="FFF6B26B"/>
      </patternFill>
    </fill>
    <fill>
      <patternFill patternType="solid">
        <fgColor rgb="FFFFE599"/>
        <bgColor rgb="FFFFE599"/>
      </patternFill>
    </fill>
    <fill>
      <patternFill patternType="solid">
        <fgColor rgb="FF6D9EEB"/>
        <bgColor rgb="FF6D9EEB"/>
      </patternFill>
    </fill>
    <fill>
      <patternFill patternType="solid">
        <fgColor rgb="FFCFE2F3"/>
        <bgColor rgb="FFCFE2F3"/>
      </patternFill>
    </fill>
    <fill>
      <patternFill patternType="solid">
        <fgColor rgb="FF5B95F9"/>
        <bgColor rgb="FF5B95F9"/>
      </patternFill>
    </fill>
    <fill>
      <patternFill patternType="solid">
        <fgColor rgb="FFA4C2F4"/>
        <bgColor rgb="FFA4C2F4"/>
      </patternFill>
    </fill>
    <fill>
      <patternFill patternType="solid">
        <fgColor rgb="FFC9DAF8"/>
        <bgColor rgb="FFC9DAF8"/>
      </patternFill>
    </fill>
    <fill>
      <patternFill patternType="solid">
        <fgColor rgb="FF5B9BD5"/>
        <bgColor rgb="FF5B9BD5"/>
      </patternFill>
    </fill>
    <fill>
      <patternFill patternType="solid">
        <fgColor rgb="FFBDD7EE"/>
        <bgColor rgb="FFBDD7EE"/>
      </patternFill>
    </fill>
    <fill>
      <patternFill patternType="solid">
        <fgColor rgb="FFDDEBF7"/>
        <bgColor rgb="FFDDEBF7"/>
      </patternFill>
    </fill>
    <fill>
      <patternFill patternType="solid">
        <fgColor rgb="FFD9EAD3"/>
        <bgColor rgb="FFD9EAD3"/>
      </patternFill>
    </fill>
    <fill>
      <patternFill patternType="solid">
        <fgColor rgb="FF3C78D8"/>
        <bgColor rgb="FF3C78D8"/>
      </patternFill>
    </fill>
  </fills>
  <borders count="9">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0" fillId="2" fontId="1" numFmtId="0" xfId="0" applyAlignment="1" applyFill="1" applyFont="1">
      <alignment horizontal="center"/>
    </xf>
    <xf borderId="0" fillId="3" fontId="1" numFmtId="0" xfId="0" applyAlignment="1" applyFill="1" applyFont="1">
      <alignment horizontal="center" vertical="bottom"/>
    </xf>
    <xf borderId="0" fillId="4" fontId="1" numFmtId="0" xfId="0" applyAlignment="1" applyFill="1" applyFont="1">
      <alignment horizontal="center" vertical="bottom"/>
    </xf>
    <xf borderId="0" fillId="5" fontId="2" numFmtId="49" xfId="0" applyFill="1" applyFont="1" applyNumberFormat="1"/>
    <xf borderId="0" fillId="5" fontId="2" numFmtId="49" xfId="0" applyAlignment="1" applyFont="1" applyNumberFormat="1">
      <alignment readingOrder="0"/>
    </xf>
    <xf borderId="0" fillId="6" fontId="2" numFmtId="49" xfId="0" applyAlignment="1" applyFill="1" applyFont="1" applyNumberFormat="1">
      <alignment horizontal="right" vertical="bottom"/>
    </xf>
    <xf borderId="0" fillId="6" fontId="2" numFmtId="49" xfId="0" applyAlignment="1" applyFont="1" applyNumberFormat="1">
      <alignment vertical="bottom"/>
    </xf>
    <xf borderId="0" fillId="6" fontId="2" numFmtId="0" xfId="0" applyAlignment="1" applyFont="1">
      <alignment horizontal="right" vertical="bottom"/>
    </xf>
    <xf borderId="0" fillId="6" fontId="2" numFmtId="49" xfId="0" applyAlignment="1" applyFont="1" applyNumberFormat="1">
      <alignment horizontal="left" vertical="bottom"/>
    </xf>
    <xf borderId="0" fillId="7" fontId="3" numFmtId="0" xfId="0" applyAlignment="1" applyFill="1" applyFont="1">
      <alignment horizontal="center" readingOrder="0" vertical="center"/>
    </xf>
    <xf borderId="0" fillId="2" fontId="2" numFmtId="49" xfId="0" applyFont="1" applyNumberFormat="1"/>
    <xf borderId="0" fillId="2" fontId="2" numFmtId="49" xfId="0" applyAlignment="1" applyFont="1" applyNumberFormat="1">
      <alignment readingOrder="0"/>
    </xf>
    <xf borderId="0" fillId="8" fontId="2" numFmtId="49" xfId="0" applyAlignment="1" applyFill="1" applyFont="1" applyNumberFormat="1">
      <alignment horizontal="right" vertical="bottom"/>
    </xf>
    <xf borderId="0" fillId="8" fontId="2" numFmtId="49" xfId="0" applyAlignment="1" applyFont="1" applyNumberFormat="1">
      <alignment vertical="bottom"/>
    </xf>
    <xf borderId="0" fillId="8" fontId="2" numFmtId="0" xfId="0" applyAlignment="1" applyFont="1">
      <alignment horizontal="right" vertical="bottom"/>
    </xf>
    <xf borderId="0" fillId="8" fontId="2" numFmtId="0" xfId="0" applyAlignment="1" applyFont="1">
      <alignment horizontal="left" vertical="bottom"/>
    </xf>
    <xf borderId="0" fillId="5" fontId="4" numFmtId="1" xfId="0" applyAlignment="1" applyFont="1" applyNumberFormat="1">
      <alignment horizontal="left" readingOrder="0"/>
    </xf>
    <xf borderId="0" fillId="6" fontId="2" numFmtId="0" xfId="0" applyAlignment="1" applyFont="1">
      <alignment horizontal="right" readingOrder="0" vertical="bottom"/>
    </xf>
    <xf borderId="0" fillId="6" fontId="2" numFmtId="0" xfId="0" applyAlignment="1" applyFont="1">
      <alignment horizontal="left" vertical="bottom"/>
    </xf>
    <xf borderId="0" fillId="2" fontId="2" numFmtId="1" xfId="0" applyAlignment="1" applyFont="1" applyNumberFormat="1">
      <alignment horizontal="left"/>
    </xf>
    <xf borderId="0" fillId="8" fontId="2" numFmtId="0" xfId="0" applyAlignment="1" applyFont="1">
      <alignment horizontal="right" readingOrder="0" vertical="bottom"/>
    </xf>
    <xf borderId="0" fillId="6" fontId="2" numFmtId="49" xfId="0" applyAlignment="1" applyFont="1" applyNumberFormat="1">
      <alignment readingOrder="0" vertical="bottom"/>
    </xf>
    <xf borderId="0" fillId="2" fontId="2" numFmtId="49" xfId="0" applyAlignment="1" applyFont="1" applyNumberFormat="1">
      <alignment readingOrder="0" vertical="bottom"/>
    </xf>
    <xf borderId="0" fillId="2" fontId="2" numFmtId="49" xfId="0" applyAlignment="1" applyFont="1" applyNumberFormat="1">
      <alignment vertical="bottom"/>
    </xf>
    <xf borderId="0" fillId="2" fontId="2" numFmtId="1" xfId="0" applyAlignment="1" applyFont="1" applyNumberFormat="1">
      <alignment horizontal="left" vertical="bottom"/>
    </xf>
    <xf borderId="0" fillId="8" fontId="2" numFmtId="49" xfId="0" applyAlignment="1" applyFont="1" applyNumberFormat="1">
      <alignment readingOrder="0" vertical="bottom"/>
    </xf>
    <xf borderId="0" fillId="8" fontId="2" numFmtId="0" xfId="0" applyAlignment="1" applyFont="1">
      <alignment horizontal="left" readingOrder="0" vertical="bottom"/>
    </xf>
    <xf borderId="0" fillId="9" fontId="1" numFmtId="49" xfId="0" applyAlignment="1" applyFill="1" applyFont="1" applyNumberFormat="1">
      <alignment horizontal="center"/>
    </xf>
    <xf borderId="0" fillId="10" fontId="1" numFmtId="49" xfId="0" applyAlignment="1" applyFill="1" applyFont="1" applyNumberFormat="1">
      <alignment horizontal="center"/>
    </xf>
    <xf borderId="0" fillId="11" fontId="1" numFmtId="49" xfId="0" applyAlignment="1" applyFill="1" applyFont="1" applyNumberFormat="1">
      <alignment horizontal="center"/>
    </xf>
    <xf borderId="0" fillId="12" fontId="1" numFmtId="49" xfId="0" applyFill="1" applyFont="1" applyNumberFormat="1"/>
    <xf borderId="0" fillId="13" fontId="5" numFmtId="49" xfId="0" applyAlignment="1" applyFill="1" applyFont="1" applyNumberFormat="1">
      <alignment horizontal="center"/>
    </xf>
    <xf borderId="0" fillId="13" fontId="5" numFmtId="49" xfId="0" applyAlignment="1" applyFont="1" applyNumberFormat="1">
      <alignment horizontal="center" vertical="bottom"/>
    </xf>
    <xf borderId="0" fillId="14" fontId="2" numFmtId="49" xfId="0" applyAlignment="1" applyFill="1" applyFont="1" applyNumberFormat="1">
      <alignment horizontal="center"/>
    </xf>
    <xf borderId="0" fillId="14" fontId="4" numFmtId="0" xfId="0" applyAlignment="1" applyFont="1">
      <alignment horizontal="center" readingOrder="0"/>
    </xf>
    <xf borderId="0" fillId="15" fontId="2" numFmtId="49" xfId="0" applyAlignment="1" applyFill="1" applyFont="1" applyNumberFormat="1">
      <alignment horizontal="center"/>
    </xf>
    <xf borderId="0" fillId="15" fontId="4" numFmtId="0" xfId="0" applyAlignment="1" applyFont="1">
      <alignment horizontal="center" readingOrder="0"/>
    </xf>
    <xf borderId="0" fillId="16" fontId="2" numFmtId="49" xfId="0" applyAlignment="1" applyFill="1" applyFont="1" applyNumberFormat="1">
      <alignment horizontal="center" vertical="bottom"/>
    </xf>
    <xf borderId="0" fillId="16" fontId="2" numFmtId="49" xfId="0" applyAlignment="1" applyFont="1" applyNumberFormat="1">
      <alignment horizontal="center"/>
    </xf>
    <xf borderId="0" fillId="16" fontId="4" numFmtId="1" xfId="0" applyAlignment="1" applyFont="1" applyNumberFormat="1">
      <alignment horizontal="center"/>
    </xf>
    <xf borderId="0" fillId="16" fontId="6" numFmtId="1" xfId="0" applyAlignment="1" applyFont="1" applyNumberFormat="1">
      <alignment horizontal="center" readingOrder="0"/>
    </xf>
    <xf borderId="0" fillId="17" fontId="2" numFmtId="49" xfId="0" applyAlignment="1" applyFill="1" applyFont="1" applyNumberFormat="1">
      <alignment readingOrder="0"/>
    </xf>
    <xf borderId="0" fillId="18" fontId="2" numFmtId="49" xfId="0" applyAlignment="1" applyFill="1" applyFont="1" applyNumberFormat="1">
      <alignment horizontal="center" shrinkToFit="0" vertical="center" wrapText="1"/>
    </xf>
    <xf borderId="0" fillId="18" fontId="7" numFmtId="3" xfId="0" applyAlignment="1" applyFont="1" applyNumberFormat="1">
      <alignment horizontal="center" readingOrder="0" shrinkToFit="0" vertical="center" wrapText="1"/>
    </xf>
    <xf borderId="0" fillId="18" fontId="7" numFmtId="49" xfId="0" applyAlignment="1" applyFont="1" applyNumberFormat="1">
      <alignment horizontal="center" shrinkToFit="0" vertical="center" wrapText="1"/>
    </xf>
    <xf borderId="0" fillId="19" fontId="2" numFmtId="49" xfId="0" applyAlignment="1" applyFill="1" applyFont="1" applyNumberFormat="1">
      <alignment horizontal="center"/>
    </xf>
    <xf borderId="0" fillId="19" fontId="4" numFmtId="0" xfId="0" applyAlignment="1" applyFont="1">
      <alignment horizontal="center" readingOrder="0"/>
    </xf>
    <xf borderId="0" fillId="10" fontId="2" numFmtId="49" xfId="0" applyAlignment="1" applyFont="1" applyNumberFormat="1">
      <alignment horizontal="center"/>
    </xf>
    <xf borderId="0" fillId="10" fontId="4" numFmtId="0" xfId="0" applyAlignment="1" applyFont="1">
      <alignment horizontal="center" readingOrder="0"/>
    </xf>
    <xf borderId="0" fillId="20" fontId="2" numFmtId="49" xfId="0" applyAlignment="1" applyFill="1" applyFont="1" applyNumberFormat="1">
      <alignment horizontal="center" vertical="bottom"/>
    </xf>
    <xf borderId="0" fillId="20" fontId="2" numFmtId="49" xfId="0" applyAlignment="1" applyFont="1" applyNumberFormat="1">
      <alignment horizontal="center"/>
    </xf>
    <xf borderId="0" fillId="20" fontId="4" numFmtId="1" xfId="0" applyAlignment="1" applyFont="1" applyNumberFormat="1">
      <alignment horizontal="center"/>
    </xf>
    <xf borderId="0" fillId="20" fontId="6" numFmtId="1" xfId="0" applyAlignment="1" applyFont="1" applyNumberFormat="1">
      <alignment horizontal="center" readingOrder="0"/>
    </xf>
    <xf borderId="0" fillId="21" fontId="2" numFmtId="49" xfId="0" applyFill="1" applyFont="1" applyNumberFormat="1"/>
    <xf borderId="0" fillId="22" fontId="2" numFmtId="49" xfId="0" applyAlignment="1" applyFill="1" applyFont="1" applyNumberFormat="1">
      <alignment horizontal="center" shrinkToFit="0" vertical="center" wrapText="1"/>
    </xf>
    <xf borderId="0" fillId="22" fontId="7" numFmtId="3" xfId="0" applyAlignment="1" applyFont="1" applyNumberFormat="1">
      <alignment horizontal="center" readingOrder="0" shrinkToFit="0" vertical="center" wrapText="1"/>
    </xf>
    <xf borderId="0" fillId="22" fontId="7" numFmtId="49" xfId="0" applyAlignment="1" applyFont="1" applyNumberFormat="1">
      <alignment horizontal="center" shrinkToFit="0" vertical="center" wrapText="1"/>
    </xf>
    <xf borderId="0" fillId="14" fontId="4" numFmtId="49" xfId="0" applyAlignment="1" applyFont="1" applyNumberFormat="1">
      <alignment horizontal="center" readingOrder="0"/>
    </xf>
    <xf borderId="0" fillId="16" fontId="6" numFmtId="1" xfId="0" applyAlignment="1" applyFont="1" applyNumberFormat="1">
      <alignment horizontal="center"/>
    </xf>
    <xf borderId="0" fillId="17" fontId="2" numFmtId="49" xfId="0" applyFont="1" applyNumberFormat="1"/>
    <xf borderId="0" fillId="18" fontId="7" numFmtId="3" xfId="0" applyAlignment="1" applyFont="1" applyNumberFormat="1">
      <alignment horizontal="center" shrinkToFit="0" vertical="center" wrapText="1"/>
    </xf>
    <xf borderId="0" fillId="19" fontId="4" numFmtId="49" xfId="0" applyAlignment="1" applyFont="1" applyNumberFormat="1">
      <alignment horizontal="center" readingOrder="0"/>
    </xf>
    <xf borderId="0" fillId="21" fontId="2" numFmtId="49" xfId="0" applyAlignment="1" applyFont="1" applyNumberFormat="1">
      <alignment readingOrder="0"/>
    </xf>
    <xf borderId="0" fillId="22" fontId="7" numFmtId="3" xfId="0" applyAlignment="1" applyFont="1" applyNumberFormat="1">
      <alignment horizontal="center" shrinkToFit="0" vertical="center" wrapText="1"/>
    </xf>
    <xf borderId="0" fillId="0" fontId="8" numFmtId="49" xfId="0" applyAlignment="1" applyFont="1" applyNumberFormat="1">
      <alignment horizontal="center"/>
    </xf>
    <xf borderId="0" fillId="20" fontId="2" numFmtId="1" xfId="0" applyAlignment="1" applyFont="1" applyNumberFormat="1">
      <alignment horizontal="center"/>
    </xf>
    <xf borderId="0" fillId="20" fontId="6" numFmtId="1" xfId="0" applyAlignment="1" applyFont="1" applyNumberFormat="1">
      <alignment horizontal="center"/>
    </xf>
    <xf borderId="0" fillId="23" fontId="7" numFmtId="49" xfId="0" applyAlignment="1" applyFill="1" applyFont="1" applyNumberFormat="1">
      <alignment horizontal="center" readingOrder="0"/>
    </xf>
    <xf borderId="0" fillId="23" fontId="9" numFmtId="1" xfId="0" applyAlignment="1" applyFont="1" applyNumberFormat="1">
      <alignment horizontal="center" readingOrder="0"/>
    </xf>
    <xf borderId="0" fillId="23" fontId="7" numFmtId="1" xfId="0" applyAlignment="1" applyFont="1" applyNumberFormat="1">
      <alignment horizontal="center" readingOrder="0"/>
    </xf>
    <xf borderId="0" fillId="16" fontId="7" numFmtId="1" xfId="0" applyAlignment="1" applyFont="1" applyNumberFormat="1">
      <alignment horizontal="center"/>
    </xf>
    <xf borderId="0" fillId="16" fontId="2" numFmtId="1" xfId="0" applyAlignment="1" applyFont="1" applyNumberFormat="1">
      <alignment horizontal="center"/>
    </xf>
    <xf borderId="0" fillId="20" fontId="7" numFmtId="1" xfId="0" applyAlignment="1" applyFont="1" applyNumberFormat="1">
      <alignment horizontal="center" readingOrder="0"/>
    </xf>
    <xf borderId="0" fillId="23" fontId="7" numFmtId="49" xfId="0" applyAlignment="1" applyFont="1" applyNumberFormat="1">
      <alignment horizontal="center"/>
    </xf>
    <xf borderId="0" fillId="21" fontId="2" numFmtId="49" xfId="0" applyAlignment="1" applyFont="1" applyNumberFormat="1">
      <alignment vertical="bottom"/>
    </xf>
    <xf borderId="0" fillId="16" fontId="7" numFmtId="1" xfId="0" applyAlignment="1" applyFont="1" applyNumberFormat="1">
      <alignment horizontal="center" readingOrder="0"/>
    </xf>
    <xf borderId="0" fillId="17" fontId="2" numFmtId="49" xfId="0" applyAlignment="1" applyFont="1" applyNumberFormat="1">
      <alignment vertical="bottom"/>
    </xf>
    <xf borderId="0" fillId="23" fontId="7" numFmtId="49" xfId="0" applyAlignment="1" applyFont="1" applyNumberFormat="1">
      <alignment horizontal="center" vertical="bottom"/>
    </xf>
    <xf borderId="0" fillId="23" fontId="7" numFmtId="1" xfId="0" applyAlignment="1" applyFont="1" applyNumberFormat="1">
      <alignment horizontal="center" readingOrder="0" vertical="bottom"/>
    </xf>
    <xf borderId="0" fillId="24" fontId="8" numFmtId="0" xfId="0" applyAlignment="1" applyFill="1" applyFont="1">
      <alignment horizontal="center" readingOrder="0" shrinkToFit="0" vertical="center" wrapText="1"/>
    </xf>
    <xf borderId="0" fillId="18" fontId="2" numFmtId="0" xfId="0" applyAlignment="1" applyFont="1">
      <alignment horizontal="center" shrinkToFit="0" vertical="center" wrapText="1"/>
    </xf>
    <xf borderId="0" fillId="24" fontId="10" numFmtId="0" xfId="0" applyFont="1"/>
    <xf borderId="0" fillId="24" fontId="5" numFmtId="0" xfId="0" applyAlignment="1" applyFont="1">
      <alignment readingOrder="0" vertical="bottom"/>
    </xf>
    <xf borderId="0" fillId="25" fontId="1" numFmtId="49" xfId="0" applyAlignment="1" applyFill="1" applyFont="1" applyNumberFormat="1">
      <alignment horizontal="center" readingOrder="0" vertical="center"/>
    </xf>
    <xf borderId="0" fillId="23" fontId="2" numFmtId="0" xfId="0" applyAlignment="1" applyFont="1">
      <alignment horizontal="center" readingOrder="0" vertical="center"/>
    </xf>
    <xf borderId="0" fillId="25" fontId="1" numFmtId="1" xfId="0" applyAlignment="1" applyFont="1" applyNumberFormat="1">
      <alignment horizontal="center" readingOrder="0" vertical="center"/>
    </xf>
    <xf borderId="0" fillId="25" fontId="11" numFmtId="0" xfId="0" applyAlignment="1" applyFont="1">
      <alignment horizontal="center" readingOrder="0" vertical="center"/>
    </xf>
    <xf borderId="0" fillId="25" fontId="1" numFmtId="49" xfId="0" applyAlignment="1" applyFont="1" applyNumberFormat="1">
      <alignment horizontal="center" readingOrder="0" shrinkToFit="0" vertical="center" wrapText="1"/>
    </xf>
    <xf borderId="0" fillId="25" fontId="9" numFmtId="3" xfId="0" applyAlignment="1" applyFont="1" applyNumberFormat="1">
      <alignment horizontal="center" readingOrder="0" shrinkToFit="0" vertical="center" wrapText="1"/>
    </xf>
    <xf borderId="0" fillId="25" fontId="12" numFmtId="49" xfId="0" applyAlignment="1" applyFont="1" applyNumberFormat="1">
      <alignment horizontal="center" readingOrder="0" vertical="center"/>
    </xf>
    <xf borderId="0" fillId="25" fontId="13" numFmtId="1" xfId="0" applyAlignment="1" applyFont="1" applyNumberFormat="1">
      <alignment horizontal="center" readingOrder="0" vertical="center"/>
    </xf>
    <xf borderId="0" fillId="25" fontId="14" numFmtId="0" xfId="0" applyAlignment="1" applyFont="1">
      <alignment horizontal="center" readingOrder="0" vertical="center"/>
    </xf>
    <xf borderId="0" fillId="25" fontId="9" numFmtId="49" xfId="0" applyAlignment="1" applyFont="1" applyNumberFormat="1">
      <alignment horizontal="right" readingOrder="0" shrinkToFit="0" vertical="center" wrapText="1"/>
    </xf>
    <xf borderId="0" fillId="25" fontId="9" numFmtId="49" xfId="0" applyAlignment="1" applyFont="1" applyNumberFormat="1">
      <alignment horizontal="left" readingOrder="0" shrinkToFit="0" vertical="center" wrapText="1"/>
    </xf>
    <xf borderId="0" fillId="25" fontId="1" numFmtId="3" xfId="0" applyAlignment="1" applyFont="1" applyNumberFormat="1">
      <alignment horizontal="right" readingOrder="0" shrinkToFit="0" vertical="center" wrapText="1"/>
    </xf>
    <xf borderId="0" fillId="25" fontId="1" numFmtId="49" xfId="0" applyAlignment="1" applyFont="1" applyNumberFormat="1">
      <alignment horizontal="left" readingOrder="0" shrinkToFit="0" vertical="center" wrapText="1"/>
    </xf>
    <xf borderId="0" fillId="23" fontId="15" numFmtId="0" xfId="0" applyAlignment="1" applyFont="1">
      <alignment horizontal="center" readingOrder="0" vertical="center"/>
    </xf>
    <xf borderId="0" fillId="25" fontId="15" numFmtId="49" xfId="0" applyAlignment="1" applyFont="1" applyNumberFormat="1">
      <alignment horizontal="center" readingOrder="0" vertical="center"/>
    </xf>
    <xf borderId="0" fillId="25" fontId="13" numFmtId="0" xfId="0" applyAlignment="1" applyFont="1">
      <alignment horizontal="center" readingOrder="0" vertical="center"/>
    </xf>
    <xf borderId="0" fillId="25" fontId="1" numFmtId="49" xfId="0" applyAlignment="1" applyFont="1" applyNumberFormat="1">
      <alignment horizontal="right" readingOrder="0" shrinkToFit="0" vertical="center" wrapText="1"/>
    </xf>
    <xf borderId="0" fillId="24" fontId="16" numFmtId="0" xfId="0" applyAlignment="1" applyFont="1">
      <alignment readingOrder="0" vertical="center"/>
    </xf>
    <xf borderId="0" fillId="24" fontId="17" numFmtId="49"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26" fontId="9" numFmtId="0" xfId="0" applyAlignment="1" applyFill="1" applyFont="1">
      <alignment horizontal="center" shrinkToFit="0" vertical="center" wrapText="1"/>
    </xf>
    <xf borderId="0" fillId="26" fontId="9" numFmtId="0" xfId="0" applyAlignment="1" applyFont="1">
      <alignment horizontal="center" readingOrder="0" shrinkToFit="0" vertical="center" wrapText="1"/>
    </xf>
    <xf borderId="0" fillId="26" fontId="2" numFmtId="0" xfId="0" applyAlignment="1" applyFont="1">
      <alignment horizontal="center" readingOrder="0" shrinkToFit="0" vertical="center" wrapText="1"/>
    </xf>
    <xf borderId="0" fillId="0" fontId="6" numFmtId="0" xfId="0" applyAlignment="1" applyFont="1">
      <alignment readingOrder="0"/>
    </xf>
    <xf borderId="0" fillId="0" fontId="6" numFmtId="0" xfId="0" applyAlignment="1" applyFont="1">
      <alignment horizontal="center"/>
    </xf>
    <xf borderId="0" fillId="27" fontId="7" numFmtId="0" xfId="0" applyAlignment="1" applyFill="1" applyFont="1">
      <alignment horizontal="center" readingOrder="0" shrinkToFit="0" vertical="center" wrapText="1"/>
    </xf>
    <xf borderId="0" fillId="0" fontId="6" numFmtId="0" xfId="0" applyFont="1"/>
    <xf borderId="0" fillId="28" fontId="7" numFmtId="0" xfId="0" applyAlignment="1" applyFill="1" applyFont="1">
      <alignment horizontal="center" readingOrder="0" shrinkToFit="0" vertical="center" wrapText="1"/>
    </xf>
    <xf borderId="0" fillId="22" fontId="9" numFmtId="49" xfId="0" applyAlignment="1" applyFont="1" applyNumberFormat="1">
      <alignment horizontal="center" shrinkToFit="0" vertical="center" wrapText="1"/>
    </xf>
    <xf borderId="0" fillId="22" fontId="16" numFmtId="0" xfId="0" applyAlignment="1" applyFont="1">
      <alignment horizontal="center" readingOrder="0" shrinkToFit="0" vertical="center" wrapText="1"/>
    </xf>
    <xf borderId="0" fillId="22" fontId="9" numFmtId="3" xfId="0" applyAlignment="1" applyFont="1" applyNumberFormat="1">
      <alignment horizontal="center" shrinkToFit="0" vertical="center" wrapText="1"/>
    </xf>
    <xf borderId="0" fillId="22" fontId="18" numFmtId="0" xfId="0" applyAlignment="1" applyFont="1">
      <alignment horizontal="center" shrinkToFit="0" vertical="center" wrapText="1"/>
    </xf>
    <xf borderId="0" fillId="18" fontId="9" numFmtId="49" xfId="0" applyAlignment="1" applyFont="1" applyNumberFormat="1">
      <alignment horizontal="center" shrinkToFit="0" vertical="center" wrapText="1"/>
    </xf>
    <xf borderId="0" fillId="18" fontId="16" numFmtId="0" xfId="0" applyAlignment="1" applyFont="1">
      <alignment horizontal="center" shrinkToFit="0" vertical="center" wrapText="1"/>
    </xf>
    <xf borderId="0" fillId="18" fontId="9" numFmtId="3" xfId="0" applyAlignment="1" applyFont="1" applyNumberFormat="1">
      <alignment horizontal="center" shrinkToFit="0" vertical="center" wrapText="1"/>
    </xf>
    <xf borderId="0" fillId="18" fontId="18" numFmtId="0" xfId="0" applyAlignment="1" applyFont="1">
      <alignment horizontal="center" shrinkToFit="0" vertical="center" wrapText="1"/>
    </xf>
    <xf borderId="0" fillId="28" fontId="7" numFmtId="0" xfId="0" applyAlignment="1" applyFont="1">
      <alignment horizontal="center" shrinkToFit="0" vertical="center" wrapText="1"/>
    </xf>
    <xf borderId="0" fillId="22" fontId="16" numFmtId="0" xfId="0" applyAlignment="1" applyFont="1">
      <alignment horizontal="center" shrinkToFit="0" vertical="center" wrapText="1"/>
    </xf>
    <xf borderId="0" fillId="27" fontId="7" numFmtId="0" xfId="0" applyAlignment="1" applyFont="1">
      <alignment horizontal="center"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readingOrder="0" shrinkToFit="0" vertical="center" wrapText="1"/>
    </xf>
    <xf borderId="0" fillId="0" fontId="9" numFmtId="0" xfId="0" applyAlignment="1" applyFont="1">
      <alignment horizontal="center" shrinkToFit="0" vertical="center" wrapText="1"/>
    </xf>
    <xf borderId="0" fillId="0" fontId="9" numFmtId="0" xfId="0" applyAlignment="1" applyFont="1">
      <alignment horizontal="center" readingOrder="0" shrinkToFit="0" vertical="center" wrapText="1"/>
    </xf>
    <xf borderId="0" fillId="25" fontId="6" numFmtId="0" xfId="0" applyAlignment="1" applyFont="1">
      <alignment horizontal="center" shrinkToFit="0" vertical="center" wrapText="1"/>
    </xf>
    <xf borderId="0" fillId="25"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29" fontId="6" numFmtId="0" xfId="0" applyAlignment="1" applyFill="1" applyFont="1">
      <alignment horizontal="center" shrinkToFit="0" vertical="center" wrapText="1"/>
    </xf>
    <xf borderId="0" fillId="29" fontId="4"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30" fontId="22" numFmtId="0" xfId="0" applyAlignment="1" applyFill="1" applyFont="1">
      <alignment horizontal="center" readingOrder="0" shrinkToFit="0" vertical="center" wrapText="1"/>
    </xf>
    <xf borderId="0" fillId="0" fontId="23" numFmtId="0" xfId="0" applyAlignment="1" applyFont="1">
      <alignment readingOrder="0"/>
    </xf>
    <xf borderId="0" fillId="0" fontId="24" numFmtId="0" xfId="0" applyAlignment="1" applyFont="1">
      <alignment readingOrder="0"/>
    </xf>
    <xf borderId="0" fillId="30" fontId="25" numFmtId="0" xfId="0" applyAlignment="1" applyFont="1">
      <alignment readingOrder="0"/>
    </xf>
    <xf borderId="0" fillId="0" fontId="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15"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1" numFmtId="49" xfId="0" applyAlignment="1" applyFont="1" applyNumberFormat="1">
      <alignment horizontal="center" shrinkToFit="0" vertical="center" wrapText="1"/>
    </xf>
    <xf borderId="0" fillId="23"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15" numFmtId="49" xfId="0" applyAlignment="1" applyFont="1" applyNumberFormat="1">
      <alignment horizontal="center" readingOrder="0" shrinkToFit="0" vertical="center" wrapText="1"/>
    </xf>
    <xf borderId="0" fillId="0" fontId="15"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6" numFmtId="1" xfId="0" applyAlignment="1" applyFont="1" applyNumberFormat="1">
      <alignment horizontal="center" readingOrder="0" shrinkToFit="0" vertical="center" wrapText="1"/>
    </xf>
    <xf borderId="0" fillId="0" fontId="9" numFmtId="1" xfId="0" applyAlignment="1" applyFont="1" applyNumberForma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31" fontId="1" numFmtId="0" xfId="0" applyAlignment="1" applyFill="1" applyFont="1">
      <alignment horizontal="center" readingOrder="0" shrinkToFit="0" vertical="center" wrapText="1"/>
    </xf>
    <xf borderId="0" fillId="32" fontId="7" numFmtId="0" xfId="0" applyAlignment="1" applyFill="1" applyFont="1">
      <alignment horizontal="center" readingOrder="0" shrinkToFit="0" vertical="center" wrapText="1"/>
    </xf>
    <xf borderId="0" fillId="2" fontId="1" numFmtId="0" xfId="0" applyAlignment="1" applyFont="1">
      <alignment horizontal="center" vertical="center"/>
    </xf>
    <xf borderId="0" fillId="2" fontId="1" numFmtId="0" xfId="0" applyAlignment="1" applyFont="1">
      <alignment horizontal="center" shrinkToFit="0" vertical="center" wrapText="1"/>
    </xf>
    <xf borderId="0" fillId="2" fontId="1" numFmtId="49"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33" fontId="27" numFmtId="0" xfId="0" applyAlignment="1" applyFill="1" applyFont="1">
      <alignment horizontal="center" readingOrder="0" shrinkToFit="0" vertical="center" wrapText="1"/>
    </xf>
    <xf borderId="0" fillId="33" fontId="19" numFmtId="0" xfId="0" applyAlignment="1" applyFont="1">
      <alignment horizontal="center" readingOrder="0" shrinkToFit="0" vertical="center" wrapText="1"/>
    </xf>
    <xf borderId="0" fillId="33" fontId="12" numFmtId="0" xfId="0" applyAlignment="1" applyFont="1">
      <alignment horizontal="center" shrinkToFit="0" vertical="center" wrapText="1"/>
    </xf>
    <xf borderId="0" fillId="34" fontId="1" numFmtId="0" xfId="0" applyAlignment="1" applyFill="1" applyFont="1">
      <alignment horizontal="center" shrinkToFit="0" vertical="center" wrapText="1"/>
    </xf>
    <xf borderId="0" fillId="34" fontId="1" numFmtId="0" xfId="0" applyAlignment="1" applyFont="1">
      <alignment horizontal="center" readingOrder="0" shrinkToFit="0" vertical="center" wrapText="1"/>
    </xf>
    <xf borderId="0" fillId="24" fontId="28" numFmtId="0" xfId="0" applyAlignment="1" applyFont="1">
      <alignment horizontal="center" readingOrder="0" shrinkToFit="0" vertical="center" wrapText="1"/>
    </xf>
    <xf borderId="1" fillId="35" fontId="29" numFmtId="0" xfId="0" applyAlignment="1" applyBorder="1" applyFill="1" applyFont="1">
      <alignment horizontal="center" readingOrder="0" shrinkToFit="0" vertical="center" wrapText="1"/>
    </xf>
    <xf borderId="2" fillId="0" fontId="30" numFmtId="0" xfId="0" applyBorder="1" applyFont="1"/>
    <xf borderId="3" fillId="0" fontId="30" numFmtId="0" xfId="0" applyBorder="1" applyFont="1"/>
    <xf borderId="0" fillId="36" fontId="7" numFmtId="49" xfId="0" applyAlignment="1" applyFill="1" applyFont="1" applyNumberFormat="1">
      <alignment horizontal="center" readingOrder="0" shrinkToFit="0" vertical="center" wrapText="1"/>
    </xf>
    <xf borderId="0" fillId="36" fontId="7" numFmtId="1" xfId="0" applyAlignment="1" applyFont="1" applyNumberFormat="1">
      <alignment horizontal="center" readingOrder="0" shrinkToFit="0" vertical="center" wrapText="1"/>
    </xf>
    <xf borderId="4" fillId="0" fontId="30" numFmtId="0" xfId="0" applyBorder="1" applyFont="1"/>
    <xf borderId="5" fillId="0" fontId="30" numFmtId="0" xfId="0" applyBorder="1" applyFont="1"/>
    <xf borderId="0" fillId="37" fontId="7" numFmtId="49" xfId="0" applyAlignment="1" applyFill="1" applyFont="1" applyNumberFormat="1">
      <alignment horizontal="center" readingOrder="0" shrinkToFit="0" vertical="center" wrapText="1"/>
    </xf>
    <xf borderId="0" fillId="38" fontId="7" numFmtId="1" xfId="0" applyAlignment="1" applyFill="1" applyFont="1" applyNumberFormat="1">
      <alignment horizontal="center" readingOrder="0" shrinkToFit="0" vertical="center" wrapText="1"/>
    </xf>
    <xf borderId="0" fillId="38" fontId="7" numFmtId="49" xfId="0" applyAlignment="1" applyFont="1" applyNumberFormat="1">
      <alignment horizontal="center" readingOrder="0" shrinkToFit="0" vertical="center" wrapText="1"/>
    </xf>
    <xf borderId="6" fillId="0" fontId="30" numFmtId="0" xfId="0" applyBorder="1" applyFont="1"/>
    <xf borderId="7" fillId="0" fontId="30" numFmtId="0" xfId="0" applyBorder="1" applyFont="1"/>
    <xf borderId="8" fillId="0" fontId="30" numFmtId="0" xfId="0" applyBorder="1" applyFont="1"/>
    <xf borderId="0" fillId="24" fontId="31" numFmtId="0" xfId="0" applyAlignment="1" applyFont="1">
      <alignment horizontal="center" readingOrder="0" shrinkToFit="0" vertical="center" wrapText="1"/>
    </xf>
    <xf borderId="0" fillId="26" fontId="15" numFmtId="0" xfId="0" applyAlignment="1" applyFont="1">
      <alignment horizontal="center" shrinkToFit="0" vertical="center" wrapText="1"/>
    </xf>
    <xf borderId="0" fillId="26" fontId="1" numFmtId="0" xfId="0" applyAlignment="1" applyFont="1">
      <alignment horizontal="center" readingOrder="0" shrinkToFit="0" vertical="center" wrapText="1"/>
    </xf>
    <xf borderId="0" fillId="26" fontId="9" numFmtId="164" xfId="0" applyAlignment="1" applyFont="1" applyNumberFormat="1">
      <alignment horizontal="center" readingOrder="0" shrinkToFit="0" vertical="center" wrapText="1"/>
    </xf>
    <xf borderId="0" fillId="26" fontId="2" numFmtId="165" xfId="0" applyAlignment="1" applyFont="1" applyNumberFormat="1">
      <alignment horizontal="center" readingOrder="0" shrinkToFit="0" vertical="center" wrapText="1"/>
    </xf>
    <xf borderId="0" fillId="26" fontId="2" numFmtId="0" xfId="0" applyAlignment="1" applyFont="1">
      <alignment horizontal="center" shrinkToFit="0" vertical="center" wrapText="1"/>
    </xf>
    <xf borderId="0" fillId="28" fontId="7" numFmtId="164" xfId="0" applyAlignment="1" applyFont="1" applyNumberFormat="1">
      <alignment horizontal="center" readingOrder="0" shrinkToFit="0" vertical="center" wrapText="1"/>
    </xf>
    <xf borderId="0" fillId="28" fontId="7" numFmtId="165" xfId="0" applyAlignment="1" applyFont="1" applyNumberFormat="1">
      <alignment horizontal="center" readingOrder="0" shrinkToFit="0" vertical="center" wrapText="1"/>
    </xf>
    <xf borderId="0" fillId="28" fontId="15" numFmtId="0" xfId="0" applyAlignment="1" applyFont="1">
      <alignment horizontal="center" shrinkToFit="0" vertical="center" wrapText="1"/>
    </xf>
    <xf borderId="0" fillId="39" fontId="7" numFmtId="0" xfId="0" applyAlignment="1" applyFill="1" applyFont="1">
      <alignment horizontal="center" readingOrder="0" shrinkToFit="0" vertical="center" wrapText="1"/>
    </xf>
    <xf borderId="0" fillId="39" fontId="7" numFmtId="164" xfId="0" applyAlignment="1" applyFont="1" applyNumberFormat="1">
      <alignment horizontal="center" readingOrder="0" shrinkToFit="0" vertical="center" wrapText="1"/>
    </xf>
    <xf borderId="0" fillId="39" fontId="7" numFmtId="165" xfId="0" applyAlignment="1" applyFont="1" applyNumberFormat="1">
      <alignment horizontal="center" readingOrder="0" shrinkToFit="0" vertical="center" wrapText="1"/>
    </xf>
    <xf borderId="0" fillId="39" fontId="15" numFmtId="0" xfId="0" applyAlignment="1" applyFont="1">
      <alignment horizontal="center" readingOrder="0" shrinkToFit="0" vertical="center" wrapText="1"/>
    </xf>
    <xf borderId="0" fillId="28" fontId="1" numFmtId="0" xfId="0" applyAlignment="1" applyFont="1">
      <alignment horizontal="center" readingOrder="0" shrinkToFit="0" vertical="center" wrapText="1"/>
    </xf>
    <xf borderId="0" fillId="28" fontId="32" numFmtId="0" xfId="0" applyAlignment="1" applyFont="1">
      <alignment horizontal="center" shrinkToFit="0" vertical="center" wrapText="1"/>
    </xf>
    <xf borderId="0" fillId="40" fontId="1" numFmtId="0" xfId="0" applyAlignment="1" applyFill="1" applyFont="1">
      <alignment horizontal="center" readingOrder="0" shrinkToFit="0" vertical="center" wrapText="1"/>
    </xf>
    <xf borderId="0" fillId="40" fontId="1" numFmtId="0" xfId="0" applyAlignment="1" applyFont="1">
      <alignment horizontal="center" shrinkToFit="0" vertical="center" wrapText="1"/>
    </xf>
    <xf borderId="0" fillId="30" fontId="7" numFmtId="0" xfId="0" applyAlignment="1" applyFont="1">
      <alignment horizontal="center" readingOrder="0" shrinkToFit="0" vertical="center" wrapText="1"/>
    </xf>
    <xf borderId="0" fillId="41" fontId="7" numFmtId="0" xfId="0" applyAlignment="1" applyFill="1" applyFont="1">
      <alignment horizontal="center" readingOrder="0" shrinkToFit="0" vertical="center" wrapText="1"/>
    </xf>
    <xf borderId="0" fillId="30" fontId="7" numFmtId="0" xfId="0" applyAlignment="1" applyFont="1">
      <alignment horizontal="center" shrinkToFit="0" vertical="center" wrapText="1"/>
    </xf>
    <xf borderId="0" fillId="41" fontId="7" numFmtId="0" xfId="0" applyAlignment="1" applyFont="1">
      <alignment horizontal="center" shrinkToFit="0" vertical="center" wrapText="1"/>
    </xf>
    <xf borderId="0" fillId="28" fontId="7" numFmtId="164" xfId="0" applyAlignment="1" applyFont="1" applyNumberFormat="1">
      <alignment horizontal="center" shrinkToFit="0" vertical="center" wrapText="1"/>
    </xf>
    <xf borderId="0" fillId="39" fontId="7" numFmtId="0" xfId="0" applyAlignment="1" applyFont="1">
      <alignment horizontal="center" shrinkToFit="0" vertical="center" wrapText="1"/>
    </xf>
    <xf borderId="0" fillId="39" fontId="7" numFmtId="164" xfId="0" applyAlignment="1" applyFont="1" applyNumberFormat="1">
      <alignment horizontal="center" shrinkToFit="0" vertical="center" wrapText="1"/>
    </xf>
    <xf borderId="0" fillId="24" fontId="33" numFmtId="0" xfId="0" applyAlignment="1" applyFont="1">
      <alignment horizontal="center" readingOrder="0" shrinkToFit="0" vertical="center" wrapText="1"/>
    </xf>
    <xf borderId="0" fillId="24" fontId="34" numFmtId="0" xfId="0" applyAlignment="1" applyFont="1">
      <alignment horizontal="center" shrinkToFit="0" vertical="center" wrapText="1"/>
    </xf>
    <xf borderId="0" fillId="42" fontId="21" numFmtId="0" xfId="0" applyAlignment="1" applyFill="1" applyFont="1">
      <alignment horizontal="center" readingOrder="0" shrinkToFit="0" vertical="center" wrapText="1"/>
    </xf>
    <xf borderId="0" fillId="30" fontId="7" numFmtId="0" xfId="0" applyAlignment="1" applyFont="1">
      <alignment horizontal="center" shrinkToFit="0" vertical="center" wrapText="1"/>
    </xf>
    <xf borderId="0" fillId="30" fontId="7" numFmtId="0" xfId="0" applyAlignment="1" applyFont="1">
      <alignment horizontal="center" readingOrder="0" shrinkToFit="0" vertical="center" wrapText="1"/>
    </xf>
    <xf borderId="0" fillId="43" fontId="7" numFmtId="0" xfId="0" applyAlignment="1" applyFill="1" applyFont="1">
      <alignment horizontal="center" shrinkToFit="0" vertical="center" wrapText="1"/>
    </xf>
    <xf borderId="0" fillId="0" fontId="7" numFmtId="0" xfId="0" applyAlignment="1" applyFont="1">
      <alignment horizontal="center" shrinkToFit="0" vertical="center" wrapText="1"/>
    </xf>
    <xf borderId="0" fillId="24" fontId="35" numFmtId="0" xfId="0" applyAlignment="1" applyFont="1">
      <alignment horizontal="center" readingOrder="0" shrinkToFit="0" vertical="center" wrapText="1"/>
    </xf>
    <xf borderId="0" fillId="24" fontId="36" numFmtId="0" xfId="0" applyAlignment="1" applyFont="1">
      <alignment horizontal="center" shrinkToFit="0" vertical="center" wrapText="1"/>
    </xf>
    <xf borderId="0" fillId="44" fontId="15" numFmtId="0" xfId="0" applyAlignment="1" applyFill="1" applyFont="1">
      <alignment horizontal="center" readingOrder="0" shrinkToFit="0" vertical="center" wrapText="1"/>
    </xf>
    <xf borderId="0" fillId="45" fontId="7" numFmtId="0" xfId="0" applyAlignment="1" applyFill="1" applyFont="1">
      <alignment horizontal="center" shrinkToFit="0" vertical="center" wrapText="1"/>
    </xf>
    <xf borderId="0" fillId="24" fontId="37" numFmtId="0" xfId="0" applyAlignment="1" applyFont="1">
      <alignment horizontal="center" readingOrder="0" shrinkToFit="0" vertical="center" wrapText="1"/>
    </xf>
    <xf borderId="0" fillId="24" fontId="38" numFmtId="0" xfId="0" applyAlignment="1" applyFont="1">
      <alignment horizontal="center" shrinkToFit="0" vertical="center" wrapText="1"/>
    </xf>
    <xf borderId="0" fillId="46" fontId="7" numFmtId="0" xfId="0" applyAlignment="1" applyFill="1" applyFont="1">
      <alignment horizontal="center" vertical="center"/>
    </xf>
    <xf borderId="0" fillId="46" fontId="7" numFmtId="0" xfId="0" applyAlignment="1" applyFont="1">
      <alignment horizontal="center" readingOrder="0" vertical="center"/>
    </xf>
    <xf borderId="0" fillId="46" fontId="7" numFmtId="164" xfId="0" applyAlignment="1" applyFont="1" applyNumberFormat="1">
      <alignment horizontal="center" readingOrder="0" shrinkToFit="0" vertical="center" wrapText="1"/>
    </xf>
    <xf borderId="0" fillId="46" fontId="7" numFmtId="165" xfId="0" applyAlignment="1" applyFont="1" applyNumberFormat="1">
      <alignment horizontal="center" readingOrder="0" shrinkToFit="0" vertical="center" wrapText="1"/>
    </xf>
    <xf borderId="0" fillId="46" fontId="19" numFmtId="0" xfId="0" applyAlignment="1" applyFont="1">
      <alignment horizontal="center" readingOrder="0" vertical="center"/>
    </xf>
    <xf borderId="0" fillId="47" fontId="7" numFmtId="0" xfId="0" applyAlignment="1" applyFill="1" applyFont="1">
      <alignment horizontal="center" shrinkToFit="0" vertical="center" wrapText="1"/>
    </xf>
    <xf borderId="0" fillId="47" fontId="7" numFmtId="0" xfId="0" applyAlignment="1" applyFont="1">
      <alignment horizontal="center" readingOrder="0" shrinkToFit="0" vertical="center" wrapText="1"/>
    </xf>
    <xf borderId="0" fillId="47" fontId="7" numFmtId="164" xfId="0" applyAlignment="1" applyFont="1" applyNumberFormat="1">
      <alignment horizontal="center" readingOrder="0" shrinkToFit="0" vertical="center" wrapText="1"/>
    </xf>
    <xf borderId="0" fillId="47" fontId="7" numFmtId="165" xfId="0" applyAlignment="1" applyFont="1" applyNumberFormat="1">
      <alignment horizontal="center" shrinkToFit="0" vertical="center" wrapText="1"/>
    </xf>
    <xf borderId="0" fillId="47" fontId="26" numFmtId="0" xfId="0" applyAlignment="1" applyFont="1">
      <alignment horizontal="center" shrinkToFit="0" vertical="center" wrapText="1"/>
    </xf>
    <xf borderId="0" fillId="48" fontId="7" numFmtId="0" xfId="0" applyAlignment="1" applyFill="1" applyFont="1">
      <alignment horizontal="center" shrinkToFit="0" vertical="center" wrapText="1"/>
    </xf>
    <xf borderId="0" fillId="48" fontId="7" numFmtId="0" xfId="0" applyAlignment="1" applyFont="1">
      <alignment horizontal="center" readingOrder="0" shrinkToFit="0" vertical="center" wrapText="1"/>
    </xf>
    <xf borderId="0" fillId="48" fontId="7" numFmtId="164" xfId="0" applyAlignment="1" applyFont="1" applyNumberFormat="1">
      <alignment horizontal="center" readingOrder="0" shrinkToFit="0" vertical="center" wrapText="1"/>
    </xf>
    <xf borderId="0" fillId="48" fontId="7" numFmtId="165" xfId="0" applyAlignment="1" applyFont="1" applyNumberFormat="1">
      <alignment horizontal="center" shrinkToFit="0" vertical="center" wrapText="1"/>
    </xf>
    <xf borderId="0" fillId="47" fontId="7" numFmtId="164" xfId="0" applyAlignment="1" applyFont="1" applyNumberFormat="1">
      <alignment horizontal="center" shrinkToFit="0" vertical="center" wrapText="1"/>
    </xf>
    <xf borderId="0" fillId="48" fontId="7" numFmtId="164" xfId="0" applyAlignment="1" applyFont="1" applyNumberFormat="1">
      <alignment horizontal="center" shrinkToFit="0" vertical="center" wrapText="1"/>
    </xf>
    <xf borderId="0" fillId="48" fontId="7" numFmtId="0" xfId="0" applyAlignment="1" applyFont="1">
      <alignment horizontal="center" shrinkToFit="0" vertical="center" wrapText="1"/>
    </xf>
    <xf borderId="0" fillId="48" fontId="7" numFmtId="164" xfId="0" applyAlignment="1" applyFont="1" applyNumberFormat="1">
      <alignment horizontal="center" shrinkToFit="0" vertical="center" wrapText="1"/>
    </xf>
    <xf borderId="0" fillId="47" fontId="7" numFmtId="0" xfId="0" applyAlignment="1" applyFont="1">
      <alignment horizontal="center" shrinkToFit="0" vertical="center" wrapText="1"/>
    </xf>
    <xf borderId="0" fillId="47" fontId="7" numFmtId="164" xfId="0" applyAlignment="1" applyFont="1" applyNumberFormat="1">
      <alignment horizontal="center" shrinkToFit="0" vertical="center" wrapText="1"/>
    </xf>
    <xf borderId="0" fillId="47" fontId="7" numFmtId="165" xfId="0" applyAlignment="1" applyFont="1" applyNumberFormat="1">
      <alignment horizontal="center" shrinkToFit="0" vertical="center" wrapText="1"/>
    </xf>
    <xf borderId="0" fillId="24" fontId="39" numFmtId="0" xfId="0" applyAlignment="1" applyFont="1">
      <alignment horizontal="center" readingOrder="0" shrinkToFit="0" vertical="center" wrapText="1"/>
    </xf>
    <xf borderId="0" fillId="30" fontId="40" numFmtId="0" xfId="0" applyAlignment="1" applyFont="1">
      <alignment horizontal="center" readingOrder="0" shrinkToFit="0" vertical="center" wrapText="1"/>
    </xf>
    <xf borderId="0" fillId="15" fontId="39"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23" numFmtId="1" xfId="0" applyAlignment="1" applyFont="1" applyNumberFormat="1">
      <alignment horizontal="center" readingOrder="0" shrinkToFit="0" vertical="center" wrapText="1"/>
    </xf>
    <xf borderId="0" fillId="30" fontId="40" numFmtId="1" xfId="0" applyAlignment="1" applyFont="1" applyNumberFormat="1">
      <alignment horizontal="center" readingOrder="0" shrinkToFit="0" vertical="center" wrapText="1"/>
    </xf>
    <xf borderId="0" fillId="0" fontId="41"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24" fontId="39" numFmtId="0" xfId="0" applyAlignment="1" applyFont="1">
      <alignment horizontal="center" readingOrder="0" shrinkToFit="0" vertical="top" wrapText="1"/>
    </xf>
    <xf borderId="0" fillId="0" fontId="23" numFmtId="166" xfId="0" applyAlignment="1" applyFont="1" applyNumberFormat="1">
      <alignment horizontal="center" readingOrder="0" shrinkToFit="0" vertical="center" wrapText="1"/>
    </xf>
    <xf borderId="0" fillId="0" fontId="41" numFmtId="0" xfId="0" applyAlignment="1" applyFont="1">
      <alignment horizontal="center" shrinkToFit="0" vertical="center" wrapText="1"/>
    </xf>
    <xf borderId="0" fillId="49" fontId="5" numFmtId="0" xfId="0" applyAlignment="1" applyFill="1" applyFont="1">
      <alignment horizontal="center" shrinkToFit="0" vertical="bottom" wrapText="0"/>
    </xf>
    <xf borderId="0" fillId="50" fontId="18" numFmtId="0" xfId="0" applyAlignment="1" applyFill="1" applyFont="1">
      <alignment horizontal="center" shrinkToFit="0" vertical="bottom" wrapText="0"/>
    </xf>
    <xf borderId="0" fillId="50" fontId="18" numFmtId="0" xfId="0" applyAlignment="1" applyFont="1">
      <alignment horizontal="center" shrinkToFit="0" vertical="bottom" wrapText="1"/>
    </xf>
    <xf borderId="0" fillId="51" fontId="18" numFmtId="0" xfId="0" applyAlignment="1" applyFill="1" applyFont="1">
      <alignment horizontal="center" shrinkToFit="0" vertical="bottom" wrapText="0"/>
    </xf>
    <xf borderId="0" fillId="51" fontId="18" numFmtId="0" xfId="0" applyAlignment="1" applyFont="1">
      <alignment horizontal="center" shrinkToFit="0" vertical="bottom" wrapText="1"/>
    </xf>
    <xf borderId="0" fillId="52" fontId="10" numFmtId="0" xfId="0" applyFill="1" applyFont="1"/>
    <xf borderId="0" fillId="5" fontId="10" numFmtId="0" xfId="0" applyFont="1"/>
    <xf borderId="0" fillId="53" fontId="42" numFmtId="0" xfId="0" applyAlignment="1" applyFill="1" applyFont="1">
      <alignment horizontal="center" readingOrder="0" shrinkToFit="0" vertical="center" wrapText="1"/>
    </xf>
    <xf borderId="0" fillId="53" fontId="42" numFmtId="0" xfId="0" applyAlignment="1" applyFont="1">
      <alignment horizontal="center" shrinkToFit="0" vertical="center" wrapText="1"/>
    </xf>
    <xf borderId="0" fillId="45" fontId="42" numFmtId="0" xfId="0" applyAlignment="1" applyFont="1">
      <alignment horizontal="center" readingOrder="0" shrinkToFit="0" vertical="center" wrapText="1"/>
    </xf>
    <xf borderId="0" fillId="17" fontId="42" numFmtId="0" xfId="0" applyAlignment="1" applyFont="1">
      <alignment horizontal="center" readingOrder="0" shrinkToFit="0" vertical="center" wrapText="1"/>
    </xf>
    <xf borderId="0" fillId="17" fontId="42" numFmtId="0" xfId="0" applyAlignment="1" applyFont="1">
      <alignment horizontal="center" shrinkToFit="0" vertical="center" wrapText="1"/>
    </xf>
    <xf borderId="0" fillId="45" fontId="42" numFmtId="0" xfId="0" applyAlignment="1" applyFont="1">
      <alignment horizontal="center" shrinkToFit="0" vertical="center" wrapText="1"/>
    </xf>
    <xf borderId="0" fillId="0" fontId="7" numFmtId="0" xfId="0" applyFont="1"/>
    <xf borderId="0" fillId="0" fontId="7" numFmtId="0" xfId="0" applyAlignment="1" applyFont="1">
      <alignment horizontal="center" shrinkToFit="0" wrapText="1"/>
    </xf>
    <xf borderId="0" fillId="0" fontId="7" numFmtId="49" xfId="0" applyAlignment="1" applyFont="1" applyNumberFormat="1">
      <alignment horizontal="center" shrinkToFit="0" wrapText="1"/>
    </xf>
    <xf borderId="0" fillId="0" fontId="7" numFmtId="0" xfId="0" applyAlignment="1" applyFont="1">
      <alignment horizontal="center" shrinkToFit="0" wrapText="1"/>
    </xf>
    <xf borderId="0" fillId="0" fontId="7" numFmtId="49" xfId="0" applyFont="1" applyNumberFormat="1"/>
    <xf borderId="0" fillId="0" fontId="7" numFmtId="0" xfId="0" applyFont="1"/>
    <xf borderId="0" fillId="0" fontId="7" numFmtId="0" xfId="0" applyAlignment="1" applyFont="1">
      <alignment vertical="bottom"/>
    </xf>
    <xf borderId="0" fillId="0" fontId="7" numFmtId="0" xfId="0" applyAlignment="1" applyFont="1">
      <alignment vertical="bottom"/>
    </xf>
  </cellXfs>
  <cellStyles count="1">
    <cellStyle xfId="0" name="Normal" builtinId="0"/>
  </cellStyles>
  <dxfs count="22">
    <dxf>
      <font/>
      <fill>
        <patternFill patternType="none"/>
      </fill>
      <border/>
    </dxf>
    <dxf>
      <font/>
      <fill>
        <patternFill patternType="solid">
          <fgColor theme="1"/>
          <bgColor theme="1"/>
        </patternFill>
      </fill>
      <border/>
    </dxf>
    <dxf>
      <font/>
      <fill>
        <patternFill patternType="solid">
          <fgColor rgb="FFA5A5A5"/>
          <bgColor rgb="FFA5A5A5"/>
        </patternFill>
      </fill>
      <border/>
    </dxf>
    <dxf>
      <font/>
      <fill>
        <patternFill patternType="solid">
          <fgColor rgb="FFD8D8D8"/>
          <bgColor rgb="FFD8D8D8"/>
        </patternFill>
      </fill>
      <border/>
    </dxf>
    <dxf>
      <font/>
      <fill>
        <patternFill patternType="solid">
          <fgColor rgb="FF6AA84F"/>
          <bgColor rgb="FF6AA84F"/>
        </patternFill>
      </fill>
      <border/>
    </dxf>
    <dxf>
      <font/>
      <fill>
        <patternFill patternType="solid">
          <fgColor rgb="FF93C47D"/>
          <bgColor rgb="FF93C47D"/>
        </patternFill>
      </fill>
      <border/>
    </dxf>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006100"/>
      </font>
      <fill>
        <patternFill patternType="solid">
          <fgColor rgb="FFB7E1CD"/>
          <bgColor rgb="FFB7E1CD"/>
        </patternFill>
      </fill>
      <border/>
    </dxf>
    <dxf>
      <font/>
      <fill>
        <patternFill patternType="solid">
          <fgColor rgb="FF70AD47"/>
          <bgColor rgb="FF70AD47"/>
        </patternFill>
      </fill>
      <border/>
    </dxf>
    <dxf>
      <font/>
      <fill>
        <patternFill patternType="solid">
          <fgColor rgb="FFC5E0B3"/>
          <bgColor rgb="FFC5E0B3"/>
        </patternFill>
      </fill>
      <border/>
    </dxf>
    <dxf>
      <font/>
      <fill>
        <patternFill patternType="solid">
          <fgColor rgb="FFE2EFD9"/>
          <bgColor rgb="FFE2EFD9"/>
        </patternFill>
      </fill>
      <border/>
    </dxf>
    <dxf>
      <font/>
      <fill>
        <patternFill patternType="solid">
          <fgColor rgb="FF5B95F9"/>
          <bgColor rgb="FF5B95F9"/>
        </patternFill>
      </fill>
      <border/>
    </dxf>
    <dxf>
      <font/>
      <fill>
        <patternFill patternType="solid">
          <fgColor rgb="FFCFE2F3"/>
          <bgColor rgb="FFCFE2F3"/>
        </patternFill>
      </fill>
      <border/>
    </dxf>
    <dxf>
      <font/>
      <fill>
        <patternFill patternType="solid">
          <fgColor rgb="FF9FC5E8"/>
          <bgColor rgb="FF9FC5E8"/>
        </patternFill>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rgb="FFF7CB4D"/>
          <bgColor rgb="FFF7CB4D"/>
        </patternFill>
      </fill>
      <border/>
    </dxf>
    <dxf>
      <font/>
      <fill>
        <patternFill patternType="solid">
          <fgColor rgb="FFF9CB9C"/>
          <bgColor rgb="FFF9CB9C"/>
        </patternFill>
      </fill>
      <border/>
    </dxf>
    <dxf>
      <font/>
      <fill>
        <patternFill patternType="solid">
          <fgColor rgb="FFFEF8E3"/>
          <bgColor rgb="FFFEF8E3"/>
        </patternFill>
      </fill>
      <border/>
    </dxf>
    <dxf>
      <font/>
      <fill>
        <patternFill patternType="solid">
          <fgColor theme="9"/>
          <bgColor theme="9"/>
        </patternFill>
      </fill>
      <border/>
    </dxf>
  </dxfs>
  <tableStyles count="8">
    <tableStyle count="3" pivot="0" name="Core-style">
      <tableStyleElement dxfId="1" type="headerRow"/>
      <tableStyleElement dxfId="2" type="firstRowStripe"/>
      <tableStyleElement dxfId="3" type="secondRowStripe"/>
    </tableStyle>
    <tableStyle count="3" pivot="0" name="Core-style 2">
      <tableStyleElement dxfId="4" type="headerRow"/>
      <tableStyleElement dxfId="5" type="firstRowStripe"/>
      <tableStyleElement dxfId="4" type="secondRowStripe"/>
    </tableStyle>
    <tableStyle count="3" pivot="0" name="Abilities-style">
      <tableStyleElement dxfId="9" type="headerRow"/>
      <tableStyleElement dxfId="10" type="firstRowStripe"/>
      <tableStyleElement dxfId="11" type="secondRowStripe"/>
    </tableStyle>
    <tableStyle count="3" pivot="0" name="Abilities-style 2">
      <tableStyleElement dxfId="12" type="headerRow"/>
      <tableStyleElement dxfId="13" type="firstRowStripe"/>
      <tableStyleElement dxfId="14" type="secondRowStripe"/>
    </tableStyle>
    <tableStyle count="3" pivot="0" name="Inventory-style">
      <tableStyleElement dxfId="15" type="headerRow"/>
      <tableStyleElement dxfId="16" type="firstRowStripe"/>
      <tableStyleElement dxfId="17" type="secondRowStripe"/>
    </tableStyle>
    <tableStyle count="3" pivot="0" name="Inventory-style 2">
      <tableStyleElement dxfId="18" type="headerRow"/>
      <tableStyleElement dxfId="19" type="firstRowStripe"/>
      <tableStyleElement dxfId="20" type="secondRowStripe"/>
    </tableStyle>
    <tableStyle count="3" pivot="0" name="Custom Abilities-style">
      <tableStyleElement dxfId="21" type="headerRow"/>
      <tableStyleElement dxfId="10" type="firstRowStripe"/>
      <tableStyleElement dxfId="11" type="secondRowStripe"/>
    </tableStyle>
    <tableStyle count="3" pivot="0" name="Custom Abilities-style 2">
      <tableStyleElement dxfId="21" type="headerRow"/>
      <tableStyleElement dxfId="10" type="firstRowStripe"/>
      <tableStyleElement dxfId="11"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4:D35" displayName="Table_1" name="Table_1" id="1">
  <tableColumns count="4">
    <tableColumn name="Class" id="1"/>
    <tableColumn name="Class Tier" id="2"/>
    <tableColumn name="Class Level" id="3"/>
    <tableColumn name="Cost (EXP)" id="4"/>
  </tableColumns>
  <tableStyleInfo name="Core-style" showColumnStripes="0" showFirstColumn="1" showLastColumn="1" showRowStripes="1"/>
</table>
</file>

<file path=xl/tables/table2.xml><?xml version="1.0" encoding="utf-8"?>
<table xmlns="http://schemas.openxmlformats.org/spreadsheetml/2006/main" ref="A36:E42" displayName="Table_2" name="Table_2" id="2">
  <tableColumns count="5">
    <tableColumn name="Weapon" id="1"/>
    <tableColumn name="Light/Heavy Attack" id="2"/>
    <tableColumn name="Precise Attack" id="3"/>
    <tableColumn name="Light Damage" id="4"/>
    <tableColumn name="Heavy Damage" id="5"/>
  </tableColumns>
  <tableStyleInfo name="Core-style 2" showColumnStripes="0" showFirstColumn="1" showLastColumn="1" showRowStripes="1"/>
</table>
</file>

<file path=xl/tables/table3.xml><?xml version="1.0" encoding="utf-8"?>
<table xmlns="http://schemas.openxmlformats.org/spreadsheetml/2006/main" ref="A1:G58" displayName="Table_3" name="Table_3" id="3">
  <tableColumns count="7">
    <tableColumn name="Active Ability Name" id="1"/>
    <tableColumn name="Cost" id="2"/>
    <tableColumn name="Keywords" id="3"/>
    <tableColumn name="Range" id="4"/>
    <tableColumn name="Requirement" id="5"/>
    <tableColumn name="Description" id="6"/>
    <tableColumn name="Benefits" id="7"/>
  </tableColumns>
  <tableStyleInfo name="Abilities-style" showColumnStripes="0" showFirstColumn="1" showLastColumn="1" showRowStripes="1"/>
</table>
</file>

<file path=xl/tables/table4.xml><?xml version="1.0" encoding="utf-8"?>
<table xmlns="http://schemas.openxmlformats.org/spreadsheetml/2006/main" ref="A59:G80" displayName="Table_4" name="Table_4" id="4">
  <tableColumns count="7">
    <tableColumn name="Passive Ability Name" id="1"/>
    <tableColumn name="Cost" id="2"/>
    <tableColumn name="Keywords" id="3"/>
    <tableColumn name="Range" id="4"/>
    <tableColumn name="Requirement" id="5"/>
    <tableColumn name="Description" id="6"/>
    <tableColumn name="Benefits" id="7"/>
  </tableColumns>
  <tableStyleInfo name="Abilities-style 2" showColumnStripes="0" showFirstColumn="1" showLastColumn="1" showRowStripes="1"/>
</table>
</file>

<file path=xl/tables/table5.xml><?xml version="1.0" encoding="utf-8"?>
<table xmlns="http://schemas.openxmlformats.org/spreadsheetml/2006/main" ref="G5:H30" displayName="Table_5" name="Table_5" id="5">
  <tableColumns count="2">
    <tableColumn name="Combat Loadout" id="1"/>
    <tableColumn name="Burden" id="2"/>
  </tableColumns>
  <tableStyleInfo name="Inventory-style" showColumnStripes="0" showFirstColumn="1" showLastColumn="1" showRowStripes="1"/>
</table>
</file>

<file path=xl/tables/table6.xml><?xml version="1.0" encoding="utf-8"?>
<table xmlns="http://schemas.openxmlformats.org/spreadsheetml/2006/main" ref="G33:H34" displayName="Table_6" name="Table_6" id="6">
  <tableColumns count="2">
    <tableColumn name="Adventurer's Kit" id="1"/>
    <tableColumn name="Burden" id="2"/>
  </tableColumns>
  <tableStyleInfo name="Inventory-style 2" showColumnStripes="0" showFirstColumn="1" showLastColumn="1" showRowStripes="1"/>
</table>
</file>

<file path=xl/tables/table7.xml><?xml version="1.0" encoding="utf-8"?>
<table xmlns="http://schemas.openxmlformats.org/spreadsheetml/2006/main" headerRowCount="0" ref="A1:G1"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Custom Abilities-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38:G38" displayName="Table_8" name="Table_8" id="8">
  <tableColumns count="7">
    <tableColumn name="Column1" id="1"/>
    <tableColumn name="Column2" id="2"/>
    <tableColumn name="Column3" id="3"/>
    <tableColumn name="Column4" id="4"/>
    <tableColumn name="Column5" id="5"/>
    <tableColumn name="Column6" id="6"/>
    <tableColumn name="Column7" id="7"/>
  </tableColumns>
  <tableStyleInfo name="Custom Abilities-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 Id="rId6" Type="http://schemas.openxmlformats.org/officeDocument/2006/relationships/table" Target="../tables/table5.xml"/><Relationship Id="rId7"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7.xml"/><Relationship Id="rId5"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24.29"/>
    <col customWidth="1" min="3" max="3" width="18.14"/>
    <col customWidth="1" min="4" max="4" width="23.14"/>
    <col customWidth="1" min="5" max="5" width="24.71"/>
    <col customWidth="1" min="6" max="6" width="17.86"/>
    <col customWidth="1" min="7" max="7" width="16.14"/>
    <col customWidth="1" min="8" max="8" width="20.71"/>
    <col customWidth="1" min="9" max="9" width="14.71"/>
    <col customWidth="1" min="10" max="10" width="14.57"/>
    <col customWidth="1" min="11" max="11" width="25.43"/>
    <col customWidth="1" min="12" max="12" width="15.0"/>
    <col customWidth="1" min="13" max="13" width="18.14"/>
    <col customWidth="1" min="14" max="14" width="10.86"/>
    <col customWidth="1" min="15" max="15" width="18.14"/>
    <col customWidth="1" min="16" max="16" width="16.71"/>
  </cols>
  <sheetData>
    <row r="1">
      <c r="A1" s="1" t="s">
        <v>0</v>
      </c>
      <c r="E1" s="2" t="s">
        <v>1</v>
      </c>
      <c r="L1" s="3" t="s">
        <v>2</v>
      </c>
    </row>
    <row r="2">
      <c r="A2" s="4" t="s">
        <v>3</v>
      </c>
      <c r="B2" s="5"/>
      <c r="C2" s="4" t="s">
        <v>4</v>
      </c>
      <c r="D2" s="5"/>
      <c r="E2" s="6" t="s">
        <v>5</v>
      </c>
      <c r="F2" s="7">
        <f>20+(10*B12)+H7</f>
        <v>70</v>
      </c>
      <c r="G2" s="6" t="s">
        <v>6</v>
      </c>
      <c r="H2" s="7">
        <f>7+B11+E33+SUMIF($L$37:$L$42,TRUE,$H$37:$H$42)</f>
        <v>11</v>
      </c>
      <c r="I2" s="8" t="s">
        <v>7</v>
      </c>
      <c r="K2" s="9">
        <f>20+B11+H33+SUMIF($L$37:$L$42,TRUE,$I$37:$I$42)</f>
        <v>24</v>
      </c>
      <c r="L2" s="10">
        <f>'EXP &amp; Transactions'!G2</f>
        <v>4000</v>
      </c>
    </row>
    <row r="3">
      <c r="A3" s="11" t="s">
        <v>8</v>
      </c>
      <c r="B3" s="12"/>
      <c r="C3" s="12" t="s">
        <v>9</v>
      </c>
      <c r="D3" s="12"/>
      <c r="E3" s="13" t="s">
        <v>10</v>
      </c>
      <c r="F3" s="14">
        <f>ROUNDDOWN(6+(B10)+(K34),0)</f>
        <v>10</v>
      </c>
      <c r="G3" s="13" t="s">
        <v>11</v>
      </c>
      <c r="H3" s="14">
        <f>ROUNDDOWN(B12+K4,0)</f>
        <v>5</v>
      </c>
      <c r="I3" s="15" t="s">
        <v>12</v>
      </c>
      <c r="K3" s="16">
        <f>(B12*2)+SUMIF($L$37:$L$42,TRUE,$J$37:$J$42)</f>
        <v>10</v>
      </c>
    </row>
    <row r="4">
      <c r="A4" s="5" t="s">
        <v>13</v>
      </c>
      <c r="B4" s="5"/>
      <c r="C4" s="5" t="s">
        <v>14</v>
      </c>
      <c r="D4" s="17">
        <f>'EXP &amp; Transactions'!D2 - SUM(D7,D15:D35)</f>
        <v>1000</v>
      </c>
      <c r="E4" s="6" t="s">
        <v>15</v>
      </c>
      <c r="F4" s="7">
        <f>B11+H35-SUMIF($L$37:$L$42,TRUE,$K$37:$K$42)</f>
        <v>4</v>
      </c>
      <c r="G4" s="6" t="s">
        <v>16</v>
      </c>
      <c r="H4" s="7">
        <f>B12+G34</f>
        <v>5</v>
      </c>
      <c r="I4" s="18" t="s">
        <v>17</v>
      </c>
      <c r="K4" s="19">
        <f>SUMIF($L$37:$L$42,TRUE,$G$37:$G$42)</f>
        <v>0</v>
      </c>
    </row>
    <row r="5">
      <c r="A5" s="11" t="s">
        <v>18</v>
      </c>
      <c r="B5" s="12"/>
      <c r="C5" s="11" t="s">
        <v>19</v>
      </c>
      <c r="D5" s="20">
        <f>D4 + D7 + SUM(D15:D35)</f>
        <v>1000</v>
      </c>
      <c r="E5" s="13" t="s">
        <v>20</v>
      </c>
      <c r="F5" s="14" t="str">
        <f>D37</f>
        <v/>
      </c>
      <c r="G5" s="13" t="s">
        <v>21</v>
      </c>
      <c r="H5" s="14">
        <f>11+B9</f>
        <v>14</v>
      </c>
      <c r="I5" s="21" t="s">
        <v>22</v>
      </c>
      <c r="K5" s="16">
        <f>SUMIF($L$37:$L$42,TRUE,$J$37:$J$42)</f>
        <v>0</v>
      </c>
    </row>
    <row r="6">
      <c r="A6" s="4" t="s">
        <v>23</v>
      </c>
      <c r="B6" s="5"/>
      <c r="C6" s="5" t="s">
        <v>24</v>
      </c>
      <c r="D6" s="5" t="s">
        <v>24</v>
      </c>
      <c r="E6" s="6" t="s">
        <v>25</v>
      </c>
      <c r="F6" s="7" t="str">
        <f>E37</f>
        <v/>
      </c>
      <c r="G6" s="6" t="s">
        <v>26</v>
      </c>
      <c r="H6" s="22" t="s">
        <v>27</v>
      </c>
      <c r="I6" s="8" t="s">
        <v>28</v>
      </c>
      <c r="K6" s="19">
        <f>SUMIF($L$37:$L$42,TRUE,$H$37:$H$42)</f>
        <v>0</v>
      </c>
    </row>
    <row r="7">
      <c r="A7" s="23" t="s">
        <v>29</v>
      </c>
      <c r="B7" s="23" t="s">
        <v>30</v>
      </c>
      <c r="C7" s="24" t="s">
        <v>31</v>
      </c>
      <c r="D7" s="25">
        <f>SUM(Breakthrough!B2:B58)</f>
        <v>0</v>
      </c>
      <c r="E7" s="13" t="s">
        <v>32</v>
      </c>
      <c r="F7" s="14">
        <f>IF(K30, 2 + (B11 - K6), 2 + B11)-E35</f>
        <v>6</v>
      </c>
      <c r="G7" s="13" t="s">
        <v>33</v>
      </c>
      <c r="H7" s="26" t="s">
        <v>34</v>
      </c>
      <c r="I7" s="21" t="s">
        <v>35</v>
      </c>
      <c r="K7" s="27">
        <f>Inventory!H32</f>
        <v>0</v>
      </c>
    </row>
    <row r="8">
      <c r="A8" s="28" t="s">
        <v>36</v>
      </c>
      <c r="C8" s="29" t="s">
        <v>37</v>
      </c>
      <c r="E8" s="30" t="s">
        <v>38</v>
      </c>
      <c r="F8" s="30" t="s">
        <v>39</v>
      </c>
      <c r="G8" s="30" t="s">
        <v>40</v>
      </c>
      <c r="H8" s="30" t="s">
        <v>41</v>
      </c>
      <c r="I8" s="30" t="s">
        <v>42</v>
      </c>
      <c r="K8" s="31" t="s">
        <v>43</v>
      </c>
      <c r="M8" s="32" t="s">
        <v>44</v>
      </c>
      <c r="N8" s="32" t="s">
        <v>45</v>
      </c>
      <c r="O8" s="32" t="s">
        <v>41</v>
      </c>
      <c r="P8" s="33" t="s">
        <v>46</v>
      </c>
    </row>
    <row r="9">
      <c r="A9" s="34" t="s">
        <v>47</v>
      </c>
      <c r="B9" s="35">
        <f>IFS(B45 = A9, A45, B46 = A9, A46, B47 = A9, A47, B48 = A9, A48)+F45</f>
        <v>3</v>
      </c>
      <c r="C9" s="36" t="s">
        <v>48</v>
      </c>
      <c r="D9" s="37">
        <f>IFS(D45 = C9, C45, D46 = C9, C46, D47 = C9, C47, D48 = C9, C48, D49 = C9, C49)+H45</f>
        <v>5</v>
      </c>
      <c r="E9" s="38" t="s">
        <v>49</v>
      </c>
      <c r="F9" s="39" t="s">
        <v>48</v>
      </c>
      <c r="G9" s="40">
        <f>D9+H9</f>
        <v>5</v>
      </c>
      <c r="H9" s="41">
        <v>0.0</v>
      </c>
      <c r="I9" s="41"/>
      <c r="K9" s="42" t="s">
        <v>50</v>
      </c>
      <c r="M9" s="43"/>
      <c r="N9" s="43">
        <f t="shared" ref="N9:N30" si="1">O9+P9</f>
        <v>0</v>
      </c>
      <c r="O9" s="44">
        <v>0.0</v>
      </c>
      <c r="P9" s="45"/>
    </row>
    <row r="10">
      <c r="A10" s="46" t="s">
        <v>51</v>
      </c>
      <c r="B10" s="47">
        <f>IFS(B45 = A10, A45, B46 = A10, A46, B47 = A10, A47, B48 = A10, A48)+F46</f>
        <v>4</v>
      </c>
      <c r="C10" s="48" t="s">
        <v>52</v>
      </c>
      <c r="D10" s="49">
        <f>IFS(D45 = C10, C45, D46 = C10, C46, D47 = C10, C47, D48 = C10, C48, D49 = C10, C49)+H46</f>
        <v>4</v>
      </c>
      <c r="E10" s="50" t="s">
        <v>53</v>
      </c>
      <c r="F10" s="51" t="s">
        <v>48</v>
      </c>
      <c r="G10" s="52">
        <f t="shared" ref="G10:G11" si="2">D9+H10</f>
        <v>5</v>
      </c>
      <c r="H10" s="53">
        <v>0.0</v>
      </c>
      <c r="I10" s="53"/>
      <c r="K10" s="54" t="s">
        <v>54</v>
      </c>
      <c r="M10" s="55"/>
      <c r="N10" s="55">
        <f t="shared" si="1"/>
        <v>0</v>
      </c>
      <c r="O10" s="56">
        <v>0.0</v>
      </c>
      <c r="P10" s="57"/>
    </row>
    <row r="11">
      <c r="A11" s="34" t="s">
        <v>55</v>
      </c>
      <c r="B11" s="58">
        <f>IFS(B45 = A11, A45, B46 = A11, A46, B47 = A11, A47, B48 = A11, A48)+F47-P34+O34</f>
        <v>4</v>
      </c>
      <c r="C11" s="36" t="s">
        <v>56</v>
      </c>
      <c r="D11" s="37">
        <f>IFS(D45 = C11, C45, D46 = C11, C46, D47 = C11, C47, D48 = C11, C48, D49 = C11, C49)+H47</f>
        <v>3</v>
      </c>
      <c r="E11" s="38" t="s">
        <v>57</v>
      </c>
      <c r="F11" s="39" t="s">
        <v>52</v>
      </c>
      <c r="G11" s="40">
        <f t="shared" si="2"/>
        <v>4</v>
      </c>
      <c r="H11" s="59">
        <v>0.0</v>
      </c>
      <c r="I11" s="59"/>
      <c r="K11" s="60" t="s">
        <v>58</v>
      </c>
      <c r="M11" s="43"/>
      <c r="N11" s="43">
        <f t="shared" si="1"/>
        <v>0</v>
      </c>
      <c r="O11" s="61">
        <v>0.0</v>
      </c>
      <c r="P11" s="45"/>
    </row>
    <row r="12">
      <c r="A12" s="46" t="s">
        <v>59</v>
      </c>
      <c r="B12" s="62">
        <f>IFS(B45 = A12, A45, B46 = A12, A46, B47 = A12, A47, B48 = A12, A48)+F48-N34+M34</f>
        <v>5</v>
      </c>
      <c r="C12" s="48" t="s">
        <v>60</v>
      </c>
      <c r="D12" s="49">
        <f>IFS(D45 = C12, C45, D46 = C12, C46, D47 = C12, C47, D48 = C12, C48,D49 = C12, C49)+H48</f>
        <v>2</v>
      </c>
      <c r="E12" s="50" t="s">
        <v>61</v>
      </c>
      <c r="F12" s="51" t="s">
        <v>52</v>
      </c>
      <c r="G12" s="52">
        <f>D10+H12</f>
        <v>4</v>
      </c>
      <c r="H12" s="53">
        <v>0.0</v>
      </c>
      <c r="I12" s="53"/>
      <c r="K12" s="63" t="s">
        <v>62</v>
      </c>
      <c r="M12" s="55"/>
      <c r="N12" s="55">
        <f t="shared" si="1"/>
        <v>0</v>
      </c>
      <c r="O12" s="64">
        <v>0.0</v>
      </c>
      <c r="P12" s="57"/>
    </row>
    <row r="13">
      <c r="A13" s="34"/>
      <c r="C13" s="36" t="s">
        <v>63</v>
      </c>
      <c r="D13" s="37">
        <f>IFS(D45 = C13, C45, D46 = C13, C46, D47 = C13, C47, D48 = C13, C48,D49 = C13, C49)+H49</f>
        <v>1</v>
      </c>
      <c r="E13" s="38" t="s">
        <v>64</v>
      </c>
      <c r="F13" s="39" t="s">
        <v>52</v>
      </c>
      <c r="G13" s="40">
        <f t="shared" ref="G13:G14" si="3">D10+H13</f>
        <v>4</v>
      </c>
      <c r="H13" s="41">
        <v>0.0</v>
      </c>
      <c r="I13" s="41"/>
      <c r="K13" s="60"/>
      <c r="M13" s="43"/>
      <c r="N13" s="43">
        <f t="shared" si="1"/>
        <v>0</v>
      </c>
      <c r="O13" s="61">
        <v>0.0</v>
      </c>
      <c r="P13" s="45"/>
    </row>
    <row r="14">
      <c r="A14" s="65" t="s">
        <v>65</v>
      </c>
      <c r="B14" s="65" t="s">
        <v>66</v>
      </c>
      <c r="C14" s="65" t="s">
        <v>67</v>
      </c>
      <c r="D14" s="65" t="s">
        <v>68</v>
      </c>
      <c r="E14" s="50" t="s">
        <v>69</v>
      </c>
      <c r="F14" s="51" t="s">
        <v>56</v>
      </c>
      <c r="G14" s="66">
        <f t="shared" si="3"/>
        <v>3</v>
      </c>
      <c r="H14" s="67">
        <v>0.0</v>
      </c>
      <c r="I14" s="67"/>
      <c r="K14" s="54"/>
      <c r="M14" s="55"/>
      <c r="N14" s="55">
        <f t="shared" si="1"/>
        <v>0</v>
      </c>
      <c r="O14" s="64">
        <v>0.0</v>
      </c>
      <c r="P14" s="57"/>
    </row>
    <row r="15">
      <c r="A15" s="68"/>
      <c r="B15" s="69" t="str">
        <f>IFERROR(__xludf.DUMMYFUNCTION("IFERROR(INDEX(IMPORTRANGE(""https://docs.google.com/spreadsheets/d/1xgDM68xiM34Lb7pPa9X0VaOqdhswjHKkl6KIk-vu_2Q/edit?gid=0#gid=0"",""Classes!C2:C""),MATCH(A15,IMPORTRANGE(""https://docs.google.com/spreadsheets/d/1xgDM68xiM34Lb7pPa9X0VaOqdhswjHKkl6KIk-vu_2"&amp;"Q/edit?gid=0#gid=0"",""Classes!B2:B""),0)),"""")"),"")</f>
        <v/>
      </c>
      <c r="C15" s="68"/>
      <c r="D15" s="70">
        <v>0.0</v>
      </c>
      <c r="E15" s="38" t="s">
        <v>70</v>
      </c>
      <c r="F15" s="39" t="s">
        <v>56</v>
      </c>
      <c r="G15" s="40">
        <f>D11+H15</f>
        <v>3</v>
      </c>
      <c r="H15" s="71">
        <v>0.0</v>
      </c>
      <c r="I15" s="71"/>
      <c r="K15" s="60"/>
      <c r="M15" s="43"/>
      <c r="N15" s="43">
        <f t="shared" si="1"/>
        <v>0</v>
      </c>
      <c r="O15" s="61">
        <v>0.0</v>
      </c>
      <c r="P15" s="45"/>
    </row>
    <row r="16">
      <c r="A16" s="68"/>
      <c r="B16" s="69" t="str">
        <f>IFERROR(__xludf.DUMMYFUNCTION("IFERROR(INDEX(IMPORTRANGE(""https://docs.google.com/spreadsheets/d/1xgDM68xiM34Lb7pPa9X0VaOqdhswjHKkl6KIk-vu_2Q/edit?gid=0#gid=0"",""Classes!C2:C""),MATCH(A16,IMPORTRANGE(""https://docs.google.com/spreadsheets/d/1xgDM68xiM34Lb7pPa9X0VaOqdhswjHKkl6KIk-vu_2"&amp;"Q/edit?gid=0#gid=0"",""Classes!B2:B""),0)),"""")"),"")</f>
        <v/>
      </c>
      <c r="C16" s="68"/>
      <c r="D16" s="70">
        <v>0.0</v>
      </c>
      <c r="E16" s="50" t="s">
        <v>71</v>
      </c>
      <c r="F16" s="51" t="s">
        <v>56</v>
      </c>
      <c r="G16" s="52">
        <f>D11+H16</f>
        <v>3</v>
      </c>
      <c r="H16" s="53">
        <v>0.0</v>
      </c>
      <c r="I16" s="53"/>
      <c r="K16" s="54"/>
      <c r="M16" s="55"/>
      <c r="N16" s="55">
        <f t="shared" si="1"/>
        <v>0</v>
      </c>
      <c r="O16" s="64">
        <v>0.0</v>
      </c>
      <c r="P16" s="57"/>
    </row>
    <row r="17">
      <c r="A17" s="68"/>
      <c r="B17" s="69" t="str">
        <f>IFERROR(__xludf.DUMMYFUNCTION("IFERROR(INDEX(IMPORTRANGE(""https://docs.google.com/spreadsheets/d/1xgDM68xiM34Lb7pPa9X0VaOqdhswjHKkl6KIk-vu_2Q/edit?gid=0#gid=0"",""Classes!C2:C""),MATCH(A17,IMPORTRANGE(""https://docs.google.com/spreadsheets/d/1xgDM68xiM34Lb7pPa9X0VaOqdhswjHKkl6KIk-vu_2"&amp;"Q/edit?gid=0#gid=0"",""Classes!B2:B""),0)),"""")"),"")</f>
        <v/>
      </c>
      <c r="C17" s="68"/>
      <c r="D17" s="70">
        <v>0.0</v>
      </c>
      <c r="E17" s="38" t="s">
        <v>72</v>
      </c>
      <c r="F17" s="39" t="s">
        <v>56</v>
      </c>
      <c r="G17" s="72">
        <f>D11+H17</f>
        <v>3</v>
      </c>
      <c r="H17" s="59">
        <v>0.0</v>
      </c>
      <c r="I17" s="59"/>
      <c r="K17" s="60"/>
      <c r="M17" s="43"/>
      <c r="N17" s="43">
        <f t="shared" si="1"/>
        <v>0</v>
      </c>
      <c r="O17" s="61">
        <v>0.0</v>
      </c>
      <c r="P17" s="45"/>
    </row>
    <row r="18">
      <c r="A18" s="68"/>
      <c r="B18" s="69" t="str">
        <f>IFERROR(__xludf.DUMMYFUNCTION("IFERROR(INDEX(IMPORTRANGE(""https://docs.google.com/spreadsheets/d/1xgDM68xiM34Lb7pPa9X0VaOqdhswjHKkl6KIk-vu_2Q/edit?gid=0#gid=0"",""Classes!C2:C""),MATCH(A18,IMPORTRANGE(""https://docs.google.com/spreadsheets/d/1xgDM68xiM34Lb7pPa9X0VaOqdhswjHKkl6KIk-vu_2"&amp;"Q/edit?gid=0#gid=0"",""Classes!B2:B""),0)),"""")"),"")</f>
        <v/>
      </c>
      <c r="C18" s="68"/>
      <c r="D18" s="70">
        <v>0.0</v>
      </c>
      <c r="E18" s="50" t="s">
        <v>73</v>
      </c>
      <c r="F18" s="51" t="s">
        <v>56</v>
      </c>
      <c r="G18" s="52">
        <f>D11+H18</f>
        <v>3</v>
      </c>
      <c r="H18" s="73">
        <v>0.0</v>
      </c>
      <c r="I18" s="73"/>
      <c r="K18" s="54"/>
      <c r="M18" s="55"/>
      <c r="N18" s="55">
        <f t="shared" si="1"/>
        <v>0</v>
      </c>
      <c r="O18" s="64">
        <v>0.0</v>
      </c>
      <c r="P18" s="57"/>
    </row>
    <row r="19">
      <c r="A19" s="68"/>
      <c r="B19" s="69" t="str">
        <f>IFERROR(__xludf.DUMMYFUNCTION("IFERROR(INDEX(IMPORTRANGE(""https://docs.google.com/spreadsheets/d/1xgDM68xiM34Lb7pPa9X0VaOqdhswjHKkl6KIk-vu_2Q/edit?gid=0#gid=0"",""Classes!C2:C""),MATCH(A19,IMPORTRANGE(""https://docs.google.com/spreadsheets/d/1xgDM68xiM34Lb7pPa9X0VaOqdhswjHKkl6KIk-vu_2"&amp;"Q/edit?gid=0#gid=0"",""Classes!B2:B""),0)),"""")"),"")</f>
        <v/>
      </c>
      <c r="C19" s="74"/>
      <c r="D19" s="70">
        <v>0.0</v>
      </c>
      <c r="E19" s="38" t="s">
        <v>74</v>
      </c>
      <c r="F19" s="39" t="s">
        <v>56</v>
      </c>
      <c r="G19" s="40">
        <f>D11+H19</f>
        <v>3</v>
      </c>
      <c r="H19" s="59">
        <v>0.0</v>
      </c>
      <c r="I19" s="59"/>
      <c r="K19" s="60"/>
      <c r="M19" s="43"/>
      <c r="N19" s="43">
        <f t="shared" si="1"/>
        <v>0</v>
      </c>
      <c r="O19" s="61">
        <v>0.0</v>
      </c>
      <c r="P19" s="45"/>
    </row>
    <row r="20">
      <c r="A20" s="68"/>
      <c r="B20" s="69" t="str">
        <f>IFERROR(__xludf.DUMMYFUNCTION("IFERROR(INDEX(IMPORTRANGE(""https://docs.google.com/spreadsheets/d/1xgDM68xiM34Lb7pPa9X0VaOqdhswjHKkl6KIk-vu_2Q/edit?gid=0#gid=0"",""Classes!C2:C""),MATCH(A20,IMPORTRANGE(""https://docs.google.com/spreadsheets/d/1xgDM68xiM34Lb7pPa9X0VaOqdhswjHKkl6KIk-vu_2"&amp;"Q/edit?gid=0#gid=0"",""Classes!B2:B""),0)),"""")"),"")</f>
        <v/>
      </c>
      <c r="C20" s="74"/>
      <c r="D20" s="70">
        <v>0.0</v>
      </c>
      <c r="E20" s="50" t="s">
        <v>75</v>
      </c>
      <c r="F20" s="51" t="s">
        <v>56</v>
      </c>
      <c r="G20" s="66">
        <f>D11+H20</f>
        <v>3</v>
      </c>
      <c r="H20" s="67">
        <v>0.0</v>
      </c>
      <c r="I20" s="67"/>
      <c r="K20" s="54"/>
      <c r="M20" s="55"/>
      <c r="N20" s="55">
        <f t="shared" si="1"/>
        <v>0</v>
      </c>
      <c r="O20" s="64">
        <v>0.0</v>
      </c>
      <c r="P20" s="57"/>
    </row>
    <row r="21" ht="15.75" customHeight="1">
      <c r="A21" s="68"/>
      <c r="B21" s="69" t="str">
        <f>IFERROR(__xludf.DUMMYFUNCTION("IFERROR(INDEX(IMPORTRANGE(""https://docs.google.com/spreadsheets/d/1xgDM68xiM34Lb7pPa9X0VaOqdhswjHKkl6KIk-vu_2Q/edit?gid=0#gid=0"",""Classes!C2:C""),MATCH(A21,IMPORTRANGE(""https://docs.google.com/spreadsheets/d/1xgDM68xiM34Lb7pPa9X0VaOqdhswjHKkl6KIk-vu_2"&amp;"Q/edit?gid=0#gid=0"",""Classes!B2:B""),0)),"""")"),"")</f>
        <v/>
      </c>
      <c r="C21" s="74"/>
      <c r="D21" s="70">
        <v>0.0</v>
      </c>
      <c r="E21" s="38" t="s">
        <v>76</v>
      </c>
      <c r="F21" s="39" t="s">
        <v>56</v>
      </c>
      <c r="G21" s="40">
        <f>D11+H21</f>
        <v>3</v>
      </c>
      <c r="H21" s="71">
        <v>0.0</v>
      </c>
      <c r="I21" s="71"/>
      <c r="K21" s="60"/>
      <c r="M21" s="43"/>
      <c r="N21" s="43">
        <f t="shared" si="1"/>
        <v>0</v>
      </c>
      <c r="O21" s="61">
        <v>0.0</v>
      </c>
      <c r="P21" s="45"/>
    </row>
    <row r="22" ht="15.75" customHeight="1">
      <c r="A22" s="68"/>
      <c r="B22" s="69" t="str">
        <f>IFERROR(__xludf.DUMMYFUNCTION("IFERROR(INDEX(IMPORTRANGE(""https://docs.google.com/spreadsheets/d/1xgDM68xiM34Lb7pPa9X0VaOqdhswjHKkl6KIk-vu_2Q/edit?gid=0#gid=0"",""Classes!C2:C""),MATCH(A22,IMPORTRANGE(""https://docs.google.com/spreadsheets/d/1xgDM68xiM34Lb7pPa9X0VaOqdhswjHKkl6KIk-vu_2"&amp;"Q/edit?gid=0#gid=0"",""Classes!B2:B""),0)),"""")"),"")</f>
        <v/>
      </c>
      <c r="C22" s="74"/>
      <c r="D22" s="70">
        <v>0.0</v>
      </c>
      <c r="E22" s="50" t="s">
        <v>77</v>
      </c>
      <c r="F22" s="51" t="s">
        <v>56</v>
      </c>
      <c r="G22" s="66">
        <f t="shared" ref="G22:G23" si="4">D11+H22</f>
        <v>3</v>
      </c>
      <c r="H22" s="67">
        <v>0.0</v>
      </c>
      <c r="I22" s="67"/>
      <c r="K22" s="75"/>
      <c r="M22" s="55"/>
      <c r="N22" s="55">
        <f t="shared" si="1"/>
        <v>0</v>
      </c>
      <c r="O22" s="64">
        <v>0.0</v>
      </c>
      <c r="P22" s="57"/>
    </row>
    <row r="23" ht="15.75" customHeight="1">
      <c r="A23" s="68"/>
      <c r="B23" s="69" t="str">
        <f>IFERROR(__xludf.DUMMYFUNCTION("IFERROR(INDEX(IMPORTRANGE(""https://docs.google.com/spreadsheets/d/1xgDM68xiM34Lb7pPa9X0VaOqdhswjHKkl6KIk-vu_2Q/edit?gid=0#gid=0"",""Classes!C2:C""),MATCH(A23,IMPORTRANGE(""https://docs.google.com/spreadsheets/d/1xgDM68xiM34Lb7pPa9X0VaOqdhswjHKkl6KIk-vu_2"&amp;"Q/edit?gid=0#gid=0"",""Classes!B2:B""),0)),"""")"),"")</f>
        <v/>
      </c>
      <c r="C23" s="74"/>
      <c r="D23" s="70">
        <v>0.0</v>
      </c>
      <c r="E23" s="38" t="s">
        <v>78</v>
      </c>
      <c r="F23" s="39" t="s">
        <v>60</v>
      </c>
      <c r="G23" s="72">
        <f t="shared" si="4"/>
        <v>2</v>
      </c>
      <c r="H23" s="76">
        <v>0.0</v>
      </c>
      <c r="I23" s="76"/>
      <c r="K23" s="77"/>
      <c r="M23" s="43"/>
      <c r="N23" s="43">
        <f t="shared" si="1"/>
        <v>0</v>
      </c>
      <c r="O23" s="61">
        <v>0.0</v>
      </c>
      <c r="P23" s="45"/>
    </row>
    <row r="24" ht="15.75" customHeight="1">
      <c r="A24" s="68"/>
      <c r="B24" s="69" t="str">
        <f>IFERROR(__xludf.DUMMYFUNCTION("IFERROR(INDEX(IMPORTRANGE(""https://docs.google.com/spreadsheets/d/1xgDM68xiM34Lb7pPa9X0VaOqdhswjHKkl6KIk-vu_2Q/edit?gid=0#gid=0"",""Classes!C2:C""),MATCH(A24,IMPORTRANGE(""https://docs.google.com/spreadsheets/d/1xgDM68xiM34Lb7pPa9X0VaOqdhswjHKkl6KIk-vu_2"&amp;"Q/edit?gid=0#gid=0"",""Classes!B2:B""),0)),"""")"),"")</f>
        <v/>
      </c>
      <c r="C24" s="78"/>
      <c r="D24" s="79">
        <v>0.0</v>
      </c>
      <c r="E24" s="50" t="s">
        <v>79</v>
      </c>
      <c r="F24" s="51" t="s">
        <v>60</v>
      </c>
      <c r="G24" s="52">
        <f>D12+H24</f>
        <v>2</v>
      </c>
      <c r="H24" s="73">
        <v>0.0</v>
      </c>
      <c r="I24" s="73"/>
      <c r="K24" s="75"/>
      <c r="M24" s="55"/>
      <c r="N24" s="55">
        <f t="shared" si="1"/>
        <v>0</v>
      </c>
      <c r="O24" s="64">
        <v>0.0</v>
      </c>
      <c r="P24" s="57"/>
    </row>
    <row r="25" ht="15.75" customHeight="1">
      <c r="A25" s="68"/>
      <c r="B25" s="69" t="str">
        <f>IFERROR(__xludf.DUMMYFUNCTION("IFERROR(INDEX(IMPORTRANGE(""https://docs.google.com/spreadsheets/d/1xgDM68xiM34Lb7pPa9X0VaOqdhswjHKkl6KIk-vu_2Q/edit?gid=0#gid=0"",""Classes!C2:C""),MATCH(A25,IMPORTRANGE(""https://docs.google.com/spreadsheets/d/1xgDM68xiM34Lb7pPa9X0VaOqdhswjHKkl6KIk-vu_2"&amp;"Q/edit?gid=0#gid=0"",""Classes!B2:B""),0)),"""")"),"")</f>
        <v/>
      </c>
      <c r="C25" s="78"/>
      <c r="D25" s="79">
        <v>0.0</v>
      </c>
      <c r="E25" s="38" t="s">
        <v>80</v>
      </c>
      <c r="F25" s="39" t="s">
        <v>60</v>
      </c>
      <c r="G25" s="40">
        <f>D12+H25</f>
        <v>2</v>
      </c>
      <c r="H25" s="59">
        <v>0.0</v>
      </c>
      <c r="I25" s="59"/>
      <c r="K25" s="77"/>
      <c r="M25" s="43"/>
      <c r="N25" s="43">
        <f t="shared" si="1"/>
        <v>0</v>
      </c>
      <c r="O25" s="61">
        <v>0.0</v>
      </c>
      <c r="P25" s="45"/>
    </row>
    <row r="26" ht="15.75" customHeight="1">
      <c r="A26" s="68"/>
      <c r="B26" s="69" t="str">
        <f>IFERROR(__xludf.DUMMYFUNCTION("IFERROR(INDEX(IMPORTRANGE(""https://docs.google.com/spreadsheets/d/1xgDM68xiM34Lb7pPa9X0VaOqdhswjHKkl6KIk-vu_2Q/edit?gid=0#gid=0"",""Classes!C2:C""),MATCH(A26,IMPORTRANGE(""https://docs.google.com/spreadsheets/d/1xgDM68xiM34Lb7pPa9X0VaOqdhswjHKkl6KIk-vu_2"&amp;"Q/edit?gid=0#gid=0"",""Classes!B2:B""),0)),"""")"),"")</f>
        <v/>
      </c>
      <c r="C26" s="78"/>
      <c r="D26" s="79">
        <v>0.0</v>
      </c>
      <c r="E26" s="50" t="s">
        <v>81</v>
      </c>
      <c r="F26" s="51" t="s">
        <v>60</v>
      </c>
      <c r="G26" s="52">
        <f t="shared" ref="G26:G27" si="5">D12+H26</f>
        <v>2</v>
      </c>
      <c r="H26" s="53">
        <v>0.0</v>
      </c>
      <c r="I26" s="53"/>
      <c r="K26" s="75"/>
      <c r="M26" s="55"/>
      <c r="N26" s="55">
        <f t="shared" si="1"/>
        <v>0</v>
      </c>
      <c r="O26" s="64">
        <v>0.0</v>
      </c>
      <c r="P26" s="57"/>
    </row>
    <row r="27" ht="15.75" customHeight="1">
      <c r="A27" s="68"/>
      <c r="B27" s="69" t="str">
        <f>IFERROR(__xludf.DUMMYFUNCTION("IFERROR(INDEX(IMPORTRANGE(""https://docs.google.com/spreadsheets/d/1xgDM68xiM34Lb7pPa9X0VaOqdhswjHKkl6KIk-vu_2Q/edit?gid=0#gid=0"",""Classes!C2:C""),MATCH(A27,IMPORTRANGE(""https://docs.google.com/spreadsheets/d/1xgDM68xiM34Lb7pPa9X0VaOqdhswjHKkl6KIk-vu_2"&amp;"Q/edit?gid=0#gid=0"",""Classes!B2:B""),0)),"""")"),"")</f>
        <v/>
      </c>
      <c r="C27" s="78"/>
      <c r="D27" s="79">
        <v>0.0</v>
      </c>
      <c r="E27" s="38" t="s">
        <v>82</v>
      </c>
      <c r="F27" s="39" t="s">
        <v>63</v>
      </c>
      <c r="G27" s="40">
        <f t="shared" si="5"/>
        <v>1</v>
      </c>
      <c r="H27" s="59">
        <v>0.0</v>
      </c>
      <c r="I27" s="59"/>
      <c r="K27" s="77"/>
      <c r="M27" s="43"/>
      <c r="N27" s="43">
        <f t="shared" si="1"/>
        <v>0</v>
      </c>
      <c r="O27" s="61">
        <v>0.0</v>
      </c>
      <c r="P27" s="45"/>
    </row>
    <row r="28" ht="15.75" customHeight="1">
      <c r="A28" s="68"/>
      <c r="B28" s="69" t="str">
        <f>IFERROR(__xludf.DUMMYFUNCTION("IFERROR(INDEX(IMPORTRANGE(""https://docs.google.com/spreadsheets/d/1xgDM68xiM34Lb7pPa9X0VaOqdhswjHKkl6KIk-vu_2Q/edit?gid=0#gid=0"",""Classes!C2:C""),MATCH(A28,IMPORTRANGE(""https://docs.google.com/spreadsheets/d/1xgDM68xiM34Lb7pPa9X0VaOqdhswjHKkl6KIk-vu_2"&amp;"Q/edit?gid=0#gid=0"",""Classes!B2:B""),0)),"""")"),"")</f>
        <v/>
      </c>
      <c r="C28" s="78"/>
      <c r="D28" s="79">
        <v>0.0</v>
      </c>
      <c r="E28" s="50" t="s">
        <v>83</v>
      </c>
      <c r="F28" s="51" t="s">
        <v>63</v>
      </c>
      <c r="G28" s="52">
        <f>D13+H28</f>
        <v>1</v>
      </c>
      <c r="H28" s="67">
        <v>0.0</v>
      </c>
      <c r="I28" s="67"/>
      <c r="K28" s="75"/>
      <c r="M28" s="55"/>
      <c r="N28" s="55">
        <f t="shared" si="1"/>
        <v>0</v>
      </c>
      <c r="O28" s="64">
        <v>0.0</v>
      </c>
      <c r="P28" s="57"/>
    </row>
    <row r="29" ht="15.75" customHeight="1">
      <c r="A29" s="68"/>
      <c r="B29" s="69" t="str">
        <f>IFERROR(__xludf.DUMMYFUNCTION("IFERROR(INDEX(IMPORTRANGE(""https://docs.google.com/spreadsheets/d/1xgDM68xiM34Lb7pPa9X0VaOqdhswjHKkl6KIk-vu_2Q/edit?gid=0#gid=0"",""Classes!C2:C""),MATCH(A29,IMPORTRANGE(""https://docs.google.com/spreadsheets/d/1xgDM68xiM34Lb7pPa9X0VaOqdhswjHKkl6KIk-vu_2"&amp;"Q/edit?gid=0#gid=0"",""Classes!B2:B""),0)),"""")"),"")</f>
        <v/>
      </c>
      <c r="C29" s="78"/>
      <c r="D29" s="79">
        <v>0.0</v>
      </c>
      <c r="E29" s="38" t="s">
        <v>84</v>
      </c>
      <c r="F29" s="39" t="s">
        <v>63</v>
      </c>
      <c r="G29" s="40">
        <f>D13+H29</f>
        <v>1</v>
      </c>
      <c r="H29" s="59">
        <v>0.0</v>
      </c>
      <c r="I29" s="59"/>
      <c r="K29" s="80" t="s">
        <v>85</v>
      </c>
      <c r="M29" s="81"/>
      <c r="N29" s="43">
        <f t="shared" si="1"/>
        <v>0</v>
      </c>
      <c r="O29" s="61">
        <v>0.0</v>
      </c>
      <c r="P29" s="45"/>
    </row>
    <row r="30" ht="15.75" customHeight="1">
      <c r="A30" s="68"/>
      <c r="B30" s="69" t="str">
        <f>IFERROR(__xludf.DUMMYFUNCTION("IFERROR(INDEX(IMPORTRANGE(""https://docs.google.com/spreadsheets/d/1xgDM68xiM34Lb7pPa9X0VaOqdhswjHKkl6KIk-vu_2Q/edit?gid=0#gid=0"",""Classes!C2:C""),MATCH(A30,IMPORTRANGE(""https://docs.google.com/spreadsheets/d/1xgDM68xiM34Lb7pPa9X0VaOqdhswjHKkl6KIk-vu_2"&amp;"Q/edit?gid=0#gid=0"",""Classes!B2:B""),0)),"""")"),"")</f>
        <v/>
      </c>
      <c r="C30" s="78"/>
      <c r="D30" s="79">
        <v>0.0</v>
      </c>
      <c r="E30" s="82"/>
      <c r="K30" s="83" t="b">
        <v>0</v>
      </c>
      <c r="M30" s="55"/>
      <c r="N30" s="55">
        <f t="shared" si="1"/>
        <v>0</v>
      </c>
      <c r="O30" s="64">
        <v>0.0</v>
      </c>
      <c r="P30" s="57"/>
    </row>
    <row r="31" ht="15.75" customHeight="1">
      <c r="A31" s="68"/>
      <c r="B31" s="69" t="str">
        <f>IFERROR(__xludf.DUMMYFUNCTION("IFERROR(INDEX(IMPORTRANGE(""https://docs.google.com/spreadsheets/d/1xgDM68xiM34Lb7pPa9X0VaOqdhswjHKkl6KIk-vu_2Q/edit?gid=0#gid=0"",""Classes!C2:C""),MATCH(A31,IMPORTRANGE(""https://docs.google.com/spreadsheets/d/1xgDM68xiM34Lb7pPa9X0VaOqdhswjHKkl6KIk-vu_2"&amp;"Q/edit?gid=0#gid=0"",""Classes!B2:B""),0)),"""")"),"")</f>
        <v/>
      </c>
      <c r="C31" s="78"/>
      <c r="D31" s="79">
        <v>0.0</v>
      </c>
      <c r="K31" s="83"/>
    </row>
    <row r="32" ht="15.75" customHeight="1">
      <c r="A32" s="68"/>
      <c r="B32" s="69" t="str">
        <f>IFERROR(__xludf.DUMMYFUNCTION("IFERROR(INDEX(IMPORTRANGE(""https://docs.google.com/spreadsheets/d/1xgDM68xiM34Lb7pPa9X0VaOqdhswjHKkl6KIk-vu_2Q/edit?gid=0#gid=0"",""Classes!C2:C""),MATCH(A32,IMPORTRANGE(""https://docs.google.com/spreadsheets/d/1xgDM68xiM34Lb7pPa9X0VaOqdhswjHKkl6KIk-vu_2"&amp;"Q/edit?gid=0#gid=0"",""Classes!B2:B""),0)),"""")"),"")</f>
        <v/>
      </c>
      <c r="C32" s="78"/>
      <c r="D32" s="79">
        <v>0.0</v>
      </c>
      <c r="E32" s="84" t="s">
        <v>86</v>
      </c>
      <c r="G32" s="85" t="s">
        <v>87</v>
      </c>
      <c r="H32" s="86" t="s">
        <v>88</v>
      </c>
      <c r="K32" s="87" t="s">
        <v>89</v>
      </c>
      <c r="M32" s="88" t="s">
        <v>90</v>
      </c>
      <c r="O32" s="89" t="s">
        <v>91</v>
      </c>
    </row>
    <row r="33" ht="15.75" customHeight="1">
      <c r="A33" s="68"/>
      <c r="B33" s="69" t="str">
        <f>IFERROR(__xludf.DUMMYFUNCTION("IFERROR(INDEX(IMPORTRANGE(""https://docs.google.com/spreadsheets/d/1xgDM68xiM34Lb7pPa9X0VaOqdhswjHKkl6KIk-vu_2Q/edit?gid=0#gid=0"",""Classes!C2:C""),MATCH(A33,IMPORTRANGE(""https://docs.google.com/spreadsheets/d/1xgDM68xiM34Lb7pPa9X0VaOqdhswjHKkl6KIk-vu_2"&amp;"Q/edit?gid=0#gid=0"",""Classes!B2:B""),0)),"""")"),"")</f>
        <v/>
      </c>
      <c r="C33" s="78"/>
      <c r="D33" s="79">
        <v>0.0</v>
      </c>
      <c r="E33" s="90" t="s">
        <v>34</v>
      </c>
      <c r="H33" s="91">
        <v>0.0</v>
      </c>
      <c r="K33" s="92" t="s">
        <v>92</v>
      </c>
      <c r="M33" s="93" t="s">
        <v>93</v>
      </c>
      <c r="N33" s="94" t="s">
        <v>94</v>
      </c>
      <c r="O33" s="95" t="s">
        <v>93</v>
      </c>
      <c r="P33" s="96" t="s">
        <v>94</v>
      </c>
    </row>
    <row r="34" ht="15.75" customHeight="1">
      <c r="A34" s="68"/>
      <c r="B34" s="69" t="str">
        <f>IFERROR(__xludf.DUMMYFUNCTION("IFERROR(INDEX(IMPORTRANGE(""https://docs.google.com/spreadsheets/d/1xgDM68xiM34Lb7pPa9X0VaOqdhswjHKkl6KIk-vu_2Q/edit?gid=0#gid=0"",""Classes!C2:C""),MATCH(A34,IMPORTRANGE(""https://docs.google.com/spreadsheets/d/1xgDM68xiM34Lb7pPa9X0VaOqdhswjHKkl6KIk-vu_2"&amp;"Q/edit?gid=0#gid=0"",""Classes!B2:B""),0)),"""")"),"")</f>
        <v/>
      </c>
      <c r="C34" s="78"/>
      <c r="D34" s="79">
        <v>0.0</v>
      </c>
      <c r="E34" s="84" t="s">
        <v>95</v>
      </c>
      <c r="G34" s="97">
        <v>0.0</v>
      </c>
      <c r="H34" s="98" t="s">
        <v>96</v>
      </c>
      <c r="K34" s="99">
        <v>0.0</v>
      </c>
      <c r="M34" s="100" t="s">
        <v>34</v>
      </c>
      <c r="N34" s="96" t="s">
        <v>34</v>
      </c>
      <c r="O34" s="95">
        <v>0.0</v>
      </c>
      <c r="P34" s="96" t="s">
        <v>34</v>
      </c>
    </row>
    <row r="35" ht="15.75" customHeight="1">
      <c r="A35" s="68"/>
      <c r="B35" s="69" t="str">
        <f>IFERROR(__xludf.DUMMYFUNCTION("IFERROR(INDEX(IMPORTRANGE(""https://docs.google.com/spreadsheets/d/1xgDM68xiM34Lb7pPa9X0VaOqdhswjHKkl6KIk-vu_2Q/edit?gid=0#gid=0"",""Classes!C2:C""),MATCH(A35,IMPORTRANGE(""https://docs.google.com/spreadsheets/d/1xgDM68xiM34Lb7pPa9X0VaOqdhswjHKkl6KIk-vu_2"&amp;"Q/edit?gid=0#gid=0"",""Classes!B2:B""),0)),"""")"),"")</f>
        <v/>
      </c>
      <c r="C35" s="78"/>
      <c r="D35" s="79">
        <v>0.0</v>
      </c>
      <c r="E35" s="98" t="s">
        <v>34</v>
      </c>
      <c r="H35" s="90" t="s">
        <v>34</v>
      </c>
      <c r="K35" s="101"/>
      <c r="M35" s="102" t="s">
        <v>97</v>
      </c>
    </row>
    <row r="36">
      <c r="A36" s="103" t="s">
        <v>98</v>
      </c>
      <c r="B36" s="103" t="s">
        <v>99</v>
      </c>
      <c r="C36" s="103" t="s">
        <v>100</v>
      </c>
      <c r="D36" s="103" t="s">
        <v>20</v>
      </c>
      <c r="E36" s="103" t="s">
        <v>25</v>
      </c>
      <c r="F36" s="104" t="s">
        <v>101</v>
      </c>
      <c r="G36" s="105" t="s">
        <v>102</v>
      </c>
      <c r="H36" s="105" t="s">
        <v>103</v>
      </c>
      <c r="I36" s="105" t="s">
        <v>104</v>
      </c>
      <c r="J36" s="105" t="s">
        <v>105</v>
      </c>
      <c r="K36" s="105" t="s">
        <v>106</v>
      </c>
      <c r="L36" s="106" t="s">
        <v>107</v>
      </c>
    </row>
    <row r="37" ht="15.75" customHeight="1">
      <c r="A37" s="107"/>
      <c r="B37" s="108">
        <f>B9</f>
        <v>3</v>
      </c>
      <c r="C37" s="108">
        <f>B9*2</f>
        <v>6</v>
      </c>
      <c r="D37" s="107"/>
      <c r="E37" s="107"/>
      <c r="F37" s="109"/>
      <c r="G37" s="109"/>
      <c r="H37" s="109"/>
      <c r="I37" s="109"/>
      <c r="J37" s="109"/>
      <c r="K37" s="109"/>
      <c r="L37" s="109" t="b">
        <v>0</v>
      </c>
    </row>
    <row r="38" ht="15.75" customHeight="1">
      <c r="A38" s="110"/>
      <c r="B38" s="108">
        <f>B9</f>
        <v>3</v>
      </c>
      <c r="C38" s="108">
        <f>B9*2</f>
        <v>6</v>
      </c>
      <c r="D38" s="107"/>
      <c r="E38" s="110"/>
      <c r="F38" s="111"/>
      <c r="G38" s="111"/>
      <c r="H38" s="111"/>
      <c r="I38" s="111"/>
      <c r="J38" s="111"/>
      <c r="K38" s="111"/>
      <c r="L38" s="111" t="b">
        <v>0</v>
      </c>
      <c r="M38" s="112" t="s">
        <v>108</v>
      </c>
      <c r="N38" s="113" t="b">
        <v>0</v>
      </c>
      <c r="O38" s="114" t="s">
        <v>109</v>
      </c>
      <c r="P38" s="115" t="b">
        <v>0</v>
      </c>
    </row>
    <row r="39" ht="15.75" customHeight="1">
      <c r="A39" s="110"/>
      <c r="B39" s="108">
        <f>B9</f>
        <v>3</v>
      </c>
      <c r="C39" s="108">
        <f>B9*2</f>
        <v>6</v>
      </c>
      <c r="D39" s="107"/>
      <c r="E39" s="110"/>
      <c r="F39" s="109"/>
      <c r="G39" s="109"/>
      <c r="H39" s="109"/>
      <c r="I39" s="109"/>
      <c r="J39" s="109"/>
      <c r="K39" s="109"/>
      <c r="L39" s="109" t="b">
        <v>0</v>
      </c>
      <c r="M39" s="116" t="s">
        <v>110</v>
      </c>
      <c r="N39" s="117" t="b">
        <v>0</v>
      </c>
      <c r="O39" s="118" t="s">
        <v>111</v>
      </c>
      <c r="P39" s="119" t="b">
        <v>0</v>
      </c>
    </row>
    <row r="40" ht="15.75" customHeight="1">
      <c r="A40" s="110"/>
      <c r="B40" s="108">
        <f>B9</f>
        <v>3</v>
      </c>
      <c r="C40" s="108">
        <f>B9*2</f>
        <v>6</v>
      </c>
      <c r="D40" s="107"/>
      <c r="E40" s="110"/>
      <c r="F40" s="120"/>
      <c r="G40" s="120"/>
      <c r="H40" s="120"/>
      <c r="I40" s="120"/>
      <c r="J40" s="120"/>
      <c r="K40" s="120"/>
      <c r="L40" s="120" t="b">
        <v>0</v>
      </c>
      <c r="M40" s="112" t="s">
        <v>112</v>
      </c>
      <c r="N40" s="121" t="b">
        <v>0</v>
      </c>
      <c r="O40" s="114" t="s">
        <v>113</v>
      </c>
      <c r="P40" s="115" t="b">
        <v>0</v>
      </c>
    </row>
    <row r="41" ht="15.75" customHeight="1">
      <c r="A41" s="110"/>
      <c r="B41" s="108">
        <f>B9</f>
        <v>3</v>
      </c>
      <c r="C41" s="108">
        <f>B9*2</f>
        <v>6</v>
      </c>
      <c r="D41" s="107"/>
      <c r="E41" s="110"/>
      <c r="F41" s="122"/>
      <c r="G41" s="122"/>
      <c r="H41" s="122"/>
      <c r="I41" s="122"/>
      <c r="J41" s="122"/>
      <c r="K41" s="122"/>
      <c r="L41" s="122" t="b">
        <v>0</v>
      </c>
      <c r="M41" s="116" t="s">
        <v>114</v>
      </c>
      <c r="N41" s="117" t="b">
        <v>0</v>
      </c>
      <c r="O41" s="118" t="s">
        <v>115</v>
      </c>
      <c r="P41" s="119" t="b">
        <v>0</v>
      </c>
    </row>
    <row r="42" ht="15.75" customHeight="1">
      <c r="A42" s="110"/>
      <c r="B42" s="108">
        <f>B9</f>
        <v>3</v>
      </c>
      <c r="C42" s="108">
        <f>B9*2</f>
        <v>6</v>
      </c>
      <c r="D42" s="107"/>
      <c r="E42" s="110"/>
      <c r="F42" s="120"/>
      <c r="G42" s="120"/>
      <c r="H42" s="120"/>
      <c r="I42" s="120"/>
      <c r="J42" s="120"/>
      <c r="K42" s="120"/>
      <c r="L42" s="120" t="b">
        <v>0</v>
      </c>
      <c r="M42" s="112" t="s">
        <v>116</v>
      </c>
      <c r="N42" s="121" t="b">
        <v>0</v>
      </c>
      <c r="O42" s="112" t="s">
        <v>117</v>
      </c>
      <c r="P42" s="115" t="b">
        <v>0</v>
      </c>
    </row>
    <row r="43" ht="39.0" customHeight="1">
      <c r="A43" s="123" t="s">
        <v>118</v>
      </c>
      <c r="I43" s="123"/>
      <c r="J43" s="124" t="s">
        <v>119</v>
      </c>
    </row>
    <row r="44" ht="32.25" customHeight="1">
      <c r="A44" s="125" t="s">
        <v>120</v>
      </c>
      <c r="B44" s="125" t="s">
        <v>121</v>
      </c>
      <c r="C44" s="125" t="s">
        <v>122</v>
      </c>
      <c r="D44" s="125" t="s">
        <v>123</v>
      </c>
      <c r="E44" s="126" t="s">
        <v>124</v>
      </c>
      <c r="G44" s="126" t="s">
        <v>125</v>
      </c>
      <c r="I44" s="126"/>
    </row>
    <row r="45" ht="15.75" customHeight="1">
      <c r="A45" s="127">
        <v>5.0</v>
      </c>
      <c r="B45" s="128" t="s">
        <v>59</v>
      </c>
      <c r="C45" s="127">
        <v>5.0</v>
      </c>
      <c r="D45" s="128" t="s">
        <v>48</v>
      </c>
      <c r="E45" s="129" t="s">
        <v>47</v>
      </c>
      <c r="F45" s="130">
        <v>0.0</v>
      </c>
      <c r="G45" s="131" t="s">
        <v>48</v>
      </c>
      <c r="H45" s="130">
        <v>0.0</v>
      </c>
      <c r="I45" s="130"/>
    </row>
    <row r="46" ht="15.75" customHeight="1">
      <c r="A46" s="132">
        <v>4.0</v>
      </c>
      <c r="B46" s="133" t="s">
        <v>51</v>
      </c>
      <c r="C46" s="132">
        <v>4.0</v>
      </c>
      <c r="D46" s="133" t="s">
        <v>52</v>
      </c>
      <c r="E46" s="129" t="s">
        <v>51</v>
      </c>
      <c r="F46" s="130">
        <v>0.0</v>
      </c>
      <c r="G46" s="131" t="s">
        <v>52</v>
      </c>
      <c r="H46" s="130">
        <v>0.0</v>
      </c>
      <c r="I46" s="130"/>
    </row>
    <row r="47" ht="15.75" customHeight="1">
      <c r="A47" s="132">
        <v>4.0</v>
      </c>
      <c r="B47" s="133" t="s">
        <v>55</v>
      </c>
      <c r="C47" s="132">
        <v>3.0</v>
      </c>
      <c r="D47" s="133" t="s">
        <v>56</v>
      </c>
      <c r="E47" s="129" t="s">
        <v>55</v>
      </c>
      <c r="F47" s="130">
        <v>0.0</v>
      </c>
      <c r="G47" s="131" t="s">
        <v>56</v>
      </c>
      <c r="H47" s="130">
        <v>0.0</v>
      </c>
      <c r="I47" s="130"/>
    </row>
    <row r="48" ht="15.75" customHeight="1">
      <c r="A48" s="132">
        <v>3.0</v>
      </c>
      <c r="B48" s="133" t="s">
        <v>47</v>
      </c>
      <c r="C48" s="132">
        <v>2.0</v>
      </c>
      <c r="D48" s="133" t="s">
        <v>60</v>
      </c>
      <c r="E48" s="129" t="s">
        <v>59</v>
      </c>
      <c r="F48" s="130">
        <v>0.0</v>
      </c>
      <c r="G48" s="131" t="s">
        <v>60</v>
      </c>
      <c r="H48" s="130">
        <v>0.0</v>
      </c>
      <c r="I48" s="130"/>
    </row>
    <row r="49" ht="15.75" customHeight="1">
      <c r="A49" s="126" t="s">
        <v>126</v>
      </c>
      <c r="B49" s="134">
        <v>0.0</v>
      </c>
      <c r="C49" s="132">
        <v>1.0</v>
      </c>
      <c r="D49" s="133" t="s">
        <v>63</v>
      </c>
      <c r="E49" s="135"/>
      <c r="G49" s="131" t="s">
        <v>63</v>
      </c>
      <c r="H49" s="130">
        <v>0.0</v>
      </c>
      <c r="I49" s="130"/>
    </row>
    <row r="50" ht="15.75" customHeight="1">
      <c r="A50" s="136" t="s">
        <v>127</v>
      </c>
      <c r="B50" s="137">
        <v>0.0</v>
      </c>
      <c r="E50" s="138"/>
    </row>
    <row r="51" ht="36.0" customHeight="1">
      <c r="A51" s="139" t="s">
        <v>128</v>
      </c>
      <c r="B51" s="139" t="s">
        <v>129</v>
      </c>
      <c r="C51" s="140" t="s">
        <v>130</v>
      </c>
      <c r="E51" s="141" t="s">
        <v>131</v>
      </c>
      <c r="I51" s="141"/>
    </row>
    <row r="52" ht="33.0" customHeight="1">
      <c r="A52" s="142">
        <v>10.0</v>
      </c>
      <c r="B52" s="143"/>
      <c r="C52" s="139" t="s">
        <v>132</v>
      </c>
      <c r="E52" s="144"/>
      <c r="F52" s="144"/>
      <c r="G52" s="144"/>
      <c r="H52" s="144"/>
      <c r="I52" s="144"/>
    </row>
    <row r="53" ht="15.75" customHeight="1">
      <c r="B53" s="143"/>
      <c r="C53" s="145"/>
      <c r="E53" s="144"/>
      <c r="F53" s="144"/>
      <c r="G53" s="144"/>
      <c r="H53" s="144"/>
      <c r="I53" s="144"/>
    </row>
    <row r="54" ht="19.5" customHeight="1">
      <c r="A54" s="139" t="s">
        <v>133</v>
      </c>
      <c r="B54" s="146"/>
      <c r="C54" s="145"/>
      <c r="E54" s="144"/>
      <c r="F54" s="144"/>
      <c r="G54" s="147"/>
      <c r="I54" s="147"/>
    </row>
    <row r="55" ht="15.75" customHeight="1">
      <c r="A55" s="148">
        <f>SUM('EXP &amp; Transactions'!F2)</f>
        <v>4000</v>
      </c>
      <c r="B55" s="146"/>
      <c r="C55" s="145"/>
      <c r="E55" s="144"/>
      <c r="F55" s="144"/>
      <c r="G55" s="149"/>
      <c r="I55" s="149"/>
    </row>
    <row r="56" ht="20.25" customHeight="1">
      <c r="B56" s="126"/>
      <c r="C56" s="126"/>
      <c r="D56" s="126"/>
      <c r="E56" s="126"/>
      <c r="F56" s="126"/>
      <c r="G56" s="126"/>
      <c r="H56" s="126"/>
      <c r="I56" s="126"/>
    </row>
    <row r="57" ht="15.75" customHeight="1">
      <c r="A57" s="148" t="s">
        <v>134</v>
      </c>
      <c r="B57" s="126"/>
      <c r="C57" s="126"/>
      <c r="D57" s="126"/>
      <c r="E57" s="126"/>
      <c r="F57" s="126"/>
      <c r="G57" s="126"/>
      <c r="H57" s="126"/>
      <c r="I57" s="126"/>
    </row>
    <row r="58" ht="15.75" customHeight="1">
      <c r="A58" s="148" t="b">
        <v>1</v>
      </c>
      <c r="B58" s="134"/>
      <c r="C58" s="150"/>
      <c r="D58" s="150"/>
      <c r="E58" s="151"/>
      <c r="F58" s="151"/>
      <c r="G58" s="151"/>
      <c r="H58" s="151"/>
      <c r="I58" s="151"/>
    </row>
  </sheetData>
  <mergeCells count="94">
    <mergeCell ref="K24:L24"/>
    <mergeCell ref="K25:L25"/>
    <mergeCell ref="K17:L17"/>
    <mergeCell ref="K18:L18"/>
    <mergeCell ref="K19:L19"/>
    <mergeCell ref="K20:L20"/>
    <mergeCell ref="K21:L21"/>
    <mergeCell ref="K22:L22"/>
    <mergeCell ref="K23:L23"/>
    <mergeCell ref="I28:J28"/>
    <mergeCell ref="K28:L28"/>
    <mergeCell ref="I29:J29"/>
    <mergeCell ref="K29:L29"/>
    <mergeCell ref="E30:J31"/>
    <mergeCell ref="K30:L30"/>
    <mergeCell ref="K31:P31"/>
    <mergeCell ref="E32:F32"/>
    <mergeCell ref="G32:G33"/>
    <mergeCell ref="H32:J32"/>
    <mergeCell ref="K32:L32"/>
    <mergeCell ref="M32:N32"/>
    <mergeCell ref="O32:P32"/>
    <mergeCell ref="E33:F33"/>
    <mergeCell ref="H35:J35"/>
    <mergeCell ref="K35:L35"/>
    <mergeCell ref="M35:P37"/>
    <mergeCell ref="J43:P58"/>
    <mergeCell ref="H33:J33"/>
    <mergeCell ref="K33:L33"/>
    <mergeCell ref="E34:F34"/>
    <mergeCell ref="G34:G35"/>
    <mergeCell ref="H34:J34"/>
    <mergeCell ref="K34:L34"/>
    <mergeCell ref="E35:F35"/>
    <mergeCell ref="A43:H43"/>
    <mergeCell ref="E44:F44"/>
    <mergeCell ref="G44:H44"/>
    <mergeCell ref="E49:F49"/>
    <mergeCell ref="C50:D50"/>
    <mergeCell ref="E50:F50"/>
    <mergeCell ref="E51:H51"/>
    <mergeCell ref="G54:H54"/>
    <mergeCell ref="G55:H55"/>
    <mergeCell ref="C51:D51"/>
    <mergeCell ref="A52:A53"/>
    <mergeCell ref="C52:D52"/>
    <mergeCell ref="C53:D53"/>
    <mergeCell ref="C54:D54"/>
    <mergeCell ref="A55:A56"/>
    <mergeCell ref="C55:D55"/>
    <mergeCell ref="I7:J7"/>
    <mergeCell ref="A8:B8"/>
    <mergeCell ref="C8:D8"/>
    <mergeCell ref="I8:J8"/>
    <mergeCell ref="K8:L8"/>
    <mergeCell ref="A1:D1"/>
    <mergeCell ref="E1:K1"/>
    <mergeCell ref="L1:P1"/>
    <mergeCell ref="I2:J2"/>
    <mergeCell ref="L2:P7"/>
    <mergeCell ref="I3:J3"/>
    <mergeCell ref="I4:J4"/>
    <mergeCell ref="I11:J11"/>
    <mergeCell ref="I12:J12"/>
    <mergeCell ref="A13:B13"/>
    <mergeCell ref="I13:J13"/>
    <mergeCell ref="I5:J5"/>
    <mergeCell ref="I6:J6"/>
    <mergeCell ref="I9:J9"/>
    <mergeCell ref="K9:L9"/>
    <mergeCell ref="I10:J10"/>
    <mergeCell ref="K10:L10"/>
    <mergeCell ref="K11:L11"/>
    <mergeCell ref="K12:L12"/>
    <mergeCell ref="K13:L13"/>
    <mergeCell ref="I14:J14"/>
    <mergeCell ref="K14:L14"/>
    <mergeCell ref="I15:J15"/>
    <mergeCell ref="K15:L15"/>
    <mergeCell ref="K16:L16"/>
    <mergeCell ref="I16:J16"/>
    <mergeCell ref="I17:J17"/>
    <mergeCell ref="I18:J18"/>
    <mergeCell ref="I19:J19"/>
    <mergeCell ref="I20:J20"/>
    <mergeCell ref="I21:J21"/>
    <mergeCell ref="I22:J22"/>
    <mergeCell ref="I23:J23"/>
    <mergeCell ref="I24:J24"/>
    <mergeCell ref="I25:J25"/>
    <mergeCell ref="I26:J26"/>
    <mergeCell ref="K26:L26"/>
    <mergeCell ref="I27:J27"/>
    <mergeCell ref="K27:L27"/>
  </mergeCells>
  <conditionalFormatting sqref="H9:I29">
    <cfRule type="cellIs" dxfId="6" priority="1" operator="lessThan">
      <formula>1</formula>
    </cfRule>
  </conditionalFormatting>
  <conditionalFormatting sqref="H9:I29">
    <cfRule type="cellIs" dxfId="7" priority="2" operator="greaterThan">
      <formula>0</formula>
    </cfRule>
  </conditionalFormatting>
  <conditionalFormatting sqref="O9:O30">
    <cfRule type="cellIs" dxfId="8" priority="3" operator="greaterThan">
      <formula>0</formula>
    </cfRule>
  </conditionalFormatting>
  <conditionalFormatting sqref="O9:O30">
    <cfRule type="cellIs" dxfId="6" priority="4" operator="lessThan">
      <formula>1</formula>
    </cfRule>
  </conditionalFormatting>
  <dataValidations>
    <dataValidation type="list" allowBlank="1" showErrorMessage="1" sqref="C53:C55">
      <formula1>"Learn Class,Job,Research,Investigate,Train,Rest,Crafting,Class Action,Gather"</formula1>
    </dataValidation>
    <dataValidation type="list" allowBlank="1" showErrorMessage="1" sqref="D3">
      <formula1>Races!$E$2:$E$80</formula1>
    </dataValidation>
    <dataValidation type="list" allowBlank="1" showErrorMessage="1" sqref="H9:H29 F45:F48">
      <formula1>"0,1,2,3,4,5,6,7,8,9,10,11,12,13,14,15,16,17,18,19,20"</formula1>
    </dataValidation>
    <dataValidation type="list" allowBlank="1" showErrorMessage="1" sqref="O9:O30">
      <formula1>"0,1,2,3,4,5,6,7,8,9,10"</formula1>
    </dataValidation>
    <dataValidation type="list" allowBlank="1" showErrorMessage="1" sqref="D15:D35">
      <formula1>"0,100,200,300,400,500,600,700,800,900,1000"</formula1>
    </dataValidation>
    <dataValidation type="list" allowBlank="1" showErrorMessage="1" sqref="D45:D49">
      <formula1>"Fitness,Cunning,Reason,Awareness,Presence"</formula1>
    </dataValidation>
    <dataValidation type="list" allowBlank="1" showErrorMessage="1" sqref="D2">
      <formula1>Races!$A$2:$A$6</formula1>
    </dataValidation>
    <dataValidation type="list" allowBlank="1" showErrorMessage="1" sqref="C15:C35">
      <formula1>"1,2,3,4,5,6,7,8"</formula1>
    </dataValidation>
    <dataValidation type="list" allowBlank="1" showErrorMessage="1" sqref="H45:H49">
      <formula1>"0,1,2,3,4,5,6,7,8,9,10,11,12,13,14,15,16,17,18"</formula1>
    </dataValidation>
    <dataValidation type="list" allowBlank="1" showErrorMessage="1" sqref="A15:A35">
      <formula1>Classes!$A$2:$A58</formula1>
    </dataValidation>
    <dataValidation type="custom" allowBlank="1" showDropDown="1" showErrorMessage="1" sqref="C6:D6">
      <formula1>OR(NOT(ISERROR(DATEVALUE(C6))), AND(ISNUMBER(C6), LEFT(CELL("format", C6))="D"))</formula1>
    </dataValidation>
    <dataValidation type="list" allowBlank="1" showErrorMessage="1" sqref="B7">
      <formula1>"Kari,Heira,Pandora,Makai,Ayuzi Kirara,Eisen,Athena,Clio,Yggdrasil,None,Myself,RNGesus"</formula1>
    </dataValidation>
    <dataValidation type="list" allowBlank="1" showErrorMessage="1" sqref="B45:B48">
      <formula1>"Focus,Power,Agility,Toughness"</formula1>
    </dataValidation>
  </dataValidations>
  <printOptions/>
  <pageMargins bottom="0.75" footer="0.0" header="0.0" left="0.7" right="0.7" top="0.75"/>
  <pageSetup orientation="landscape"/>
  <drawing r:id="rId2"/>
  <legacy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57"/>
    <col customWidth="1" min="2" max="2" width="17.71"/>
    <col customWidth="1" min="3" max="3" width="26.14"/>
    <col customWidth="1" min="4" max="4" width="28.43"/>
    <col customWidth="1" min="5" max="5" width="33.14"/>
    <col customWidth="1" min="6" max="6" width="69.57"/>
    <col customWidth="1" min="7" max="7" width="65.86"/>
  </cols>
  <sheetData>
    <row r="1">
      <c r="A1" s="152" t="s">
        <v>135</v>
      </c>
      <c r="B1" s="152" t="s">
        <v>136</v>
      </c>
      <c r="C1" s="153" t="s">
        <v>137</v>
      </c>
      <c r="D1" s="154" t="s">
        <v>138</v>
      </c>
      <c r="E1" s="154" t="s">
        <v>139</v>
      </c>
      <c r="F1" s="154" t="s">
        <v>140</v>
      </c>
      <c r="G1" s="155" t="s">
        <v>141</v>
      </c>
    </row>
    <row r="2">
      <c r="A2" s="156"/>
      <c r="B2" s="156" t="str">
        <f t="array" ref="B2">IF(A2="", "", IFERROR(INDEX('All Abilities'!H:H, MATCH(A2, 'All Abilities'!B:B, 0)), ""))</f>
        <v/>
      </c>
      <c r="C2" s="156" t="str">
        <f t="array" ref="C2">IF(A2="", "", IFERROR(INDEX('All Abilities'!D:D, MATCH(A2, 'All Abilities'!B:B, 0)), ""))</f>
        <v/>
      </c>
      <c r="D2" s="156" t="str">
        <f t="array" ref="D2">IF(A2="", "", IFERROR(INDEX('All Abilities'!E:E, MATCH(A2, 'All Abilities'!B:B, 0)), ""))</f>
        <v/>
      </c>
      <c r="E2" s="156" t="str">
        <f t="array" ref="E2">IF(A2="", "", IFERROR(INDEX('All Abilities'!G:G, MATCH(A2, 'All Abilities'!B:B, 0)), ""))</f>
        <v/>
      </c>
      <c r="F2" s="156" t="str">
        <f t="array" ref="F2">IF(A2="", "", IFERROR(INDEX('All Abilities'!F:F, MATCH(A2, 'All Abilities'!B:B, 0)), ""))</f>
        <v/>
      </c>
      <c r="G2" s="156" t="str">
        <f t="array" ref="G2">IF(A2="", "", IFERROR(INDEX('All Abilities'!L:L, MATCH(A2, 'All Abilities'!B:B, 0)), ""))</f>
        <v/>
      </c>
    </row>
    <row r="3">
      <c r="A3" s="156"/>
      <c r="B3" s="156" t="str">
        <f t="array" ref="B3">IF(A3="", "", IFERROR(INDEX('All Abilities'!H:H, MATCH(A3, 'All Abilities'!B:B, 0)), ""))</f>
        <v/>
      </c>
      <c r="C3" s="156" t="str">
        <f t="array" ref="C3">IF(A3="", "", IFERROR(INDEX('All Abilities'!D:D, MATCH(A3, 'All Abilities'!B:B, 0)), ""))</f>
        <v/>
      </c>
      <c r="D3" s="156" t="str">
        <f t="array" ref="D3">IF(A3="", "", IFERROR(INDEX('All Abilities'!E:E, MATCH(A3, 'All Abilities'!B:B, 0)), ""))</f>
        <v/>
      </c>
      <c r="E3" s="156" t="str">
        <f t="array" ref="E3">IF(A3="", "", IFERROR(INDEX('All Abilities'!G:G, MATCH(A3, 'All Abilities'!B:B, 0)), ""))</f>
        <v/>
      </c>
      <c r="F3" s="156" t="str">
        <f t="array" ref="F3">IF(A3="", "", IFERROR(INDEX('All Abilities'!F:F, MATCH(A3, 'All Abilities'!B:B, 0)), ""))</f>
        <v/>
      </c>
      <c r="G3" s="156" t="str">
        <f t="array" ref="G3">IF(A3="", "", IFERROR(INDEX('All Abilities'!L:L, MATCH(A3, 'All Abilities'!B:B, 0)), ""))</f>
        <v/>
      </c>
    </row>
    <row r="4">
      <c r="A4" s="156"/>
      <c r="B4" s="156" t="str">
        <f t="array" ref="B4">IF(A4="", "", IFERROR(INDEX('All Abilities'!H:H, MATCH(A4, 'All Abilities'!B:B, 0)), ""))</f>
        <v/>
      </c>
      <c r="C4" s="156" t="str">
        <f t="array" ref="C4">IF(A4="", "", IFERROR(INDEX('All Abilities'!D:D, MATCH(A4, 'All Abilities'!B:B, 0)), ""))</f>
        <v/>
      </c>
      <c r="D4" s="156" t="str">
        <f t="array" ref="D4">IF(A4="", "", IFERROR(INDEX('All Abilities'!E:E, MATCH(A4, 'All Abilities'!B:B, 0)), ""))</f>
        <v/>
      </c>
      <c r="E4" s="156" t="str">
        <f t="array" ref="E4">IF(A4="", "", IFERROR(INDEX('All Abilities'!G:G, MATCH(A4, 'All Abilities'!B:B, 0)), ""))</f>
        <v/>
      </c>
      <c r="F4" s="156" t="str">
        <f t="array" ref="F4">IF(A4="", "", IFERROR(INDEX('All Abilities'!F:F, MATCH(A4, 'All Abilities'!B:B, 0)), ""))</f>
        <v/>
      </c>
      <c r="G4" s="156" t="str">
        <f t="array" ref="G4">IF(A4="", "", IFERROR(INDEX('All Abilities'!L:L, MATCH(A4, 'All Abilities'!B:B, 0)), ""))</f>
        <v/>
      </c>
    </row>
    <row r="5">
      <c r="A5" s="156"/>
      <c r="B5" s="156" t="str">
        <f t="array" ref="B5">IF(A5="", "", IFERROR(INDEX('All Abilities'!H:H, MATCH(A5, 'All Abilities'!B:B, 0)), ""))</f>
        <v/>
      </c>
      <c r="C5" s="156" t="str">
        <f t="array" ref="C5">IF(A5="", "", IFERROR(INDEX('All Abilities'!D:D, MATCH(A5, 'All Abilities'!B:B, 0)), ""))</f>
        <v/>
      </c>
      <c r="D5" s="156" t="str">
        <f t="array" ref="D5">IF(A5="", "", IFERROR(INDEX('All Abilities'!E:E, MATCH(A5, 'All Abilities'!B:B, 0)), ""))</f>
        <v/>
      </c>
      <c r="E5" s="156" t="str">
        <f t="array" ref="E5">IF(A5="", "", IFERROR(INDEX('All Abilities'!G:G, MATCH(A5, 'All Abilities'!B:B, 0)), ""))</f>
        <v/>
      </c>
      <c r="F5" s="156" t="str">
        <f t="array" ref="F5">IF(A5="", "", IFERROR(INDEX('All Abilities'!F:F, MATCH(A5, 'All Abilities'!B:B, 0)), ""))</f>
        <v/>
      </c>
      <c r="G5" s="156" t="str">
        <f t="array" ref="G5">IF(A5="", "", IFERROR(INDEX('All Abilities'!L:L, MATCH(A5, 'All Abilities'!B:B, 0)), ""))</f>
        <v/>
      </c>
    </row>
    <row r="6">
      <c r="A6" s="156"/>
      <c r="B6" s="156" t="str">
        <f t="array" ref="B6">IF(A6="", "", IFERROR(INDEX('All Abilities'!H:H, MATCH(A6, 'All Abilities'!B:B, 0)), ""))</f>
        <v/>
      </c>
      <c r="C6" s="156" t="str">
        <f t="array" ref="C6">IF(A6="", "", IFERROR(INDEX('All Abilities'!D:D, MATCH(A6, 'All Abilities'!B:B, 0)), ""))</f>
        <v/>
      </c>
      <c r="D6" s="156" t="str">
        <f t="array" ref="D6">IF(A6="", "", IFERROR(INDEX('All Abilities'!E:E, MATCH(A6, 'All Abilities'!B:B, 0)), ""))</f>
        <v/>
      </c>
      <c r="E6" s="156" t="str">
        <f t="array" ref="E6">IF(A6="", "", IFERROR(INDEX('All Abilities'!G:G, MATCH(A6, 'All Abilities'!B:B, 0)), ""))</f>
        <v/>
      </c>
      <c r="F6" s="156" t="str">
        <f t="array" ref="F6">IF(A6="", "", IFERROR(INDEX('All Abilities'!F:F, MATCH(A6, 'All Abilities'!B:B, 0)), ""))</f>
        <v/>
      </c>
      <c r="G6" s="156" t="str">
        <f t="array" ref="G6">IF(A6="", "", IFERROR(INDEX('All Abilities'!L:L, MATCH(A6, 'All Abilities'!B:B, 0)), ""))</f>
        <v/>
      </c>
    </row>
    <row r="7">
      <c r="A7" s="156"/>
      <c r="B7" s="156" t="str">
        <f t="array" ref="B7">IF(A7="", "", IFERROR(INDEX('All Abilities'!H:H, MATCH(A7, 'All Abilities'!B:B, 0)), ""))</f>
        <v/>
      </c>
      <c r="C7" s="156" t="str">
        <f t="array" ref="C7">IF(A7="", "", IFERROR(INDEX('All Abilities'!D:D, MATCH(A7, 'All Abilities'!B:B, 0)), ""))</f>
        <v/>
      </c>
      <c r="D7" s="156" t="str">
        <f t="array" ref="D7">IF(A7="", "", IFERROR(INDEX('All Abilities'!E:E, MATCH(A7, 'All Abilities'!B:B, 0)), ""))</f>
        <v/>
      </c>
      <c r="E7" s="156" t="str">
        <f t="array" ref="E7">IF(A7="", "", IFERROR(INDEX('All Abilities'!G:G, MATCH(A7, 'All Abilities'!B:B, 0)), ""))</f>
        <v/>
      </c>
      <c r="F7" s="156" t="str">
        <f t="array" ref="F7">IF(A7="", "", IFERROR(INDEX('All Abilities'!F:F, MATCH(A7, 'All Abilities'!B:B, 0)), ""))</f>
        <v/>
      </c>
      <c r="G7" s="156" t="str">
        <f t="array" ref="G7">IF(A7="", "", IFERROR(INDEX('All Abilities'!L:L, MATCH(A7, 'All Abilities'!B:B, 0)), ""))</f>
        <v/>
      </c>
    </row>
    <row r="8">
      <c r="A8" s="156"/>
      <c r="B8" s="156" t="str">
        <f t="array" ref="B8">IF(A8="", "", IFERROR(INDEX('All Abilities'!H:H, MATCH(A8, 'All Abilities'!B:B, 0)), ""))</f>
        <v/>
      </c>
      <c r="C8" s="156" t="str">
        <f t="array" ref="C8">IF(A8="", "", IFERROR(INDEX('All Abilities'!D:D, MATCH(A8, 'All Abilities'!B:B, 0)), ""))</f>
        <v/>
      </c>
      <c r="D8" s="156" t="str">
        <f t="array" ref="D8">IF(A8="", "", IFERROR(INDEX('All Abilities'!E:E, MATCH(A8, 'All Abilities'!B:B, 0)), ""))</f>
        <v/>
      </c>
      <c r="E8" s="156" t="str">
        <f t="array" ref="E8">IF(A8="", "", IFERROR(INDEX('All Abilities'!G:G, MATCH(A8, 'All Abilities'!B:B, 0)), ""))</f>
        <v/>
      </c>
      <c r="F8" s="156" t="str">
        <f t="array" ref="F8">IF(A8="", "", IFERROR(INDEX('All Abilities'!F:F, MATCH(A8, 'All Abilities'!B:B, 0)), ""))</f>
        <v/>
      </c>
      <c r="G8" s="156" t="str">
        <f t="array" ref="G8">IF(A8="", "", IFERROR(INDEX('All Abilities'!L:L, MATCH(A8, 'All Abilities'!B:B, 0)), ""))</f>
        <v/>
      </c>
    </row>
    <row r="9">
      <c r="A9" s="156"/>
      <c r="B9" s="156" t="str">
        <f t="array" ref="B9">IF(A9="", "", IFERROR(INDEX('All Abilities'!H:H, MATCH(A9, 'All Abilities'!B:B, 0)), ""))</f>
        <v/>
      </c>
      <c r="C9" s="156" t="str">
        <f t="array" ref="C9">IF(A9="", "", IFERROR(INDEX('All Abilities'!D:D, MATCH(A9, 'All Abilities'!B:B, 0)), ""))</f>
        <v/>
      </c>
      <c r="D9" s="156" t="str">
        <f t="array" ref="D9">IF(A9="", "", IFERROR(INDEX('All Abilities'!E:E, MATCH(A9, 'All Abilities'!B:B, 0)), ""))</f>
        <v/>
      </c>
      <c r="E9" s="156" t="str">
        <f t="array" ref="E9">IF(A9="", "", IFERROR(INDEX('All Abilities'!G:G, MATCH(A9, 'All Abilities'!B:B, 0)), ""))</f>
        <v/>
      </c>
      <c r="F9" s="156" t="str">
        <f t="array" ref="F9">IF(A9="", "", IFERROR(INDEX('All Abilities'!F:F, MATCH(A9, 'All Abilities'!B:B, 0)), ""))</f>
        <v/>
      </c>
      <c r="G9" s="156" t="str">
        <f t="array" ref="G9">IF(A9="", "", IFERROR(INDEX('All Abilities'!L:L, MATCH(A9, 'All Abilities'!B:B, 0)), ""))</f>
        <v/>
      </c>
    </row>
    <row r="10">
      <c r="A10" s="156"/>
      <c r="B10" s="156" t="str">
        <f t="array" ref="B10">IF(A10="", "", IFERROR(INDEX('All Abilities'!H:H, MATCH(A10, 'All Abilities'!B:B, 0)), ""))</f>
        <v/>
      </c>
      <c r="C10" s="156" t="str">
        <f t="array" ref="C10">IF(A10="", "", IFERROR(INDEX('All Abilities'!D:D, MATCH(A10, 'All Abilities'!B:B, 0)), ""))</f>
        <v/>
      </c>
      <c r="D10" s="156" t="str">
        <f t="array" ref="D10">IF(A10="", "", IFERROR(INDEX('All Abilities'!E:E, MATCH(A10, 'All Abilities'!B:B, 0)), ""))</f>
        <v/>
      </c>
      <c r="E10" s="156" t="str">
        <f t="array" ref="E10">IF(A10="", "", IFERROR(INDEX('All Abilities'!G:G, MATCH(A10, 'All Abilities'!B:B, 0)), ""))</f>
        <v/>
      </c>
      <c r="F10" s="156" t="str">
        <f t="array" ref="F10">IF(A10="", "", IFERROR(INDEX('All Abilities'!F:F, MATCH(A10, 'All Abilities'!B:B, 0)), ""))</f>
        <v/>
      </c>
      <c r="G10" s="156" t="str">
        <f t="array" ref="G10">IF(A10="", "", IFERROR(INDEX('All Abilities'!L:L, MATCH(A10, 'All Abilities'!B:B, 0)), ""))</f>
        <v/>
      </c>
    </row>
    <row r="11">
      <c r="A11" s="156"/>
      <c r="B11" s="156" t="str">
        <f t="array" ref="B11">IF(A11="", "", IFERROR(INDEX('All Abilities'!H:H, MATCH(A11, 'All Abilities'!B:B, 0)), ""))</f>
        <v/>
      </c>
      <c r="C11" s="156" t="str">
        <f t="array" ref="C11">IF(A11="", "", IFERROR(INDEX('All Abilities'!D:D, MATCH(A11, 'All Abilities'!B:B, 0)), ""))</f>
        <v/>
      </c>
      <c r="D11" s="156" t="str">
        <f t="array" ref="D11">IF(A11="", "", IFERROR(INDEX('All Abilities'!E:E, MATCH(A11, 'All Abilities'!B:B, 0)), ""))</f>
        <v/>
      </c>
      <c r="E11" s="156" t="str">
        <f t="array" ref="E11">IF(A11="", "", IFERROR(INDEX('All Abilities'!G:G, MATCH(A11, 'All Abilities'!B:B, 0)), ""))</f>
        <v/>
      </c>
      <c r="F11" s="156" t="str">
        <f t="array" ref="F11">IF(A11="", "", IFERROR(INDEX('All Abilities'!F:F, MATCH(A11, 'All Abilities'!B:B, 0)), ""))</f>
        <v/>
      </c>
      <c r="G11" s="156" t="str">
        <f t="array" ref="G11">IF(A11="", "", IFERROR(INDEX('All Abilities'!L:L, MATCH(A11, 'All Abilities'!B:B, 0)), ""))</f>
        <v/>
      </c>
    </row>
    <row r="12">
      <c r="A12" s="156"/>
      <c r="B12" s="156" t="str">
        <f t="array" ref="B12">IF(A12="", "", IFERROR(INDEX('All Abilities'!H:H, MATCH(A12, 'All Abilities'!B:B, 0)), ""))</f>
        <v/>
      </c>
      <c r="C12" s="156" t="str">
        <f t="array" ref="C12">IF(A12="", "", IFERROR(INDEX('All Abilities'!D:D, MATCH(A12, 'All Abilities'!B:B, 0)), ""))</f>
        <v/>
      </c>
      <c r="D12" s="156" t="str">
        <f t="array" ref="D12">IF(A12="", "", IFERROR(INDEX('All Abilities'!E:E, MATCH(A12, 'All Abilities'!B:B, 0)), ""))</f>
        <v/>
      </c>
      <c r="E12" s="156" t="str">
        <f t="array" ref="E12">IF(A12="", "", IFERROR(INDEX('All Abilities'!G:G, MATCH(A12, 'All Abilities'!B:B, 0)), ""))</f>
        <v/>
      </c>
      <c r="F12" s="156" t="str">
        <f t="array" ref="F12">IF(A12="", "", IFERROR(INDEX('All Abilities'!F:F, MATCH(A12, 'All Abilities'!B:B, 0)), ""))</f>
        <v/>
      </c>
      <c r="G12" s="156" t="str">
        <f t="array" ref="G12">IF(A12="", "", IFERROR(INDEX('All Abilities'!L:L, MATCH(A12, 'All Abilities'!B:B, 0)), ""))</f>
        <v/>
      </c>
    </row>
    <row r="13">
      <c r="A13" s="156"/>
      <c r="B13" s="156" t="str">
        <f t="array" ref="B13">IF(A13="", "", IFERROR(INDEX('All Abilities'!H:H, MATCH(A13, 'All Abilities'!B:B, 0)), ""))</f>
        <v/>
      </c>
      <c r="C13" s="156" t="str">
        <f t="array" ref="C13">IF(A13="", "", IFERROR(INDEX('All Abilities'!D:D, MATCH(A13, 'All Abilities'!B:B, 0)), ""))</f>
        <v/>
      </c>
      <c r="D13" s="156" t="str">
        <f t="array" ref="D13">IF(A13="", "", IFERROR(INDEX('All Abilities'!E:E, MATCH(A13, 'All Abilities'!B:B, 0)), ""))</f>
        <v/>
      </c>
      <c r="E13" s="156" t="str">
        <f t="array" ref="E13">IF(A13="", "", IFERROR(INDEX('All Abilities'!G:G, MATCH(A13, 'All Abilities'!B:B, 0)), ""))</f>
        <v/>
      </c>
      <c r="F13" s="156" t="str">
        <f t="array" ref="F13">IF(A13="", "", IFERROR(INDEX('All Abilities'!F:F, MATCH(A13, 'All Abilities'!B:B, 0)), ""))</f>
        <v/>
      </c>
      <c r="G13" s="156" t="str">
        <f t="array" ref="G13">IF(A13="", "", IFERROR(INDEX('All Abilities'!L:L, MATCH(A13, 'All Abilities'!B:B, 0)), ""))</f>
        <v/>
      </c>
    </row>
    <row r="14">
      <c r="A14" s="156"/>
      <c r="B14" s="156" t="str">
        <f t="array" ref="B14">IF(A14="", "", IFERROR(INDEX('All Abilities'!H:H, MATCH(A14, 'All Abilities'!B:B, 0)), ""))</f>
        <v/>
      </c>
      <c r="C14" s="156" t="str">
        <f t="array" ref="C14">IF(A14="", "", IFERROR(INDEX('All Abilities'!D:D, MATCH(A14, 'All Abilities'!B:B, 0)), ""))</f>
        <v/>
      </c>
      <c r="D14" s="156" t="str">
        <f t="array" ref="D14">IF(A14="", "", IFERROR(INDEX('All Abilities'!E:E, MATCH(A14, 'All Abilities'!B:B, 0)), ""))</f>
        <v/>
      </c>
      <c r="E14" s="156" t="str">
        <f t="array" ref="E14">IF(A14="", "", IFERROR(INDEX('All Abilities'!G:G, MATCH(A14, 'All Abilities'!B:B, 0)), ""))</f>
        <v/>
      </c>
      <c r="F14" s="156" t="str">
        <f t="array" ref="F14">IF(A14="", "", IFERROR(INDEX('All Abilities'!F:F, MATCH(A14, 'All Abilities'!B:B, 0)), ""))</f>
        <v/>
      </c>
      <c r="G14" s="156" t="str">
        <f t="array" ref="G14">IF(A14="", "", IFERROR(INDEX('All Abilities'!L:L, MATCH(A14, 'All Abilities'!B:B, 0)), ""))</f>
        <v/>
      </c>
    </row>
    <row r="15">
      <c r="A15" s="156"/>
      <c r="B15" s="156" t="str">
        <f t="array" ref="B15">IF(A15="", "", IFERROR(INDEX('All Abilities'!H:H, MATCH(A15, 'All Abilities'!B:B, 0)), ""))</f>
        <v/>
      </c>
      <c r="C15" s="156" t="str">
        <f t="array" ref="C15">IF(A15="", "", IFERROR(INDEX('All Abilities'!D:D, MATCH(A15, 'All Abilities'!B:B, 0)), ""))</f>
        <v/>
      </c>
      <c r="D15" s="156" t="str">
        <f t="array" ref="D15">IF(A15="", "", IFERROR(INDEX('All Abilities'!E:E, MATCH(A15, 'All Abilities'!B:B, 0)), ""))</f>
        <v/>
      </c>
      <c r="E15" s="156" t="str">
        <f t="array" ref="E15">IF(A15="", "", IFERROR(INDEX('All Abilities'!G:G, MATCH(A15, 'All Abilities'!B:B, 0)), ""))</f>
        <v/>
      </c>
      <c r="F15" s="156" t="str">
        <f t="array" ref="F15">IF(A15="", "", IFERROR(INDEX('All Abilities'!F:F, MATCH(A15, 'All Abilities'!B:B, 0)), ""))</f>
        <v/>
      </c>
      <c r="G15" s="156" t="str">
        <f t="array" ref="G15">IF(A15="", "", IFERROR(INDEX('All Abilities'!L:L, MATCH(A15, 'All Abilities'!B:B, 0)), ""))</f>
        <v/>
      </c>
    </row>
    <row r="16">
      <c r="A16" s="156"/>
      <c r="B16" s="156" t="str">
        <f t="array" ref="B16">IF(A16="", "", IFERROR(INDEX('All Abilities'!H:H, MATCH(A16, 'All Abilities'!B:B, 0)), ""))</f>
        <v/>
      </c>
      <c r="C16" s="156" t="str">
        <f t="array" ref="C16">IF(A16="", "", IFERROR(INDEX('All Abilities'!D:D, MATCH(A16, 'All Abilities'!B:B, 0)), ""))</f>
        <v/>
      </c>
      <c r="D16" s="156" t="str">
        <f t="array" ref="D16">IF(A16="", "", IFERROR(INDEX('All Abilities'!E:E, MATCH(A16, 'All Abilities'!B:B, 0)), ""))</f>
        <v/>
      </c>
      <c r="E16" s="156" t="str">
        <f t="array" ref="E16">IF(A16="", "", IFERROR(INDEX('All Abilities'!G:G, MATCH(A16, 'All Abilities'!B:B, 0)), ""))</f>
        <v/>
      </c>
      <c r="F16" s="156" t="str">
        <f t="array" ref="F16">IF(A16="", "", IFERROR(INDEX('All Abilities'!F:F, MATCH(A16, 'All Abilities'!B:B, 0)), ""))</f>
        <v/>
      </c>
      <c r="G16" s="156" t="str">
        <f t="array" ref="G16">IF(A16="", "", IFERROR(INDEX('All Abilities'!L:L, MATCH(A16, 'All Abilities'!B:B, 0)), ""))</f>
        <v/>
      </c>
    </row>
    <row r="17">
      <c r="A17" s="156"/>
      <c r="B17" s="156" t="str">
        <f t="array" ref="B17">IF(A17="", "", IFERROR(INDEX('All Abilities'!H:H, MATCH(A17, 'All Abilities'!B:B, 0)), ""))</f>
        <v/>
      </c>
      <c r="C17" s="156" t="str">
        <f t="array" ref="C17">IF(A17="", "", IFERROR(INDEX('All Abilities'!D:D, MATCH(A17, 'All Abilities'!B:B, 0)), ""))</f>
        <v/>
      </c>
      <c r="D17" s="156" t="str">
        <f t="array" ref="D17">IF(A17="", "", IFERROR(INDEX('All Abilities'!E:E, MATCH(A17, 'All Abilities'!B:B, 0)), ""))</f>
        <v/>
      </c>
      <c r="E17" s="156" t="str">
        <f t="array" ref="E17">IF(A17="", "", IFERROR(INDEX('All Abilities'!G:G, MATCH(A17, 'All Abilities'!B:B, 0)), ""))</f>
        <v/>
      </c>
      <c r="F17" s="156" t="str">
        <f t="array" ref="F17">IF(A17="", "", IFERROR(INDEX('All Abilities'!F:F, MATCH(A17, 'All Abilities'!B:B, 0)), ""))</f>
        <v/>
      </c>
      <c r="G17" s="156" t="str">
        <f t="array" ref="G17">IF(A17="", "", IFERROR(INDEX('All Abilities'!L:L, MATCH(A17, 'All Abilities'!B:B, 0)), ""))</f>
        <v/>
      </c>
    </row>
    <row r="18">
      <c r="A18" s="156"/>
      <c r="B18" s="156" t="str">
        <f t="array" ref="B18">IF(A18="", "", IFERROR(INDEX('All Abilities'!H:H, MATCH(A18, 'All Abilities'!B:B, 0)), ""))</f>
        <v/>
      </c>
      <c r="C18" s="156" t="str">
        <f t="array" ref="C18">IF(A18="", "", IFERROR(INDEX('All Abilities'!D:D, MATCH(A18, 'All Abilities'!B:B, 0)), ""))</f>
        <v/>
      </c>
      <c r="D18" s="156" t="str">
        <f t="array" ref="D18">IF(A18="", "", IFERROR(INDEX('All Abilities'!E:E, MATCH(A18, 'All Abilities'!B:B, 0)), ""))</f>
        <v/>
      </c>
      <c r="E18" s="156" t="str">
        <f t="array" ref="E18">IF(A18="", "", IFERROR(INDEX('All Abilities'!G:G, MATCH(A18, 'All Abilities'!B:B, 0)), ""))</f>
        <v/>
      </c>
      <c r="F18" s="156" t="str">
        <f t="array" ref="F18">IF(A18="", "", IFERROR(INDEX('All Abilities'!F:F, MATCH(A18, 'All Abilities'!B:B, 0)), ""))</f>
        <v/>
      </c>
      <c r="G18" s="156" t="str">
        <f t="array" ref="G18">IF(A18="", "", IFERROR(INDEX('All Abilities'!L:L, MATCH(A18, 'All Abilities'!B:B, 0)), ""))</f>
        <v/>
      </c>
    </row>
    <row r="19">
      <c r="A19" s="156"/>
      <c r="B19" s="156" t="str">
        <f t="array" ref="B19">IF(A19="", "", IFERROR(INDEX('All Abilities'!H:H, MATCH(A19, 'All Abilities'!B:B, 0)), ""))</f>
        <v/>
      </c>
      <c r="C19" s="156" t="str">
        <f t="array" ref="C19">IF(A19="", "", IFERROR(INDEX('All Abilities'!D:D, MATCH(A19, 'All Abilities'!B:B, 0)), ""))</f>
        <v/>
      </c>
      <c r="D19" s="156" t="str">
        <f t="array" ref="D19">IF(A19="", "", IFERROR(INDEX('All Abilities'!E:E, MATCH(A19, 'All Abilities'!B:B, 0)), ""))</f>
        <v/>
      </c>
      <c r="E19" s="156" t="str">
        <f t="array" ref="E19">IF(A19="", "", IFERROR(INDEX('All Abilities'!G:G, MATCH(A19, 'All Abilities'!B:B, 0)), ""))</f>
        <v/>
      </c>
      <c r="F19" s="156" t="str">
        <f t="array" ref="F19">IF(A19="", "", IFERROR(INDEX('All Abilities'!F:F, MATCH(A19, 'All Abilities'!B:B, 0)), ""))</f>
        <v/>
      </c>
      <c r="G19" s="156" t="str">
        <f t="array" ref="G19">IF(A19="", "", IFERROR(INDEX('All Abilities'!L:L, MATCH(A19, 'All Abilities'!B:B, 0)), ""))</f>
        <v/>
      </c>
    </row>
    <row r="20">
      <c r="A20" s="156"/>
      <c r="B20" s="156" t="str">
        <f t="array" ref="B20">IF(A20="", "", IFERROR(INDEX('All Abilities'!H:H, MATCH(A20, 'All Abilities'!B:B, 0)), ""))</f>
        <v/>
      </c>
      <c r="C20" s="156" t="str">
        <f t="array" ref="C20">IF(A20="", "", IFERROR(INDEX('All Abilities'!D:D, MATCH(A20, 'All Abilities'!B:B, 0)), ""))</f>
        <v/>
      </c>
      <c r="D20" s="156" t="str">
        <f t="array" ref="D20">IF(A20="", "", IFERROR(INDEX('All Abilities'!E:E, MATCH(A20, 'All Abilities'!B:B, 0)), ""))</f>
        <v/>
      </c>
      <c r="E20" s="156" t="str">
        <f t="array" ref="E20">IF(A20="", "", IFERROR(INDEX('All Abilities'!G:G, MATCH(A20, 'All Abilities'!B:B, 0)), ""))</f>
        <v/>
      </c>
      <c r="F20" s="156" t="str">
        <f t="array" ref="F20">IF(A20="", "", IFERROR(INDEX('All Abilities'!F:F, MATCH(A20, 'All Abilities'!B:B, 0)), ""))</f>
        <v/>
      </c>
      <c r="G20" s="156" t="str">
        <f t="array" ref="G20">IF(A20="", "", IFERROR(INDEX('All Abilities'!L:L, MATCH(A20, 'All Abilities'!B:B, 0)), ""))</f>
        <v/>
      </c>
    </row>
    <row r="21">
      <c r="A21" s="156"/>
      <c r="B21" s="156" t="str">
        <f t="array" ref="B21">IF(A21="", "", IFERROR(INDEX('All Abilities'!H:H, MATCH(A21, 'All Abilities'!B:B, 0)), ""))</f>
        <v/>
      </c>
      <c r="C21" s="156" t="str">
        <f t="array" ref="C21">IF(A21="", "", IFERROR(INDEX('All Abilities'!D:D, MATCH(A21, 'All Abilities'!B:B, 0)), ""))</f>
        <v/>
      </c>
      <c r="D21" s="156" t="str">
        <f t="array" ref="D21">IF(A21="", "", IFERROR(INDEX('All Abilities'!E:E, MATCH(A21, 'All Abilities'!B:B, 0)), ""))</f>
        <v/>
      </c>
      <c r="E21" s="156" t="str">
        <f t="array" ref="E21">IF(A21="", "", IFERROR(INDEX('All Abilities'!G:G, MATCH(A21, 'All Abilities'!B:B, 0)), ""))</f>
        <v/>
      </c>
      <c r="F21" s="156" t="str">
        <f t="array" ref="F21">IF(A21="", "", IFERROR(INDEX('All Abilities'!F:F, MATCH(A21, 'All Abilities'!B:B, 0)), ""))</f>
        <v/>
      </c>
      <c r="G21" s="156" t="str">
        <f t="array" ref="G21">IF(A21="", "", IFERROR(INDEX('All Abilities'!L:L, MATCH(A21, 'All Abilities'!B:B, 0)), ""))</f>
        <v/>
      </c>
    </row>
    <row r="22">
      <c r="A22" s="156"/>
      <c r="B22" s="156" t="str">
        <f t="array" ref="B22">IF(A22="", "", IFERROR(INDEX('All Abilities'!H:H, MATCH(A22, 'All Abilities'!B:B, 0)), ""))</f>
        <v/>
      </c>
      <c r="C22" s="156" t="str">
        <f t="array" ref="C22">IF(A22="", "", IFERROR(INDEX('All Abilities'!D:D, MATCH(A22, 'All Abilities'!B:B, 0)), ""))</f>
        <v/>
      </c>
      <c r="D22" s="156" t="str">
        <f t="array" ref="D22">IF(A22="", "", IFERROR(INDEX('All Abilities'!E:E, MATCH(A22, 'All Abilities'!B:B, 0)), ""))</f>
        <v/>
      </c>
      <c r="E22" s="156" t="str">
        <f t="array" ref="E22">IF(A22="", "", IFERROR(INDEX('All Abilities'!G:G, MATCH(A22, 'All Abilities'!B:B, 0)), ""))</f>
        <v/>
      </c>
      <c r="F22" s="156" t="str">
        <f t="array" ref="F22">IF(A22="", "", IFERROR(INDEX('All Abilities'!F:F, MATCH(A22, 'All Abilities'!B:B, 0)), ""))</f>
        <v/>
      </c>
      <c r="G22" s="156" t="str">
        <f t="array" ref="G22">IF(A22="", "", IFERROR(INDEX('All Abilities'!L:L, MATCH(A22, 'All Abilities'!B:B, 0)), ""))</f>
        <v/>
      </c>
    </row>
    <row r="23">
      <c r="A23" s="156"/>
      <c r="B23" s="156" t="str">
        <f t="array" ref="B23">IF(A23="", "", IFERROR(INDEX('All Abilities'!H:H, MATCH(A23, 'All Abilities'!B:B, 0)), ""))</f>
        <v/>
      </c>
      <c r="C23" s="156" t="str">
        <f t="array" ref="C23">IF(A23="", "", IFERROR(INDEX('All Abilities'!D:D, MATCH(A23, 'All Abilities'!B:B, 0)), ""))</f>
        <v/>
      </c>
      <c r="D23" s="156" t="str">
        <f t="array" ref="D23">IF(A23="", "", IFERROR(INDEX('All Abilities'!E:E, MATCH(A23, 'All Abilities'!B:B, 0)), ""))</f>
        <v/>
      </c>
      <c r="E23" s="156" t="str">
        <f t="array" ref="E23">IF(A23="", "", IFERROR(INDEX('All Abilities'!G:G, MATCH(A23, 'All Abilities'!B:B, 0)), ""))</f>
        <v/>
      </c>
      <c r="F23" s="156" t="str">
        <f t="array" ref="F23">IF(A23="", "", IFERROR(INDEX('All Abilities'!F:F, MATCH(A23, 'All Abilities'!B:B, 0)), ""))</f>
        <v/>
      </c>
      <c r="G23" s="156" t="str">
        <f t="array" ref="G23">IF(A23="", "", IFERROR(INDEX('All Abilities'!L:L, MATCH(A23, 'All Abilities'!B:B, 0)), ""))</f>
        <v/>
      </c>
    </row>
    <row r="24">
      <c r="A24" s="156"/>
      <c r="B24" s="156" t="str">
        <f t="array" ref="B24">IF(A24="", "", IFERROR(INDEX('All Abilities'!H:H, MATCH(A24, 'All Abilities'!B:B, 0)), ""))</f>
        <v/>
      </c>
      <c r="C24" s="156" t="str">
        <f t="array" ref="C24">IF(A24="", "", IFERROR(INDEX('All Abilities'!D:D, MATCH(A24, 'All Abilities'!B:B, 0)), ""))</f>
        <v/>
      </c>
      <c r="D24" s="156" t="str">
        <f t="array" ref="D24">IF(A24="", "", IFERROR(INDEX('All Abilities'!E:E, MATCH(A24, 'All Abilities'!B:B, 0)), ""))</f>
        <v/>
      </c>
      <c r="E24" s="156" t="str">
        <f t="array" ref="E24">IF(A24="", "", IFERROR(INDEX('All Abilities'!G:G, MATCH(A24, 'All Abilities'!B:B, 0)), ""))</f>
        <v/>
      </c>
      <c r="F24" s="156" t="str">
        <f t="array" ref="F24">IF(A24="", "", IFERROR(INDEX('All Abilities'!F:F, MATCH(A24, 'All Abilities'!B:B, 0)), ""))</f>
        <v/>
      </c>
      <c r="G24" s="156" t="str">
        <f t="array" ref="G24">IF(A24="", "", IFERROR(INDEX('All Abilities'!L:L, MATCH(A24, 'All Abilities'!B:B, 0)), ""))</f>
        <v/>
      </c>
    </row>
    <row r="25">
      <c r="A25" s="156"/>
      <c r="B25" s="156" t="str">
        <f t="array" ref="B25">IF(A25="", "", IFERROR(INDEX('All Abilities'!H:H, MATCH(A25, 'All Abilities'!B:B, 0)), ""))</f>
        <v/>
      </c>
      <c r="C25" s="156" t="str">
        <f t="array" ref="C25">IF(A25="", "", IFERROR(INDEX('All Abilities'!D:D, MATCH(A25, 'All Abilities'!B:B, 0)), ""))</f>
        <v/>
      </c>
      <c r="D25" s="156" t="str">
        <f t="array" ref="D25">IF(A25="", "", IFERROR(INDEX('All Abilities'!E:E, MATCH(A25, 'All Abilities'!B:B, 0)), ""))</f>
        <v/>
      </c>
      <c r="E25" s="156" t="str">
        <f t="array" ref="E25">IF(A25="", "", IFERROR(INDEX('All Abilities'!G:G, MATCH(A25, 'All Abilities'!B:B, 0)), ""))</f>
        <v/>
      </c>
      <c r="F25" s="156" t="str">
        <f t="array" ref="F25">IF(A25="", "", IFERROR(INDEX('All Abilities'!F:F, MATCH(A25, 'All Abilities'!B:B, 0)), ""))</f>
        <v/>
      </c>
      <c r="G25" s="156" t="str">
        <f t="array" ref="G25">IF(A25="", "", IFERROR(INDEX('All Abilities'!L:L, MATCH(A25, 'All Abilities'!B:B, 0)), ""))</f>
        <v/>
      </c>
    </row>
    <row r="26">
      <c r="A26" s="156"/>
      <c r="B26" s="156" t="str">
        <f t="array" ref="B26">IF(A26="", "", IFERROR(INDEX('All Abilities'!H:H, MATCH(A26, 'All Abilities'!B:B, 0)), ""))</f>
        <v/>
      </c>
      <c r="C26" s="156" t="str">
        <f t="array" ref="C26">IF(A26="", "", IFERROR(INDEX('All Abilities'!D:D, MATCH(A26, 'All Abilities'!B:B, 0)), ""))</f>
        <v/>
      </c>
      <c r="D26" s="156" t="str">
        <f t="array" ref="D26">IF(A26="", "", IFERROR(INDEX('All Abilities'!E:E, MATCH(A26, 'All Abilities'!B:B, 0)), ""))</f>
        <v/>
      </c>
      <c r="E26" s="156" t="str">
        <f t="array" ref="E26">IF(A26="", "", IFERROR(INDEX('All Abilities'!G:G, MATCH(A26, 'All Abilities'!B:B, 0)), ""))</f>
        <v/>
      </c>
      <c r="F26" s="156" t="str">
        <f t="array" ref="F26">IF(A26="", "", IFERROR(INDEX('All Abilities'!F:F, MATCH(A26, 'All Abilities'!B:B, 0)), ""))</f>
        <v/>
      </c>
      <c r="G26" s="156" t="str">
        <f t="array" ref="G26">IF(A26="", "", IFERROR(INDEX('All Abilities'!L:L, MATCH(A26, 'All Abilities'!B:B, 0)), ""))</f>
        <v/>
      </c>
    </row>
    <row r="27">
      <c r="A27" s="156"/>
      <c r="B27" s="156" t="str">
        <f t="array" ref="B27">IF(A27="", "", IFERROR(INDEX('All Abilities'!H:H, MATCH(A27, 'All Abilities'!B:B, 0)), ""))</f>
        <v/>
      </c>
      <c r="C27" s="156" t="str">
        <f t="array" ref="C27">IF(A27="", "", IFERROR(INDEX('All Abilities'!D:D, MATCH(A27, 'All Abilities'!B:B, 0)), ""))</f>
        <v/>
      </c>
      <c r="D27" s="156" t="str">
        <f t="array" ref="D27">IF(A27="", "", IFERROR(INDEX('All Abilities'!E:E, MATCH(A27, 'All Abilities'!B:B, 0)), ""))</f>
        <v/>
      </c>
      <c r="E27" s="156" t="str">
        <f t="array" ref="E27">IF(A27="", "", IFERROR(INDEX('All Abilities'!G:G, MATCH(A27, 'All Abilities'!B:B, 0)), ""))</f>
        <v/>
      </c>
      <c r="F27" s="156" t="str">
        <f t="array" ref="F27">IF(A27="", "", IFERROR(INDEX('All Abilities'!F:F, MATCH(A27, 'All Abilities'!B:B, 0)), ""))</f>
        <v/>
      </c>
      <c r="G27" s="156" t="str">
        <f t="array" ref="G27">IF(A27="", "", IFERROR(INDEX('All Abilities'!L:L, MATCH(A27, 'All Abilities'!B:B, 0)), ""))</f>
        <v/>
      </c>
    </row>
    <row r="28">
      <c r="A28" s="156"/>
      <c r="B28" s="156" t="str">
        <f t="array" ref="B28">IF(A28="", "", IFERROR(INDEX('All Abilities'!H:H, MATCH(A28, 'All Abilities'!B:B, 0)), ""))</f>
        <v/>
      </c>
      <c r="C28" s="156" t="str">
        <f t="array" ref="C28">IF(A28="", "", IFERROR(INDEX('All Abilities'!D:D, MATCH(A28, 'All Abilities'!B:B, 0)), ""))</f>
        <v/>
      </c>
      <c r="D28" s="156" t="str">
        <f t="array" ref="D28">IF(A28="", "", IFERROR(INDEX('All Abilities'!E:E, MATCH(A28, 'All Abilities'!B:B, 0)), ""))</f>
        <v/>
      </c>
      <c r="E28" s="156" t="str">
        <f t="array" ref="E28">IF(A28="", "", IFERROR(INDEX('All Abilities'!G:G, MATCH(A28, 'All Abilities'!B:B, 0)), ""))</f>
        <v/>
      </c>
      <c r="F28" s="156" t="str">
        <f t="array" ref="F28">IF(A28="", "", IFERROR(INDEX('All Abilities'!F:F, MATCH(A28, 'All Abilities'!B:B, 0)), ""))</f>
        <v/>
      </c>
      <c r="G28" s="156" t="str">
        <f t="array" ref="G28">IF(A28="", "", IFERROR(INDEX('All Abilities'!L:L, MATCH(A28, 'All Abilities'!B:B, 0)), ""))</f>
        <v/>
      </c>
    </row>
    <row r="29">
      <c r="A29" s="156"/>
      <c r="B29" s="156" t="str">
        <f t="array" ref="B29">IF(A29="", "", IFERROR(INDEX('All Abilities'!H:H, MATCH(A29, 'All Abilities'!B:B, 0)), ""))</f>
        <v/>
      </c>
      <c r="C29" s="156" t="str">
        <f t="array" ref="C29">IF(A29="", "", IFERROR(INDEX('All Abilities'!D:D, MATCH(A29, 'All Abilities'!B:B, 0)), ""))</f>
        <v/>
      </c>
      <c r="D29" s="156" t="str">
        <f t="array" ref="D29">IF(A29="", "", IFERROR(INDEX('All Abilities'!E:E, MATCH(A29, 'All Abilities'!B:B, 0)), ""))</f>
        <v/>
      </c>
      <c r="E29" s="156" t="str">
        <f t="array" ref="E29">IF(A29="", "", IFERROR(INDEX('All Abilities'!G:G, MATCH(A29, 'All Abilities'!B:B, 0)), ""))</f>
        <v/>
      </c>
      <c r="F29" s="156" t="str">
        <f t="array" ref="F29">IF(A29="", "", IFERROR(INDEX('All Abilities'!F:F, MATCH(A29, 'All Abilities'!B:B, 0)), ""))</f>
        <v/>
      </c>
      <c r="G29" s="156" t="str">
        <f t="array" ref="G29">IF(A29="", "", IFERROR(INDEX('All Abilities'!L:L, MATCH(A29, 'All Abilities'!B:B, 0)), ""))</f>
        <v/>
      </c>
    </row>
    <row r="30">
      <c r="A30" s="156"/>
      <c r="B30" s="156" t="str">
        <f t="array" ref="B30">IF(A30="", "", IFERROR(INDEX('All Abilities'!H:H, MATCH(A30, 'All Abilities'!B:B, 0)), ""))</f>
        <v/>
      </c>
      <c r="C30" s="156" t="str">
        <f t="array" ref="C30">IF(A30="", "", IFERROR(INDEX('All Abilities'!D:D, MATCH(A30, 'All Abilities'!B:B, 0)), ""))</f>
        <v/>
      </c>
      <c r="D30" s="156" t="str">
        <f t="array" ref="D30">IF(A30="", "", IFERROR(INDEX('All Abilities'!E:E, MATCH(A30, 'All Abilities'!B:B, 0)), ""))</f>
        <v/>
      </c>
      <c r="E30" s="156" t="str">
        <f t="array" ref="E30">IF(A30="", "", IFERROR(INDEX('All Abilities'!G:G, MATCH(A30, 'All Abilities'!B:B, 0)), ""))</f>
        <v/>
      </c>
      <c r="F30" s="156" t="str">
        <f t="array" ref="F30">IF(A30="", "", IFERROR(INDEX('All Abilities'!F:F, MATCH(A30, 'All Abilities'!B:B, 0)), ""))</f>
        <v/>
      </c>
      <c r="G30" s="156" t="str">
        <f t="array" ref="G30">IF(A30="", "", IFERROR(INDEX('All Abilities'!L:L, MATCH(A30, 'All Abilities'!B:B, 0)), ""))</f>
        <v/>
      </c>
    </row>
    <row r="31">
      <c r="A31" s="156"/>
      <c r="B31" s="156" t="str">
        <f t="array" ref="B31">IF(A31="", "", IFERROR(INDEX('All Abilities'!H:H, MATCH(A31, 'All Abilities'!B:B, 0)), ""))</f>
        <v/>
      </c>
      <c r="C31" s="156" t="str">
        <f t="array" ref="C31">IF(A31="", "", IFERROR(INDEX('All Abilities'!D:D, MATCH(A31, 'All Abilities'!B:B, 0)), ""))</f>
        <v/>
      </c>
      <c r="D31" s="156" t="str">
        <f t="array" ref="D31">IF(A31="", "", IFERROR(INDEX('All Abilities'!E:E, MATCH(A31, 'All Abilities'!B:B, 0)), ""))</f>
        <v/>
      </c>
      <c r="E31" s="156" t="str">
        <f t="array" ref="E31">IF(A31="", "", IFERROR(INDEX('All Abilities'!G:G, MATCH(A31, 'All Abilities'!B:B, 0)), ""))</f>
        <v/>
      </c>
      <c r="F31" s="156" t="str">
        <f t="array" ref="F31">IF(A31="", "", IFERROR(INDEX('All Abilities'!F:F, MATCH(A31, 'All Abilities'!B:B, 0)), ""))</f>
        <v/>
      </c>
      <c r="G31" s="156" t="str">
        <f t="array" ref="G31">IF(A31="", "", IFERROR(INDEX('All Abilities'!L:L, MATCH(A31, 'All Abilities'!B:B, 0)), ""))</f>
        <v/>
      </c>
    </row>
    <row r="32">
      <c r="A32" s="156"/>
      <c r="B32" s="156" t="str">
        <f t="array" ref="B32">IF(A32="", "", IFERROR(INDEX('All Abilities'!H:H, MATCH(A32, 'All Abilities'!B:B, 0)), ""))</f>
        <v/>
      </c>
      <c r="C32" s="156" t="str">
        <f t="array" ref="C32">IF(A32="", "", IFERROR(INDEX('All Abilities'!D:D, MATCH(A32, 'All Abilities'!B:B, 0)), ""))</f>
        <v/>
      </c>
      <c r="D32" s="156" t="str">
        <f t="array" ref="D32">IF(A32="", "", IFERROR(INDEX('All Abilities'!E:E, MATCH(A32, 'All Abilities'!B:B, 0)), ""))</f>
        <v/>
      </c>
      <c r="E32" s="156" t="str">
        <f t="array" ref="E32">IF(A32="", "", IFERROR(INDEX('All Abilities'!G:G, MATCH(A32, 'All Abilities'!B:B, 0)), ""))</f>
        <v/>
      </c>
      <c r="F32" s="156" t="str">
        <f t="array" ref="F32">IF(A32="", "", IFERROR(INDEX('All Abilities'!F:F, MATCH(A32, 'All Abilities'!B:B, 0)), ""))</f>
        <v/>
      </c>
      <c r="G32" s="156" t="str">
        <f t="array" ref="G32">IF(A32="", "", IFERROR(INDEX('All Abilities'!L:L, MATCH(A32, 'All Abilities'!B:B, 0)), ""))</f>
        <v/>
      </c>
    </row>
    <row r="33">
      <c r="A33" s="156"/>
      <c r="B33" s="156" t="str">
        <f t="array" ref="B33">IF(A33="", "", IFERROR(INDEX('All Abilities'!H:H, MATCH(A33, 'All Abilities'!B:B, 0)), ""))</f>
        <v/>
      </c>
      <c r="C33" s="156" t="str">
        <f t="array" ref="C33">IF(A33="", "", IFERROR(INDEX('All Abilities'!D:D, MATCH(A33, 'All Abilities'!B:B, 0)), ""))</f>
        <v/>
      </c>
      <c r="D33" s="156" t="str">
        <f t="array" ref="D33">IF(A33="", "", IFERROR(INDEX('All Abilities'!E:E, MATCH(A33, 'All Abilities'!B:B, 0)), ""))</f>
        <v/>
      </c>
      <c r="E33" s="156" t="str">
        <f t="array" ref="E33">IF(A33="", "", IFERROR(INDEX('All Abilities'!G:G, MATCH(A33, 'All Abilities'!B:B, 0)), ""))</f>
        <v/>
      </c>
      <c r="F33" s="156" t="str">
        <f t="array" ref="F33">IF(A33="", "", IFERROR(INDEX('All Abilities'!F:F, MATCH(A33, 'All Abilities'!B:B, 0)), ""))</f>
        <v/>
      </c>
      <c r="G33" s="156" t="str">
        <f t="array" ref="G33">IF(A33="", "", IFERROR(INDEX('All Abilities'!L:L, MATCH(A33, 'All Abilities'!B:B, 0)), ""))</f>
        <v/>
      </c>
    </row>
    <row r="34">
      <c r="A34" s="156"/>
      <c r="B34" s="156" t="str">
        <f t="array" ref="B34">IF(A34="", "", IFERROR(INDEX('All Abilities'!H:H, MATCH(A34, 'All Abilities'!B:B, 0)), ""))</f>
        <v/>
      </c>
      <c r="C34" s="156" t="str">
        <f t="array" ref="C34">IF(A34="", "", IFERROR(INDEX('All Abilities'!D:D, MATCH(A34, 'All Abilities'!B:B, 0)), ""))</f>
        <v/>
      </c>
      <c r="D34" s="156" t="str">
        <f t="array" ref="D34">IF(A34="", "", IFERROR(INDEX('All Abilities'!E:E, MATCH(A34, 'All Abilities'!B:B, 0)), ""))</f>
        <v/>
      </c>
      <c r="E34" s="156" t="str">
        <f t="array" ref="E34">IF(A34="", "", IFERROR(INDEX('All Abilities'!G:G, MATCH(A34, 'All Abilities'!B:B, 0)), ""))</f>
        <v/>
      </c>
      <c r="F34" s="156" t="str">
        <f t="array" ref="F34">IF(A34="", "", IFERROR(INDEX('All Abilities'!F:F, MATCH(A34, 'All Abilities'!B:B, 0)), ""))</f>
        <v/>
      </c>
      <c r="G34" s="156" t="str">
        <f t="array" ref="G34">IF(A34="", "", IFERROR(INDEX('All Abilities'!L:L, MATCH(A34, 'All Abilities'!B:B, 0)), ""))</f>
        <v/>
      </c>
    </row>
    <row r="35">
      <c r="A35" s="156"/>
      <c r="B35" s="156" t="str">
        <f t="array" ref="B35">IF(A35="", "", IFERROR(INDEX('All Abilities'!H:H, MATCH(A35, 'All Abilities'!B:B, 0)), ""))</f>
        <v/>
      </c>
      <c r="C35" s="156" t="str">
        <f t="array" ref="C35">IF(A35="", "", IFERROR(INDEX('All Abilities'!D:D, MATCH(A35, 'All Abilities'!B:B, 0)), ""))</f>
        <v/>
      </c>
      <c r="D35" s="156" t="str">
        <f t="array" ref="D35">IF(A35="", "", IFERROR(INDEX('All Abilities'!E:E, MATCH(A35, 'All Abilities'!B:B, 0)), ""))</f>
        <v/>
      </c>
      <c r="E35" s="156" t="str">
        <f t="array" ref="E35">IF(A35="", "", IFERROR(INDEX('All Abilities'!G:G, MATCH(A35, 'All Abilities'!B:B, 0)), ""))</f>
        <v/>
      </c>
      <c r="F35" s="156" t="str">
        <f t="array" ref="F35">IF(A35="", "", IFERROR(INDEX('All Abilities'!F:F, MATCH(A35, 'All Abilities'!B:B, 0)), ""))</f>
        <v/>
      </c>
      <c r="G35" s="156" t="str">
        <f t="array" ref="G35">IF(A35="", "", IFERROR(INDEX('All Abilities'!L:L, MATCH(A35, 'All Abilities'!B:B, 0)), ""))</f>
        <v/>
      </c>
    </row>
    <row r="36">
      <c r="A36" s="156"/>
      <c r="B36" s="156" t="str">
        <f t="array" ref="B36">IF(A36="", "", IFERROR(INDEX('All Abilities'!H:H, MATCH(A36, 'All Abilities'!B:B, 0)), ""))</f>
        <v/>
      </c>
      <c r="C36" s="156" t="str">
        <f t="array" ref="C36">IF(A36="", "", IFERROR(INDEX('All Abilities'!D:D, MATCH(A36, 'All Abilities'!B:B, 0)), ""))</f>
        <v/>
      </c>
      <c r="D36" s="156" t="str">
        <f t="array" ref="D36">IF(A36="", "", IFERROR(INDEX('All Abilities'!E:E, MATCH(A36, 'All Abilities'!B:B, 0)), ""))</f>
        <v/>
      </c>
      <c r="E36" s="156" t="str">
        <f t="array" ref="E36">IF(A36="", "", IFERROR(INDEX('All Abilities'!G:G, MATCH(A36, 'All Abilities'!B:B, 0)), ""))</f>
        <v/>
      </c>
      <c r="F36" s="156" t="str">
        <f t="array" ref="F36">IF(A36="", "", IFERROR(INDEX('All Abilities'!F:F, MATCH(A36, 'All Abilities'!B:B, 0)), ""))</f>
        <v/>
      </c>
      <c r="G36" s="156" t="str">
        <f t="array" ref="G36">IF(A36="", "", IFERROR(INDEX('All Abilities'!L:L, MATCH(A36, 'All Abilities'!B:B, 0)), ""))</f>
        <v/>
      </c>
    </row>
    <row r="37">
      <c r="A37" s="156"/>
      <c r="B37" s="156" t="str">
        <f t="array" ref="B37">IF(A37="", "", IFERROR(INDEX('All Abilities'!H:H, MATCH(A37, 'All Abilities'!B:B, 0)), ""))</f>
        <v/>
      </c>
      <c r="C37" s="156" t="str">
        <f t="array" ref="C37">IF(A37="", "", IFERROR(INDEX('All Abilities'!D:D, MATCH(A37, 'All Abilities'!B:B, 0)), ""))</f>
        <v/>
      </c>
      <c r="D37" s="156" t="str">
        <f t="array" ref="D37">IF(A37="", "", IFERROR(INDEX('All Abilities'!E:E, MATCH(A37, 'All Abilities'!B:B, 0)), ""))</f>
        <v/>
      </c>
      <c r="E37" s="156" t="str">
        <f t="array" ref="E37">IF(A37="", "", IFERROR(INDEX('All Abilities'!G:G, MATCH(A37, 'All Abilities'!B:B, 0)), ""))</f>
        <v/>
      </c>
      <c r="F37" s="156" t="str">
        <f t="array" ref="F37">IF(A37="", "", IFERROR(INDEX('All Abilities'!F:F, MATCH(A37, 'All Abilities'!B:B, 0)), ""))</f>
        <v/>
      </c>
      <c r="G37" s="156" t="str">
        <f t="array" ref="G37">IF(A37="", "", IFERROR(INDEX('All Abilities'!L:L, MATCH(A37, 'All Abilities'!B:B, 0)), ""))</f>
        <v/>
      </c>
    </row>
    <row r="38">
      <c r="A38" s="156"/>
      <c r="B38" s="156" t="str">
        <f t="array" ref="B38">IF(A38="", "", IFERROR(INDEX('All Abilities'!H:H, MATCH(A38, 'All Abilities'!B:B, 0)), ""))</f>
        <v/>
      </c>
      <c r="C38" s="156" t="str">
        <f t="array" ref="C38">IF(A38="", "", IFERROR(INDEX('All Abilities'!D:D, MATCH(A38, 'All Abilities'!B:B, 0)), ""))</f>
        <v/>
      </c>
      <c r="D38" s="156" t="str">
        <f t="array" ref="D38">IF(A38="", "", IFERROR(INDEX('All Abilities'!E:E, MATCH(A38, 'All Abilities'!B:B, 0)), ""))</f>
        <v/>
      </c>
      <c r="E38" s="156" t="str">
        <f t="array" ref="E38">IF(A38="", "", IFERROR(INDEX('All Abilities'!G:G, MATCH(A38, 'All Abilities'!B:B, 0)), ""))</f>
        <v/>
      </c>
      <c r="F38" s="156" t="str">
        <f t="array" ref="F38">IF(A38="", "", IFERROR(INDEX('All Abilities'!F:F, MATCH(A38, 'All Abilities'!B:B, 0)), ""))</f>
        <v/>
      </c>
      <c r="G38" s="156" t="str">
        <f t="array" ref="G38">IF(A38="", "", IFERROR(INDEX('All Abilities'!L:L, MATCH(A38, 'All Abilities'!B:B, 0)), ""))</f>
        <v/>
      </c>
    </row>
    <row r="39">
      <c r="A39" s="156"/>
      <c r="B39" s="156" t="str">
        <f t="array" ref="B39">IF(A39="", "", IFERROR(INDEX('All Abilities'!H:H, MATCH(A39, 'All Abilities'!B:B, 0)), ""))</f>
        <v/>
      </c>
      <c r="C39" s="156" t="str">
        <f t="array" ref="C39">IF(A39="", "", IFERROR(INDEX('All Abilities'!D:D, MATCH(A39, 'All Abilities'!B:B, 0)), ""))</f>
        <v/>
      </c>
      <c r="D39" s="156" t="str">
        <f t="array" ref="D39">IF(A39="", "", IFERROR(INDEX('All Abilities'!E:E, MATCH(A39, 'All Abilities'!B:B, 0)), ""))</f>
        <v/>
      </c>
      <c r="E39" s="156" t="str">
        <f t="array" ref="E39">IF(A39="", "", IFERROR(INDEX('All Abilities'!G:G, MATCH(A39, 'All Abilities'!B:B, 0)), ""))</f>
        <v/>
      </c>
      <c r="F39" s="156" t="str">
        <f t="array" ref="F39">IF(A39="", "", IFERROR(INDEX('All Abilities'!F:F, MATCH(A39, 'All Abilities'!B:B, 0)), ""))</f>
        <v/>
      </c>
      <c r="G39" s="156" t="str">
        <f t="array" ref="G39">IF(A39="", "", IFERROR(INDEX('All Abilities'!L:L, MATCH(A39, 'All Abilities'!B:B, 0)), ""))</f>
        <v/>
      </c>
    </row>
    <row r="40">
      <c r="A40" s="156"/>
      <c r="B40" s="156" t="str">
        <f t="array" ref="B40">IF(A40="", "", IFERROR(INDEX('All Abilities'!H:H, MATCH(A40, 'All Abilities'!B:B, 0)), ""))</f>
        <v/>
      </c>
      <c r="C40" s="156" t="str">
        <f t="array" ref="C40">IF(A40="", "", IFERROR(INDEX('All Abilities'!D:D, MATCH(A40, 'All Abilities'!B:B, 0)), ""))</f>
        <v/>
      </c>
      <c r="D40" s="156" t="str">
        <f t="array" ref="D40">IF(A40="", "", IFERROR(INDEX('All Abilities'!E:E, MATCH(A40, 'All Abilities'!B:B, 0)), ""))</f>
        <v/>
      </c>
      <c r="E40" s="156" t="str">
        <f t="array" ref="E40">IF(A40="", "", IFERROR(INDEX('All Abilities'!G:G, MATCH(A40, 'All Abilities'!B:B, 0)), ""))</f>
        <v/>
      </c>
      <c r="F40" s="156" t="str">
        <f t="array" ref="F40">IF(A40="", "", IFERROR(INDEX('All Abilities'!F:F, MATCH(A40, 'All Abilities'!B:B, 0)), ""))</f>
        <v/>
      </c>
      <c r="G40" s="156" t="str">
        <f t="array" ref="G40">IF(A40="", "", IFERROR(INDEX('All Abilities'!L:L, MATCH(A40, 'All Abilities'!B:B, 0)), ""))</f>
        <v/>
      </c>
    </row>
    <row r="41">
      <c r="A41" s="156"/>
      <c r="B41" s="156" t="str">
        <f t="array" ref="B41">IF(A41="", "", IFERROR(INDEX('All Abilities'!H:H, MATCH(A41, 'All Abilities'!B:B, 0)), ""))</f>
        <v/>
      </c>
      <c r="C41" s="156" t="str">
        <f t="array" ref="C41">IF(A41="", "", IFERROR(INDEX('All Abilities'!D:D, MATCH(A41, 'All Abilities'!B:B, 0)), ""))</f>
        <v/>
      </c>
      <c r="D41" s="156" t="str">
        <f t="array" ref="D41">IF(A41="", "", IFERROR(INDEX('All Abilities'!E:E, MATCH(A41, 'All Abilities'!B:B, 0)), ""))</f>
        <v/>
      </c>
      <c r="E41" s="156" t="str">
        <f t="array" ref="E41">IF(A41="", "", IFERROR(INDEX('All Abilities'!G:G, MATCH(A41, 'All Abilities'!B:B, 0)), ""))</f>
        <v/>
      </c>
      <c r="F41" s="156" t="str">
        <f t="array" ref="F41">IF(A41="", "", IFERROR(INDEX('All Abilities'!F:F, MATCH(A41, 'All Abilities'!B:B, 0)), ""))</f>
        <v/>
      </c>
      <c r="G41" s="156" t="str">
        <f t="array" ref="G41">IF(A41="", "", IFERROR(INDEX('All Abilities'!L:L, MATCH(A41, 'All Abilities'!B:B, 0)), ""))</f>
        <v/>
      </c>
    </row>
    <row r="42">
      <c r="A42" s="156"/>
      <c r="B42" s="156" t="str">
        <f t="array" ref="B42">IF(A42="", "", IFERROR(INDEX('All Abilities'!H:H, MATCH(A42, 'All Abilities'!B:B, 0)), ""))</f>
        <v/>
      </c>
      <c r="C42" s="156" t="str">
        <f t="array" ref="C42">IF(A42="", "", IFERROR(INDEX('All Abilities'!D:D, MATCH(A42, 'All Abilities'!B:B, 0)), ""))</f>
        <v/>
      </c>
      <c r="D42" s="156" t="str">
        <f t="array" ref="D42">IF(A42="", "", IFERROR(INDEX('All Abilities'!E:E, MATCH(A42, 'All Abilities'!B:B, 0)), ""))</f>
        <v/>
      </c>
      <c r="E42" s="156" t="str">
        <f t="array" ref="E42">IF(A42="", "", IFERROR(INDEX('All Abilities'!G:G, MATCH(A42, 'All Abilities'!B:B, 0)), ""))</f>
        <v/>
      </c>
      <c r="F42" s="156" t="str">
        <f t="array" ref="F42">IF(A42="", "", IFERROR(INDEX('All Abilities'!F:F, MATCH(A42, 'All Abilities'!B:B, 0)), ""))</f>
        <v/>
      </c>
      <c r="G42" s="156" t="str">
        <f t="array" ref="G42">IF(A42="", "", IFERROR(INDEX('All Abilities'!L:L, MATCH(A42, 'All Abilities'!B:B, 0)), ""))</f>
        <v/>
      </c>
    </row>
    <row r="43">
      <c r="A43" s="156"/>
      <c r="B43" s="156" t="str">
        <f t="array" ref="B43">IF(A43="", "", IFERROR(INDEX('All Abilities'!H:H, MATCH(A43, 'All Abilities'!B:B, 0)), ""))</f>
        <v/>
      </c>
      <c r="C43" s="156" t="str">
        <f t="array" ref="C43">IF(A43="", "", IFERROR(INDEX('All Abilities'!D:D, MATCH(A43, 'All Abilities'!B:B, 0)), ""))</f>
        <v/>
      </c>
      <c r="D43" s="156" t="str">
        <f t="array" ref="D43">IF(A43="", "", IFERROR(INDEX('All Abilities'!E:E, MATCH(A43, 'All Abilities'!B:B, 0)), ""))</f>
        <v/>
      </c>
      <c r="E43" s="156" t="str">
        <f t="array" ref="E43">IF(A43="", "", IFERROR(INDEX('All Abilities'!G:G, MATCH(A43, 'All Abilities'!B:B, 0)), ""))</f>
        <v/>
      </c>
      <c r="F43" s="156" t="str">
        <f t="array" ref="F43">IF(A43="", "", IFERROR(INDEX('All Abilities'!F:F, MATCH(A43, 'All Abilities'!B:B, 0)), ""))</f>
        <v/>
      </c>
      <c r="G43" s="156" t="str">
        <f t="array" ref="G43">IF(A43="", "", IFERROR(INDEX('All Abilities'!L:L, MATCH(A43, 'All Abilities'!B:B, 0)), ""))</f>
        <v/>
      </c>
    </row>
    <row r="44">
      <c r="A44" s="156"/>
      <c r="B44" s="156" t="str">
        <f t="array" ref="B44">IF(A44="", "", IFERROR(INDEX('All Abilities'!H:H, MATCH(A44, 'All Abilities'!B:B, 0)), ""))</f>
        <v/>
      </c>
      <c r="C44" s="156" t="str">
        <f t="array" ref="C44">IF(A44="", "", IFERROR(INDEX('All Abilities'!D:D, MATCH(A44, 'All Abilities'!B:B, 0)), ""))</f>
        <v/>
      </c>
      <c r="D44" s="156" t="str">
        <f t="array" ref="D44">IF(A44="", "", IFERROR(INDEX('All Abilities'!E:E, MATCH(A44, 'All Abilities'!B:B, 0)), ""))</f>
        <v/>
      </c>
      <c r="E44" s="156" t="str">
        <f t="array" ref="E44">IF(A44="", "", IFERROR(INDEX('All Abilities'!G:G, MATCH(A44, 'All Abilities'!B:B, 0)), ""))</f>
        <v/>
      </c>
      <c r="F44" s="156" t="str">
        <f t="array" ref="F44">IF(A44="", "", IFERROR(INDEX('All Abilities'!F:F, MATCH(A44, 'All Abilities'!B:B, 0)), ""))</f>
        <v/>
      </c>
      <c r="G44" s="156" t="str">
        <f t="array" ref="G44">IF(A44="", "", IFERROR(INDEX('All Abilities'!L:L, MATCH(A44, 'All Abilities'!B:B, 0)), ""))</f>
        <v/>
      </c>
    </row>
    <row r="45">
      <c r="A45" s="156"/>
      <c r="B45" s="156" t="str">
        <f t="array" ref="B45">IF(A45="", "", IFERROR(INDEX('All Abilities'!H:H, MATCH(A45, 'All Abilities'!B:B, 0)), ""))</f>
        <v/>
      </c>
      <c r="C45" s="156" t="str">
        <f t="array" ref="C45">IF(A45="", "", IFERROR(INDEX('All Abilities'!D:D, MATCH(A45, 'All Abilities'!B:B, 0)), ""))</f>
        <v/>
      </c>
      <c r="D45" s="156" t="str">
        <f t="array" ref="D45">IF(A45="", "", IFERROR(INDEX('All Abilities'!E:E, MATCH(A45, 'All Abilities'!B:B, 0)), ""))</f>
        <v/>
      </c>
      <c r="E45" s="156" t="str">
        <f t="array" ref="E45">IF(A45="", "", IFERROR(INDEX('All Abilities'!G:G, MATCH(A45, 'All Abilities'!B:B, 0)), ""))</f>
        <v/>
      </c>
      <c r="F45" s="156" t="str">
        <f t="array" ref="F45">IF(A45="", "", IFERROR(INDEX('All Abilities'!F:F, MATCH(A45, 'All Abilities'!B:B, 0)), ""))</f>
        <v/>
      </c>
      <c r="G45" s="156" t="str">
        <f t="array" ref="G45">IF(A45="", "", IFERROR(INDEX('All Abilities'!L:L, MATCH(A45, 'All Abilities'!B:B, 0)), ""))</f>
        <v/>
      </c>
    </row>
    <row r="46">
      <c r="A46" s="156"/>
      <c r="B46" s="156" t="str">
        <f t="array" ref="B46">IF(A46="", "", IFERROR(INDEX('All Abilities'!H:H, MATCH(A46, 'All Abilities'!B:B, 0)), ""))</f>
        <v/>
      </c>
      <c r="C46" s="156" t="str">
        <f t="array" ref="C46">IF(A46="", "", IFERROR(INDEX('All Abilities'!D:D, MATCH(A46, 'All Abilities'!B:B, 0)), ""))</f>
        <v/>
      </c>
      <c r="D46" s="156" t="str">
        <f t="array" ref="D46">IF(A46="", "", IFERROR(INDEX('All Abilities'!E:E, MATCH(A46, 'All Abilities'!B:B, 0)), ""))</f>
        <v/>
      </c>
      <c r="E46" s="156" t="str">
        <f t="array" ref="E46">IF(A46="", "", IFERROR(INDEX('All Abilities'!G:G, MATCH(A46, 'All Abilities'!B:B, 0)), ""))</f>
        <v/>
      </c>
      <c r="F46" s="156" t="str">
        <f t="array" ref="F46">IF(A46="", "", IFERROR(INDEX('All Abilities'!F:F, MATCH(A46, 'All Abilities'!B:B, 0)), ""))</f>
        <v/>
      </c>
      <c r="G46" s="156" t="str">
        <f t="array" ref="G46">IF(A46="", "", IFERROR(INDEX('All Abilities'!L:L, MATCH(A46, 'All Abilities'!B:B, 0)), ""))</f>
        <v/>
      </c>
    </row>
    <row r="47">
      <c r="A47" s="156"/>
      <c r="B47" s="156" t="str">
        <f t="array" ref="B47">IF(A47="", "", IFERROR(INDEX('All Abilities'!H:H, MATCH(A47, 'All Abilities'!B:B, 0)), ""))</f>
        <v/>
      </c>
      <c r="C47" s="156" t="str">
        <f t="array" ref="C47">IF(A47="", "", IFERROR(INDEX('All Abilities'!D:D, MATCH(A47, 'All Abilities'!B:B, 0)), ""))</f>
        <v/>
      </c>
      <c r="D47" s="156" t="str">
        <f t="array" ref="D47">IF(A47="", "", IFERROR(INDEX('All Abilities'!E:E, MATCH(A47, 'All Abilities'!B:B, 0)), ""))</f>
        <v/>
      </c>
      <c r="E47" s="156" t="str">
        <f t="array" ref="E47">IF(A47="", "", IFERROR(INDEX('All Abilities'!G:G, MATCH(A47, 'All Abilities'!B:B, 0)), ""))</f>
        <v/>
      </c>
      <c r="F47" s="156" t="str">
        <f t="array" ref="F47">IF(A47="", "", IFERROR(INDEX('All Abilities'!F:F, MATCH(A47, 'All Abilities'!B:B, 0)), ""))</f>
        <v/>
      </c>
      <c r="G47" s="156" t="str">
        <f t="array" ref="G47">IF(A47="", "", IFERROR(INDEX('All Abilities'!L:L, MATCH(A47, 'All Abilities'!B:B, 0)), ""))</f>
        <v/>
      </c>
    </row>
    <row r="48">
      <c r="A48" s="156"/>
      <c r="B48" s="156" t="str">
        <f t="array" ref="B48">IF(A48="", "", IFERROR(INDEX('All Abilities'!H:H, MATCH(A48, 'All Abilities'!B:B, 0)), ""))</f>
        <v/>
      </c>
      <c r="C48" s="156" t="str">
        <f t="array" ref="C48">IF(A48="", "", IFERROR(INDEX('All Abilities'!D:D, MATCH(A48, 'All Abilities'!B:B, 0)), ""))</f>
        <v/>
      </c>
      <c r="D48" s="156" t="str">
        <f t="array" ref="D48">IF(A48="", "", IFERROR(INDEX('All Abilities'!E:E, MATCH(A48, 'All Abilities'!B:B, 0)), ""))</f>
        <v/>
      </c>
      <c r="E48" s="156" t="str">
        <f t="array" ref="E48">IF(A48="", "", IFERROR(INDEX('All Abilities'!G:G, MATCH(A48, 'All Abilities'!B:B, 0)), ""))</f>
        <v/>
      </c>
      <c r="F48" s="156" t="str">
        <f t="array" ref="F48">IF(A48="", "", IFERROR(INDEX('All Abilities'!F:F, MATCH(A48, 'All Abilities'!B:B, 0)), ""))</f>
        <v/>
      </c>
      <c r="G48" s="156" t="str">
        <f t="array" ref="G48">IF(A48="", "", IFERROR(INDEX('All Abilities'!L:L, MATCH(A48, 'All Abilities'!B:B, 0)), ""))</f>
        <v/>
      </c>
    </row>
    <row r="49">
      <c r="A49" s="156"/>
      <c r="B49" s="156" t="str">
        <f t="array" ref="B49">IF(A49="", "", IFERROR(INDEX('All Abilities'!H:H, MATCH(A49, 'All Abilities'!B:B, 0)), ""))</f>
        <v/>
      </c>
      <c r="C49" s="156" t="str">
        <f t="array" ref="C49">IF(A49="", "", IFERROR(INDEX('All Abilities'!D:D, MATCH(A49, 'All Abilities'!B:B, 0)), ""))</f>
        <v/>
      </c>
      <c r="D49" s="156" t="str">
        <f t="array" ref="D49">IF(A49="", "", IFERROR(INDEX('All Abilities'!E:E, MATCH(A49, 'All Abilities'!B:B, 0)), ""))</f>
        <v/>
      </c>
      <c r="E49" s="156" t="str">
        <f t="array" ref="E49">IF(A49="", "", IFERROR(INDEX('All Abilities'!G:G, MATCH(A49, 'All Abilities'!B:B, 0)), ""))</f>
        <v/>
      </c>
      <c r="F49" s="156" t="str">
        <f t="array" ref="F49">IF(A49="", "", IFERROR(INDEX('All Abilities'!F:F, MATCH(A49, 'All Abilities'!B:B, 0)), ""))</f>
        <v/>
      </c>
      <c r="G49" s="156" t="str">
        <f t="array" ref="G49">IF(A49="", "", IFERROR(INDEX('All Abilities'!L:L, MATCH(A49, 'All Abilities'!B:B, 0)), ""))</f>
        <v/>
      </c>
    </row>
    <row r="50">
      <c r="A50" s="156"/>
      <c r="B50" s="156" t="str">
        <f t="array" ref="B50">IF(A50="", "", IFERROR(INDEX('All Abilities'!H:H, MATCH(A50, 'All Abilities'!B:B, 0)), ""))</f>
        <v/>
      </c>
      <c r="C50" s="156" t="str">
        <f t="array" ref="C50">IF(A50="", "", IFERROR(INDEX('All Abilities'!D:D, MATCH(A50, 'All Abilities'!B:B, 0)), ""))</f>
        <v/>
      </c>
      <c r="D50" s="156" t="str">
        <f t="array" ref="D50">IF(A50="", "", IFERROR(INDEX('All Abilities'!E:E, MATCH(A50, 'All Abilities'!B:B, 0)), ""))</f>
        <v/>
      </c>
      <c r="E50" s="156" t="str">
        <f t="array" ref="E50">IF(A50="", "", IFERROR(INDEX('All Abilities'!G:G, MATCH(A50, 'All Abilities'!B:B, 0)), ""))</f>
        <v/>
      </c>
      <c r="F50" s="156" t="str">
        <f t="array" ref="F50">IF(A50="", "", IFERROR(INDEX('All Abilities'!F:F, MATCH(A50, 'All Abilities'!B:B, 0)), ""))</f>
        <v/>
      </c>
      <c r="G50" s="156" t="str">
        <f t="array" ref="G50">IF(A50="", "", IFERROR(INDEX('All Abilities'!L:L, MATCH(A50, 'All Abilities'!B:B, 0)), ""))</f>
        <v/>
      </c>
    </row>
    <row r="51">
      <c r="A51" s="156"/>
      <c r="B51" s="156" t="str">
        <f t="array" ref="B51">IF(A51="", "", IFERROR(INDEX('All Abilities'!H:H, MATCH(A51, 'All Abilities'!B:B, 0)), ""))</f>
        <v/>
      </c>
      <c r="C51" s="156" t="str">
        <f t="array" ref="C51">IF(A51="", "", IFERROR(INDEX('All Abilities'!D:D, MATCH(A51, 'All Abilities'!B:B, 0)), ""))</f>
        <v/>
      </c>
      <c r="D51" s="156" t="str">
        <f t="array" ref="D51">IF(A51="", "", IFERROR(INDEX('All Abilities'!E:E, MATCH(A51, 'All Abilities'!B:B, 0)), ""))</f>
        <v/>
      </c>
      <c r="E51" s="156" t="str">
        <f t="array" ref="E51">IF(A51="", "", IFERROR(INDEX('All Abilities'!G:G, MATCH(A51, 'All Abilities'!B:B, 0)), ""))</f>
        <v/>
      </c>
      <c r="F51" s="156" t="str">
        <f t="array" ref="F51">IF(A51="", "", IFERROR(INDEX('All Abilities'!F:F, MATCH(A51, 'All Abilities'!B:B, 0)), ""))</f>
        <v/>
      </c>
      <c r="G51" s="156" t="str">
        <f t="array" ref="G51">IF(A51="", "", IFERROR(INDEX('All Abilities'!L:L, MATCH(A51, 'All Abilities'!B:B, 0)), ""))</f>
        <v/>
      </c>
    </row>
    <row r="52">
      <c r="A52" s="156"/>
      <c r="B52" s="156" t="str">
        <f t="array" ref="B52">IF(A52="", "", IFERROR(INDEX('All Abilities'!H:H, MATCH(A52, 'All Abilities'!B:B, 0)), ""))</f>
        <v/>
      </c>
      <c r="C52" s="156" t="str">
        <f t="array" ref="C52">IF(A52="", "", IFERROR(INDEX('All Abilities'!D:D, MATCH(A52, 'All Abilities'!B:B, 0)), ""))</f>
        <v/>
      </c>
      <c r="D52" s="156" t="str">
        <f t="array" ref="D52">IF(A52="", "", IFERROR(INDEX('All Abilities'!E:E, MATCH(A52, 'All Abilities'!B:B, 0)), ""))</f>
        <v/>
      </c>
      <c r="E52" s="156" t="str">
        <f t="array" ref="E52">IF(A52="", "", IFERROR(INDEX('All Abilities'!G:G, MATCH(A52, 'All Abilities'!B:B, 0)), ""))</f>
        <v/>
      </c>
      <c r="F52" s="156" t="str">
        <f t="array" ref="F52">IF(A52="", "", IFERROR(INDEX('All Abilities'!F:F, MATCH(A52, 'All Abilities'!B:B, 0)), ""))</f>
        <v/>
      </c>
      <c r="G52" s="156" t="str">
        <f t="array" ref="G52">IF(A52="", "", IFERROR(INDEX('All Abilities'!L:L, MATCH(A52, 'All Abilities'!B:B, 0)), ""))</f>
        <v/>
      </c>
    </row>
    <row r="53">
      <c r="A53" s="156"/>
      <c r="B53" s="156" t="str">
        <f t="array" ref="B53">IF(A53="", "", IFERROR(INDEX('All Abilities'!H:H, MATCH(A53, 'All Abilities'!B:B, 0)), ""))</f>
        <v/>
      </c>
      <c r="C53" s="156" t="str">
        <f t="array" ref="C53">IF(A53="", "", IFERROR(INDEX('All Abilities'!D:D, MATCH(A53, 'All Abilities'!B:B, 0)), ""))</f>
        <v/>
      </c>
      <c r="D53" s="156" t="str">
        <f t="array" ref="D53">IF(A53="", "", IFERROR(INDEX('All Abilities'!E:E, MATCH(A53, 'All Abilities'!B:B, 0)), ""))</f>
        <v/>
      </c>
      <c r="E53" s="156" t="str">
        <f t="array" ref="E53">IF(A53="", "", IFERROR(INDEX('All Abilities'!G:G, MATCH(A53, 'All Abilities'!B:B, 0)), ""))</f>
        <v/>
      </c>
      <c r="F53" s="156" t="str">
        <f t="array" ref="F53">IF(A53="", "", IFERROR(INDEX('All Abilities'!F:F, MATCH(A53, 'All Abilities'!B:B, 0)), ""))</f>
        <v/>
      </c>
      <c r="G53" s="156" t="str">
        <f t="array" ref="G53">IF(A53="", "", IFERROR(INDEX('All Abilities'!L:L, MATCH(A53, 'All Abilities'!B:B, 0)), ""))</f>
        <v/>
      </c>
    </row>
    <row r="54">
      <c r="A54" s="156"/>
      <c r="B54" s="156" t="str">
        <f t="array" ref="B54">IF(A54="", "", IFERROR(INDEX('All Abilities'!H:H, MATCH(A54, 'All Abilities'!B:B, 0)), ""))</f>
        <v/>
      </c>
      <c r="C54" s="156" t="str">
        <f t="array" ref="C54">IF(A54="", "", IFERROR(INDEX('All Abilities'!D:D, MATCH(A54, 'All Abilities'!B:B, 0)), ""))</f>
        <v/>
      </c>
      <c r="D54" s="156" t="str">
        <f t="array" ref="D54">IF(A54="", "", IFERROR(INDEX('All Abilities'!E:E, MATCH(A54, 'All Abilities'!B:B, 0)), ""))</f>
        <v/>
      </c>
      <c r="E54" s="156" t="str">
        <f t="array" ref="E54">IF(A54="", "", IFERROR(INDEX('All Abilities'!G:G, MATCH(A54, 'All Abilities'!B:B, 0)), ""))</f>
        <v/>
      </c>
      <c r="F54" s="156" t="str">
        <f t="array" ref="F54">IF(A54="", "", IFERROR(INDEX('All Abilities'!F:F, MATCH(A54, 'All Abilities'!B:B, 0)), ""))</f>
        <v/>
      </c>
      <c r="G54" s="156" t="str">
        <f t="array" ref="G54">IF(A54="", "", IFERROR(INDEX('All Abilities'!L:L, MATCH(A54, 'All Abilities'!B:B, 0)), ""))</f>
        <v/>
      </c>
    </row>
    <row r="55">
      <c r="A55" s="156"/>
      <c r="B55" s="156" t="str">
        <f t="array" ref="B55">IF(A55="", "", IFERROR(INDEX('All Abilities'!H:H, MATCH(A55, 'All Abilities'!B:B, 0)), ""))</f>
        <v/>
      </c>
      <c r="C55" s="156" t="str">
        <f t="array" ref="C55">IF(A55="", "", IFERROR(INDEX('All Abilities'!D:D, MATCH(A55, 'All Abilities'!B:B, 0)), ""))</f>
        <v/>
      </c>
      <c r="D55" s="156" t="str">
        <f t="array" ref="D55">IF(A55="", "", IFERROR(INDEX('All Abilities'!E:E, MATCH(A55, 'All Abilities'!B:B, 0)), ""))</f>
        <v/>
      </c>
      <c r="E55" s="156" t="str">
        <f t="array" ref="E55">IF(A55="", "", IFERROR(INDEX('All Abilities'!G:G, MATCH(A55, 'All Abilities'!B:B, 0)), ""))</f>
        <v/>
      </c>
      <c r="F55" s="156" t="str">
        <f t="array" ref="F55">IF(A55="", "", IFERROR(INDEX('All Abilities'!F:F, MATCH(A55, 'All Abilities'!B:B, 0)), ""))</f>
        <v/>
      </c>
      <c r="G55" s="156" t="str">
        <f t="array" ref="G55">IF(A55="", "", IFERROR(INDEX('All Abilities'!L:L, MATCH(A55, 'All Abilities'!B:B, 0)), ""))</f>
        <v/>
      </c>
    </row>
    <row r="56">
      <c r="A56" s="156"/>
      <c r="B56" s="156" t="str">
        <f t="array" ref="B56">IF(A56="", "", IFERROR(INDEX('All Abilities'!H:H, MATCH(A56, 'All Abilities'!B:B, 0)), ""))</f>
        <v/>
      </c>
      <c r="C56" s="156" t="str">
        <f t="array" ref="C56">IF(A56="", "", IFERROR(INDEX('All Abilities'!D:D, MATCH(A56, 'All Abilities'!B:B, 0)), ""))</f>
        <v/>
      </c>
      <c r="D56" s="156" t="str">
        <f t="array" ref="D56">IF(A56="", "", IFERROR(INDEX('All Abilities'!E:E, MATCH(A56, 'All Abilities'!B:B, 0)), ""))</f>
        <v/>
      </c>
      <c r="E56" s="156" t="str">
        <f t="array" ref="E56">IF(A56="", "", IFERROR(INDEX('All Abilities'!G:G, MATCH(A56, 'All Abilities'!B:B, 0)), ""))</f>
        <v/>
      </c>
      <c r="F56" s="156" t="str">
        <f t="array" ref="F56">IF(A56="", "", IFERROR(INDEX('All Abilities'!F:F, MATCH(A56, 'All Abilities'!B:B, 0)), ""))</f>
        <v/>
      </c>
      <c r="G56" s="156" t="str">
        <f t="array" ref="G56">IF(A56="", "", IFERROR(INDEX('All Abilities'!L:L, MATCH(A56, 'All Abilities'!B:B, 0)), ""))</f>
        <v/>
      </c>
    </row>
    <row r="57">
      <c r="A57" s="156"/>
      <c r="B57" s="156" t="str">
        <f t="array" ref="B57">IF(A57="", "", IFERROR(INDEX('All Abilities'!H:H, MATCH(A57, 'All Abilities'!B:B, 0)), ""))</f>
        <v/>
      </c>
      <c r="C57" s="156" t="str">
        <f t="array" ref="C57">IF(A57="", "", IFERROR(INDEX('All Abilities'!D:D, MATCH(A57, 'All Abilities'!B:B, 0)), ""))</f>
        <v/>
      </c>
      <c r="D57" s="156" t="str">
        <f t="array" ref="D57">IF(A57="", "", IFERROR(INDEX('All Abilities'!E:E, MATCH(A57, 'All Abilities'!B:B, 0)), ""))</f>
        <v/>
      </c>
      <c r="E57" s="156" t="str">
        <f t="array" ref="E57">IF(A57="", "", IFERROR(INDEX('All Abilities'!G:G, MATCH(A57, 'All Abilities'!B:B, 0)), ""))</f>
        <v/>
      </c>
      <c r="F57" s="156" t="str">
        <f t="array" ref="F57">IF(A57="", "", IFERROR(INDEX('All Abilities'!F:F, MATCH(A57, 'All Abilities'!B:B, 0)), ""))</f>
        <v/>
      </c>
      <c r="G57" s="156" t="str">
        <f t="array" ref="G57">IF(A57="", "", IFERROR(INDEX('All Abilities'!L:L, MATCH(A57, 'All Abilities'!B:B, 0)), ""))</f>
        <v/>
      </c>
    </row>
    <row r="58">
      <c r="A58" s="156"/>
      <c r="B58" s="156" t="str">
        <f t="array" ref="B58">IF(A58="", "", IFERROR(INDEX('All Abilities'!H:H, MATCH(A58, 'All Abilities'!B:B, 0)), ""))</f>
        <v/>
      </c>
      <c r="C58" s="156" t="str">
        <f t="array" ref="C58">IF(A58="", "", IFERROR(INDEX('All Abilities'!D:D, MATCH(A58, 'All Abilities'!B:B, 0)), ""))</f>
        <v/>
      </c>
      <c r="D58" s="156" t="str">
        <f t="array" ref="D58">IF(A58="", "", IFERROR(INDEX('All Abilities'!E:E, MATCH(A58, 'All Abilities'!B:B, 0)), ""))</f>
        <v/>
      </c>
      <c r="E58" s="156" t="str">
        <f t="array" ref="E58">IF(A58="", "", IFERROR(INDEX('All Abilities'!G:G, MATCH(A58, 'All Abilities'!B:B, 0)), ""))</f>
        <v/>
      </c>
      <c r="F58" s="156" t="str">
        <f t="array" ref="F58">IF(A58="", "", IFERROR(INDEX('All Abilities'!F:F, MATCH(A58, 'All Abilities'!B:B, 0)), ""))</f>
        <v/>
      </c>
      <c r="G58" s="156" t="str">
        <f t="array" ref="G58">IF(A58="", "", IFERROR(INDEX('All Abilities'!L:L, MATCH(A58, 'All Abilities'!B:B, 0)), ""))</f>
        <v/>
      </c>
    </row>
    <row r="59" ht="30.75" customHeight="1">
      <c r="A59" s="157" t="s">
        <v>142</v>
      </c>
      <c r="B59" s="157" t="s">
        <v>136</v>
      </c>
      <c r="C59" s="158" t="s">
        <v>137</v>
      </c>
      <c r="D59" s="158" t="s">
        <v>138</v>
      </c>
      <c r="E59" s="158" t="s">
        <v>139</v>
      </c>
      <c r="F59" s="158" t="s">
        <v>140</v>
      </c>
      <c r="G59" s="159" t="s">
        <v>141</v>
      </c>
    </row>
    <row r="60">
      <c r="A60" s="160"/>
      <c r="B60" s="156" t="str">
        <f t="array" ref="B60">IF(A60="", "", IFERROR(INDEX('All Abilities'!H:H, MATCH(A60, 'All Abilities'!B:B, 0)), ""))</f>
        <v/>
      </c>
      <c r="C60" s="156" t="str">
        <f t="array" ref="C60">IF(A60="", "", IFERROR(INDEX('All Abilities'!D:D, MATCH(A60, 'All Abilities'!B:B, 0)), ""))</f>
        <v/>
      </c>
      <c r="D60" s="156" t="str">
        <f t="array" ref="D60">IF(A60="", "", IFERROR(INDEX('All Abilities'!E:E, MATCH(A60, 'All Abilities'!B:B, 0)), ""))</f>
        <v/>
      </c>
      <c r="E60" s="156" t="str">
        <f t="array" ref="E60">IF(A60="", "", IFERROR(INDEX('All Abilities'!G:G, MATCH(A60, 'All Abilities'!B:B, 0)), ""))</f>
        <v/>
      </c>
      <c r="F60" s="156" t="str">
        <f t="array" ref="F60">IF(A60="", "", IFERROR(INDEX('All Abilities'!F:F, MATCH(A60, 'All Abilities'!B:B, 0)), ""))</f>
        <v/>
      </c>
      <c r="G60" s="156" t="str">
        <f t="array" ref="G60">IF(A60="", "", IFERROR(INDEX('All Abilities'!L:L, MATCH(A60, 'All Abilities'!B:B, 0)), ""))</f>
        <v/>
      </c>
    </row>
    <row r="61">
      <c r="A61" s="161"/>
      <c r="B61" s="156" t="str">
        <f t="array" ref="B61">IF(A61="", "", IFERROR(INDEX('All Abilities'!H:H, MATCH(A61, 'All Abilities'!B:B, 0)), ""))</f>
        <v/>
      </c>
      <c r="C61" s="156" t="str">
        <f t="array" ref="C61">IF(A61="", "", IFERROR(INDEX('All Abilities'!D:D, MATCH(A61, 'All Abilities'!B:B, 0)), ""))</f>
        <v/>
      </c>
      <c r="D61" s="156" t="str">
        <f t="array" ref="D61">IF(A61="", "", IFERROR(INDEX('All Abilities'!E:E, MATCH(A61, 'All Abilities'!B:B, 0)), ""))</f>
        <v/>
      </c>
      <c r="E61" s="156" t="str">
        <f t="array" ref="E61">IF(A61="", "", IFERROR(INDEX('All Abilities'!G:G, MATCH(A61, 'All Abilities'!B:B, 0)), ""))</f>
        <v/>
      </c>
      <c r="F61" s="156" t="str">
        <f t="array" ref="F61">IF(A61="", "", IFERROR(INDEX('All Abilities'!F:F, MATCH(A61, 'All Abilities'!B:B, 0)), ""))</f>
        <v/>
      </c>
      <c r="G61" s="156" t="str">
        <f t="array" ref="G61">IF(A61="", "", IFERROR(INDEX('All Abilities'!L:L, MATCH(A61, 'All Abilities'!B:B, 0)), ""))</f>
        <v/>
      </c>
    </row>
    <row r="62">
      <c r="A62" s="161"/>
      <c r="B62" s="156" t="str">
        <f t="array" ref="B62">IF(A62="", "", IFERROR(INDEX('All Abilities'!H:H, MATCH(A62, 'All Abilities'!B:B, 0)), ""))</f>
        <v/>
      </c>
      <c r="C62" s="156" t="str">
        <f t="array" ref="C62">IF(A62="", "", IFERROR(INDEX('All Abilities'!D:D, MATCH(A62, 'All Abilities'!B:B, 0)), ""))</f>
        <v/>
      </c>
      <c r="D62" s="156" t="str">
        <f t="array" ref="D62">IF(A62="", "", IFERROR(INDEX('All Abilities'!E:E, MATCH(A62, 'All Abilities'!B:B, 0)), ""))</f>
        <v/>
      </c>
      <c r="E62" s="156" t="str">
        <f t="array" ref="E62">IF(A62="", "", IFERROR(INDEX('All Abilities'!G:G, MATCH(A62, 'All Abilities'!B:B, 0)), ""))</f>
        <v/>
      </c>
      <c r="F62" s="156" t="str">
        <f t="array" ref="F62">IF(A62="", "", IFERROR(INDEX('All Abilities'!F:F, MATCH(A62, 'All Abilities'!B:B, 0)), ""))</f>
        <v/>
      </c>
      <c r="G62" s="156" t="str">
        <f t="array" ref="G62">IF(A62="", "", IFERROR(INDEX('All Abilities'!L:L, MATCH(A62, 'All Abilities'!B:B, 0)), ""))</f>
        <v/>
      </c>
    </row>
    <row r="63">
      <c r="A63" s="161"/>
      <c r="B63" s="156" t="str">
        <f t="array" ref="B63">IF(A63="", "", IFERROR(INDEX('All Abilities'!H:H, MATCH(A63, 'All Abilities'!B:B, 0)), ""))</f>
        <v/>
      </c>
      <c r="C63" s="156" t="str">
        <f t="array" ref="C63">IF(A63="", "", IFERROR(INDEX('All Abilities'!D:D, MATCH(A63, 'All Abilities'!B:B, 0)), ""))</f>
        <v/>
      </c>
      <c r="D63" s="156" t="str">
        <f t="array" ref="D63">IF(A63="", "", IFERROR(INDEX('All Abilities'!E:E, MATCH(A63, 'All Abilities'!B:B, 0)), ""))</f>
        <v/>
      </c>
      <c r="E63" s="156" t="str">
        <f t="array" ref="E63">IF(A63="", "", IFERROR(INDEX('All Abilities'!G:G, MATCH(A63, 'All Abilities'!B:B, 0)), ""))</f>
        <v/>
      </c>
      <c r="F63" s="156" t="str">
        <f t="array" ref="F63">IF(A63="", "", IFERROR(INDEX('All Abilities'!F:F, MATCH(A63, 'All Abilities'!B:B, 0)), ""))</f>
        <v/>
      </c>
      <c r="G63" s="156" t="str">
        <f t="array" ref="G63">IF(A63="", "", IFERROR(INDEX('All Abilities'!L:L, MATCH(A63, 'All Abilities'!B:B, 0)), ""))</f>
        <v/>
      </c>
    </row>
    <row r="64">
      <c r="A64" s="161"/>
      <c r="B64" s="156" t="str">
        <f t="array" ref="B64">IF(A64="", "", IFERROR(INDEX('All Abilities'!H:H, MATCH(A64, 'All Abilities'!B:B, 0)), ""))</f>
        <v/>
      </c>
      <c r="C64" s="156" t="str">
        <f t="array" ref="C64">IF(A64="", "", IFERROR(INDEX('All Abilities'!D:D, MATCH(A64, 'All Abilities'!B:B, 0)), ""))</f>
        <v/>
      </c>
      <c r="D64" s="156" t="str">
        <f t="array" ref="D64">IF(A64="", "", IFERROR(INDEX('All Abilities'!E:E, MATCH(A64, 'All Abilities'!B:B, 0)), ""))</f>
        <v/>
      </c>
      <c r="E64" s="156" t="str">
        <f t="array" ref="E64">IF(A64="", "", IFERROR(INDEX('All Abilities'!G:G, MATCH(A64, 'All Abilities'!B:B, 0)), ""))</f>
        <v/>
      </c>
      <c r="F64" s="156" t="str">
        <f t="array" ref="F64">IF(A64="", "", IFERROR(INDEX('All Abilities'!F:F, MATCH(A64, 'All Abilities'!B:B, 0)), ""))</f>
        <v/>
      </c>
      <c r="G64" s="156" t="str">
        <f t="array" ref="G64">IF(A64="", "", IFERROR(INDEX('All Abilities'!L:L, MATCH(A64, 'All Abilities'!B:B, 0)), ""))</f>
        <v/>
      </c>
    </row>
    <row r="65">
      <c r="A65" s="161"/>
      <c r="B65" s="156" t="str">
        <f t="array" ref="B65">IF(A65="", "", IFERROR(INDEX('All Abilities'!H:H, MATCH(A65, 'All Abilities'!B:B, 0)), ""))</f>
        <v/>
      </c>
      <c r="C65" s="156" t="str">
        <f t="array" ref="C65">IF(A65="", "", IFERROR(INDEX('All Abilities'!D:D, MATCH(A65, 'All Abilities'!B:B, 0)), ""))</f>
        <v/>
      </c>
      <c r="D65" s="156" t="str">
        <f t="array" ref="D65">IF(A65="", "", IFERROR(INDEX('All Abilities'!E:E, MATCH(A65, 'All Abilities'!B:B, 0)), ""))</f>
        <v/>
      </c>
      <c r="E65" s="156" t="str">
        <f t="array" ref="E65">IF(A65="", "", IFERROR(INDEX('All Abilities'!G:G, MATCH(A65, 'All Abilities'!B:B, 0)), ""))</f>
        <v/>
      </c>
      <c r="F65" s="156" t="str">
        <f t="array" ref="F65">IF(A65="", "", IFERROR(INDEX('All Abilities'!F:F, MATCH(A65, 'All Abilities'!B:B, 0)), ""))</f>
        <v/>
      </c>
      <c r="G65" s="156" t="str">
        <f t="array" ref="G65">IF(A65="", "", IFERROR(INDEX('All Abilities'!L:L, MATCH(A65, 'All Abilities'!B:B, 0)), ""))</f>
        <v/>
      </c>
    </row>
    <row r="66">
      <c r="A66" s="161"/>
      <c r="B66" s="156" t="str">
        <f t="array" ref="B66">IF(A66="", "", IFERROR(INDEX('All Abilities'!H:H, MATCH(A66, 'All Abilities'!B:B, 0)), ""))</f>
        <v/>
      </c>
      <c r="C66" s="156" t="str">
        <f t="array" ref="C66">IF(A66="", "", IFERROR(INDEX('All Abilities'!D:D, MATCH(A66, 'All Abilities'!B:B, 0)), ""))</f>
        <v/>
      </c>
      <c r="D66" s="156" t="str">
        <f t="array" ref="D66">IF(A66="", "", IFERROR(INDEX('All Abilities'!E:E, MATCH(A66, 'All Abilities'!B:B, 0)), ""))</f>
        <v/>
      </c>
      <c r="E66" s="156" t="str">
        <f t="array" ref="E66">IF(A66="", "", IFERROR(INDEX('All Abilities'!G:G, MATCH(A66, 'All Abilities'!B:B, 0)), ""))</f>
        <v/>
      </c>
      <c r="F66" s="156" t="str">
        <f t="array" ref="F66">IF(A66="", "", IFERROR(INDEX('All Abilities'!F:F, MATCH(A66, 'All Abilities'!B:B, 0)), ""))</f>
        <v/>
      </c>
      <c r="G66" s="156" t="str">
        <f t="array" ref="G66">IF(A66="", "", IFERROR(INDEX('All Abilities'!L:L, MATCH(A66, 'All Abilities'!B:B, 0)), ""))</f>
        <v/>
      </c>
    </row>
    <row r="67">
      <c r="A67" s="161"/>
      <c r="B67" s="156" t="str">
        <f t="array" ref="B67">IF(A67="", "", IFERROR(INDEX('All Abilities'!H:H, MATCH(A67, 'All Abilities'!B:B, 0)), ""))</f>
        <v/>
      </c>
      <c r="C67" s="156" t="str">
        <f t="array" ref="C67">IF(A67="", "", IFERROR(INDEX('All Abilities'!D:D, MATCH(A67, 'All Abilities'!B:B, 0)), ""))</f>
        <v/>
      </c>
      <c r="D67" s="156" t="str">
        <f t="array" ref="D67">IF(A67="", "", IFERROR(INDEX('All Abilities'!E:E, MATCH(A67, 'All Abilities'!B:B, 0)), ""))</f>
        <v/>
      </c>
      <c r="E67" s="156" t="str">
        <f t="array" ref="E67">IF(A67="", "", IFERROR(INDEX('All Abilities'!G:G, MATCH(A67, 'All Abilities'!B:B, 0)), ""))</f>
        <v/>
      </c>
      <c r="F67" s="156" t="str">
        <f t="array" ref="F67">IF(A67="", "", IFERROR(INDEX('All Abilities'!F:F, MATCH(A67, 'All Abilities'!B:B, 0)), ""))</f>
        <v/>
      </c>
      <c r="G67" s="156" t="str">
        <f t="array" ref="G67">IF(A67="", "", IFERROR(INDEX('All Abilities'!L:L, MATCH(A67, 'All Abilities'!B:B, 0)), ""))</f>
        <v/>
      </c>
    </row>
    <row r="68">
      <c r="A68" s="161"/>
      <c r="B68" s="156" t="str">
        <f t="array" ref="B68">IF(A68="", "", IFERROR(INDEX('All Abilities'!H:H, MATCH(A68, 'All Abilities'!B:B, 0)), ""))</f>
        <v/>
      </c>
      <c r="C68" s="156" t="str">
        <f t="array" ref="C68">IF(A68="", "", IFERROR(INDEX('All Abilities'!D:D, MATCH(A68, 'All Abilities'!B:B, 0)), ""))</f>
        <v/>
      </c>
      <c r="D68" s="156" t="str">
        <f t="array" ref="D68">IF(A68="", "", IFERROR(INDEX('All Abilities'!E:E, MATCH(A68, 'All Abilities'!B:B, 0)), ""))</f>
        <v/>
      </c>
      <c r="E68" s="156" t="str">
        <f t="array" ref="E68">IF(A68="", "", IFERROR(INDEX('All Abilities'!G:G, MATCH(A68, 'All Abilities'!B:B, 0)), ""))</f>
        <v/>
      </c>
      <c r="F68" s="156" t="str">
        <f t="array" ref="F68">IF(A68="", "", IFERROR(INDEX('All Abilities'!F:F, MATCH(A68, 'All Abilities'!B:B, 0)), ""))</f>
        <v/>
      </c>
      <c r="G68" s="156" t="str">
        <f t="array" ref="G68">IF(A68="", "", IFERROR(INDEX('All Abilities'!L:L, MATCH(A68, 'All Abilities'!B:B, 0)), ""))</f>
        <v/>
      </c>
    </row>
    <row r="69">
      <c r="A69" s="161"/>
      <c r="B69" s="156" t="str">
        <f t="array" ref="B69">IF(A69="", "", IFERROR(INDEX('All Abilities'!H:H, MATCH(A69, 'All Abilities'!B:B, 0)), ""))</f>
        <v/>
      </c>
      <c r="C69" s="156" t="str">
        <f t="array" ref="C69">IF(A69="", "", IFERROR(INDEX('All Abilities'!D:D, MATCH(A69, 'All Abilities'!B:B, 0)), ""))</f>
        <v/>
      </c>
      <c r="D69" s="156" t="str">
        <f t="array" ref="D69">IF(A69="", "", IFERROR(INDEX('All Abilities'!E:E, MATCH(A69, 'All Abilities'!B:B, 0)), ""))</f>
        <v/>
      </c>
      <c r="E69" s="156" t="str">
        <f t="array" ref="E69">IF(A69="", "", IFERROR(INDEX('All Abilities'!G:G, MATCH(A69, 'All Abilities'!B:B, 0)), ""))</f>
        <v/>
      </c>
      <c r="F69" s="156" t="str">
        <f t="array" ref="F69">IF(A69="", "", IFERROR(INDEX('All Abilities'!F:F, MATCH(A69, 'All Abilities'!B:B, 0)), ""))</f>
        <v/>
      </c>
      <c r="G69" s="156" t="str">
        <f t="array" ref="G69">IF(A69="", "", IFERROR(INDEX('All Abilities'!L:L, MATCH(A69, 'All Abilities'!B:B, 0)), ""))</f>
        <v/>
      </c>
    </row>
    <row r="70">
      <c r="A70" s="161"/>
      <c r="B70" s="156" t="str">
        <f t="array" ref="B70">IF(A70="", "", IFERROR(INDEX('All Abilities'!H:H, MATCH(A70, 'All Abilities'!B:B, 0)), ""))</f>
        <v/>
      </c>
      <c r="C70" s="156" t="str">
        <f t="array" ref="C70">IF(A70="", "", IFERROR(INDEX('All Abilities'!D:D, MATCH(A70, 'All Abilities'!B:B, 0)), ""))</f>
        <v/>
      </c>
      <c r="D70" s="156" t="str">
        <f t="array" ref="D70">IF(A70="", "", IFERROR(INDEX('All Abilities'!E:E, MATCH(A70, 'All Abilities'!B:B, 0)), ""))</f>
        <v/>
      </c>
      <c r="E70" s="156" t="str">
        <f t="array" ref="E70">IF(A70="", "", IFERROR(INDEX('All Abilities'!G:G, MATCH(A70, 'All Abilities'!B:B, 0)), ""))</f>
        <v/>
      </c>
      <c r="F70" s="156" t="str">
        <f t="array" ref="F70">IF(A70="", "", IFERROR(INDEX('All Abilities'!F:F, MATCH(A70, 'All Abilities'!B:B, 0)), ""))</f>
        <v/>
      </c>
      <c r="G70" s="156" t="str">
        <f t="array" ref="G70">IF(A70="", "", IFERROR(INDEX('All Abilities'!L:L, MATCH(A70, 'All Abilities'!B:B, 0)), ""))</f>
        <v/>
      </c>
    </row>
    <row r="71">
      <c r="A71" s="161"/>
      <c r="B71" s="156" t="str">
        <f t="array" ref="B71">IF(A71="", "", IFERROR(INDEX('All Abilities'!H:H, MATCH(A71, 'All Abilities'!B:B, 0)), ""))</f>
        <v/>
      </c>
      <c r="C71" s="156" t="str">
        <f t="array" ref="C71">IF(A71="", "", IFERROR(INDEX('All Abilities'!D:D, MATCH(A71, 'All Abilities'!B:B, 0)), ""))</f>
        <v/>
      </c>
      <c r="D71" s="156" t="str">
        <f t="array" ref="D71">IF(A71="", "", IFERROR(INDEX('All Abilities'!E:E, MATCH(A71, 'All Abilities'!B:B, 0)), ""))</f>
        <v/>
      </c>
      <c r="E71" s="156" t="str">
        <f t="array" ref="E71">IF(A71="", "", IFERROR(INDEX('All Abilities'!G:G, MATCH(A71, 'All Abilities'!B:B, 0)), ""))</f>
        <v/>
      </c>
      <c r="F71" s="156" t="str">
        <f t="array" ref="F71">IF(A71="", "", IFERROR(INDEX('All Abilities'!F:F, MATCH(A71, 'All Abilities'!B:B, 0)), ""))</f>
        <v/>
      </c>
      <c r="G71" s="156" t="str">
        <f t="array" ref="G71">IF(A71="", "", IFERROR(INDEX('All Abilities'!L:L, MATCH(A71, 'All Abilities'!B:B, 0)), ""))</f>
        <v/>
      </c>
    </row>
    <row r="72">
      <c r="A72" s="161"/>
      <c r="B72" s="156" t="str">
        <f t="array" ref="B72">IF(A72="", "", IFERROR(INDEX('All Abilities'!H:H, MATCH(A72, 'All Abilities'!B:B, 0)), ""))</f>
        <v/>
      </c>
      <c r="C72" s="156" t="str">
        <f t="array" ref="C72">IF(A72="", "", IFERROR(INDEX('All Abilities'!D:D, MATCH(A72, 'All Abilities'!B:B, 0)), ""))</f>
        <v/>
      </c>
      <c r="D72" s="156" t="str">
        <f t="array" ref="D72">IF(A72="", "", IFERROR(INDEX('All Abilities'!E:E, MATCH(A72, 'All Abilities'!B:B, 0)), ""))</f>
        <v/>
      </c>
      <c r="E72" s="156" t="str">
        <f t="array" ref="E72">IF(A72="", "", IFERROR(INDEX('All Abilities'!G:G, MATCH(A72, 'All Abilities'!B:B, 0)), ""))</f>
        <v/>
      </c>
      <c r="F72" s="156" t="str">
        <f t="array" ref="F72">IF(A72="", "", IFERROR(INDEX('All Abilities'!F:F, MATCH(A72, 'All Abilities'!B:B, 0)), ""))</f>
        <v/>
      </c>
      <c r="G72" s="156" t="str">
        <f t="array" ref="G72">IF(A72="", "", IFERROR(INDEX('All Abilities'!L:L, MATCH(A72, 'All Abilities'!B:B, 0)), ""))</f>
        <v/>
      </c>
    </row>
    <row r="73">
      <c r="A73" s="161"/>
      <c r="B73" s="156" t="str">
        <f t="array" ref="B73">IF(A73="", "", IFERROR(INDEX('All Abilities'!H:H, MATCH(A73, 'All Abilities'!B:B, 0)), ""))</f>
        <v/>
      </c>
      <c r="C73" s="156" t="str">
        <f t="array" ref="C73">IF(A73="", "", IFERROR(INDEX('All Abilities'!D:D, MATCH(A73, 'All Abilities'!B:B, 0)), ""))</f>
        <v/>
      </c>
      <c r="D73" s="156" t="str">
        <f t="array" ref="D73">IF(A73="", "", IFERROR(INDEX('All Abilities'!E:E, MATCH(A73, 'All Abilities'!B:B, 0)), ""))</f>
        <v/>
      </c>
      <c r="E73" s="156" t="str">
        <f t="array" ref="E73">IF(A73="", "", IFERROR(INDEX('All Abilities'!G:G, MATCH(A73, 'All Abilities'!B:B, 0)), ""))</f>
        <v/>
      </c>
      <c r="F73" s="156" t="str">
        <f t="array" ref="F73">IF(A73="", "", IFERROR(INDEX('All Abilities'!F:F, MATCH(A73, 'All Abilities'!B:B, 0)), ""))</f>
        <v/>
      </c>
      <c r="G73" s="156" t="str">
        <f t="array" ref="G73">IF(A73="", "", IFERROR(INDEX('All Abilities'!L:L, MATCH(A73, 'All Abilities'!B:B, 0)), ""))</f>
        <v/>
      </c>
    </row>
    <row r="74">
      <c r="A74" s="161"/>
      <c r="B74" s="156" t="str">
        <f t="array" ref="B74">IF(A74="", "", IFERROR(INDEX('All Abilities'!H:H, MATCH(A74, 'All Abilities'!B:B, 0)), ""))</f>
        <v/>
      </c>
      <c r="C74" s="156" t="str">
        <f t="array" ref="C74">IF(A74="", "", IFERROR(INDEX('All Abilities'!D:D, MATCH(A74, 'All Abilities'!B:B, 0)), ""))</f>
        <v/>
      </c>
      <c r="D74" s="156" t="str">
        <f t="array" ref="D74">IF(A74="", "", IFERROR(INDEX('All Abilities'!E:E, MATCH(A74, 'All Abilities'!B:B, 0)), ""))</f>
        <v/>
      </c>
      <c r="E74" s="156" t="str">
        <f t="array" ref="E74">IF(A74="", "", IFERROR(INDEX('All Abilities'!G:G, MATCH(A74, 'All Abilities'!B:B, 0)), ""))</f>
        <v/>
      </c>
      <c r="F74" s="156" t="str">
        <f t="array" ref="F74">IF(A74="", "", IFERROR(INDEX('All Abilities'!F:F, MATCH(A74, 'All Abilities'!B:B, 0)), ""))</f>
        <v/>
      </c>
      <c r="G74" s="156" t="str">
        <f t="array" ref="G74">IF(A74="", "", IFERROR(INDEX('All Abilities'!L:L, MATCH(A74, 'All Abilities'!B:B, 0)), ""))</f>
        <v/>
      </c>
    </row>
    <row r="75">
      <c r="A75" s="161"/>
      <c r="B75" s="156" t="str">
        <f t="array" ref="B75">IF(A75="", "", IFERROR(INDEX('All Abilities'!H:H, MATCH(A75, 'All Abilities'!B:B, 0)), ""))</f>
        <v/>
      </c>
      <c r="C75" s="156" t="str">
        <f t="array" ref="C75">IF(A75="", "", IFERROR(INDEX('All Abilities'!D:D, MATCH(A75, 'All Abilities'!B:B, 0)), ""))</f>
        <v/>
      </c>
      <c r="D75" s="156" t="str">
        <f t="array" ref="D75">IF(A75="", "", IFERROR(INDEX('All Abilities'!E:E, MATCH(A75, 'All Abilities'!B:B, 0)), ""))</f>
        <v/>
      </c>
      <c r="E75" s="156" t="str">
        <f t="array" ref="E75">IF(A75="", "", IFERROR(INDEX('All Abilities'!G:G, MATCH(A75, 'All Abilities'!B:B, 0)), ""))</f>
        <v/>
      </c>
      <c r="F75" s="156" t="str">
        <f t="array" ref="F75">IF(A75="", "", IFERROR(INDEX('All Abilities'!F:F, MATCH(A75, 'All Abilities'!B:B, 0)), ""))</f>
        <v/>
      </c>
      <c r="G75" s="156" t="str">
        <f t="array" ref="G75">IF(A75="", "", IFERROR(INDEX('All Abilities'!L:L, MATCH(A75, 'All Abilities'!B:B, 0)), ""))</f>
        <v/>
      </c>
    </row>
    <row r="76">
      <c r="A76" s="161"/>
      <c r="B76" s="156" t="str">
        <f t="array" ref="B76">IF(A76="", "", IFERROR(INDEX('All Abilities'!H:H, MATCH(A76, 'All Abilities'!B:B, 0)), ""))</f>
        <v/>
      </c>
      <c r="C76" s="156" t="str">
        <f t="array" ref="C76">IF(A76="", "", IFERROR(INDEX('All Abilities'!D:D, MATCH(A76, 'All Abilities'!B:B, 0)), ""))</f>
        <v/>
      </c>
      <c r="D76" s="156" t="str">
        <f t="array" ref="D76">IF(A76="", "", IFERROR(INDEX('All Abilities'!E:E, MATCH(A76, 'All Abilities'!B:B, 0)), ""))</f>
        <v/>
      </c>
      <c r="E76" s="156" t="str">
        <f t="array" ref="E76">IF(A76="", "", IFERROR(INDEX('All Abilities'!G:G, MATCH(A76, 'All Abilities'!B:B, 0)), ""))</f>
        <v/>
      </c>
      <c r="F76" s="156" t="str">
        <f t="array" ref="F76">IF(A76="", "", IFERROR(INDEX('All Abilities'!F:F, MATCH(A76, 'All Abilities'!B:B, 0)), ""))</f>
        <v/>
      </c>
      <c r="G76" s="156" t="str">
        <f t="array" ref="G76">IF(A76="", "", IFERROR(INDEX('All Abilities'!L:L, MATCH(A76, 'All Abilities'!B:B, 0)), ""))</f>
        <v/>
      </c>
    </row>
    <row r="77">
      <c r="A77" s="161"/>
      <c r="B77" s="156" t="str">
        <f t="array" ref="B77">IF(A77="", "", IFERROR(INDEX('All Abilities'!H:H, MATCH(A77, 'All Abilities'!B:B, 0)), ""))</f>
        <v/>
      </c>
      <c r="C77" s="156" t="str">
        <f t="array" ref="C77">IF(A77="", "", IFERROR(INDEX('All Abilities'!D:D, MATCH(A77, 'All Abilities'!B:B, 0)), ""))</f>
        <v/>
      </c>
      <c r="D77" s="156" t="str">
        <f t="array" ref="D77">IF(A77="", "", IFERROR(INDEX('All Abilities'!E:E, MATCH(A77, 'All Abilities'!B:B, 0)), ""))</f>
        <v/>
      </c>
      <c r="E77" s="156" t="str">
        <f t="array" ref="E77">IF(A77="", "", IFERROR(INDEX('All Abilities'!G:G, MATCH(A77, 'All Abilities'!B:B, 0)), ""))</f>
        <v/>
      </c>
      <c r="F77" s="156" t="str">
        <f t="array" ref="F77">IF(A77="", "", IFERROR(INDEX('All Abilities'!F:F, MATCH(A77, 'All Abilities'!B:B, 0)), ""))</f>
        <v/>
      </c>
      <c r="G77" s="156" t="str">
        <f t="array" ref="G77">IF(A77="", "", IFERROR(INDEX('All Abilities'!L:L, MATCH(A77, 'All Abilities'!B:B, 0)), ""))</f>
        <v/>
      </c>
    </row>
    <row r="78">
      <c r="A78" s="161"/>
      <c r="B78" s="156" t="str">
        <f t="array" ref="B78">IF(A78="", "", IFERROR(INDEX('All Abilities'!H:H, MATCH(A78, 'All Abilities'!B:B, 0)), ""))</f>
        <v/>
      </c>
      <c r="C78" s="156" t="str">
        <f t="array" ref="C78">IF(A78="", "", IFERROR(INDEX('All Abilities'!D:D, MATCH(A78, 'All Abilities'!B:B, 0)), ""))</f>
        <v/>
      </c>
      <c r="D78" s="156" t="str">
        <f t="array" ref="D78">IF(A78="", "", IFERROR(INDEX('All Abilities'!E:E, MATCH(A78, 'All Abilities'!B:B, 0)), ""))</f>
        <v/>
      </c>
      <c r="E78" s="156" t="str">
        <f t="array" ref="E78">IF(A78="", "", IFERROR(INDEX('All Abilities'!G:G, MATCH(A78, 'All Abilities'!B:B, 0)), ""))</f>
        <v/>
      </c>
      <c r="F78" s="156" t="str">
        <f t="array" ref="F78">IF(A78="", "", IFERROR(INDEX('All Abilities'!F:F, MATCH(A78, 'All Abilities'!B:B, 0)), ""))</f>
        <v/>
      </c>
      <c r="G78" s="156" t="str">
        <f t="array" ref="G78">IF(A78="", "", IFERROR(INDEX('All Abilities'!L:L, MATCH(A78, 'All Abilities'!B:B, 0)), ""))</f>
        <v/>
      </c>
    </row>
    <row r="79">
      <c r="A79" s="161"/>
      <c r="B79" s="156" t="str">
        <f t="array" ref="B79">IF(A79="", "", IFERROR(INDEX('All Abilities'!H:H, MATCH(A79, 'All Abilities'!B:B, 0)), ""))</f>
        <v/>
      </c>
      <c r="C79" s="156" t="str">
        <f t="array" ref="C79">IF(A79="", "", IFERROR(INDEX('All Abilities'!D:D, MATCH(A79, 'All Abilities'!B:B, 0)), ""))</f>
        <v/>
      </c>
      <c r="D79" s="156" t="str">
        <f t="array" ref="D79">IF(A79="", "", IFERROR(INDEX('All Abilities'!E:E, MATCH(A79, 'All Abilities'!B:B, 0)), ""))</f>
        <v/>
      </c>
      <c r="E79" s="156" t="str">
        <f t="array" ref="E79">IF(A79="", "", IFERROR(INDEX('All Abilities'!G:G, MATCH(A79, 'All Abilities'!B:B, 0)), ""))</f>
        <v/>
      </c>
      <c r="F79" s="156" t="str">
        <f t="array" ref="F79">IF(A79="", "", IFERROR(INDEX('All Abilities'!F:F, MATCH(A79, 'All Abilities'!B:B, 0)), ""))</f>
        <v/>
      </c>
      <c r="G79" s="156" t="str">
        <f t="array" ref="G79">IF(A79="", "", IFERROR(INDEX('All Abilities'!L:L, MATCH(A79, 'All Abilities'!B:B, 0)), ""))</f>
        <v/>
      </c>
    </row>
    <row r="80">
      <c r="A80" s="160"/>
      <c r="B80" s="156" t="str">
        <f t="array" ref="B80">IF(A80="", "", IFERROR(INDEX('All Abilities'!H:H, MATCH(A80, 'All Abilities'!B:B, 0)), ""))</f>
        <v/>
      </c>
      <c r="C80" s="156" t="str">
        <f t="array" ref="C80">IF(A80="", "", IFERROR(INDEX('All Abilities'!D:D, MATCH(A80, 'All Abilities'!B:B, 0)), ""))</f>
        <v/>
      </c>
      <c r="D80" s="156" t="str">
        <f t="array" ref="D80">IF(A80="", "", IFERROR(INDEX('All Abilities'!E:E, MATCH(A80, 'All Abilities'!B:B, 0)), ""))</f>
        <v/>
      </c>
      <c r="E80" s="156" t="str">
        <f t="array" ref="E80">IF(A80="", "", IFERROR(INDEX('All Abilities'!G:G, MATCH(A80, 'All Abilities'!B:B, 0)), ""))</f>
        <v/>
      </c>
      <c r="F80" s="156" t="str">
        <f t="array" ref="F80">IF(A80="", "", IFERROR(INDEX('All Abilities'!F:F, MATCH(A80, 'All Abilities'!B:B, 0)), ""))</f>
        <v/>
      </c>
      <c r="G80" s="156" t="str">
        <f t="array" ref="G80">IF(A80="", "", IFERROR(INDEX('All Abilities'!L:L, MATCH(A80, 'All Abilities'!B:B, 0)), ""))</f>
        <v/>
      </c>
    </row>
    <row r="81" ht="138.0" customHeight="1">
      <c r="A81" s="162">
        <v>2.0</v>
      </c>
      <c r="B81" s="163" t="s">
        <v>143</v>
      </c>
      <c r="C81" s="164" t="str">
        <f t="array" ref="C81">SUBSTITUTE(SUBSTITUTE(SUBSTITUTE(SUBSTITUTE(SUBSTITUTE(SUBSTITUTE("&amp;{template:default} {{name=@{name} ❖ {skillname}}} {{Keywords:={keywords}}} {{Range:={range}}} {{Cost:={cost}}} {{Req:={req}}} {{Desc:={desc}}}", "{skillname}", INDIRECT("A"&amp;$A$81)), "{keywords}", INDIRECT("C"&amp;$A$81)), "{range}", INDIRECT("D"&amp;$A$81)), "{cost}", INDIRECT("B"&amp;$A$81)), "{req}", INDIRECT("E"&amp;$A$81)), "{desc}", INDIRECT("F"&amp;$A$81))</f>
        <v>&amp;{template:default} {{name=@{name} ❖ }} {{Keywords:=}} {{Range:=}} {{Cost:=}} {{Req:=}} {{Desc:=}}</v>
      </c>
    </row>
  </sheetData>
  <mergeCells count="1">
    <mergeCell ref="C81:G81"/>
  </mergeCells>
  <dataValidations>
    <dataValidation type="list" allowBlank="1" showErrorMessage="1" sqref="A2:A58 A60:A80">
      <formula1>'All Abilities'!$B$2:$B$2500</formula1>
    </dataValidation>
    <dataValidation type="list" allowBlank="1" showErrorMessage="1" sqref="A81">
      <formula1>"2,3,4,5,6,7,8,9,10,11,12,13,14,15,16,17,18,19,20,21,22,23,24,25,26,27,28,29,30,31,32,33,34,35,36,37,38,39,40,41,42,43,44,45,46,47,48,49,50,51,52,53,54,55,56,57,58,60,61,62,63,64,65,66,67,68,69,70,71,72,73,74,75,76,77,78,79,80"</formula1>
    </dataValidation>
  </dataValidations>
  <printOptions/>
  <pageMargins bottom="0.75" footer="0.0" header="0.0" left="0.7" right="0.7" top="0.75"/>
  <pageSetup orientation="landscape"/>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0"/>
    <col customWidth="1" min="2" max="2" width="34.29"/>
    <col customWidth="1" min="3" max="3" width="49.29"/>
    <col customWidth="1" min="4" max="4" width="56.57"/>
    <col customWidth="1" min="5" max="5" width="86.14"/>
    <col customWidth="1" min="6" max="6" width="12.57"/>
    <col customWidth="1" min="7" max="7" width="16.14"/>
    <col customWidth="1" min="8" max="9" width="15.29"/>
  </cols>
  <sheetData>
    <row r="1">
      <c r="A1" s="165" t="s">
        <v>31</v>
      </c>
      <c r="B1" s="166" t="s">
        <v>144</v>
      </c>
      <c r="C1" s="165" t="s">
        <v>139</v>
      </c>
      <c r="D1" s="165" t="s">
        <v>140</v>
      </c>
      <c r="E1" s="167" t="s">
        <v>145</v>
      </c>
      <c r="F1" s="168" t="s">
        <v>146</v>
      </c>
      <c r="G1" s="169"/>
      <c r="H1" s="169"/>
      <c r="I1" s="170"/>
    </row>
    <row r="2">
      <c r="A2" s="171"/>
      <c r="B2" s="172">
        <v>0.0</v>
      </c>
      <c r="C2" s="171" t="str">
        <f t="array" ref="C2">IF(A2="", "", IFERROR(INDEX(Breakthroughs!C:C, MATCH(A2, Breakthroughs!A:A, 0)), ""))</f>
        <v/>
      </c>
      <c r="D2" s="171" t="str">
        <f t="array" ref="D2">IF(A2="", "", IFERROR(INDEX(Breakthroughs!D:D, MATCH(A2, Breakthroughs!A:A, 0)), ""))</f>
        <v/>
      </c>
      <c r="F2" s="173"/>
      <c r="I2" s="174"/>
    </row>
    <row r="3">
      <c r="A3" s="175"/>
      <c r="B3" s="176">
        <v>0.0</v>
      </c>
      <c r="C3" s="177" t="str">
        <f t="array" ref="C3">IF(A3="", "", IFERROR(INDEX(Breakthroughs!C:C, MATCH(A3, Breakthroughs!A:A, 0)), ""))</f>
        <v/>
      </c>
      <c r="D3" s="177" t="str">
        <f t="array" ref="D3">IF(A3="", "", IFERROR(INDEX(Breakthroughs!D:D, MATCH(A3, Breakthroughs!A:A, 0)), ""))</f>
        <v/>
      </c>
      <c r="F3" s="173"/>
      <c r="I3" s="174"/>
    </row>
    <row r="4">
      <c r="A4" s="171"/>
      <c r="B4" s="172">
        <v>0.0</v>
      </c>
      <c r="C4" s="171" t="str">
        <f t="array" ref="C4">IF(A4="", "", IFERROR(INDEX(Breakthroughs!C:C, MATCH(A4, Breakthroughs!A:A, 0)), ""))</f>
        <v/>
      </c>
      <c r="D4" s="171" t="str">
        <f t="array" ref="D4">IF(A4="", "", IFERROR(INDEX(Breakthroughs!D:D, MATCH(A4, Breakthroughs!A:A, 0)), ""))</f>
        <v/>
      </c>
      <c r="F4" s="173"/>
      <c r="I4" s="174"/>
    </row>
    <row r="5">
      <c r="A5" s="175"/>
      <c r="B5" s="176">
        <v>0.0</v>
      </c>
      <c r="C5" s="177" t="str">
        <f t="array" ref="C5">IF(A5="", "", IFERROR(INDEX(Breakthroughs!C:C, MATCH(A5, Breakthroughs!A:A, 0)), ""))</f>
        <v/>
      </c>
      <c r="D5" s="177" t="str">
        <f t="array" ref="D5">IF(A5="", "", IFERROR(INDEX(Breakthroughs!D:D, MATCH(A5, Breakthroughs!A:A, 0)), ""))</f>
        <v/>
      </c>
      <c r="F5" s="173"/>
      <c r="I5" s="174"/>
    </row>
    <row r="6">
      <c r="A6" s="171"/>
      <c r="B6" s="172">
        <v>0.0</v>
      </c>
      <c r="C6" s="171" t="str">
        <f t="array" ref="C6">IF(A6="", "", IFERROR(INDEX(Breakthroughs!C:C, MATCH(A6, Breakthroughs!A:A, 0)), ""))</f>
        <v/>
      </c>
      <c r="D6" s="171" t="str">
        <f t="array" ref="D6">IF(A6="", "", IFERROR(INDEX(Breakthroughs!D:D, MATCH(A6, Breakthroughs!A:A, 0)), ""))</f>
        <v/>
      </c>
      <c r="F6" s="173"/>
      <c r="I6" s="174"/>
    </row>
    <row r="7">
      <c r="A7" s="175"/>
      <c r="B7" s="176">
        <v>0.0</v>
      </c>
      <c r="C7" s="177" t="str">
        <f t="array" ref="C7">IF(A7="", "", IFERROR(INDEX(Breakthroughs!C:C, MATCH(A7, Breakthroughs!A:A, 0)), ""))</f>
        <v/>
      </c>
      <c r="D7" s="177" t="str">
        <f t="array" ref="D7">IF(A7="", "", IFERROR(INDEX(Breakthroughs!D:D, MATCH(A7, Breakthroughs!A:A, 0)), ""))</f>
        <v/>
      </c>
      <c r="F7" s="173"/>
      <c r="I7" s="174"/>
    </row>
    <row r="8">
      <c r="A8" s="171"/>
      <c r="B8" s="172">
        <v>0.0</v>
      </c>
      <c r="C8" s="171" t="str">
        <f t="array" ref="C8">IF(A8="", "", IFERROR(INDEX(Breakthroughs!C:C, MATCH(A8, Breakthroughs!A:A, 0)), ""))</f>
        <v/>
      </c>
      <c r="D8" s="171" t="str">
        <f t="array" ref="D8">IF(A8="", "", IFERROR(INDEX(Breakthroughs!D:D, MATCH(A8, Breakthroughs!A:A, 0)), ""))</f>
        <v/>
      </c>
      <c r="F8" s="173"/>
      <c r="I8" s="174"/>
    </row>
    <row r="9">
      <c r="A9" s="175"/>
      <c r="B9" s="176">
        <v>0.0</v>
      </c>
      <c r="C9" s="177" t="str">
        <f t="array" ref="C9">IF(A9="", "", IFERROR(INDEX(Breakthroughs!C:C, MATCH(A9, Breakthroughs!A:A, 0)), ""))</f>
        <v/>
      </c>
      <c r="D9" s="177" t="str">
        <f t="array" ref="D9">IF(A9="", "", IFERROR(INDEX(Breakthroughs!D:D, MATCH(A9, Breakthroughs!A:A, 0)), ""))</f>
        <v/>
      </c>
      <c r="F9" s="173"/>
      <c r="I9" s="174"/>
    </row>
    <row r="10">
      <c r="A10" s="171"/>
      <c r="B10" s="172">
        <v>0.0</v>
      </c>
      <c r="C10" s="171" t="str">
        <f t="array" ref="C10">IF(A10="", "", IFERROR(INDEX(Breakthroughs!C:C, MATCH(A10, Breakthroughs!A:A, 0)), ""))</f>
        <v/>
      </c>
      <c r="D10" s="171" t="str">
        <f t="array" ref="D10">IF(A10="", "", IFERROR(INDEX(Breakthroughs!D:D, MATCH(A10, Breakthroughs!A:A, 0)), ""))</f>
        <v/>
      </c>
      <c r="F10" s="173"/>
      <c r="I10" s="174"/>
    </row>
    <row r="11">
      <c r="A11" s="175"/>
      <c r="B11" s="176">
        <v>0.0</v>
      </c>
      <c r="C11" s="177" t="str">
        <f t="array" ref="C11">IF(A11="", "", IFERROR(INDEX(Breakthroughs!C:C, MATCH(A11, Breakthroughs!A:A, 0)), ""))</f>
        <v/>
      </c>
      <c r="D11" s="177" t="str">
        <f t="array" ref="D11">IF(A11="", "", IFERROR(INDEX(Breakthroughs!D:D, MATCH(A11, Breakthroughs!A:A, 0)), ""))</f>
        <v/>
      </c>
      <c r="F11" s="173"/>
      <c r="I11" s="174"/>
    </row>
    <row r="12">
      <c r="A12" s="171"/>
      <c r="B12" s="172">
        <v>0.0</v>
      </c>
      <c r="C12" s="171" t="str">
        <f t="array" ref="C12">IF(A12="", "", IFERROR(INDEX(Breakthroughs!C:C, MATCH(A12, Breakthroughs!A:A, 0)), ""))</f>
        <v/>
      </c>
      <c r="D12" s="171" t="str">
        <f t="array" ref="D12">IF(A12="", "", IFERROR(INDEX(Breakthroughs!D:D, MATCH(A12, Breakthroughs!A:A, 0)), ""))</f>
        <v/>
      </c>
      <c r="F12" s="173"/>
      <c r="I12" s="174"/>
    </row>
    <row r="13">
      <c r="A13" s="175"/>
      <c r="B13" s="176">
        <v>0.0</v>
      </c>
      <c r="C13" s="177" t="str">
        <f t="array" ref="C13">IF(A13="", "", IFERROR(INDEX(Breakthroughs!C:C, MATCH(A13, Breakthroughs!A:A, 0)), ""))</f>
        <v/>
      </c>
      <c r="D13" s="177" t="str">
        <f t="array" ref="D13">IF(A13="", "", IFERROR(INDEX(Breakthroughs!D:D, MATCH(A13, Breakthroughs!A:A, 0)), ""))</f>
        <v/>
      </c>
      <c r="F13" s="173"/>
      <c r="I13" s="174"/>
    </row>
    <row r="14">
      <c r="A14" s="171"/>
      <c r="B14" s="172">
        <v>0.0</v>
      </c>
      <c r="C14" s="171" t="str">
        <f t="array" ref="C14">IF(A14="", "", IFERROR(INDEX(Breakthroughs!C:C, MATCH(A14, Breakthroughs!A:A, 0)), ""))</f>
        <v/>
      </c>
      <c r="D14" s="171" t="str">
        <f t="array" ref="D14">IF(A14="", "", IFERROR(INDEX(Breakthroughs!D:D, MATCH(A14, Breakthroughs!A:A, 0)), ""))</f>
        <v/>
      </c>
      <c r="F14" s="173"/>
      <c r="I14" s="174"/>
    </row>
    <row r="15">
      <c r="A15" s="175"/>
      <c r="B15" s="176">
        <v>0.0</v>
      </c>
      <c r="C15" s="177" t="str">
        <f t="array" ref="C15">IF(A15="", "", IFERROR(INDEX(Breakthroughs!C:C, MATCH(A15, Breakthroughs!A:A, 0)), ""))</f>
        <v/>
      </c>
      <c r="D15" s="177" t="str">
        <f t="array" ref="D15">IF(A15="", "", IFERROR(INDEX(Breakthroughs!D:D, MATCH(A15, Breakthroughs!A:A, 0)), ""))</f>
        <v/>
      </c>
      <c r="F15" s="173"/>
      <c r="I15" s="174"/>
    </row>
    <row r="16">
      <c r="A16" s="171"/>
      <c r="B16" s="172">
        <v>0.0</v>
      </c>
      <c r="C16" s="171" t="str">
        <f t="array" ref="C16">IF(A16="", "", IFERROR(INDEX(Breakthroughs!C:C, MATCH(A16, Breakthroughs!A:A, 0)), ""))</f>
        <v/>
      </c>
      <c r="D16" s="171" t="str">
        <f t="array" ref="D16">IF(A16="", "", IFERROR(INDEX(Breakthroughs!D:D, MATCH(A16, Breakthroughs!A:A, 0)), ""))</f>
        <v/>
      </c>
      <c r="F16" s="178"/>
      <c r="G16" s="179"/>
      <c r="H16" s="179"/>
      <c r="I16" s="180"/>
    </row>
    <row r="17" ht="15.75" customHeight="1">
      <c r="A17" s="175"/>
      <c r="B17" s="176">
        <v>0.0</v>
      </c>
      <c r="C17" s="177" t="str">
        <f t="array" ref="C17">IF(A17="", "", IFERROR(INDEX(Breakthroughs!C:C, MATCH(A17, Breakthroughs!A:A, 0)), ""))</f>
        <v/>
      </c>
      <c r="D17" s="177" t="str">
        <f t="array" ref="D17">IF(A17="", "", IFERROR(INDEX(Breakthroughs!D:D, MATCH(A17, Breakthroughs!A:A, 0)), ""))</f>
        <v/>
      </c>
      <c r="F17" s="181" t="s">
        <v>147</v>
      </c>
    </row>
    <row r="18">
      <c r="A18" s="171"/>
      <c r="B18" s="172">
        <v>0.0</v>
      </c>
      <c r="C18" s="171" t="str">
        <f t="array" ref="C18">IF(A18="", "", IFERROR(INDEX(Breakthroughs!C:C, MATCH(A18, Breakthroughs!A:A, 0)), ""))</f>
        <v/>
      </c>
      <c r="D18" s="171" t="str">
        <f t="array" ref="D18">IF(A18="", "", IFERROR(INDEX(Breakthroughs!D:D, MATCH(A18, Breakthroughs!A:A, 0)), ""))</f>
        <v/>
      </c>
    </row>
    <row r="19">
      <c r="A19" s="175"/>
      <c r="B19" s="176">
        <v>0.0</v>
      </c>
      <c r="C19" s="177" t="str">
        <f t="array" ref="C19">IF(A19="", "", IFERROR(INDEX(Breakthroughs!C:C, MATCH(A19, Breakthroughs!A:A, 0)), ""))</f>
        <v/>
      </c>
      <c r="D19" s="177" t="str">
        <f t="array" ref="D19">IF(A19="", "", IFERROR(INDEX(Breakthroughs!D:D, MATCH(A19, Breakthroughs!A:A, 0)), ""))</f>
        <v/>
      </c>
    </row>
    <row r="20">
      <c r="A20" s="171"/>
      <c r="B20" s="172">
        <v>0.0</v>
      </c>
      <c r="C20" s="171" t="str">
        <f t="array" ref="C20">IF(A20="", "", IFERROR(INDEX(Breakthroughs!C:C, MATCH(A20, Breakthroughs!A:A, 0)), ""))</f>
        <v/>
      </c>
      <c r="D20" s="171" t="str">
        <f t="array" ref="D20">IF(A20="", "", IFERROR(INDEX(Breakthroughs!D:D, MATCH(A20, Breakthroughs!A:A, 0)), ""))</f>
        <v/>
      </c>
    </row>
    <row r="21">
      <c r="A21" s="175"/>
      <c r="B21" s="176">
        <v>0.0</v>
      </c>
      <c r="C21" s="177" t="str">
        <f t="array" ref="C21">IF(A21="", "", IFERROR(INDEX(Breakthroughs!C:C, MATCH(A21, Breakthroughs!A:A, 0)), ""))</f>
        <v/>
      </c>
      <c r="D21" s="177" t="str">
        <f t="array" ref="D21">IF(A21="", "", IFERROR(INDEX(Breakthroughs!D:D, MATCH(A21, Breakthroughs!A:A, 0)), ""))</f>
        <v/>
      </c>
    </row>
    <row r="22">
      <c r="A22" s="171"/>
      <c r="B22" s="172">
        <v>0.0</v>
      </c>
      <c r="C22" s="171" t="str">
        <f t="array" ref="C22">IF(A22="", "", IFERROR(INDEX(Breakthroughs!C:C, MATCH(A22, Breakthroughs!A:A, 0)), ""))</f>
        <v/>
      </c>
      <c r="D22" s="171" t="str">
        <f t="array" ref="D22">IF(A22="", "", IFERROR(INDEX(Breakthroughs!D:D, MATCH(A22, Breakthroughs!A:A, 0)), ""))</f>
        <v/>
      </c>
    </row>
    <row r="23">
      <c r="A23" s="177"/>
      <c r="B23" s="176">
        <v>0.0</v>
      </c>
      <c r="C23" s="177" t="str">
        <f t="array" ref="C23">IF(A23="", "", IFERROR(INDEX(Breakthroughs!C:C, MATCH(A23, Breakthroughs!A:A, 0)), ""))</f>
        <v/>
      </c>
      <c r="D23" s="177" t="str">
        <f t="array" ref="D23">IF(A23="", "", IFERROR(INDEX(Breakthroughs!D:D, MATCH(A23, Breakthroughs!A:A, 0)), ""))</f>
        <v/>
      </c>
    </row>
    <row r="24">
      <c r="A24" s="171"/>
      <c r="B24" s="172">
        <v>0.0</v>
      </c>
      <c r="C24" s="171" t="str">
        <f t="array" ref="C24">IF(A24="", "", IFERROR(INDEX(Breakthroughs!C:C, MATCH(A24, Breakthroughs!A:A, 0)), ""))</f>
        <v/>
      </c>
      <c r="D24" s="171" t="str">
        <f t="array" ref="D24">IF(A24="", "", IFERROR(INDEX(Breakthroughs!D:D, MATCH(A24, Breakthroughs!A:A, 0)), ""))</f>
        <v/>
      </c>
    </row>
    <row r="25">
      <c r="A25" s="177"/>
      <c r="B25" s="176">
        <v>0.0</v>
      </c>
      <c r="C25" s="177" t="str">
        <f t="array" ref="C25">IF(A25="", "", IFERROR(INDEX(Breakthroughs!C:C, MATCH(A25, Breakthroughs!A:A, 0)), ""))</f>
        <v/>
      </c>
      <c r="D25" s="177" t="str">
        <f t="array" ref="D25">IF(A25="", "", IFERROR(INDEX(Breakthroughs!D:D, MATCH(A25, Breakthroughs!A:A, 0)), ""))</f>
        <v/>
      </c>
    </row>
    <row r="26">
      <c r="A26" s="171"/>
      <c r="B26" s="172">
        <v>0.0</v>
      </c>
      <c r="C26" s="171" t="str">
        <f t="array" ref="C26">IF(A26="", "", IFERROR(INDEX(Breakthroughs!C:C, MATCH(A26, Breakthroughs!A:A, 0)), ""))</f>
        <v/>
      </c>
      <c r="D26" s="171" t="str">
        <f t="array" ref="D26">IF(A26="", "", IFERROR(INDEX(Breakthroughs!D:D, MATCH(A26, Breakthroughs!A:A, 0)), ""))</f>
        <v/>
      </c>
    </row>
    <row r="27">
      <c r="A27" s="177"/>
      <c r="B27" s="176">
        <v>0.0</v>
      </c>
      <c r="C27" s="177" t="str">
        <f t="array" ref="C27">IF(A27="", "", IFERROR(INDEX(Breakthroughs!C:C, MATCH(A27, Breakthroughs!A:A, 0)), ""))</f>
        <v/>
      </c>
      <c r="D27" s="177" t="str">
        <f t="array" ref="D27">IF(A27="", "", IFERROR(INDEX(Breakthroughs!D:D, MATCH(A27, Breakthroughs!A:A, 0)), ""))</f>
        <v/>
      </c>
    </row>
    <row r="28">
      <c r="A28" s="171"/>
      <c r="B28" s="172">
        <v>0.0</v>
      </c>
      <c r="C28" s="171" t="str">
        <f t="array" ref="C28">IF(A28="", "", IFERROR(INDEX(Breakthroughs!C:C, MATCH(A28, Breakthroughs!A:A, 0)), ""))</f>
        <v/>
      </c>
      <c r="D28" s="171" t="str">
        <f t="array" ref="D28">IF(A28="", "", IFERROR(INDEX(Breakthroughs!D:D, MATCH(A28, Breakthroughs!A:A, 0)), ""))</f>
        <v/>
      </c>
    </row>
    <row r="29">
      <c r="A29" s="177"/>
      <c r="B29" s="176">
        <v>0.0</v>
      </c>
      <c r="C29" s="177" t="str">
        <f t="array" ref="C29">IF(A29="", "", IFERROR(INDEX(Breakthroughs!C:C, MATCH(A29, Breakthroughs!A:A, 0)), ""))</f>
        <v/>
      </c>
      <c r="D29" s="177" t="str">
        <f t="array" ref="D29">IF(A29="", "", IFERROR(INDEX(Breakthroughs!D:D, MATCH(A29, Breakthroughs!A:A, 0)), ""))</f>
        <v/>
      </c>
    </row>
    <row r="30">
      <c r="A30" s="171"/>
      <c r="B30" s="172">
        <v>0.0</v>
      </c>
      <c r="C30" s="171" t="str">
        <f t="array" ref="C30">IF(A30="", "", IFERROR(INDEX(Breakthroughs!C:C, MATCH(A30, Breakthroughs!A:A, 0)), ""))</f>
        <v/>
      </c>
      <c r="D30" s="171" t="str">
        <f t="array" ref="D30">IF(A30="", "", IFERROR(INDEX(Breakthroughs!D:D, MATCH(A30, Breakthroughs!A:A, 0)), ""))</f>
        <v/>
      </c>
    </row>
    <row r="31">
      <c r="A31" s="177"/>
      <c r="B31" s="176">
        <v>0.0</v>
      </c>
      <c r="C31" s="177" t="str">
        <f t="array" ref="C31">IF(A31="", "", IFERROR(INDEX(Breakthroughs!C:C, MATCH(A31, Breakthroughs!A:A, 0)), ""))</f>
        <v/>
      </c>
      <c r="D31" s="177" t="str">
        <f t="array" ref="D31">IF(A31="", "", IFERROR(INDEX(Breakthroughs!D:D, MATCH(A31, Breakthroughs!A:A, 0)), ""))</f>
        <v/>
      </c>
    </row>
    <row r="32">
      <c r="A32" s="171"/>
      <c r="B32" s="172">
        <v>0.0</v>
      </c>
      <c r="C32" s="171" t="str">
        <f t="array" ref="C32">IF(A32="", "", IFERROR(INDEX(Breakthroughs!C:C, MATCH(A32, Breakthroughs!A:A, 0)), ""))</f>
        <v/>
      </c>
      <c r="D32" s="171" t="str">
        <f t="array" ref="D32">IF(A32="", "", IFERROR(INDEX(Breakthroughs!D:D, MATCH(A32, Breakthroughs!A:A, 0)), ""))</f>
        <v/>
      </c>
    </row>
    <row r="33">
      <c r="A33" s="177"/>
      <c r="B33" s="176">
        <v>0.0</v>
      </c>
      <c r="C33" s="177" t="str">
        <f t="array" ref="C33">IF(A33="", "", IFERROR(INDEX(Breakthroughs!C:C, MATCH(A33, Breakthroughs!A:A, 0)), ""))</f>
        <v/>
      </c>
      <c r="D33" s="177" t="str">
        <f t="array" ref="D33">IF(A33="", "", IFERROR(INDEX(Breakthroughs!D:D, MATCH(A33, Breakthroughs!A:A, 0)), ""))</f>
        <v/>
      </c>
    </row>
    <row r="34">
      <c r="A34" s="171"/>
      <c r="B34" s="172">
        <v>0.0</v>
      </c>
      <c r="C34" s="171" t="str">
        <f t="array" ref="C34">IF(A34="", "", IFERROR(INDEX(Breakthroughs!C:C, MATCH(A34, Breakthroughs!A:A, 0)), ""))</f>
        <v/>
      </c>
      <c r="D34" s="171" t="str">
        <f t="array" ref="D34">IF(A34="", "", IFERROR(INDEX(Breakthroughs!D:D, MATCH(A34, Breakthroughs!A:A, 0)), ""))</f>
        <v/>
      </c>
    </row>
    <row r="35">
      <c r="A35" s="177"/>
      <c r="B35" s="176">
        <v>0.0</v>
      </c>
      <c r="C35" s="177" t="str">
        <f t="array" ref="C35">IF(A35="", "", IFERROR(INDEX(Breakthroughs!C:C, MATCH(A35, Breakthroughs!A:A, 0)), ""))</f>
        <v/>
      </c>
      <c r="D35" s="177" t="str">
        <f t="array" ref="D35">IF(A35="", "", IFERROR(INDEX(Breakthroughs!D:D, MATCH(A35, Breakthroughs!A:A, 0)), ""))</f>
        <v/>
      </c>
    </row>
    <row r="36">
      <c r="A36" s="171"/>
      <c r="B36" s="172">
        <v>0.0</v>
      </c>
      <c r="C36" s="171" t="str">
        <f t="array" ref="C36">IF(A36="", "", IFERROR(INDEX(Breakthroughs!C:C, MATCH(A36, Breakthroughs!A:A, 0)), ""))</f>
        <v/>
      </c>
      <c r="D36" s="171" t="str">
        <f t="array" ref="D36">IF(A36="", "", IFERROR(INDEX(Breakthroughs!D:D, MATCH(A36, Breakthroughs!A:A, 0)), ""))</f>
        <v/>
      </c>
    </row>
    <row r="37">
      <c r="A37" s="177"/>
      <c r="B37" s="176">
        <v>0.0</v>
      </c>
      <c r="C37" s="177" t="str">
        <f t="array" ref="C37">IF(A37="", "", IFERROR(INDEX(Breakthroughs!C:C, MATCH(A37, Breakthroughs!A:A, 0)), ""))</f>
        <v/>
      </c>
      <c r="D37" s="177" t="str">
        <f t="array" ref="D37">IF(A37="", "", IFERROR(INDEX(Breakthroughs!D:D, MATCH(A37, Breakthroughs!A:A, 0)), ""))</f>
        <v/>
      </c>
    </row>
  </sheetData>
  <mergeCells count="3">
    <mergeCell ref="E1:E37"/>
    <mergeCell ref="F1:I16"/>
    <mergeCell ref="F17:I37"/>
  </mergeCells>
  <dataValidations>
    <dataValidation type="list" allowBlank="1" showErrorMessage="1" sqref="B2:B37">
      <formula1>"0,25,50,75,100,125,150,175,200,225,250,275,300,325,350,375,400,425,450,475,500,525,550,575,600,625,650,675,700"</formula1>
    </dataValidation>
    <dataValidation type="list" allowBlank="1" showErrorMessage="1" sqref="F17">
      <formula1>Races!$E$72:$E$80</formula1>
    </dataValidation>
    <dataValidation type="list" allowBlank="1" showErrorMessage="1" sqref="A2:A37">
      <formula1>Breakthroughs!$A$2:$A37</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3.71"/>
    <col customWidth="1" min="2" max="2" width="11.57"/>
    <col customWidth="1" min="3" max="3" width="9.29"/>
    <col customWidth="1" min="4" max="4" width="26.43"/>
    <col customWidth="1" min="5" max="5" width="16.57"/>
    <col customWidth="1" min="6" max="6" width="94.71"/>
    <col customWidth="1" min="7" max="7" width="22.71"/>
  </cols>
  <sheetData>
    <row r="1">
      <c r="A1" s="106" t="s">
        <v>148</v>
      </c>
      <c r="B1" s="182" t="s">
        <v>149</v>
      </c>
      <c r="C1" s="183" t="s">
        <v>150</v>
      </c>
      <c r="D1" s="184" t="s">
        <v>151</v>
      </c>
      <c r="E1" s="185" t="s">
        <v>152</v>
      </c>
      <c r="F1" s="186" t="s">
        <v>140</v>
      </c>
      <c r="G1" s="186" t="s">
        <v>153</v>
      </c>
    </row>
    <row r="2">
      <c r="A2" s="111"/>
      <c r="B2" s="111"/>
      <c r="C2" s="111"/>
      <c r="D2" s="187"/>
      <c r="E2" s="188">
        <f t="shared" ref="E2:E137" si="1">SUMPRODUCT((IF(B2="",1,B2)) * (IF(D2="",0,D2)))</f>
        <v>0</v>
      </c>
      <c r="F2" s="111"/>
      <c r="G2" s="189">
        <f>SUM(C2:C137)</f>
        <v>0</v>
      </c>
    </row>
    <row r="3">
      <c r="A3" s="190"/>
      <c r="B3" s="190"/>
      <c r="C3" s="190"/>
      <c r="D3" s="191"/>
      <c r="E3" s="192">
        <f t="shared" si="1"/>
        <v>0</v>
      </c>
      <c r="F3" s="190"/>
      <c r="G3" s="193" t="s">
        <v>154</v>
      </c>
      <c r="H3" s="193">
        <f>SUMPRODUCT((IF(B2:B137="",1,B2:B137)) * (IF(D2:D137="",0,D2:D137)))</f>
        <v>0</v>
      </c>
    </row>
    <row r="4">
      <c r="A4" s="111"/>
      <c r="B4" s="111"/>
      <c r="C4" s="111"/>
      <c r="D4" s="187"/>
      <c r="E4" s="188">
        <f t="shared" si="1"/>
        <v>0</v>
      </c>
      <c r="F4" s="111"/>
      <c r="G4" s="194" t="s">
        <v>155</v>
      </c>
      <c r="H4" s="195">
        <f>SUM(H3,Core!L2,'Mirane Locker'!G2)</f>
        <v>4000</v>
      </c>
    </row>
    <row r="5">
      <c r="A5" s="190"/>
      <c r="B5" s="190"/>
      <c r="C5" s="190"/>
      <c r="D5" s="191"/>
      <c r="E5" s="192">
        <f t="shared" si="1"/>
        <v>0</v>
      </c>
      <c r="F5" s="190"/>
      <c r="G5" s="196" t="s">
        <v>156</v>
      </c>
      <c r="H5" s="197" t="s">
        <v>150</v>
      </c>
    </row>
    <row r="6">
      <c r="A6" s="111"/>
      <c r="B6" s="111"/>
      <c r="C6" s="111"/>
      <c r="D6" s="187"/>
      <c r="E6" s="188">
        <f t="shared" si="1"/>
        <v>0</v>
      </c>
      <c r="F6" s="111"/>
      <c r="G6" s="198"/>
      <c r="H6" s="198"/>
    </row>
    <row r="7">
      <c r="A7" s="190"/>
      <c r="B7" s="190"/>
      <c r="C7" s="190"/>
      <c r="D7" s="191"/>
      <c r="E7" s="192">
        <f t="shared" si="1"/>
        <v>0</v>
      </c>
      <c r="F7" s="190"/>
      <c r="G7" s="199"/>
      <c r="H7" s="199"/>
    </row>
    <row r="8">
      <c r="A8" s="111"/>
      <c r="B8" s="111"/>
      <c r="C8" s="111"/>
      <c r="D8" s="187"/>
      <c r="E8" s="188">
        <f t="shared" si="1"/>
        <v>0</v>
      </c>
      <c r="F8" s="111"/>
      <c r="G8" s="198"/>
      <c r="H8" s="198"/>
    </row>
    <row r="9">
      <c r="A9" s="190"/>
      <c r="B9" s="190"/>
      <c r="C9" s="190"/>
      <c r="D9" s="191"/>
      <c r="E9" s="192">
        <f t="shared" si="1"/>
        <v>0</v>
      </c>
      <c r="F9" s="190"/>
      <c r="G9" s="199"/>
      <c r="H9" s="199"/>
    </row>
    <row r="10">
      <c r="A10" s="111"/>
      <c r="B10" s="111"/>
      <c r="C10" s="111"/>
      <c r="D10" s="187"/>
      <c r="E10" s="188">
        <f t="shared" si="1"/>
        <v>0</v>
      </c>
      <c r="F10" s="111"/>
      <c r="G10" s="198"/>
      <c r="H10" s="198"/>
    </row>
    <row r="11">
      <c r="A11" s="190"/>
      <c r="B11" s="190"/>
      <c r="C11" s="190"/>
      <c r="D11" s="191"/>
      <c r="E11" s="192">
        <f t="shared" si="1"/>
        <v>0</v>
      </c>
      <c r="F11" s="190"/>
      <c r="G11" s="199"/>
      <c r="H11" s="199"/>
    </row>
    <row r="12">
      <c r="A12" s="111"/>
      <c r="B12" s="111"/>
      <c r="C12" s="111"/>
      <c r="D12" s="187"/>
      <c r="E12" s="188">
        <f t="shared" si="1"/>
        <v>0</v>
      </c>
      <c r="F12" s="111"/>
      <c r="G12" s="200"/>
      <c r="H12" s="200"/>
    </row>
    <row r="13">
      <c r="A13" s="190"/>
      <c r="B13" s="190"/>
      <c r="C13" s="190"/>
      <c r="D13" s="191"/>
      <c r="E13" s="192">
        <f t="shared" si="1"/>
        <v>0</v>
      </c>
      <c r="F13" s="190"/>
      <c r="G13" s="201"/>
      <c r="H13" s="201"/>
    </row>
    <row r="14">
      <c r="A14" s="120"/>
      <c r="B14" s="120"/>
      <c r="C14" s="120"/>
      <c r="D14" s="202"/>
      <c r="E14" s="188">
        <f t="shared" si="1"/>
        <v>0</v>
      </c>
      <c r="F14" s="120"/>
      <c r="G14" s="200"/>
      <c r="H14" s="200"/>
    </row>
    <row r="15">
      <c r="A15" s="203"/>
      <c r="B15" s="203"/>
      <c r="C15" s="203"/>
      <c r="D15" s="204"/>
      <c r="E15" s="192">
        <f t="shared" si="1"/>
        <v>0</v>
      </c>
      <c r="F15" s="203"/>
      <c r="G15" s="201"/>
      <c r="H15" s="201"/>
    </row>
    <row r="16">
      <c r="A16" s="111"/>
      <c r="B16" s="111"/>
      <c r="C16" s="111"/>
      <c r="D16" s="187"/>
      <c r="E16" s="188">
        <f t="shared" si="1"/>
        <v>0</v>
      </c>
      <c r="F16" s="111"/>
      <c r="G16" s="200"/>
      <c r="H16" s="200"/>
    </row>
    <row r="17">
      <c r="A17" s="203"/>
      <c r="B17" s="203"/>
      <c r="C17" s="203"/>
      <c r="D17" s="204"/>
      <c r="E17" s="192">
        <f t="shared" si="1"/>
        <v>0</v>
      </c>
      <c r="F17" s="203"/>
      <c r="G17" s="201"/>
      <c r="H17" s="201"/>
    </row>
    <row r="18">
      <c r="A18" s="120"/>
      <c r="B18" s="120"/>
      <c r="C18" s="120"/>
      <c r="D18" s="202"/>
      <c r="E18" s="188">
        <f t="shared" si="1"/>
        <v>0</v>
      </c>
      <c r="F18" s="120"/>
      <c r="G18" s="200"/>
      <c r="H18" s="200"/>
    </row>
    <row r="19">
      <c r="A19" s="203"/>
      <c r="B19" s="203"/>
      <c r="C19" s="203"/>
      <c r="D19" s="204"/>
      <c r="E19" s="192">
        <f t="shared" si="1"/>
        <v>0</v>
      </c>
      <c r="F19" s="203"/>
      <c r="G19" s="201"/>
      <c r="H19" s="201"/>
    </row>
    <row r="20">
      <c r="A20" s="120"/>
      <c r="B20" s="120"/>
      <c r="C20" s="120"/>
      <c r="D20" s="202"/>
      <c r="E20" s="188">
        <f t="shared" si="1"/>
        <v>0</v>
      </c>
      <c r="F20" s="120"/>
      <c r="G20" s="200"/>
      <c r="H20" s="200"/>
    </row>
    <row r="21">
      <c r="A21" s="203"/>
      <c r="B21" s="203"/>
      <c r="C21" s="203"/>
      <c r="D21" s="204"/>
      <c r="E21" s="192">
        <f t="shared" si="1"/>
        <v>0</v>
      </c>
      <c r="F21" s="203"/>
      <c r="G21" s="201"/>
      <c r="H21" s="201"/>
    </row>
    <row r="22">
      <c r="A22" s="120"/>
      <c r="B22" s="120"/>
      <c r="C22" s="120"/>
      <c r="D22" s="202"/>
      <c r="E22" s="188">
        <f t="shared" si="1"/>
        <v>0</v>
      </c>
      <c r="F22" s="120"/>
      <c r="G22" s="200"/>
      <c r="H22" s="200"/>
    </row>
    <row r="23">
      <c r="A23" s="203"/>
      <c r="B23" s="203"/>
      <c r="C23" s="203"/>
      <c r="D23" s="204"/>
      <c r="E23" s="192">
        <f t="shared" si="1"/>
        <v>0</v>
      </c>
      <c r="F23" s="203"/>
      <c r="G23" s="201"/>
      <c r="H23" s="201"/>
    </row>
    <row r="24">
      <c r="A24" s="120"/>
      <c r="B24" s="120"/>
      <c r="C24" s="120"/>
      <c r="D24" s="202"/>
      <c r="E24" s="188">
        <f t="shared" si="1"/>
        <v>0</v>
      </c>
      <c r="F24" s="120"/>
      <c r="G24" s="200"/>
      <c r="H24" s="200"/>
    </row>
    <row r="25">
      <c r="A25" s="203"/>
      <c r="B25" s="203"/>
      <c r="C25" s="203"/>
      <c r="D25" s="204"/>
      <c r="E25" s="192">
        <f t="shared" si="1"/>
        <v>0</v>
      </c>
      <c r="F25" s="203"/>
      <c r="G25" s="201"/>
      <c r="H25" s="201"/>
    </row>
    <row r="26">
      <c r="A26" s="120"/>
      <c r="B26" s="120"/>
      <c r="C26" s="120"/>
      <c r="D26" s="202"/>
      <c r="E26" s="188">
        <f t="shared" si="1"/>
        <v>0</v>
      </c>
      <c r="F26" s="120"/>
      <c r="G26" s="200"/>
      <c r="H26" s="200"/>
    </row>
    <row r="27">
      <c r="A27" s="203"/>
      <c r="B27" s="203"/>
      <c r="C27" s="203"/>
      <c r="D27" s="204"/>
      <c r="E27" s="192">
        <f t="shared" si="1"/>
        <v>0</v>
      </c>
      <c r="F27" s="203"/>
      <c r="G27" s="201"/>
      <c r="H27" s="201"/>
    </row>
    <row r="28">
      <c r="A28" s="120"/>
      <c r="B28" s="120"/>
      <c r="C28" s="120"/>
      <c r="D28" s="202"/>
      <c r="E28" s="188">
        <f t="shared" si="1"/>
        <v>0</v>
      </c>
      <c r="F28" s="120"/>
      <c r="G28" s="200"/>
      <c r="H28" s="200"/>
    </row>
    <row r="29">
      <c r="A29" s="203"/>
      <c r="B29" s="203"/>
      <c r="C29" s="203"/>
      <c r="D29" s="204"/>
      <c r="E29" s="192">
        <f t="shared" si="1"/>
        <v>0</v>
      </c>
      <c r="F29" s="203"/>
      <c r="G29" s="201"/>
      <c r="H29" s="201"/>
    </row>
    <row r="30">
      <c r="A30" s="120"/>
      <c r="B30" s="120"/>
      <c r="C30" s="120"/>
      <c r="D30" s="202"/>
      <c r="E30" s="188">
        <f t="shared" si="1"/>
        <v>0</v>
      </c>
      <c r="F30" s="120"/>
      <c r="G30" s="200"/>
      <c r="H30" s="200"/>
    </row>
    <row r="31">
      <c r="A31" s="203"/>
      <c r="B31" s="203"/>
      <c r="C31" s="203"/>
      <c r="D31" s="204"/>
      <c r="E31" s="192">
        <f t="shared" si="1"/>
        <v>0</v>
      </c>
      <c r="F31" s="203"/>
      <c r="G31" s="201"/>
      <c r="H31" s="201"/>
    </row>
    <row r="32">
      <c r="A32" s="120"/>
      <c r="B32" s="120"/>
      <c r="C32" s="120"/>
      <c r="D32" s="202"/>
      <c r="E32" s="188">
        <f t="shared" si="1"/>
        <v>0</v>
      </c>
      <c r="F32" s="120"/>
      <c r="G32" s="205" t="s">
        <v>157</v>
      </c>
      <c r="H32" s="206">
        <f>sum(H6:H31)</f>
        <v>0</v>
      </c>
    </row>
    <row r="33">
      <c r="A33" s="203"/>
      <c r="B33" s="203"/>
      <c r="C33" s="203"/>
      <c r="D33" s="204"/>
      <c r="E33" s="192">
        <f t="shared" si="1"/>
        <v>0</v>
      </c>
      <c r="F33" s="203"/>
      <c r="G33" s="207" t="s">
        <v>158</v>
      </c>
      <c r="H33" s="207" t="s">
        <v>150</v>
      </c>
    </row>
    <row r="34">
      <c r="A34" s="120"/>
      <c r="B34" s="120"/>
      <c r="C34" s="120"/>
      <c r="D34" s="202"/>
      <c r="E34" s="188">
        <f t="shared" si="1"/>
        <v>0</v>
      </c>
      <c r="F34" s="120"/>
      <c r="G34" s="208"/>
      <c r="H34" s="209"/>
    </row>
    <row r="35">
      <c r="A35" s="203"/>
      <c r="B35" s="203"/>
      <c r="C35" s="203"/>
      <c r="D35" s="204"/>
      <c r="E35" s="192">
        <f t="shared" si="1"/>
        <v>0</v>
      </c>
      <c r="F35" s="203"/>
      <c r="G35" s="210"/>
      <c r="H35" s="210"/>
    </row>
    <row r="36">
      <c r="A36" s="120"/>
      <c r="B36" s="120"/>
      <c r="C36" s="120"/>
      <c r="D36" s="202"/>
      <c r="E36" s="188">
        <f t="shared" si="1"/>
        <v>0</v>
      </c>
      <c r="F36" s="120"/>
      <c r="G36" s="208"/>
      <c r="H36" s="208"/>
    </row>
    <row r="37">
      <c r="A37" s="203"/>
      <c r="B37" s="203"/>
      <c r="C37" s="203"/>
      <c r="D37" s="204"/>
      <c r="E37" s="192">
        <f t="shared" si="1"/>
        <v>0</v>
      </c>
      <c r="F37" s="203"/>
      <c r="G37" s="210"/>
      <c r="H37" s="210"/>
    </row>
    <row r="38">
      <c r="A38" s="120"/>
      <c r="B38" s="120"/>
      <c r="C38" s="120"/>
      <c r="D38" s="202"/>
      <c r="E38" s="188">
        <f t="shared" si="1"/>
        <v>0</v>
      </c>
      <c r="F38" s="120"/>
      <c r="G38" s="211"/>
      <c r="H38" s="211"/>
    </row>
    <row r="39">
      <c r="A39" s="203"/>
      <c r="B39" s="203"/>
      <c r="C39" s="203"/>
      <c r="D39" s="204"/>
      <c r="E39" s="192">
        <f t="shared" si="1"/>
        <v>0</v>
      </c>
      <c r="F39" s="203"/>
      <c r="G39" s="212" t="s">
        <v>159</v>
      </c>
      <c r="H39" s="213">
        <f>sum(H33:H38)</f>
        <v>0</v>
      </c>
    </row>
    <row r="40">
      <c r="A40" s="120"/>
      <c r="B40" s="120"/>
      <c r="C40" s="120"/>
      <c r="D40" s="202"/>
      <c r="E40" s="188">
        <f t="shared" si="1"/>
        <v>0</v>
      </c>
      <c r="F40" s="120"/>
      <c r="G40" s="148" t="s">
        <v>160</v>
      </c>
    </row>
    <row r="41">
      <c r="A41" s="203"/>
      <c r="B41" s="203"/>
      <c r="C41" s="203"/>
      <c r="D41" s="204"/>
      <c r="E41" s="192">
        <f t="shared" si="1"/>
        <v>0</v>
      </c>
      <c r="F41" s="203"/>
    </row>
    <row r="42">
      <c r="A42" s="120"/>
      <c r="B42" s="120"/>
      <c r="C42" s="120"/>
      <c r="D42" s="202"/>
      <c r="E42" s="188">
        <f t="shared" si="1"/>
        <v>0</v>
      </c>
      <c r="F42" s="120"/>
    </row>
    <row r="43">
      <c r="A43" s="203"/>
      <c r="B43" s="203"/>
      <c r="C43" s="203"/>
      <c r="D43" s="204"/>
      <c r="E43" s="192">
        <f t="shared" si="1"/>
        <v>0</v>
      </c>
      <c r="F43" s="203"/>
    </row>
    <row r="44">
      <c r="A44" s="120"/>
      <c r="B44" s="120"/>
      <c r="C44" s="120"/>
      <c r="D44" s="202"/>
      <c r="E44" s="188">
        <f t="shared" si="1"/>
        <v>0</v>
      </c>
      <c r="F44" s="120"/>
      <c r="G44" s="214" t="s">
        <v>161</v>
      </c>
      <c r="H44" s="214" t="s">
        <v>150</v>
      </c>
    </row>
    <row r="45">
      <c r="A45" s="203"/>
      <c r="B45" s="203"/>
      <c r="C45" s="203"/>
      <c r="D45" s="204"/>
      <c r="E45" s="192">
        <f t="shared" si="1"/>
        <v>0</v>
      </c>
      <c r="F45" s="203"/>
      <c r="G45" s="215"/>
      <c r="H45" s="215"/>
    </row>
    <row r="46">
      <c r="A46" s="120"/>
      <c r="B46" s="120"/>
      <c r="C46" s="120"/>
      <c r="D46" s="202"/>
      <c r="E46" s="188">
        <f t="shared" si="1"/>
        <v>0</v>
      </c>
      <c r="F46" s="120"/>
      <c r="G46" s="211"/>
      <c r="H46" s="211"/>
    </row>
    <row r="47">
      <c r="A47" s="203"/>
      <c r="B47" s="203"/>
      <c r="C47" s="203"/>
      <c r="D47" s="204"/>
      <c r="E47" s="192">
        <f t="shared" si="1"/>
        <v>0</v>
      </c>
      <c r="F47" s="203"/>
      <c r="G47" s="215"/>
      <c r="H47" s="215"/>
    </row>
    <row r="48">
      <c r="A48" s="120"/>
      <c r="B48" s="120"/>
      <c r="C48" s="120"/>
      <c r="D48" s="202"/>
      <c r="E48" s="188">
        <f t="shared" si="1"/>
        <v>0</v>
      </c>
      <c r="F48" s="120"/>
      <c r="G48" s="211"/>
      <c r="H48" s="211"/>
    </row>
    <row r="49">
      <c r="A49" s="203"/>
      <c r="B49" s="203"/>
      <c r="C49" s="203"/>
      <c r="D49" s="204"/>
      <c r="E49" s="192">
        <f t="shared" si="1"/>
        <v>0</v>
      </c>
      <c r="F49" s="203"/>
      <c r="G49" s="215"/>
      <c r="H49" s="215"/>
    </row>
    <row r="50">
      <c r="A50" s="120"/>
      <c r="B50" s="120"/>
      <c r="C50" s="120"/>
      <c r="D50" s="202"/>
      <c r="E50" s="188">
        <f t="shared" si="1"/>
        <v>0</v>
      </c>
      <c r="F50" s="120"/>
      <c r="G50" s="216" t="s">
        <v>162</v>
      </c>
      <c r="H50" s="217">
        <f>SUM(H45:H49)</f>
        <v>0</v>
      </c>
    </row>
    <row r="51">
      <c r="A51" s="203"/>
      <c r="B51" s="203"/>
      <c r="C51" s="203"/>
      <c r="D51" s="204"/>
      <c r="E51" s="192">
        <f t="shared" si="1"/>
        <v>0</v>
      </c>
      <c r="F51" s="203"/>
    </row>
    <row r="52">
      <c r="A52" s="120"/>
      <c r="B52" s="120"/>
      <c r="C52" s="120"/>
      <c r="D52" s="202"/>
      <c r="E52" s="188">
        <f t="shared" si="1"/>
        <v>0</v>
      </c>
      <c r="F52" s="120"/>
      <c r="G52" s="211"/>
      <c r="H52" s="211"/>
    </row>
    <row r="53">
      <c r="A53" s="203"/>
      <c r="B53" s="203"/>
      <c r="C53" s="203"/>
      <c r="D53" s="204"/>
      <c r="E53" s="192">
        <f t="shared" si="1"/>
        <v>0</v>
      </c>
      <c r="F53" s="203"/>
      <c r="G53" s="211"/>
      <c r="H53" s="211"/>
    </row>
    <row r="54">
      <c r="A54" s="120"/>
      <c r="B54" s="120"/>
      <c r="C54" s="120"/>
      <c r="D54" s="202"/>
      <c r="E54" s="188">
        <f t="shared" si="1"/>
        <v>0</v>
      </c>
      <c r="F54" s="120"/>
      <c r="G54" s="211"/>
      <c r="H54" s="211"/>
    </row>
    <row r="55">
      <c r="A55" s="203"/>
      <c r="B55" s="203"/>
      <c r="C55" s="203"/>
      <c r="D55" s="204"/>
      <c r="E55" s="192">
        <f t="shared" si="1"/>
        <v>0</v>
      </c>
      <c r="F55" s="203"/>
      <c r="G55" s="211"/>
      <c r="H55" s="211"/>
    </row>
    <row r="56">
      <c r="A56" s="120"/>
      <c r="B56" s="120"/>
      <c r="C56" s="120"/>
      <c r="D56" s="202"/>
      <c r="E56" s="188">
        <f t="shared" si="1"/>
        <v>0</v>
      </c>
      <c r="F56" s="120"/>
      <c r="G56" s="211"/>
      <c r="H56" s="211"/>
    </row>
    <row r="57">
      <c r="A57" s="203"/>
      <c r="B57" s="203"/>
      <c r="C57" s="203"/>
      <c r="D57" s="204"/>
      <c r="E57" s="192">
        <f t="shared" si="1"/>
        <v>0</v>
      </c>
      <c r="F57" s="203"/>
      <c r="G57" s="211"/>
      <c r="H57" s="211"/>
    </row>
    <row r="58">
      <c r="A58" s="120"/>
      <c r="B58" s="120"/>
      <c r="C58" s="120"/>
      <c r="D58" s="202"/>
      <c r="E58" s="188">
        <f t="shared" si="1"/>
        <v>0</v>
      </c>
      <c r="F58" s="120"/>
      <c r="G58" s="211"/>
      <c r="H58" s="211"/>
    </row>
    <row r="59">
      <c r="A59" s="203"/>
      <c r="B59" s="203"/>
      <c r="C59" s="203"/>
      <c r="D59" s="204"/>
      <c r="E59" s="192">
        <f t="shared" si="1"/>
        <v>0</v>
      </c>
      <c r="F59" s="203"/>
      <c r="G59" s="211"/>
      <c r="H59" s="211"/>
    </row>
    <row r="60">
      <c r="A60" s="120"/>
      <c r="B60" s="120"/>
      <c r="C60" s="120"/>
      <c r="D60" s="202"/>
      <c r="E60" s="188">
        <f t="shared" si="1"/>
        <v>0</v>
      </c>
      <c r="F60" s="120"/>
      <c r="G60" s="211"/>
      <c r="H60" s="211"/>
    </row>
    <row r="61">
      <c r="A61" s="203"/>
      <c r="B61" s="203"/>
      <c r="C61" s="203"/>
      <c r="D61" s="204"/>
      <c r="E61" s="192">
        <f t="shared" si="1"/>
        <v>0</v>
      </c>
      <c r="F61" s="203"/>
      <c r="G61" s="211"/>
      <c r="H61" s="211"/>
    </row>
    <row r="62">
      <c r="A62" s="120"/>
      <c r="B62" s="120"/>
      <c r="C62" s="120"/>
      <c r="D62" s="202"/>
      <c r="E62" s="188">
        <f t="shared" si="1"/>
        <v>0</v>
      </c>
      <c r="F62" s="120"/>
      <c r="G62" s="211"/>
      <c r="H62" s="211"/>
    </row>
    <row r="63">
      <c r="A63" s="203"/>
      <c r="B63" s="203"/>
      <c r="C63" s="203"/>
      <c r="D63" s="204"/>
      <c r="E63" s="192">
        <f t="shared" si="1"/>
        <v>0</v>
      </c>
      <c r="F63" s="203"/>
      <c r="G63" s="211"/>
      <c r="H63" s="211"/>
    </row>
    <row r="64">
      <c r="A64" s="120"/>
      <c r="B64" s="120"/>
      <c r="C64" s="120"/>
      <c r="D64" s="202"/>
      <c r="E64" s="188">
        <f t="shared" si="1"/>
        <v>0</v>
      </c>
      <c r="F64" s="120"/>
      <c r="G64" s="211"/>
      <c r="H64" s="211"/>
    </row>
    <row r="65">
      <c r="A65" s="203"/>
      <c r="B65" s="203"/>
      <c r="C65" s="203"/>
      <c r="D65" s="204"/>
      <c r="E65" s="192">
        <f t="shared" si="1"/>
        <v>0</v>
      </c>
      <c r="F65" s="203"/>
      <c r="G65" s="211"/>
      <c r="H65" s="211"/>
    </row>
    <row r="66">
      <c r="A66" s="120"/>
      <c r="B66" s="120"/>
      <c r="C66" s="120"/>
      <c r="D66" s="202"/>
      <c r="E66" s="188">
        <f t="shared" si="1"/>
        <v>0</v>
      </c>
      <c r="F66" s="120"/>
      <c r="G66" s="211"/>
      <c r="H66" s="211"/>
    </row>
    <row r="67">
      <c r="A67" s="203"/>
      <c r="B67" s="203"/>
      <c r="C67" s="203"/>
      <c r="D67" s="204"/>
      <c r="E67" s="192">
        <f t="shared" si="1"/>
        <v>0</v>
      </c>
      <c r="F67" s="203"/>
      <c r="G67" s="211"/>
      <c r="H67" s="211"/>
    </row>
    <row r="68">
      <c r="A68" s="120"/>
      <c r="B68" s="120"/>
      <c r="C68" s="120"/>
      <c r="D68" s="202"/>
      <c r="E68" s="188">
        <f t="shared" si="1"/>
        <v>0</v>
      </c>
      <c r="F68" s="120"/>
      <c r="G68" s="211"/>
      <c r="H68" s="211"/>
    </row>
    <row r="69">
      <c r="A69" s="203"/>
      <c r="B69" s="203"/>
      <c r="C69" s="203"/>
      <c r="D69" s="204"/>
      <c r="E69" s="192">
        <f t="shared" si="1"/>
        <v>0</v>
      </c>
      <c r="F69" s="203"/>
      <c r="G69" s="211"/>
      <c r="H69" s="211"/>
    </row>
    <row r="70">
      <c r="A70" s="120"/>
      <c r="B70" s="120"/>
      <c r="C70" s="120"/>
      <c r="D70" s="202"/>
      <c r="E70" s="188">
        <f t="shared" si="1"/>
        <v>0</v>
      </c>
      <c r="F70" s="120"/>
      <c r="G70" s="211"/>
      <c r="H70" s="211"/>
    </row>
    <row r="71">
      <c r="A71" s="203"/>
      <c r="B71" s="203"/>
      <c r="C71" s="203"/>
      <c r="D71" s="204"/>
      <c r="E71" s="192">
        <f t="shared" si="1"/>
        <v>0</v>
      </c>
      <c r="F71" s="203"/>
      <c r="G71" s="211"/>
      <c r="H71" s="211"/>
    </row>
    <row r="72">
      <c r="A72" s="120"/>
      <c r="B72" s="120"/>
      <c r="C72" s="120"/>
      <c r="D72" s="202"/>
      <c r="E72" s="188">
        <f t="shared" si="1"/>
        <v>0</v>
      </c>
      <c r="F72" s="120"/>
      <c r="G72" s="211"/>
      <c r="H72" s="211"/>
    </row>
    <row r="73">
      <c r="A73" s="203"/>
      <c r="B73" s="203"/>
      <c r="C73" s="203"/>
      <c r="D73" s="204"/>
      <c r="E73" s="192">
        <f t="shared" si="1"/>
        <v>0</v>
      </c>
      <c r="F73" s="203"/>
      <c r="G73" s="211"/>
      <c r="H73" s="211"/>
    </row>
    <row r="74">
      <c r="A74" s="120"/>
      <c r="B74" s="120"/>
      <c r="C74" s="120"/>
      <c r="D74" s="202"/>
      <c r="E74" s="188">
        <f t="shared" si="1"/>
        <v>0</v>
      </c>
      <c r="F74" s="120"/>
      <c r="G74" s="211"/>
      <c r="H74" s="211"/>
    </row>
    <row r="75">
      <c r="A75" s="203"/>
      <c r="B75" s="203"/>
      <c r="C75" s="203"/>
      <c r="D75" s="204"/>
      <c r="E75" s="192">
        <f t="shared" si="1"/>
        <v>0</v>
      </c>
      <c r="F75" s="203"/>
      <c r="G75" s="211"/>
      <c r="H75" s="211"/>
    </row>
    <row r="76">
      <c r="A76" s="120"/>
      <c r="B76" s="120"/>
      <c r="C76" s="120"/>
      <c r="D76" s="202"/>
      <c r="E76" s="188">
        <f t="shared" si="1"/>
        <v>0</v>
      </c>
      <c r="F76" s="120"/>
      <c r="G76" s="211"/>
      <c r="H76" s="211"/>
    </row>
    <row r="77">
      <c r="A77" s="203"/>
      <c r="B77" s="203"/>
      <c r="C77" s="203"/>
      <c r="D77" s="204"/>
      <c r="E77" s="192">
        <f t="shared" si="1"/>
        <v>0</v>
      </c>
      <c r="F77" s="203"/>
      <c r="G77" s="211"/>
      <c r="H77" s="211"/>
    </row>
    <row r="78">
      <c r="A78" s="120"/>
      <c r="B78" s="120"/>
      <c r="C78" s="120"/>
      <c r="D78" s="202"/>
      <c r="E78" s="188">
        <f t="shared" si="1"/>
        <v>0</v>
      </c>
      <c r="F78" s="120"/>
      <c r="G78" s="211"/>
      <c r="H78" s="211"/>
    </row>
    <row r="79">
      <c r="A79" s="203"/>
      <c r="B79" s="203"/>
      <c r="C79" s="203"/>
      <c r="D79" s="204"/>
      <c r="E79" s="192">
        <f t="shared" si="1"/>
        <v>0</v>
      </c>
      <c r="F79" s="203"/>
      <c r="G79" s="211"/>
      <c r="H79" s="211"/>
    </row>
    <row r="80">
      <c r="A80" s="120"/>
      <c r="B80" s="120"/>
      <c r="C80" s="120"/>
      <c r="D80" s="202"/>
      <c r="E80" s="188">
        <f t="shared" si="1"/>
        <v>0</v>
      </c>
      <c r="F80" s="120"/>
      <c r="G80" s="211"/>
      <c r="H80" s="211"/>
    </row>
    <row r="81">
      <c r="A81" s="203"/>
      <c r="B81" s="203"/>
      <c r="C81" s="203"/>
      <c r="D81" s="204"/>
      <c r="E81" s="192">
        <f t="shared" si="1"/>
        <v>0</v>
      </c>
      <c r="F81" s="203"/>
      <c r="G81" s="211"/>
      <c r="H81" s="211"/>
    </row>
    <row r="82">
      <c r="A82" s="120"/>
      <c r="B82" s="120"/>
      <c r="C82" s="120"/>
      <c r="D82" s="202"/>
      <c r="E82" s="188">
        <f t="shared" si="1"/>
        <v>0</v>
      </c>
      <c r="F82" s="120"/>
      <c r="G82" s="211"/>
      <c r="H82" s="211"/>
    </row>
    <row r="83">
      <c r="A83" s="203"/>
      <c r="B83" s="203"/>
      <c r="C83" s="203"/>
      <c r="D83" s="204"/>
      <c r="E83" s="192">
        <f t="shared" si="1"/>
        <v>0</v>
      </c>
      <c r="F83" s="203"/>
      <c r="G83" s="211"/>
      <c r="H83" s="211"/>
    </row>
    <row r="84">
      <c r="A84" s="120"/>
      <c r="B84" s="120"/>
      <c r="C84" s="120"/>
      <c r="D84" s="202"/>
      <c r="E84" s="188">
        <f t="shared" si="1"/>
        <v>0</v>
      </c>
      <c r="F84" s="120"/>
      <c r="G84" s="211"/>
      <c r="H84" s="211"/>
    </row>
    <row r="85">
      <c r="A85" s="203"/>
      <c r="B85" s="203"/>
      <c r="C85" s="203"/>
      <c r="D85" s="204"/>
      <c r="E85" s="192">
        <f t="shared" si="1"/>
        <v>0</v>
      </c>
      <c r="F85" s="203"/>
      <c r="G85" s="211"/>
      <c r="H85" s="211"/>
    </row>
    <row r="86">
      <c r="A86" s="120"/>
      <c r="B86" s="120"/>
      <c r="C86" s="120"/>
      <c r="D86" s="202"/>
      <c r="E86" s="188">
        <f t="shared" si="1"/>
        <v>0</v>
      </c>
      <c r="F86" s="120"/>
      <c r="G86" s="211"/>
      <c r="H86" s="211"/>
    </row>
    <row r="87">
      <c r="A87" s="203"/>
      <c r="B87" s="203"/>
      <c r="C87" s="203"/>
      <c r="D87" s="204"/>
      <c r="E87" s="192">
        <f t="shared" si="1"/>
        <v>0</v>
      </c>
      <c r="F87" s="203"/>
      <c r="G87" s="211"/>
      <c r="H87" s="211"/>
    </row>
    <row r="88">
      <c r="A88" s="120"/>
      <c r="B88" s="120"/>
      <c r="C88" s="120"/>
      <c r="D88" s="202"/>
      <c r="E88" s="188">
        <f t="shared" si="1"/>
        <v>0</v>
      </c>
      <c r="F88" s="120"/>
      <c r="G88" s="211"/>
      <c r="H88" s="211"/>
    </row>
    <row r="89">
      <c r="A89" s="203"/>
      <c r="B89" s="203"/>
      <c r="C89" s="203"/>
      <c r="D89" s="204"/>
      <c r="E89" s="192">
        <f t="shared" si="1"/>
        <v>0</v>
      </c>
      <c r="F89" s="203"/>
      <c r="G89" s="211"/>
      <c r="H89" s="211"/>
    </row>
    <row r="90">
      <c r="A90" s="120"/>
      <c r="B90" s="120"/>
      <c r="C90" s="120"/>
      <c r="D90" s="202"/>
      <c r="E90" s="188">
        <f t="shared" si="1"/>
        <v>0</v>
      </c>
      <c r="F90" s="120"/>
      <c r="G90" s="211"/>
      <c r="H90" s="211"/>
    </row>
    <row r="91">
      <c r="A91" s="203"/>
      <c r="B91" s="203"/>
      <c r="C91" s="203"/>
      <c r="D91" s="204"/>
      <c r="E91" s="192">
        <f t="shared" si="1"/>
        <v>0</v>
      </c>
      <c r="F91" s="203"/>
      <c r="G91" s="211"/>
      <c r="H91" s="211"/>
    </row>
    <row r="92">
      <c r="A92" s="120"/>
      <c r="B92" s="120"/>
      <c r="C92" s="120"/>
      <c r="D92" s="202"/>
      <c r="E92" s="188">
        <f t="shared" si="1"/>
        <v>0</v>
      </c>
      <c r="F92" s="120"/>
      <c r="G92" s="211"/>
      <c r="H92" s="211"/>
    </row>
    <row r="93">
      <c r="A93" s="203"/>
      <c r="B93" s="203"/>
      <c r="C93" s="203"/>
      <c r="D93" s="204"/>
      <c r="E93" s="192">
        <f t="shared" si="1"/>
        <v>0</v>
      </c>
      <c r="F93" s="203"/>
      <c r="G93" s="211"/>
      <c r="H93" s="211"/>
    </row>
    <row r="94">
      <c r="A94" s="120"/>
      <c r="B94" s="120"/>
      <c r="C94" s="120"/>
      <c r="D94" s="202"/>
      <c r="E94" s="188">
        <f t="shared" si="1"/>
        <v>0</v>
      </c>
      <c r="F94" s="120"/>
      <c r="G94" s="211"/>
      <c r="H94" s="211"/>
    </row>
    <row r="95">
      <c r="A95" s="203"/>
      <c r="B95" s="203"/>
      <c r="C95" s="203"/>
      <c r="D95" s="204"/>
      <c r="E95" s="192">
        <f t="shared" si="1"/>
        <v>0</v>
      </c>
      <c r="F95" s="203"/>
      <c r="G95" s="211"/>
      <c r="H95" s="211"/>
    </row>
    <row r="96">
      <c r="A96" s="120"/>
      <c r="B96" s="120"/>
      <c r="C96" s="120"/>
      <c r="D96" s="202"/>
      <c r="E96" s="188">
        <f t="shared" si="1"/>
        <v>0</v>
      </c>
      <c r="F96" s="120"/>
      <c r="G96" s="211"/>
      <c r="H96" s="211"/>
    </row>
    <row r="97">
      <c r="A97" s="203"/>
      <c r="B97" s="203"/>
      <c r="C97" s="203"/>
      <c r="D97" s="204"/>
      <c r="E97" s="192">
        <f t="shared" si="1"/>
        <v>0</v>
      </c>
      <c r="F97" s="203"/>
      <c r="G97" s="211"/>
      <c r="H97" s="211"/>
    </row>
    <row r="98">
      <c r="A98" s="120"/>
      <c r="B98" s="120"/>
      <c r="C98" s="120"/>
      <c r="D98" s="202"/>
      <c r="E98" s="188">
        <f t="shared" si="1"/>
        <v>0</v>
      </c>
      <c r="F98" s="120"/>
      <c r="G98" s="211"/>
      <c r="H98" s="211"/>
    </row>
    <row r="99">
      <c r="A99" s="203"/>
      <c r="B99" s="203"/>
      <c r="C99" s="203"/>
      <c r="D99" s="204"/>
      <c r="E99" s="192">
        <f t="shared" si="1"/>
        <v>0</v>
      </c>
      <c r="F99" s="203"/>
      <c r="G99" s="211"/>
      <c r="H99" s="211"/>
    </row>
    <row r="100">
      <c r="A100" s="120"/>
      <c r="B100" s="120"/>
      <c r="C100" s="120"/>
      <c r="D100" s="202"/>
      <c r="E100" s="188">
        <f t="shared" si="1"/>
        <v>0</v>
      </c>
      <c r="F100" s="120"/>
      <c r="G100" s="211"/>
      <c r="H100" s="211"/>
    </row>
    <row r="101">
      <c r="A101" s="203"/>
      <c r="B101" s="203"/>
      <c r="C101" s="203"/>
      <c r="D101" s="204"/>
      <c r="E101" s="192">
        <f t="shared" si="1"/>
        <v>0</v>
      </c>
      <c r="F101" s="203"/>
      <c r="G101" s="211"/>
      <c r="H101" s="211"/>
    </row>
    <row r="102">
      <c r="A102" s="120"/>
      <c r="B102" s="120"/>
      <c r="C102" s="120"/>
      <c r="D102" s="202"/>
      <c r="E102" s="188">
        <f t="shared" si="1"/>
        <v>0</v>
      </c>
      <c r="F102" s="120"/>
      <c r="G102" s="211"/>
      <c r="H102" s="211"/>
    </row>
    <row r="103">
      <c r="A103" s="203"/>
      <c r="B103" s="203"/>
      <c r="C103" s="203"/>
      <c r="D103" s="204"/>
      <c r="E103" s="192">
        <f t="shared" si="1"/>
        <v>0</v>
      </c>
      <c r="F103" s="203"/>
      <c r="G103" s="211"/>
      <c r="H103" s="211"/>
    </row>
    <row r="104">
      <c r="A104" s="120"/>
      <c r="B104" s="120"/>
      <c r="C104" s="120"/>
      <c r="D104" s="202"/>
      <c r="E104" s="188">
        <f t="shared" si="1"/>
        <v>0</v>
      </c>
      <c r="F104" s="120"/>
      <c r="G104" s="211"/>
      <c r="H104" s="211"/>
    </row>
    <row r="105">
      <c r="A105" s="203"/>
      <c r="B105" s="203"/>
      <c r="C105" s="203"/>
      <c r="D105" s="204"/>
      <c r="E105" s="192">
        <f t="shared" si="1"/>
        <v>0</v>
      </c>
      <c r="F105" s="203"/>
      <c r="G105" s="211"/>
      <c r="H105" s="211"/>
    </row>
    <row r="106">
      <c r="A106" s="120"/>
      <c r="B106" s="120"/>
      <c r="C106" s="120"/>
      <c r="D106" s="202"/>
      <c r="E106" s="188">
        <f t="shared" si="1"/>
        <v>0</v>
      </c>
      <c r="F106" s="120"/>
      <c r="G106" s="211"/>
      <c r="H106" s="211"/>
    </row>
    <row r="107">
      <c r="A107" s="203"/>
      <c r="B107" s="203"/>
      <c r="C107" s="203"/>
      <c r="D107" s="204"/>
      <c r="E107" s="192">
        <f t="shared" si="1"/>
        <v>0</v>
      </c>
      <c r="F107" s="203"/>
      <c r="G107" s="211"/>
      <c r="H107" s="211"/>
    </row>
    <row r="108">
      <c r="A108" s="120"/>
      <c r="B108" s="120"/>
      <c r="C108" s="120"/>
      <c r="D108" s="202"/>
      <c r="E108" s="188">
        <f t="shared" si="1"/>
        <v>0</v>
      </c>
      <c r="F108" s="120"/>
      <c r="G108" s="211"/>
      <c r="H108" s="211"/>
    </row>
    <row r="109">
      <c r="A109" s="203"/>
      <c r="B109" s="203"/>
      <c r="C109" s="203"/>
      <c r="D109" s="204"/>
      <c r="E109" s="192">
        <f t="shared" si="1"/>
        <v>0</v>
      </c>
      <c r="F109" s="203"/>
      <c r="G109" s="211"/>
      <c r="H109" s="211"/>
    </row>
    <row r="110">
      <c r="A110" s="120"/>
      <c r="B110" s="120"/>
      <c r="C110" s="120"/>
      <c r="D110" s="202"/>
      <c r="E110" s="188">
        <f t="shared" si="1"/>
        <v>0</v>
      </c>
      <c r="F110" s="120"/>
      <c r="G110" s="211"/>
      <c r="H110" s="211"/>
    </row>
    <row r="111">
      <c r="A111" s="203"/>
      <c r="B111" s="203"/>
      <c r="C111" s="203"/>
      <c r="D111" s="204"/>
      <c r="E111" s="192">
        <f t="shared" si="1"/>
        <v>0</v>
      </c>
      <c r="F111" s="203"/>
      <c r="G111" s="211"/>
      <c r="H111" s="211"/>
    </row>
    <row r="112">
      <c r="A112" s="120"/>
      <c r="B112" s="120"/>
      <c r="C112" s="120"/>
      <c r="D112" s="202"/>
      <c r="E112" s="188">
        <f t="shared" si="1"/>
        <v>0</v>
      </c>
      <c r="F112" s="120"/>
      <c r="G112" s="211"/>
      <c r="H112" s="211"/>
    </row>
    <row r="113">
      <c r="A113" s="203"/>
      <c r="B113" s="203"/>
      <c r="C113" s="203"/>
      <c r="D113" s="204"/>
      <c r="E113" s="192">
        <f t="shared" si="1"/>
        <v>0</v>
      </c>
      <c r="F113" s="203"/>
      <c r="G113" s="211"/>
      <c r="H113" s="211"/>
    </row>
    <row r="114">
      <c r="A114" s="120"/>
      <c r="B114" s="120"/>
      <c r="C114" s="120"/>
      <c r="D114" s="202"/>
      <c r="E114" s="188">
        <f t="shared" si="1"/>
        <v>0</v>
      </c>
      <c r="F114" s="120"/>
      <c r="G114" s="211"/>
      <c r="H114" s="211"/>
    </row>
    <row r="115">
      <c r="A115" s="203"/>
      <c r="B115" s="203"/>
      <c r="C115" s="203"/>
      <c r="D115" s="204"/>
      <c r="E115" s="192">
        <f t="shared" si="1"/>
        <v>0</v>
      </c>
      <c r="F115" s="203"/>
      <c r="G115" s="211"/>
      <c r="H115" s="211"/>
    </row>
    <row r="116">
      <c r="A116" s="120"/>
      <c r="B116" s="120"/>
      <c r="C116" s="120"/>
      <c r="D116" s="202"/>
      <c r="E116" s="188">
        <f t="shared" si="1"/>
        <v>0</v>
      </c>
      <c r="F116" s="120"/>
      <c r="G116" s="211"/>
      <c r="H116" s="211"/>
    </row>
    <row r="117">
      <c r="A117" s="203"/>
      <c r="B117" s="203"/>
      <c r="C117" s="203"/>
      <c r="D117" s="204"/>
      <c r="E117" s="192">
        <f t="shared" si="1"/>
        <v>0</v>
      </c>
      <c r="F117" s="203"/>
      <c r="G117" s="211"/>
      <c r="H117" s="211"/>
    </row>
    <row r="118">
      <c r="A118" s="120"/>
      <c r="B118" s="120"/>
      <c r="C118" s="120"/>
      <c r="D118" s="202"/>
      <c r="E118" s="188">
        <f t="shared" si="1"/>
        <v>0</v>
      </c>
      <c r="F118" s="120"/>
      <c r="G118" s="211"/>
      <c r="H118" s="211"/>
    </row>
    <row r="119">
      <c r="A119" s="203"/>
      <c r="B119" s="203"/>
      <c r="C119" s="203"/>
      <c r="D119" s="204"/>
      <c r="E119" s="192">
        <f t="shared" si="1"/>
        <v>0</v>
      </c>
      <c r="F119" s="203"/>
      <c r="G119" s="211"/>
      <c r="H119" s="211"/>
    </row>
    <row r="120">
      <c r="A120" s="120"/>
      <c r="B120" s="120"/>
      <c r="C120" s="120"/>
      <c r="D120" s="202"/>
      <c r="E120" s="188">
        <f t="shared" si="1"/>
        <v>0</v>
      </c>
      <c r="F120" s="120"/>
      <c r="G120" s="211"/>
      <c r="H120" s="211"/>
    </row>
    <row r="121">
      <c r="A121" s="203"/>
      <c r="B121" s="203"/>
      <c r="C121" s="203"/>
      <c r="D121" s="204"/>
      <c r="E121" s="192">
        <f t="shared" si="1"/>
        <v>0</v>
      </c>
      <c r="F121" s="203"/>
      <c r="G121" s="211"/>
      <c r="H121" s="211"/>
    </row>
    <row r="122">
      <c r="A122" s="120"/>
      <c r="B122" s="120"/>
      <c r="C122" s="120"/>
      <c r="D122" s="202"/>
      <c r="E122" s="188">
        <f t="shared" si="1"/>
        <v>0</v>
      </c>
      <c r="F122" s="120"/>
      <c r="G122" s="211"/>
      <c r="H122" s="211"/>
    </row>
    <row r="123">
      <c r="A123" s="203"/>
      <c r="B123" s="203"/>
      <c r="C123" s="203"/>
      <c r="D123" s="204"/>
      <c r="E123" s="192">
        <f t="shared" si="1"/>
        <v>0</v>
      </c>
      <c r="F123" s="203"/>
      <c r="G123" s="211"/>
      <c r="H123" s="211"/>
    </row>
    <row r="124">
      <c r="A124" s="120"/>
      <c r="B124" s="120"/>
      <c r="C124" s="120"/>
      <c r="D124" s="202"/>
      <c r="E124" s="188">
        <f t="shared" si="1"/>
        <v>0</v>
      </c>
      <c r="F124" s="120"/>
      <c r="G124" s="211"/>
      <c r="H124" s="211"/>
    </row>
    <row r="125">
      <c r="A125" s="203"/>
      <c r="B125" s="203"/>
      <c r="C125" s="203"/>
      <c r="D125" s="204"/>
      <c r="E125" s="192">
        <f t="shared" si="1"/>
        <v>0</v>
      </c>
      <c r="F125" s="203"/>
      <c r="G125" s="211"/>
      <c r="H125" s="211"/>
    </row>
    <row r="126">
      <c r="A126" s="120"/>
      <c r="B126" s="120"/>
      <c r="C126" s="120"/>
      <c r="D126" s="202"/>
      <c r="E126" s="188">
        <f t="shared" si="1"/>
        <v>0</v>
      </c>
      <c r="F126" s="120"/>
      <c r="G126" s="211"/>
      <c r="H126" s="211"/>
    </row>
    <row r="127">
      <c r="A127" s="203"/>
      <c r="B127" s="203"/>
      <c r="C127" s="203"/>
      <c r="D127" s="204"/>
      <c r="E127" s="192">
        <f t="shared" si="1"/>
        <v>0</v>
      </c>
      <c r="F127" s="203"/>
      <c r="G127" s="211"/>
      <c r="H127" s="211"/>
    </row>
    <row r="128">
      <c r="A128" s="120"/>
      <c r="B128" s="120"/>
      <c r="C128" s="120"/>
      <c r="D128" s="202"/>
      <c r="E128" s="188">
        <f t="shared" si="1"/>
        <v>0</v>
      </c>
      <c r="F128" s="120"/>
      <c r="G128" s="211"/>
      <c r="H128" s="211"/>
    </row>
    <row r="129">
      <c r="A129" s="203"/>
      <c r="B129" s="203"/>
      <c r="C129" s="203"/>
      <c r="D129" s="204"/>
      <c r="E129" s="192">
        <f t="shared" si="1"/>
        <v>0</v>
      </c>
      <c r="F129" s="203"/>
      <c r="G129" s="211"/>
      <c r="H129" s="211"/>
    </row>
    <row r="130">
      <c r="A130" s="120"/>
      <c r="B130" s="120"/>
      <c r="C130" s="120"/>
      <c r="D130" s="202"/>
      <c r="E130" s="188">
        <f t="shared" si="1"/>
        <v>0</v>
      </c>
      <c r="F130" s="120"/>
      <c r="G130" s="211"/>
      <c r="H130" s="211"/>
    </row>
    <row r="131">
      <c r="A131" s="203"/>
      <c r="B131" s="203"/>
      <c r="C131" s="203"/>
      <c r="D131" s="204"/>
      <c r="E131" s="192">
        <f t="shared" si="1"/>
        <v>0</v>
      </c>
      <c r="F131" s="203"/>
      <c r="G131" s="211"/>
      <c r="H131" s="211"/>
    </row>
    <row r="132">
      <c r="A132" s="120"/>
      <c r="B132" s="120"/>
      <c r="C132" s="120"/>
      <c r="D132" s="202"/>
      <c r="E132" s="188">
        <f t="shared" si="1"/>
        <v>0</v>
      </c>
      <c r="F132" s="120"/>
      <c r="G132" s="211"/>
      <c r="H132" s="211"/>
    </row>
    <row r="133">
      <c r="A133" s="203"/>
      <c r="B133" s="203"/>
      <c r="C133" s="203"/>
      <c r="D133" s="204"/>
      <c r="E133" s="192">
        <f t="shared" si="1"/>
        <v>0</v>
      </c>
      <c r="F133" s="203"/>
      <c r="G133" s="211"/>
      <c r="H133" s="211"/>
    </row>
    <row r="134">
      <c r="A134" s="120"/>
      <c r="B134" s="120"/>
      <c r="C134" s="120"/>
      <c r="D134" s="202"/>
      <c r="E134" s="188">
        <f t="shared" si="1"/>
        <v>0</v>
      </c>
      <c r="F134" s="120"/>
      <c r="G134" s="211"/>
      <c r="H134" s="211"/>
    </row>
    <row r="135">
      <c r="A135" s="203"/>
      <c r="B135" s="203"/>
      <c r="C135" s="203"/>
      <c r="D135" s="204"/>
      <c r="E135" s="192">
        <f t="shared" si="1"/>
        <v>0</v>
      </c>
      <c r="F135" s="203"/>
      <c r="G135" s="211"/>
      <c r="H135" s="211"/>
    </row>
    <row r="136">
      <c r="A136" s="120"/>
      <c r="B136" s="120"/>
      <c r="C136" s="120"/>
      <c r="D136" s="202"/>
      <c r="E136" s="188">
        <f t="shared" si="1"/>
        <v>0</v>
      </c>
      <c r="F136" s="120"/>
      <c r="G136" s="211"/>
      <c r="H136" s="211"/>
    </row>
    <row r="137">
      <c r="A137" s="203"/>
      <c r="B137" s="203"/>
      <c r="C137" s="203"/>
      <c r="D137" s="204"/>
      <c r="E137" s="192">
        <f t="shared" si="1"/>
        <v>0</v>
      </c>
      <c r="F137" s="203"/>
      <c r="G137" s="211"/>
      <c r="H137" s="211"/>
    </row>
  </sheetData>
  <mergeCells count="5">
    <mergeCell ref="G1:H1"/>
    <mergeCell ref="G2:H2"/>
    <mergeCell ref="G40:H43"/>
    <mergeCell ref="G50:G51"/>
    <mergeCell ref="H50:H51"/>
  </mergeCells>
  <drawing r:id="rId2"/>
  <legacyDrawing r:id="rId3"/>
  <tableParts count="2">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0"/>
    <col customWidth="1" min="6" max="7" width="60.86"/>
  </cols>
  <sheetData>
    <row r="1">
      <c r="A1" s="218" t="s">
        <v>163</v>
      </c>
      <c r="B1" s="219" t="s">
        <v>149</v>
      </c>
      <c r="C1" s="219" t="s">
        <v>164</v>
      </c>
      <c r="D1" s="220" t="s">
        <v>151</v>
      </c>
      <c r="E1" s="221" t="s">
        <v>165</v>
      </c>
      <c r="F1" s="218" t="s">
        <v>166</v>
      </c>
      <c r="G1" s="222" t="s">
        <v>167</v>
      </c>
    </row>
    <row r="2">
      <c r="A2" s="223"/>
      <c r="B2" s="224"/>
      <c r="C2" s="224"/>
      <c r="D2" s="225"/>
      <c r="E2" s="226">
        <f t="shared" ref="E2:E137" si="1">SUMPRODUCT((IF(B2="",1,B2)) * (IF(D2="",0,D2)))</f>
        <v>0</v>
      </c>
      <c r="F2" s="223"/>
      <c r="G2" s="227">
        <f>SUMPRODUCT((IF(B2:B137="",1,B2:B137)) * (IF(D2:D137="",0,D2:D137)))</f>
        <v>0</v>
      </c>
    </row>
    <row r="3">
      <c r="A3" s="228"/>
      <c r="B3" s="229"/>
      <c r="C3" s="228"/>
      <c r="D3" s="230"/>
      <c r="E3" s="231">
        <f t="shared" si="1"/>
        <v>0</v>
      </c>
      <c r="F3" s="228"/>
    </row>
    <row r="4">
      <c r="A4" s="223"/>
      <c r="B4" s="223"/>
      <c r="C4" s="223"/>
      <c r="D4" s="232"/>
      <c r="E4" s="226">
        <f t="shared" si="1"/>
        <v>0</v>
      </c>
      <c r="F4" s="223"/>
      <c r="G4" s="208"/>
    </row>
    <row r="5">
      <c r="A5" s="228"/>
      <c r="B5" s="228"/>
      <c r="C5" s="228"/>
      <c r="D5" s="233"/>
      <c r="E5" s="231">
        <f t="shared" si="1"/>
        <v>0</v>
      </c>
      <c r="F5" s="228"/>
    </row>
    <row r="6">
      <c r="A6" s="223"/>
      <c r="B6" s="223"/>
      <c r="C6" s="223"/>
      <c r="D6" s="232"/>
      <c r="E6" s="226">
        <f t="shared" si="1"/>
        <v>0</v>
      </c>
      <c r="F6" s="223"/>
    </row>
    <row r="7">
      <c r="A7" s="228"/>
      <c r="B7" s="228"/>
      <c r="C7" s="228"/>
      <c r="D7" s="233"/>
      <c r="E7" s="231">
        <f t="shared" si="1"/>
        <v>0</v>
      </c>
      <c r="F7" s="228"/>
    </row>
    <row r="8">
      <c r="A8" s="223"/>
      <c r="B8" s="223"/>
      <c r="C8" s="223"/>
      <c r="D8" s="232"/>
      <c r="E8" s="226">
        <f t="shared" si="1"/>
        <v>0</v>
      </c>
      <c r="F8" s="223"/>
    </row>
    <row r="9">
      <c r="A9" s="228"/>
      <c r="B9" s="228"/>
      <c r="C9" s="228"/>
      <c r="D9" s="233"/>
      <c r="E9" s="231">
        <f t="shared" si="1"/>
        <v>0</v>
      </c>
      <c r="F9" s="228"/>
    </row>
    <row r="10">
      <c r="A10" s="223"/>
      <c r="B10" s="223"/>
      <c r="C10" s="223"/>
      <c r="D10" s="232"/>
      <c r="E10" s="226">
        <f t="shared" si="1"/>
        <v>0</v>
      </c>
      <c r="F10" s="223"/>
    </row>
    <row r="11">
      <c r="A11" s="228"/>
      <c r="B11" s="228"/>
      <c r="C11" s="228"/>
      <c r="D11" s="233"/>
      <c r="E11" s="231">
        <f t="shared" si="1"/>
        <v>0</v>
      </c>
      <c r="F11" s="228"/>
    </row>
    <row r="12">
      <c r="A12" s="223"/>
      <c r="B12" s="223"/>
      <c r="C12" s="223"/>
      <c r="D12" s="232"/>
      <c r="E12" s="226">
        <f t="shared" si="1"/>
        <v>0</v>
      </c>
      <c r="F12" s="223"/>
    </row>
    <row r="13">
      <c r="A13" s="228"/>
      <c r="B13" s="228"/>
      <c r="C13" s="228"/>
      <c r="D13" s="233"/>
      <c r="E13" s="231">
        <f t="shared" si="1"/>
        <v>0</v>
      </c>
      <c r="F13" s="228"/>
    </row>
    <row r="14">
      <c r="A14" s="223"/>
      <c r="B14" s="223"/>
      <c r="C14" s="223"/>
      <c r="D14" s="232"/>
      <c r="E14" s="226">
        <f t="shared" si="1"/>
        <v>0</v>
      </c>
      <c r="F14" s="223"/>
    </row>
    <row r="15">
      <c r="A15" s="228"/>
      <c r="B15" s="228"/>
      <c r="C15" s="228"/>
      <c r="D15" s="233"/>
      <c r="E15" s="231">
        <f t="shared" si="1"/>
        <v>0</v>
      </c>
      <c r="F15" s="228"/>
    </row>
    <row r="16">
      <c r="A16" s="223"/>
      <c r="B16" s="223"/>
      <c r="C16" s="223"/>
      <c r="D16" s="232"/>
      <c r="E16" s="226">
        <f t="shared" si="1"/>
        <v>0</v>
      </c>
      <c r="F16" s="223"/>
    </row>
    <row r="17">
      <c r="A17" s="228"/>
      <c r="B17" s="228"/>
      <c r="C17" s="228"/>
      <c r="D17" s="233"/>
      <c r="E17" s="231">
        <f t="shared" si="1"/>
        <v>0</v>
      </c>
      <c r="F17" s="228"/>
    </row>
    <row r="18">
      <c r="A18" s="223"/>
      <c r="B18" s="223"/>
      <c r="C18" s="223"/>
      <c r="D18" s="232"/>
      <c r="E18" s="226">
        <f t="shared" si="1"/>
        <v>0</v>
      </c>
      <c r="F18" s="223"/>
    </row>
    <row r="19">
      <c r="A19" s="228"/>
      <c r="B19" s="228"/>
      <c r="C19" s="228"/>
      <c r="D19" s="233"/>
      <c r="E19" s="231">
        <f t="shared" si="1"/>
        <v>0</v>
      </c>
      <c r="F19" s="228"/>
    </row>
    <row r="20">
      <c r="A20" s="223"/>
      <c r="B20" s="223"/>
      <c r="C20" s="223"/>
      <c r="D20" s="232"/>
      <c r="E20" s="226">
        <f t="shared" si="1"/>
        <v>0</v>
      </c>
      <c r="F20" s="223"/>
    </row>
    <row r="21">
      <c r="A21" s="228"/>
      <c r="B21" s="228"/>
      <c r="C21" s="228"/>
      <c r="D21" s="233"/>
      <c r="E21" s="231">
        <f t="shared" si="1"/>
        <v>0</v>
      </c>
      <c r="F21" s="228"/>
    </row>
    <row r="22">
      <c r="A22" s="223"/>
      <c r="B22" s="223"/>
      <c r="C22" s="223"/>
      <c r="D22" s="232"/>
      <c r="E22" s="226">
        <f t="shared" si="1"/>
        <v>0</v>
      </c>
      <c r="F22" s="223"/>
    </row>
    <row r="23">
      <c r="A23" s="228"/>
      <c r="B23" s="228"/>
      <c r="C23" s="228"/>
      <c r="D23" s="233"/>
      <c r="E23" s="231">
        <f t="shared" si="1"/>
        <v>0</v>
      </c>
      <c r="F23" s="228"/>
    </row>
    <row r="24">
      <c r="A24" s="223"/>
      <c r="B24" s="223"/>
      <c r="C24" s="223"/>
      <c r="D24" s="232"/>
      <c r="E24" s="226">
        <f t="shared" si="1"/>
        <v>0</v>
      </c>
      <c r="F24" s="223"/>
    </row>
    <row r="25">
      <c r="A25" s="228"/>
      <c r="B25" s="228"/>
      <c r="C25" s="228"/>
      <c r="D25" s="233"/>
      <c r="E25" s="231">
        <f t="shared" si="1"/>
        <v>0</v>
      </c>
      <c r="F25" s="228"/>
    </row>
    <row r="26">
      <c r="A26" s="223"/>
      <c r="B26" s="223"/>
      <c r="C26" s="223"/>
      <c r="D26" s="232"/>
      <c r="E26" s="226">
        <f t="shared" si="1"/>
        <v>0</v>
      </c>
      <c r="F26" s="223"/>
    </row>
    <row r="27">
      <c r="A27" s="234"/>
      <c r="B27" s="234"/>
      <c r="C27" s="228"/>
      <c r="D27" s="235"/>
      <c r="E27" s="231">
        <f t="shared" si="1"/>
        <v>0</v>
      </c>
      <c r="F27" s="234"/>
    </row>
    <row r="28">
      <c r="A28" s="236"/>
      <c r="B28" s="236"/>
      <c r="C28" s="223"/>
      <c r="D28" s="237"/>
      <c r="E28" s="238">
        <f t="shared" si="1"/>
        <v>0</v>
      </c>
      <c r="F28" s="236"/>
    </row>
    <row r="29">
      <c r="A29" s="234"/>
      <c r="B29" s="234"/>
      <c r="C29" s="228"/>
      <c r="D29" s="235"/>
      <c r="E29" s="231">
        <f t="shared" si="1"/>
        <v>0</v>
      </c>
      <c r="F29" s="234"/>
    </row>
    <row r="30">
      <c r="A30" s="236"/>
      <c r="B30" s="236"/>
      <c r="C30" s="223"/>
      <c r="D30" s="237"/>
      <c r="E30" s="238">
        <f t="shared" si="1"/>
        <v>0</v>
      </c>
      <c r="F30" s="236"/>
    </row>
    <row r="31">
      <c r="A31" s="234"/>
      <c r="B31" s="234"/>
      <c r="C31" s="228"/>
      <c r="D31" s="235"/>
      <c r="E31" s="231">
        <f t="shared" si="1"/>
        <v>0</v>
      </c>
      <c r="F31" s="234"/>
    </row>
    <row r="32">
      <c r="A32" s="236"/>
      <c r="B32" s="236"/>
      <c r="C32" s="223"/>
      <c r="D32" s="237"/>
      <c r="E32" s="238">
        <f t="shared" si="1"/>
        <v>0</v>
      </c>
      <c r="F32" s="236"/>
    </row>
    <row r="33">
      <c r="A33" s="234"/>
      <c r="B33" s="234"/>
      <c r="C33" s="228"/>
      <c r="D33" s="235"/>
      <c r="E33" s="231">
        <f t="shared" si="1"/>
        <v>0</v>
      </c>
      <c r="F33" s="234"/>
    </row>
    <row r="34">
      <c r="A34" s="236"/>
      <c r="B34" s="236"/>
      <c r="C34" s="223"/>
      <c r="D34" s="237"/>
      <c r="E34" s="238">
        <f t="shared" si="1"/>
        <v>0</v>
      </c>
      <c r="F34" s="236"/>
    </row>
    <row r="35">
      <c r="A35" s="234"/>
      <c r="B35" s="234"/>
      <c r="C35" s="228"/>
      <c r="D35" s="235"/>
      <c r="E35" s="231">
        <f t="shared" si="1"/>
        <v>0</v>
      </c>
      <c r="F35" s="234"/>
    </row>
    <row r="36">
      <c r="A36" s="236"/>
      <c r="B36" s="236"/>
      <c r="C36" s="223"/>
      <c r="D36" s="237"/>
      <c r="E36" s="238">
        <f t="shared" si="1"/>
        <v>0</v>
      </c>
      <c r="F36" s="236"/>
    </row>
    <row r="37">
      <c r="A37" s="234"/>
      <c r="B37" s="234"/>
      <c r="C37" s="228"/>
      <c r="D37" s="235"/>
      <c r="E37" s="231">
        <f t="shared" si="1"/>
        <v>0</v>
      </c>
      <c r="F37" s="234"/>
    </row>
    <row r="38">
      <c r="A38" s="236"/>
      <c r="B38" s="236"/>
      <c r="C38" s="223"/>
      <c r="D38" s="237"/>
      <c r="E38" s="238">
        <f t="shared" si="1"/>
        <v>0</v>
      </c>
      <c r="F38" s="236"/>
    </row>
    <row r="39">
      <c r="A39" s="234"/>
      <c r="B39" s="234"/>
      <c r="C39" s="228"/>
      <c r="D39" s="235"/>
      <c r="E39" s="231">
        <f t="shared" si="1"/>
        <v>0</v>
      </c>
      <c r="F39" s="234"/>
    </row>
    <row r="40">
      <c r="A40" s="236"/>
      <c r="B40" s="236"/>
      <c r="C40" s="223"/>
      <c r="D40" s="237"/>
      <c r="E40" s="238">
        <f t="shared" si="1"/>
        <v>0</v>
      </c>
      <c r="F40" s="236"/>
    </row>
    <row r="41">
      <c r="A41" s="234"/>
      <c r="B41" s="234"/>
      <c r="C41" s="228"/>
      <c r="D41" s="235"/>
      <c r="E41" s="231">
        <f t="shared" si="1"/>
        <v>0</v>
      </c>
      <c r="F41" s="234"/>
    </row>
    <row r="42">
      <c r="A42" s="236"/>
      <c r="B42" s="236"/>
      <c r="C42" s="223"/>
      <c r="D42" s="237"/>
      <c r="E42" s="238">
        <f t="shared" si="1"/>
        <v>0</v>
      </c>
      <c r="F42" s="236"/>
    </row>
    <row r="43">
      <c r="A43" s="234"/>
      <c r="B43" s="234"/>
      <c r="C43" s="228"/>
      <c r="D43" s="235"/>
      <c r="E43" s="231">
        <f t="shared" si="1"/>
        <v>0</v>
      </c>
      <c r="F43" s="234"/>
    </row>
    <row r="44">
      <c r="A44" s="236"/>
      <c r="B44" s="236"/>
      <c r="C44" s="223"/>
      <c r="D44" s="237"/>
      <c r="E44" s="238">
        <f t="shared" si="1"/>
        <v>0</v>
      </c>
      <c r="F44" s="236"/>
    </row>
    <row r="45">
      <c r="A45" s="234"/>
      <c r="B45" s="234"/>
      <c r="C45" s="228"/>
      <c r="D45" s="235"/>
      <c r="E45" s="231">
        <f t="shared" si="1"/>
        <v>0</v>
      </c>
      <c r="F45" s="234"/>
    </row>
    <row r="46">
      <c r="A46" s="236"/>
      <c r="B46" s="236"/>
      <c r="C46" s="223"/>
      <c r="D46" s="237"/>
      <c r="E46" s="238">
        <f t="shared" si="1"/>
        <v>0</v>
      </c>
      <c r="F46" s="236"/>
    </row>
    <row r="47">
      <c r="A47" s="234"/>
      <c r="B47" s="234"/>
      <c r="C47" s="228"/>
      <c r="D47" s="235"/>
      <c r="E47" s="231">
        <f t="shared" si="1"/>
        <v>0</v>
      </c>
      <c r="F47" s="234"/>
    </row>
    <row r="48">
      <c r="A48" s="236"/>
      <c r="B48" s="236"/>
      <c r="C48" s="223"/>
      <c r="D48" s="237"/>
      <c r="E48" s="238">
        <f t="shared" si="1"/>
        <v>0</v>
      </c>
      <c r="F48" s="236"/>
    </row>
    <row r="49">
      <c r="A49" s="234"/>
      <c r="B49" s="234"/>
      <c r="C49" s="228"/>
      <c r="D49" s="235"/>
      <c r="E49" s="231">
        <f t="shared" si="1"/>
        <v>0</v>
      </c>
      <c r="F49" s="234"/>
    </row>
    <row r="50">
      <c r="A50" s="236"/>
      <c r="B50" s="236"/>
      <c r="C50" s="223"/>
      <c r="D50" s="237"/>
      <c r="E50" s="238">
        <f t="shared" si="1"/>
        <v>0</v>
      </c>
      <c r="F50" s="236"/>
    </row>
    <row r="51">
      <c r="A51" s="234"/>
      <c r="B51" s="234"/>
      <c r="C51" s="228"/>
      <c r="D51" s="235"/>
      <c r="E51" s="231">
        <f t="shared" si="1"/>
        <v>0</v>
      </c>
      <c r="F51" s="234"/>
    </row>
    <row r="52">
      <c r="A52" s="236"/>
      <c r="B52" s="236"/>
      <c r="C52" s="223"/>
      <c r="D52" s="237"/>
      <c r="E52" s="238">
        <f t="shared" si="1"/>
        <v>0</v>
      </c>
      <c r="F52" s="236"/>
    </row>
    <row r="53">
      <c r="A53" s="234"/>
      <c r="B53" s="234"/>
      <c r="C53" s="228"/>
      <c r="D53" s="235"/>
      <c r="E53" s="231">
        <f t="shared" si="1"/>
        <v>0</v>
      </c>
      <c r="F53" s="234"/>
    </row>
    <row r="54">
      <c r="A54" s="236"/>
      <c r="B54" s="236"/>
      <c r="C54" s="223"/>
      <c r="D54" s="237"/>
      <c r="E54" s="238">
        <f t="shared" si="1"/>
        <v>0</v>
      </c>
      <c r="F54" s="236"/>
    </row>
    <row r="55">
      <c r="A55" s="234"/>
      <c r="B55" s="234"/>
      <c r="C55" s="228"/>
      <c r="D55" s="235"/>
      <c r="E55" s="231">
        <f t="shared" si="1"/>
        <v>0</v>
      </c>
      <c r="F55" s="234"/>
    </row>
    <row r="56">
      <c r="A56" s="236"/>
      <c r="B56" s="236"/>
      <c r="C56" s="223"/>
      <c r="D56" s="237"/>
      <c r="E56" s="238">
        <f t="shared" si="1"/>
        <v>0</v>
      </c>
      <c r="F56" s="236"/>
    </row>
    <row r="57">
      <c r="A57" s="234"/>
      <c r="B57" s="234"/>
      <c r="C57" s="228"/>
      <c r="D57" s="235"/>
      <c r="E57" s="231">
        <f t="shared" si="1"/>
        <v>0</v>
      </c>
      <c r="F57" s="234"/>
    </row>
    <row r="58">
      <c r="A58" s="236"/>
      <c r="B58" s="236"/>
      <c r="C58" s="223"/>
      <c r="D58" s="237"/>
      <c r="E58" s="238">
        <f t="shared" si="1"/>
        <v>0</v>
      </c>
      <c r="F58" s="236"/>
    </row>
    <row r="59">
      <c r="A59" s="234"/>
      <c r="B59" s="234"/>
      <c r="C59" s="228"/>
      <c r="D59" s="235"/>
      <c r="E59" s="231">
        <f t="shared" si="1"/>
        <v>0</v>
      </c>
      <c r="F59" s="234"/>
    </row>
    <row r="60">
      <c r="A60" s="236"/>
      <c r="B60" s="236"/>
      <c r="C60" s="223"/>
      <c r="D60" s="237"/>
      <c r="E60" s="238">
        <f t="shared" si="1"/>
        <v>0</v>
      </c>
      <c r="F60" s="236"/>
    </row>
    <row r="61">
      <c r="A61" s="234"/>
      <c r="B61" s="234"/>
      <c r="C61" s="228"/>
      <c r="D61" s="235"/>
      <c r="E61" s="231">
        <f t="shared" si="1"/>
        <v>0</v>
      </c>
      <c r="F61" s="234"/>
    </row>
    <row r="62">
      <c r="A62" s="236"/>
      <c r="B62" s="236"/>
      <c r="C62" s="223"/>
      <c r="D62" s="237"/>
      <c r="E62" s="238">
        <f t="shared" si="1"/>
        <v>0</v>
      </c>
      <c r="F62" s="236"/>
    </row>
    <row r="63">
      <c r="A63" s="234"/>
      <c r="B63" s="234"/>
      <c r="C63" s="228"/>
      <c r="D63" s="235"/>
      <c r="E63" s="231">
        <f t="shared" si="1"/>
        <v>0</v>
      </c>
      <c r="F63" s="234"/>
    </row>
    <row r="64">
      <c r="A64" s="236"/>
      <c r="B64" s="236"/>
      <c r="C64" s="223"/>
      <c r="D64" s="237"/>
      <c r="E64" s="238">
        <f t="shared" si="1"/>
        <v>0</v>
      </c>
      <c r="F64" s="236"/>
    </row>
    <row r="65">
      <c r="A65" s="234"/>
      <c r="B65" s="234"/>
      <c r="C65" s="228"/>
      <c r="D65" s="235"/>
      <c r="E65" s="231">
        <f t="shared" si="1"/>
        <v>0</v>
      </c>
      <c r="F65" s="234"/>
    </row>
    <row r="66">
      <c r="A66" s="236"/>
      <c r="B66" s="236"/>
      <c r="C66" s="223"/>
      <c r="D66" s="237"/>
      <c r="E66" s="238">
        <f t="shared" si="1"/>
        <v>0</v>
      </c>
      <c r="F66" s="236"/>
    </row>
    <row r="67">
      <c r="A67" s="234"/>
      <c r="B67" s="234"/>
      <c r="C67" s="228"/>
      <c r="D67" s="235"/>
      <c r="E67" s="231">
        <f t="shared" si="1"/>
        <v>0</v>
      </c>
      <c r="F67" s="234"/>
    </row>
    <row r="68">
      <c r="A68" s="236"/>
      <c r="B68" s="236"/>
      <c r="C68" s="223"/>
      <c r="D68" s="237"/>
      <c r="E68" s="238">
        <f t="shared" si="1"/>
        <v>0</v>
      </c>
      <c r="F68" s="236"/>
    </row>
    <row r="69">
      <c r="A69" s="234"/>
      <c r="B69" s="234"/>
      <c r="C69" s="228"/>
      <c r="D69" s="235"/>
      <c r="E69" s="231">
        <f t="shared" si="1"/>
        <v>0</v>
      </c>
      <c r="F69" s="234"/>
    </row>
    <row r="70">
      <c r="A70" s="236"/>
      <c r="B70" s="236"/>
      <c r="C70" s="223"/>
      <c r="D70" s="237"/>
      <c r="E70" s="238">
        <f t="shared" si="1"/>
        <v>0</v>
      </c>
      <c r="F70" s="236"/>
    </row>
    <row r="71">
      <c r="A71" s="234"/>
      <c r="B71" s="234"/>
      <c r="C71" s="228"/>
      <c r="D71" s="235"/>
      <c r="E71" s="231">
        <f t="shared" si="1"/>
        <v>0</v>
      </c>
      <c r="F71" s="234"/>
    </row>
    <row r="72">
      <c r="A72" s="236"/>
      <c r="B72" s="236"/>
      <c r="C72" s="223"/>
      <c r="D72" s="237"/>
      <c r="E72" s="238">
        <f t="shared" si="1"/>
        <v>0</v>
      </c>
      <c r="F72" s="236"/>
    </row>
    <row r="73">
      <c r="A73" s="234"/>
      <c r="B73" s="234"/>
      <c r="C73" s="228"/>
      <c r="D73" s="235"/>
      <c r="E73" s="231">
        <f t="shared" si="1"/>
        <v>0</v>
      </c>
      <c r="F73" s="234"/>
    </row>
    <row r="74">
      <c r="A74" s="236"/>
      <c r="B74" s="236"/>
      <c r="C74" s="223"/>
      <c r="D74" s="237"/>
      <c r="E74" s="238">
        <f t="shared" si="1"/>
        <v>0</v>
      </c>
      <c r="F74" s="236"/>
    </row>
    <row r="75">
      <c r="A75" s="234"/>
      <c r="B75" s="234"/>
      <c r="C75" s="228"/>
      <c r="D75" s="235"/>
      <c r="E75" s="231">
        <f t="shared" si="1"/>
        <v>0</v>
      </c>
      <c r="F75" s="234"/>
    </row>
    <row r="76">
      <c r="A76" s="236"/>
      <c r="B76" s="236"/>
      <c r="C76" s="223"/>
      <c r="D76" s="237"/>
      <c r="E76" s="238">
        <f t="shared" si="1"/>
        <v>0</v>
      </c>
      <c r="F76" s="236"/>
    </row>
    <row r="77">
      <c r="A77" s="234"/>
      <c r="B77" s="234"/>
      <c r="C77" s="228"/>
      <c r="D77" s="235"/>
      <c r="E77" s="231">
        <f t="shared" si="1"/>
        <v>0</v>
      </c>
      <c r="F77" s="234"/>
    </row>
    <row r="78">
      <c r="A78" s="236"/>
      <c r="B78" s="236"/>
      <c r="C78" s="223"/>
      <c r="D78" s="237"/>
      <c r="E78" s="238">
        <f t="shared" si="1"/>
        <v>0</v>
      </c>
      <c r="F78" s="236"/>
    </row>
    <row r="79">
      <c r="A79" s="234"/>
      <c r="B79" s="234"/>
      <c r="C79" s="228"/>
      <c r="D79" s="235"/>
      <c r="E79" s="231">
        <f t="shared" si="1"/>
        <v>0</v>
      </c>
      <c r="F79" s="234"/>
    </row>
    <row r="80">
      <c r="A80" s="236"/>
      <c r="B80" s="236"/>
      <c r="C80" s="223"/>
      <c r="D80" s="237"/>
      <c r="E80" s="238">
        <f t="shared" si="1"/>
        <v>0</v>
      </c>
      <c r="F80" s="236"/>
    </row>
    <row r="81">
      <c r="A81" s="234"/>
      <c r="B81" s="234"/>
      <c r="C81" s="228"/>
      <c r="D81" s="235"/>
      <c r="E81" s="231">
        <f t="shared" si="1"/>
        <v>0</v>
      </c>
      <c r="F81" s="234"/>
    </row>
    <row r="82">
      <c r="A82" s="236"/>
      <c r="B82" s="236"/>
      <c r="C82" s="223"/>
      <c r="D82" s="237"/>
      <c r="E82" s="238">
        <f t="shared" si="1"/>
        <v>0</v>
      </c>
      <c r="F82" s="236"/>
    </row>
    <row r="83">
      <c r="A83" s="234"/>
      <c r="B83" s="234"/>
      <c r="C83" s="228"/>
      <c r="D83" s="235"/>
      <c r="E83" s="231">
        <f t="shared" si="1"/>
        <v>0</v>
      </c>
      <c r="F83" s="234"/>
    </row>
    <row r="84">
      <c r="A84" s="236"/>
      <c r="B84" s="236"/>
      <c r="C84" s="223"/>
      <c r="D84" s="237"/>
      <c r="E84" s="238">
        <f t="shared" si="1"/>
        <v>0</v>
      </c>
      <c r="F84" s="236"/>
    </row>
    <row r="85">
      <c r="A85" s="234"/>
      <c r="B85" s="234"/>
      <c r="C85" s="228"/>
      <c r="D85" s="235"/>
      <c r="E85" s="231">
        <f t="shared" si="1"/>
        <v>0</v>
      </c>
      <c r="F85" s="234"/>
    </row>
    <row r="86">
      <c r="A86" s="236"/>
      <c r="B86" s="236"/>
      <c r="C86" s="223"/>
      <c r="D86" s="237"/>
      <c r="E86" s="238">
        <f t="shared" si="1"/>
        <v>0</v>
      </c>
      <c r="F86" s="236"/>
    </row>
    <row r="87">
      <c r="A87" s="234"/>
      <c r="B87" s="234"/>
      <c r="C87" s="228"/>
      <c r="D87" s="235"/>
      <c r="E87" s="231">
        <f t="shared" si="1"/>
        <v>0</v>
      </c>
      <c r="F87" s="234"/>
    </row>
    <row r="88">
      <c r="A88" s="236"/>
      <c r="B88" s="236"/>
      <c r="C88" s="223"/>
      <c r="D88" s="237"/>
      <c r="E88" s="238">
        <f t="shared" si="1"/>
        <v>0</v>
      </c>
      <c r="F88" s="236"/>
    </row>
    <row r="89">
      <c r="A89" s="234"/>
      <c r="B89" s="234"/>
      <c r="C89" s="228"/>
      <c r="D89" s="235"/>
      <c r="E89" s="231">
        <f t="shared" si="1"/>
        <v>0</v>
      </c>
      <c r="F89" s="234"/>
    </row>
    <row r="90">
      <c r="A90" s="236"/>
      <c r="B90" s="236"/>
      <c r="C90" s="223"/>
      <c r="D90" s="237"/>
      <c r="E90" s="238">
        <f t="shared" si="1"/>
        <v>0</v>
      </c>
      <c r="F90" s="236"/>
    </row>
    <row r="91">
      <c r="A91" s="234"/>
      <c r="B91" s="234"/>
      <c r="C91" s="228"/>
      <c r="D91" s="235"/>
      <c r="E91" s="231">
        <f t="shared" si="1"/>
        <v>0</v>
      </c>
      <c r="F91" s="234"/>
    </row>
    <row r="92">
      <c r="A92" s="236"/>
      <c r="B92" s="236"/>
      <c r="C92" s="223"/>
      <c r="D92" s="237"/>
      <c r="E92" s="238">
        <f t="shared" si="1"/>
        <v>0</v>
      </c>
      <c r="F92" s="236"/>
    </row>
    <row r="93">
      <c r="A93" s="234"/>
      <c r="B93" s="234"/>
      <c r="C93" s="228"/>
      <c r="D93" s="235"/>
      <c r="E93" s="231">
        <f t="shared" si="1"/>
        <v>0</v>
      </c>
      <c r="F93" s="234"/>
    </row>
    <row r="94">
      <c r="A94" s="236"/>
      <c r="B94" s="236"/>
      <c r="C94" s="223"/>
      <c r="D94" s="237"/>
      <c r="E94" s="238">
        <f t="shared" si="1"/>
        <v>0</v>
      </c>
      <c r="F94" s="236"/>
    </row>
    <row r="95">
      <c r="A95" s="234"/>
      <c r="B95" s="234"/>
      <c r="C95" s="228"/>
      <c r="D95" s="235"/>
      <c r="E95" s="231">
        <f t="shared" si="1"/>
        <v>0</v>
      </c>
      <c r="F95" s="234"/>
    </row>
    <row r="96">
      <c r="A96" s="236"/>
      <c r="B96" s="236"/>
      <c r="C96" s="223"/>
      <c r="D96" s="237"/>
      <c r="E96" s="238">
        <f t="shared" si="1"/>
        <v>0</v>
      </c>
      <c r="F96" s="236"/>
    </row>
    <row r="97">
      <c r="A97" s="234"/>
      <c r="B97" s="234"/>
      <c r="C97" s="228"/>
      <c r="D97" s="235"/>
      <c r="E97" s="231">
        <f t="shared" si="1"/>
        <v>0</v>
      </c>
      <c r="F97" s="234"/>
    </row>
    <row r="98">
      <c r="A98" s="236"/>
      <c r="B98" s="236"/>
      <c r="C98" s="223"/>
      <c r="D98" s="237"/>
      <c r="E98" s="238">
        <f t="shared" si="1"/>
        <v>0</v>
      </c>
      <c r="F98" s="236"/>
    </row>
    <row r="99">
      <c r="A99" s="234"/>
      <c r="B99" s="234"/>
      <c r="C99" s="228"/>
      <c r="D99" s="235"/>
      <c r="E99" s="231">
        <f t="shared" si="1"/>
        <v>0</v>
      </c>
      <c r="F99" s="234"/>
    </row>
    <row r="100">
      <c r="A100" s="236"/>
      <c r="B100" s="236"/>
      <c r="C100" s="223"/>
      <c r="D100" s="237"/>
      <c r="E100" s="238">
        <f t="shared" si="1"/>
        <v>0</v>
      </c>
      <c r="F100" s="236"/>
    </row>
    <row r="101">
      <c r="A101" s="234"/>
      <c r="B101" s="234"/>
      <c r="C101" s="228"/>
      <c r="D101" s="235"/>
      <c r="E101" s="231">
        <f t="shared" si="1"/>
        <v>0</v>
      </c>
      <c r="F101" s="234"/>
    </row>
    <row r="102">
      <c r="A102" s="236"/>
      <c r="B102" s="236"/>
      <c r="C102" s="223"/>
      <c r="D102" s="237"/>
      <c r="E102" s="238">
        <f t="shared" si="1"/>
        <v>0</v>
      </c>
      <c r="F102" s="236"/>
    </row>
    <row r="103">
      <c r="A103" s="234"/>
      <c r="B103" s="234"/>
      <c r="C103" s="228"/>
      <c r="D103" s="235"/>
      <c r="E103" s="231">
        <f t="shared" si="1"/>
        <v>0</v>
      </c>
      <c r="F103" s="234"/>
    </row>
    <row r="104">
      <c r="A104" s="236"/>
      <c r="B104" s="236"/>
      <c r="C104" s="223"/>
      <c r="D104" s="237"/>
      <c r="E104" s="238">
        <f t="shared" si="1"/>
        <v>0</v>
      </c>
      <c r="F104" s="236"/>
    </row>
    <row r="105">
      <c r="A105" s="234"/>
      <c r="B105" s="234"/>
      <c r="C105" s="228"/>
      <c r="D105" s="235"/>
      <c r="E105" s="231">
        <f t="shared" si="1"/>
        <v>0</v>
      </c>
      <c r="F105" s="234"/>
    </row>
    <row r="106">
      <c r="A106" s="236"/>
      <c r="B106" s="236"/>
      <c r="C106" s="223"/>
      <c r="D106" s="237"/>
      <c r="E106" s="238">
        <f t="shared" si="1"/>
        <v>0</v>
      </c>
      <c r="F106" s="236"/>
    </row>
    <row r="107">
      <c r="A107" s="234"/>
      <c r="B107" s="234"/>
      <c r="C107" s="228"/>
      <c r="D107" s="235"/>
      <c r="E107" s="231">
        <f t="shared" si="1"/>
        <v>0</v>
      </c>
      <c r="F107" s="234"/>
    </row>
    <row r="108">
      <c r="A108" s="236"/>
      <c r="B108" s="236"/>
      <c r="C108" s="223"/>
      <c r="D108" s="237"/>
      <c r="E108" s="238">
        <f t="shared" si="1"/>
        <v>0</v>
      </c>
      <c r="F108" s="236"/>
    </row>
    <row r="109">
      <c r="A109" s="234"/>
      <c r="B109" s="234"/>
      <c r="C109" s="228"/>
      <c r="D109" s="235"/>
      <c r="E109" s="231">
        <f t="shared" si="1"/>
        <v>0</v>
      </c>
      <c r="F109" s="234"/>
    </row>
    <row r="110">
      <c r="A110" s="236"/>
      <c r="B110" s="236"/>
      <c r="C110" s="223"/>
      <c r="D110" s="237"/>
      <c r="E110" s="238">
        <f t="shared" si="1"/>
        <v>0</v>
      </c>
      <c r="F110" s="236"/>
    </row>
    <row r="111">
      <c r="A111" s="234"/>
      <c r="B111" s="234"/>
      <c r="C111" s="228"/>
      <c r="D111" s="235"/>
      <c r="E111" s="231">
        <f t="shared" si="1"/>
        <v>0</v>
      </c>
      <c r="F111" s="234"/>
    </row>
    <row r="112">
      <c r="A112" s="236"/>
      <c r="B112" s="236"/>
      <c r="C112" s="223"/>
      <c r="D112" s="237"/>
      <c r="E112" s="238">
        <f t="shared" si="1"/>
        <v>0</v>
      </c>
      <c r="F112" s="236"/>
    </row>
    <row r="113">
      <c r="A113" s="234"/>
      <c r="B113" s="234"/>
      <c r="C113" s="228"/>
      <c r="D113" s="235"/>
      <c r="E113" s="231">
        <f t="shared" si="1"/>
        <v>0</v>
      </c>
      <c r="F113" s="234"/>
    </row>
    <row r="114">
      <c r="A114" s="236"/>
      <c r="B114" s="236"/>
      <c r="C114" s="223"/>
      <c r="D114" s="237"/>
      <c r="E114" s="238">
        <f t="shared" si="1"/>
        <v>0</v>
      </c>
      <c r="F114" s="236"/>
    </row>
    <row r="115">
      <c r="A115" s="234"/>
      <c r="B115" s="234"/>
      <c r="C115" s="228"/>
      <c r="D115" s="235"/>
      <c r="E115" s="231">
        <f t="shared" si="1"/>
        <v>0</v>
      </c>
      <c r="F115" s="234"/>
    </row>
    <row r="116">
      <c r="A116" s="236"/>
      <c r="B116" s="236"/>
      <c r="C116" s="223"/>
      <c r="D116" s="237"/>
      <c r="E116" s="238">
        <f t="shared" si="1"/>
        <v>0</v>
      </c>
      <c r="F116" s="236"/>
    </row>
    <row r="117">
      <c r="A117" s="234"/>
      <c r="B117" s="234"/>
      <c r="C117" s="228"/>
      <c r="D117" s="235"/>
      <c r="E117" s="231">
        <f t="shared" si="1"/>
        <v>0</v>
      </c>
      <c r="F117" s="234"/>
    </row>
    <row r="118">
      <c r="A118" s="236"/>
      <c r="B118" s="236"/>
      <c r="C118" s="223"/>
      <c r="D118" s="237"/>
      <c r="E118" s="238">
        <f t="shared" si="1"/>
        <v>0</v>
      </c>
      <c r="F118" s="236"/>
    </row>
    <row r="119">
      <c r="A119" s="234"/>
      <c r="B119" s="234"/>
      <c r="C119" s="228"/>
      <c r="D119" s="235"/>
      <c r="E119" s="231">
        <f t="shared" si="1"/>
        <v>0</v>
      </c>
      <c r="F119" s="234"/>
    </row>
    <row r="120">
      <c r="A120" s="236"/>
      <c r="B120" s="236"/>
      <c r="C120" s="223"/>
      <c r="D120" s="237"/>
      <c r="E120" s="238">
        <f t="shared" si="1"/>
        <v>0</v>
      </c>
      <c r="F120" s="236"/>
    </row>
    <row r="121">
      <c r="A121" s="234"/>
      <c r="B121" s="234"/>
      <c r="C121" s="228"/>
      <c r="D121" s="235"/>
      <c r="E121" s="231">
        <f t="shared" si="1"/>
        <v>0</v>
      </c>
      <c r="F121" s="234"/>
    </row>
    <row r="122">
      <c r="A122" s="236"/>
      <c r="B122" s="236"/>
      <c r="C122" s="223"/>
      <c r="D122" s="237"/>
      <c r="E122" s="238">
        <f t="shared" si="1"/>
        <v>0</v>
      </c>
      <c r="F122" s="236"/>
    </row>
    <row r="123">
      <c r="A123" s="234"/>
      <c r="B123" s="234"/>
      <c r="C123" s="228"/>
      <c r="D123" s="235"/>
      <c r="E123" s="231">
        <f t="shared" si="1"/>
        <v>0</v>
      </c>
      <c r="F123" s="234"/>
    </row>
    <row r="124">
      <c r="A124" s="236"/>
      <c r="B124" s="236"/>
      <c r="C124" s="223"/>
      <c r="D124" s="237"/>
      <c r="E124" s="238">
        <f t="shared" si="1"/>
        <v>0</v>
      </c>
      <c r="F124" s="236"/>
    </row>
    <row r="125">
      <c r="A125" s="234"/>
      <c r="B125" s="234"/>
      <c r="C125" s="228"/>
      <c r="D125" s="235"/>
      <c r="E125" s="231">
        <f t="shared" si="1"/>
        <v>0</v>
      </c>
      <c r="F125" s="228"/>
    </row>
    <row r="126">
      <c r="A126" s="236"/>
      <c r="B126" s="236"/>
      <c r="C126" s="223"/>
      <c r="D126" s="237"/>
      <c r="E126" s="238">
        <f t="shared" si="1"/>
        <v>0</v>
      </c>
      <c r="F126" s="236"/>
    </row>
    <row r="127">
      <c r="A127" s="234"/>
      <c r="B127" s="234"/>
      <c r="C127" s="228"/>
      <c r="D127" s="235"/>
      <c r="E127" s="231">
        <f t="shared" si="1"/>
        <v>0</v>
      </c>
      <c r="F127" s="234"/>
    </row>
    <row r="128">
      <c r="A128" s="236"/>
      <c r="B128" s="236"/>
      <c r="C128" s="223"/>
      <c r="D128" s="237"/>
      <c r="E128" s="238">
        <f t="shared" si="1"/>
        <v>0</v>
      </c>
      <c r="F128" s="236"/>
    </row>
    <row r="129">
      <c r="A129" s="234"/>
      <c r="B129" s="234"/>
      <c r="C129" s="228"/>
      <c r="D129" s="235"/>
      <c r="E129" s="231">
        <f t="shared" si="1"/>
        <v>0</v>
      </c>
      <c r="F129" s="234"/>
    </row>
    <row r="130">
      <c r="A130" s="236"/>
      <c r="B130" s="236"/>
      <c r="C130" s="223"/>
      <c r="D130" s="237"/>
      <c r="E130" s="238">
        <f t="shared" si="1"/>
        <v>0</v>
      </c>
      <c r="F130" s="236"/>
    </row>
    <row r="131">
      <c r="A131" s="234"/>
      <c r="B131" s="234"/>
      <c r="C131" s="228"/>
      <c r="D131" s="235"/>
      <c r="E131" s="231">
        <f t="shared" si="1"/>
        <v>0</v>
      </c>
      <c r="F131" s="234"/>
    </row>
    <row r="132">
      <c r="A132" s="236"/>
      <c r="B132" s="236"/>
      <c r="C132" s="223"/>
      <c r="D132" s="237"/>
      <c r="E132" s="238">
        <f t="shared" si="1"/>
        <v>0</v>
      </c>
      <c r="F132" s="236"/>
    </row>
    <row r="133">
      <c r="A133" s="234"/>
      <c r="B133" s="234"/>
      <c r="C133" s="228"/>
      <c r="D133" s="235"/>
      <c r="E133" s="231">
        <f t="shared" si="1"/>
        <v>0</v>
      </c>
      <c r="F133" s="234"/>
    </row>
    <row r="134">
      <c r="A134" s="236"/>
      <c r="B134" s="236"/>
      <c r="C134" s="223"/>
      <c r="D134" s="237"/>
      <c r="E134" s="238">
        <f t="shared" si="1"/>
        <v>0</v>
      </c>
      <c r="F134" s="236"/>
    </row>
    <row r="135">
      <c r="A135" s="234"/>
      <c r="B135" s="234"/>
      <c r="C135" s="228"/>
      <c r="D135" s="235"/>
      <c r="E135" s="231">
        <f t="shared" si="1"/>
        <v>0</v>
      </c>
      <c r="F135" s="234"/>
    </row>
    <row r="136">
      <c r="A136" s="236"/>
      <c r="B136" s="236"/>
      <c r="C136" s="223"/>
      <c r="D136" s="237"/>
      <c r="E136" s="238">
        <f t="shared" si="1"/>
        <v>0</v>
      </c>
      <c r="F136" s="236"/>
    </row>
    <row r="137">
      <c r="A137" s="234"/>
      <c r="B137" s="234"/>
      <c r="C137" s="228"/>
      <c r="D137" s="235"/>
      <c r="E137" s="231">
        <f t="shared" si="1"/>
        <v>0</v>
      </c>
      <c r="F137" s="234"/>
    </row>
  </sheetData>
  <mergeCells count="2">
    <mergeCell ref="G2:G3"/>
    <mergeCell ref="G4:G137"/>
  </mergeCells>
  <dataValidations>
    <dataValidation type="list" allowBlank="1" showErrorMessage="1" sqref="C2:C137">
      <formula1>"Alchemy,Armorsmithing,Artifice,Carpenter,Caligraphy,Culinarian,Farming,Food,Junk,Leather,Metal,Other,Special,Weapons,Wood"</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57"/>
    <col customWidth="1" min="2" max="3" width="39.14"/>
    <col customWidth="1" min="4" max="4" width="17.43"/>
    <col customWidth="1" min="5" max="5" width="46.86"/>
    <col customWidth="1" min="6" max="7" width="45.43"/>
  </cols>
  <sheetData>
    <row r="1" ht="48.75" customHeight="1">
      <c r="A1" s="239" t="s">
        <v>168</v>
      </c>
      <c r="B1" s="239" t="s">
        <v>169</v>
      </c>
      <c r="C1" s="239" t="s">
        <v>170</v>
      </c>
      <c r="D1" s="240" t="s">
        <v>171</v>
      </c>
      <c r="E1" s="241" t="s">
        <v>172</v>
      </c>
      <c r="F1" s="241" t="s">
        <v>173</v>
      </c>
      <c r="G1" s="241" t="s">
        <v>174</v>
      </c>
    </row>
    <row r="2">
      <c r="A2" s="242" t="s">
        <v>175</v>
      </c>
      <c r="B2" s="242" t="s">
        <v>176</v>
      </c>
      <c r="C2" s="243">
        <f>SUM(1000 + Core!B49 + Core!B50)</f>
        <v>1000</v>
      </c>
      <c r="D2" s="244">
        <f>SUM(C2:C166)</f>
        <v>1000</v>
      </c>
      <c r="E2" s="245" t="s">
        <v>175</v>
      </c>
      <c r="F2" s="245">
        <f>IF(Core!A58, 4000, 3000) + IF(COUNTIF(Breakthrough!A:A,"Rich Parents")&gt;0, 3000, 0)</f>
        <v>4000</v>
      </c>
      <c r="G2" s="246">
        <f>SUM(F2:F166)</f>
        <v>4000</v>
      </c>
    </row>
    <row r="3">
      <c r="A3" s="242" t="s">
        <v>177</v>
      </c>
      <c r="B3" s="242" t="s">
        <v>176</v>
      </c>
      <c r="C3" s="243">
        <v>0.0</v>
      </c>
      <c r="D3" s="247" t="s">
        <v>178</v>
      </c>
      <c r="G3" s="246"/>
    </row>
    <row r="4">
      <c r="A4" s="242"/>
      <c r="B4" s="248"/>
      <c r="C4" s="243"/>
      <c r="E4" s="245" t="s">
        <v>179</v>
      </c>
      <c r="F4" s="245">
        <v>0.0</v>
      </c>
      <c r="G4" s="246"/>
    </row>
    <row r="5">
      <c r="A5" s="242"/>
      <c r="B5" s="242"/>
      <c r="C5" s="243"/>
      <c r="G5" s="246"/>
    </row>
    <row r="6">
      <c r="A6" s="242"/>
      <c r="B6" s="242"/>
      <c r="C6" s="243"/>
      <c r="E6" s="249"/>
      <c r="F6" s="245"/>
      <c r="G6" s="246"/>
    </row>
    <row r="7">
      <c r="A7" s="242"/>
      <c r="B7" s="242"/>
      <c r="C7" s="243"/>
      <c r="E7" s="249"/>
      <c r="F7" s="249"/>
      <c r="G7" s="246"/>
    </row>
    <row r="8">
      <c r="A8" s="242"/>
      <c r="B8" s="242"/>
      <c r="C8" s="243"/>
      <c r="E8" s="249"/>
      <c r="F8" s="249"/>
      <c r="G8" s="246"/>
    </row>
    <row r="9">
      <c r="A9" s="242"/>
      <c r="B9" s="242"/>
      <c r="C9" s="243"/>
      <c r="E9" s="249"/>
      <c r="F9" s="249"/>
      <c r="G9" s="246"/>
    </row>
    <row r="10">
      <c r="A10" s="242"/>
      <c r="B10" s="242"/>
      <c r="C10" s="243"/>
      <c r="E10" s="249"/>
      <c r="F10" s="249"/>
      <c r="G10" s="246"/>
    </row>
    <row r="11">
      <c r="A11" s="242"/>
      <c r="B11" s="242"/>
      <c r="C11" s="243"/>
      <c r="E11" s="249"/>
      <c r="F11" s="249"/>
      <c r="G11" s="246"/>
    </row>
    <row r="12">
      <c r="A12" s="242"/>
      <c r="B12" s="242"/>
      <c r="C12" s="243"/>
      <c r="E12" s="249"/>
      <c r="F12" s="249"/>
      <c r="G12" s="246"/>
    </row>
    <row r="13">
      <c r="A13" s="242"/>
      <c r="B13" s="242"/>
      <c r="C13" s="243"/>
      <c r="E13" s="249"/>
      <c r="F13" s="249"/>
      <c r="G13" s="246"/>
    </row>
    <row r="14">
      <c r="A14" s="242"/>
      <c r="B14" s="242"/>
      <c r="C14" s="243"/>
      <c r="E14" s="249"/>
      <c r="F14" s="249"/>
      <c r="G14" s="246"/>
    </row>
    <row r="15">
      <c r="A15" s="242"/>
      <c r="B15" s="242"/>
      <c r="C15" s="243"/>
      <c r="E15" s="249"/>
      <c r="F15" s="249"/>
      <c r="G15" s="246"/>
    </row>
    <row r="16">
      <c r="A16" s="242"/>
      <c r="B16" s="242"/>
      <c r="C16" s="243"/>
      <c r="E16" s="249"/>
      <c r="F16" s="249"/>
      <c r="G16" s="246"/>
    </row>
    <row r="17">
      <c r="A17" s="242"/>
      <c r="B17" s="242"/>
      <c r="C17" s="243"/>
      <c r="E17" s="249"/>
      <c r="F17" s="249"/>
      <c r="G17" s="246"/>
    </row>
    <row r="18">
      <c r="A18" s="242"/>
      <c r="B18" s="242"/>
      <c r="C18" s="243"/>
      <c r="E18" s="249"/>
      <c r="F18" s="249"/>
      <c r="G18" s="246"/>
    </row>
    <row r="19">
      <c r="A19" s="242"/>
      <c r="B19" s="242"/>
      <c r="C19" s="243"/>
      <c r="E19" s="249"/>
      <c r="F19" s="249"/>
      <c r="G19" s="246"/>
    </row>
    <row r="20">
      <c r="A20" s="242"/>
      <c r="B20" s="242"/>
      <c r="C20" s="243"/>
      <c r="E20" s="249"/>
      <c r="F20" s="249"/>
      <c r="G20" s="246"/>
    </row>
    <row r="21">
      <c r="A21" s="242"/>
      <c r="B21" s="242"/>
      <c r="C21" s="243"/>
      <c r="E21" s="249"/>
      <c r="F21" s="249"/>
      <c r="G21" s="246"/>
    </row>
    <row r="22">
      <c r="A22" s="242"/>
      <c r="B22" s="242"/>
      <c r="C22" s="243"/>
      <c r="E22" s="249"/>
      <c r="F22" s="249"/>
      <c r="G22" s="246"/>
    </row>
    <row r="23">
      <c r="A23" s="242"/>
      <c r="B23" s="242"/>
      <c r="C23" s="243"/>
      <c r="E23" s="249"/>
      <c r="F23" s="249"/>
      <c r="G23" s="246"/>
    </row>
    <row r="24">
      <c r="A24" s="242"/>
      <c r="B24" s="242"/>
      <c r="C24" s="243"/>
      <c r="E24" s="249"/>
      <c r="F24" s="249"/>
      <c r="G24" s="246"/>
    </row>
    <row r="25">
      <c r="A25" s="242"/>
      <c r="B25" s="242"/>
      <c r="C25" s="243"/>
      <c r="E25" s="249"/>
      <c r="F25" s="249"/>
      <c r="G25" s="246"/>
    </row>
    <row r="26">
      <c r="A26" s="242"/>
      <c r="B26" s="242"/>
      <c r="C26" s="243"/>
      <c r="E26" s="249"/>
      <c r="F26" s="249"/>
      <c r="G26" s="246"/>
    </row>
    <row r="27">
      <c r="A27" s="242"/>
      <c r="B27" s="242"/>
      <c r="C27" s="243"/>
      <c r="E27" s="249"/>
      <c r="F27" s="249"/>
      <c r="G27" s="246"/>
    </row>
    <row r="28">
      <c r="A28" s="242"/>
      <c r="B28" s="242"/>
      <c r="C28" s="243"/>
      <c r="E28" s="249"/>
      <c r="F28" s="249"/>
      <c r="G28" s="246"/>
    </row>
    <row r="29">
      <c r="A29" s="242"/>
      <c r="B29" s="242"/>
      <c r="C29" s="243"/>
      <c r="E29" s="249"/>
      <c r="F29" s="249"/>
      <c r="G29" s="246"/>
    </row>
    <row r="30">
      <c r="A30" s="242"/>
      <c r="B30" s="242"/>
      <c r="C30" s="243"/>
      <c r="E30" s="249"/>
      <c r="F30" s="249"/>
      <c r="G30" s="246"/>
    </row>
    <row r="31">
      <c r="A31" s="242"/>
      <c r="B31" s="242"/>
      <c r="C31" s="243"/>
      <c r="E31" s="249"/>
      <c r="F31" s="249"/>
      <c r="G31" s="246"/>
    </row>
    <row r="32">
      <c r="A32" s="242"/>
      <c r="B32" s="242"/>
      <c r="C32" s="243"/>
      <c r="E32" s="249"/>
      <c r="F32" s="249"/>
      <c r="G32" s="246"/>
    </row>
    <row r="33">
      <c r="A33" s="242"/>
      <c r="B33" s="242"/>
      <c r="C33" s="243"/>
      <c r="E33" s="249"/>
      <c r="F33" s="249"/>
      <c r="G33" s="246"/>
    </row>
    <row r="34">
      <c r="A34" s="242"/>
      <c r="B34" s="242"/>
      <c r="C34" s="243"/>
      <c r="E34" s="249"/>
      <c r="F34" s="249"/>
      <c r="G34" s="246"/>
    </row>
    <row r="35">
      <c r="A35" s="242"/>
      <c r="B35" s="242"/>
      <c r="C35" s="243"/>
      <c r="E35" s="249"/>
      <c r="F35" s="249"/>
      <c r="G35" s="246"/>
    </row>
    <row r="36">
      <c r="A36" s="242"/>
      <c r="B36" s="242"/>
      <c r="C36" s="243"/>
      <c r="E36" s="249"/>
      <c r="F36" s="249"/>
      <c r="G36" s="246"/>
    </row>
    <row r="37">
      <c r="A37" s="242"/>
      <c r="B37" s="242"/>
      <c r="C37" s="243"/>
      <c r="E37" s="249"/>
      <c r="F37" s="249"/>
      <c r="G37" s="246"/>
    </row>
    <row r="38">
      <c r="A38" s="242"/>
      <c r="B38" s="242"/>
      <c r="C38" s="243"/>
      <c r="E38" s="249"/>
      <c r="F38" s="249"/>
      <c r="G38" s="246"/>
    </row>
    <row r="39">
      <c r="A39" s="242"/>
      <c r="B39" s="242"/>
      <c r="C39" s="243"/>
      <c r="E39" s="249"/>
      <c r="F39" s="249"/>
      <c r="G39" s="246"/>
    </row>
    <row r="40">
      <c r="A40" s="242"/>
      <c r="B40" s="242"/>
      <c r="C40" s="243"/>
      <c r="E40" s="249"/>
      <c r="F40" s="249"/>
      <c r="G40" s="246"/>
    </row>
    <row r="41">
      <c r="A41" s="242"/>
      <c r="B41" s="242"/>
      <c r="C41" s="243"/>
      <c r="E41" s="249"/>
      <c r="F41" s="249"/>
      <c r="G41" s="246"/>
    </row>
    <row r="42">
      <c r="A42" s="242"/>
      <c r="B42" s="242"/>
      <c r="C42" s="243"/>
      <c r="E42" s="249"/>
      <c r="F42" s="249"/>
      <c r="G42" s="246"/>
    </row>
    <row r="43">
      <c r="A43" s="242"/>
      <c r="B43" s="242"/>
      <c r="C43" s="243"/>
      <c r="E43" s="249"/>
      <c r="F43" s="249"/>
      <c r="G43" s="246"/>
    </row>
    <row r="44">
      <c r="A44" s="242"/>
      <c r="B44" s="242"/>
      <c r="C44" s="243"/>
      <c r="E44" s="249"/>
      <c r="F44" s="249"/>
      <c r="G44" s="246"/>
    </row>
    <row r="45">
      <c r="A45" s="242"/>
      <c r="B45" s="242"/>
      <c r="C45" s="243"/>
      <c r="E45" s="249"/>
      <c r="F45" s="249"/>
      <c r="G45" s="246"/>
    </row>
    <row r="46">
      <c r="A46" s="242"/>
      <c r="B46" s="242"/>
      <c r="C46" s="243"/>
      <c r="E46" s="249"/>
      <c r="F46" s="249"/>
      <c r="G46" s="246"/>
    </row>
    <row r="47">
      <c r="A47" s="242"/>
      <c r="B47" s="242"/>
      <c r="C47" s="243"/>
      <c r="E47" s="249"/>
      <c r="F47" s="249"/>
      <c r="G47" s="246"/>
    </row>
    <row r="48">
      <c r="A48" s="242"/>
      <c r="B48" s="242"/>
      <c r="C48" s="243"/>
      <c r="E48" s="249"/>
      <c r="F48" s="249"/>
      <c r="G48" s="246"/>
    </row>
    <row r="49">
      <c r="A49" s="242"/>
      <c r="B49" s="242"/>
      <c r="C49" s="243"/>
      <c r="E49" s="249"/>
      <c r="F49" s="249"/>
      <c r="G49" s="246"/>
    </row>
    <row r="50">
      <c r="A50" s="242"/>
      <c r="B50" s="242"/>
      <c r="C50" s="243"/>
      <c r="E50" s="249"/>
      <c r="F50" s="249"/>
      <c r="G50" s="246"/>
    </row>
    <row r="51">
      <c r="A51" s="242"/>
      <c r="B51" s="242"/>
      <c r="C51" s="243"/>
      <c r="E51" s="249"/>
      <c r="F51" s="249"/>
      <c r="G51" s="246"/>
    </row>
    <row r="52">
      <c r="A52" s="242"/>
      <c r="B52" s="242"/>
      <c r="C52" s="243"/>
      <c r="E52" s="249"/>
      <c r="F52" s="249"/>
      <c r="G52" s="246"/>
    </row>
    <row r="53">
      <c r="A53" s="242"/>
      <c r="B53" s="242"/>
      <c r="C53" s="243"/>
      <c r="E53" s="249"/>
      <c r="F53" s="249"/>
      <c r="G53" s="246"/>
    </row>
    <row r="54">
      <c r="A54" s="242"/>
      <c r="B54" s="242"/>
      <c r="C54" s="243"/>
      <c r="E54" s="249"/>
      <c r="F54" s="249"/>
      <c r="G54" s="246"/>
    </row>
    <row r="55">
      <c r="A55" s="242"/>
      <c r="B55" s="242"/>
      <c r="C55" s="243"/>
      <c r="E55" s="249"/>
      <c r="F55" s="249"/>
      <c r="G55" s="246"/>
    </row>
    <row r="56">
      <c r="A56" s="242"/>
      <c r="B56" s="242"/>
      <c r="C56" s="243"/>
      <c r="E56" s="249"/>
      <c r="F56" s="249"/>
      <c r="G56" s="246"/>
    </row>
    <row r="57">
      <c r="A57" s="242"/>
      <c r="B57" s="242"/>
      <c r="C57" s="243"/>
      <c r="E57" s="249"/>
      <c r="F57" s="249"/>
      <c r="G57" s="246"/>
    </row>
    <row r="58">
      <c r="A58" s="242"/>
      <c r="B58" s="242"/>
      <c r="C58" s="243"/>
      <c r="E58" s="249"/>
      <c r="F58" s="249"/>
      <c r="G58" s="246"/>
    </row>
    <row r="59">
      <c r="A59" s="242"/>
      <c r="B59" s="242"/>
      <c r="C59" s="243"/>
      <c r="E59" s="249"/>
      <c r="F59" s="249"/>
      <c r="G59" s="246"/>
    </row>
    <row r="60">
      <c r="A60" s="242"/>
      <c r="B60" s="242"/>
      <c r="C60" s="243"/>
      <c r="E60" s="249"/>
      <c r="F60" s="249"/>
      <c r="G60" s="246"/>
    </row>
    <row r="61">
      <c r="A61" s="242"/>
      <c r="B61" s="242"/>
      <c r="C61" s="243"/>
      <c r="E61" s="249"/>
      <c r="F61" s="249"/>
      <c r="G61" s="246"/>
    </row>
    <row r="62">
      <c r="A62" s="242"/>
      <c r="B62" s="242"/>
      <c r="C62" s="243"/>
      <c r="E62" s="249"/>
      <c r="F62" s="249"/>
      <c r="G62" s="246"/>
    </row>
    <row r="63">
      <c r="A63" s="242"/>
      <c r="B63" s="242"/>
      <c r="C63" s="243"/>
      <c r="E63" s="249"/>
      <c r="F63" s="249"/>
      <c r="G63" s="246"/>
    </row>
    <row r="64">
      <c r="A64" s="242"/>
      <c r="B64" s="242"/>
      <c r="C64" s="243"/>
      <c r="E64" s="249"/>
      <c r="F64" s="249"/>
      <c r="G64" s="246"/>
    </row>
    <row r="65">
      <c r="A65" s="242"/>
      <c r="B65" s="242"/>
      <c r="C65" s="243"/>
      <c r="E65" s="249"/>
      <c r="F65" s="249"/>
      <c r="G65" s="246"/>
    </row>
    <row r="66">
      <c r="A66" s="242"/>
      <c r="B66" s="242"/>
      <c r="C66" s="243"/>
      <c r="E66" s="249"/>
      <c r="F66" s="249"/>
      <c r="G66" s="246"/>
    </row>
    <row r="67">
      <c r="A67" s="242"/>
      <c r="B67" s="242"/>
      <c r="C67" s="243"/>
      <c r="D67" s="247"/>
      <c r="E67" s="249"/>
      <c r="F67" s="249"/>
      <c r="G67" s="246"/>
    </row>
    <row r="68">
      <c r="A68" s="242"/>
      <c r="B68" s="242"/>
      <c r="C68" s="243"/>
      <c r="D68" s="247"/>
      <c r="E68" s="249"/>
      <c r="F68" s="249"/>
      <c r="G68" s="246"/>
    </row>
    <row r="69">
      <c r="A69" s="242"/>
      <c r="B69" s="242"/>
      <c r="C69" s="243"/>
      <c r="D69" s="247"/>
      <c r="E69" s="249"/>
      <c r="F69" s="249"/>
      <c r="G69" s="246"/>
    </row>
    <row r="70">
      <c r="A70" s="242"/>
      <c r="B70" s="242"/>
      <c r="C70" s="243"/>
      <c r="D70" s="247"/>
      <c r="E70" s="249"/>
      <c r="F70" s="249"/>
      <c r="G70" s="246"/>
    </row>
    <row r="71">
      <c r="A71" s="242"/>
      <c r="B71" s="242"/>
      <c r="C71" s="243"/>
      <c r="D71" s="247"/>
      <c r="E71" s="249"/>
      <c r="F71" s="249"/>
      <c r="G71" s="246"/>
    </row>
    <row r="72">
      <c r="A72" s="242"/>
      <c r="B72" s="242"/>
      <c r="C72" s="243"/>
      <c r="D72" s="247"/>
      <c r="E72" s="249"/>
      <c r="F72" s="249"/>
      <c r="G72" s="246"/>
    </row>
    <row r="73">
      <c r="A73" s="242"/>
      <c r="B73" s="242"/>
      <c r="C73" s="243"/>
      <c r="D73" s="247"/>
      <c r="E73" s="249"/>
      <c r="F73" s="249"/>
      <c r="G73" s="246"/>
    </row>
    <row r="74">
      <c r="A74" s="242"/>
      <c r="B74" s="242"/>
      <c r="C74" s="243"/>
      <c r="D74" s="247"/>
      <c r="E74" s="249"/>
      <c r="F74" s="249"/>
      <c r="G74" s="246"/>
    </row>
    <row r="75">
      <c r="A75" s="242"/>
      <c r="B75" s="242"/>
      <c r="C75" s="243"/>
      <c r="D75" s="247"/>
      <c r="E75" s="249"/>
      <c r="F75" s="249"/>
      <c r="G75" s="246"/>
    </row>
    <row r="76">
      <c r="A76" s="242"/>
      <c r="B76" s="242"/>
      <c r="C76" s="243"/>
      <c r="D76" s="247"/>
      <c r="E76" s="249"/>
      <c r="F76" s="249"/>
      <c r="G76" s="246"/>
    </row>
    <row r="77">
      <c r="A77" s="242"/>
      <c r="B77" s="242"/>
      <c r="C77" s="243"/>
      <c r="D77" s="247"/>
      <c r="E77" s="249"/>
      <c r="F77" s="249"/>
      <c r="G77" s="246"/>
    </row>
    <row r="78">
      <c r="A78" s="242"/>
      <c r="B78" s="242"/>
      <c r="C78" s="243"/>
      <c r="D78" s="247"/>
      <c r="E78" s="249"/>
      <c r="F78" s="249"/>
      <c r="G78" s="246"/>
    </row>
    <row r="79">
      <c r="A79" s="242"/>
      <c r="B79" s="242"/>
      <c r="C79" s="243"/>
      <c r="D79" s="247"/>
      <c r="E79" s="249"/>
      <c r="F79" s="249"/>
      <c r="G79" s="246"/>
    </row>
    <row r="80">
      <c r="A80" s="242"/>
      <c r="B80" s="242"/>
      <c r="C80" s="243"/>
      <c r="D80" s="247"/>
      <c r="E80" s="249"/>
      <c r="F80" s="249"/>
      <c r="G80" s="246"/>
    </row>
    <row r="81">
      <c r="A81" s="242"/>
      <c r="B81" s="242"/>
      <c r="C81" s="243"/>
      <c r="D81" s="247"/>
      <c r="E81" s="249"/>
      <c r="F81" s="249"/>
      <c r="G81" s="246"/>
    </row>
    <row r="82">
      <c r="A82" s="242"/>
      <c r="B82" s="242"/>
      <c r="C82" s="243"/>
      <c r="D82" s="247"/>
      <c r="E82" s="249"/>
      <c r="F82" s="249"/>
      <c r="G82" s="246"/>
    </row>
    <row r="83">
      <c r="A83" s="242"/>
      <c r="B83" s="242"/>
      <c r="C83" s="243"/>
      <c r="D83" s="247"/>
      <c r="E83" s="249"/>
      <c r="F83" s="249"/>
      <c r="G83" s="246"/>
    </row>
    <row r="84">
      <c r="A84" s="242"/>
      <c r="B84" s="242"/>
      <c r="C84" s="243"/>
      <c r="D84" s="247"/>
      <c r="E84" s="249"/>
      <c r="F84" s="249"/>
      <c r="G84" s="246"/>
    </row>
    <row r="85">
      <c r="A85" s="242"/>
      <c r="B85" s="242"/>
      <c r="C85" s="243"/>
      <c r="D85" s="247"/>
      <c r="E85" s="249"/>
      <c r="F85" s="249"/>
      <c r="G85" s="246"/>
    </row>
    <row r="86">
      <c r="A86" s="242"/>
      <c r="B86" s="242"/>
      <c r="C86" s="243"/>
      <c r="D86" s="247"/>
      <c r="E86" s="249"/>
      <c r="F86" s="249"/>
      <c r="G86" s="246"/>
    </row>
    <row r="87">
      <c r="A87" s="242"/>
      <c r="B87" s="242"/>
      <c r="C87" s="243"/>
      <c r="D87" s="247"/>
      <c r="E87" s="249"/>
      <c r="F87" s="249"/>
      <c r="G87" s="246"/>
    </row>
    <row r="88">
      <c r="A88" s="242"/>
      <c r="B88" s="242"/>
      <c r="C88" s="243"/>
      <c r="D88" s="247"/>
      <c r="E88" s="249"/>
      <c r="F88" s="249"/>
      <c r="G88" s="246"/>
    </row>
    <row r="89">
      <c r="A89" s="242"/>
      <c r="B89" s="242"/>
      <c r="C89" s="243"/>
      <c r="D89" s="247"/>
      <c r="E89" s="249"/>
      <c r="F89" s="249"/>
      <c r="G89" s="246"/>
    </row>
    <row r="90">
      <c r="A90" s="242"/>
      <c r="B90" s="242"/>
      <c r="C90" s="243"/>
      <c r="D90" s="247"/>
      <c r="E90" s="249"/>
      <c r="F90" s="249"/>
      <c r="G90" s="246"/>
    </row>
    <row r="91">
      <c r="A91" s="242"/>
      <c r="B91" s="242"/>
      <c r="C91" s="243"/>
      <c r="D91" s="247"/>
      <c r="E91" s="249"/>
      <c r="F91" s="249"/>
      <c r="G91" s="246"/>
    </row>
    <row r="92">
      <c r="A92" s="242"/>
      <c r="B92" s="242"/>
      <c r="C92" s="243"/>
      <c r="D92" s="247"/>
      <c r="E92" s="249"/>
      <c r="F92" s="249"/>
      <c r="G92" s="246"/>
    </row>
    <row r="93">
      <c r="A93" s="242"/>
      <c r="B93" s="242"/>
      <c r="C93" s="243"/>
      <c r="D93" s="247"/>
      <c r="E93" s="249"/>
      <c r="F93" s="249"/>
      <c r="G93" s="246"/>
    </row>
    <row r="94">
      <c r="A94" s="242"/>
      <c r="B94" s="242"/>
      <c r="C94" s="243"/>
      <c r="D94" s="247"/>
      <c r="E94" s="249"/>
      <c r="F94" s="249"/>
      <c r="G94" s="246"/>
    </row>
    <row r="95">
      <c r="A95" s="242"/>
      <c r="B95" s="242"/>
      <c r="C95" s="243"/>
      <c r="D95" s="247"/>
      <c r="E95" s="249"/>
      <c r="F95" s="249"/>
      <c r="G95" s="246"/>
    </row>
    <row r="96">
      <c r="A96" s="242"/>
      <c r="B96" s="242"/>
      <c r="C96" s="243"/>
      <c r="D96" s="247"/>
      <c r="E96" s="249"/>
      <c r="F96" s="249"/>
      <c r="G96" s="246"/>
    </row>
    <row r="97">
      <c r="A97" s="242"/>
      <c r="B97" s="242"/>
      <c r="C97" s="243"/>
      <c r="D97" s="247"/>
      <c r="E97" s="249"/>
      <c r="F97" s="249"/>
      <c r="G97" s="246"/>
    </row>
    <row r="98">
      <c r="A98" s="242"/>
      <c r="B98" s="242"/>
      <c r="C98" s="243"/>
      <c r="D98" s="247"/>
      <c r="E98" s="249"/>
      <c r="F98" s="249"/>
      <c r="G98" s="246"/>
    </row>
    <row r="99">
      <c r="A99" s="242"/>
      <c r="B99" s="242"/>
      <c r="C99" s="243"/>
      <c r="D99" s="247"/>
      <c r="E99" s="249"/>
      <c r="F99" s="249"/>
      <c r="G99" s="246"/>
    </row>
    <row r="100">
      <c r="A100" s="242"/>
      <c r="B100" s="242"/>
      <c r="C100" s="243"/>
      <c r="D100" s="247"/>
      <c r="E100" s="249"/>
      <c r="F100" s="249"/>
      <c r="G100" s="246"/>
    </row>
    <row r="101">
      <c r="A101" s="242"/>
      <c r="B101" s="242"/>
      <c r="C101" s="243"/>
      <c r="D101" s="247"/>
      <c r="E101" s="249"/>
      <c r="F101" s="249"/>
      <c r="G101" s="246"/>
    </row>
    <row r="102">
      <c r="A102" s="242"/>
      <c r="B102" s="242"/>
      <c r="C102" s="243"/>
      <c r="D102" s="247"/>
      <c r="E102" s="249"/>
      <c r="F102" s="249"/>
      <c r="G102" s="246"/>
    </row>
    <row r="103">
      <c r="A103" s="242"/>
      <c r="B103" s="242"/>
      <c r="C103" s="243"/>
      <c r="D103" s="247"/>
      <c r="E103" s="249"/>
      <c r="F103" s="249"/>
      <c r="G103" s="246"/>
    </row>
    <row r="104">
      <c r="A104" s="242"/>
      <c r="B104" s="242"/>
      <c r="C104" s="243"/>
      <c r="D104" s="247"/>
      <c r="E104" s="249"/>
      <c r="F104" s="249"/>
      <c r="G104" s="246"/>
    </row>
    <row r="105">
      <c r="A105" s="242"/>
      <c r="B105" s="242"/>
      <c r="C105" s="243"/>
      <c r="D105" s="247"/>
      <c r="E105" s="249"/>
      <c r="F105" s="249"/>
      <c r="G105" s="246"/>
    </row>
    <row r="106">
      <c r="A106" s="242"/>
      <c r="B106" s="242"/>
      <c r="C106" s="243"/>
      <c r="D106" s="247"/>
      <c r="E106" s="249"/>
      <c r="F106" s="249"/>
      <c r="G106" s="246"/>
    </row>
    <row r="107">
      <c r="A107" s="242"/>
      <c r="B107" s="242"/>
      <c r="C107" s="243"/>
      <c r="D107" s="247"/>
      <c r="E107" s="249"/>
      <c r="F107" s="249"/>
      <c r="G107" s="246"/>
    </row>
    <row r="108">
      <c r="A108" s="242"/>
      <c r="B108" s="242"/>
      <c r="C108" s="243"/>
      <c r="D108" s="247"/>
      <c r="E108" s="249"/>
      <c r="F108" s="249"/>
      <c r="G108" s="246"/>
    </row>
    <row r="109">
      <c r="A109" s="242"/>
      <c r="B109" s="242"/>
      <c r="C109" s="243"/>
      <c r="D109" s="247"/>
      <c r="E109" s="249"/>
      <c r="F109" s="249"/>
      <c r="G109" s="246"/>
    </row>
    <row r="110">
      <c r="A110" s="242"/>
      <c r="B110" s="242"/>
      <c r="C110" s="243"/>
      <c r="D110" s="247"/>
      <c r="E110" s="249"/>
      <c r="F110" s="249"/>
      <c r="G110" s="246"/>
    </row>
    <row r="111">
      <c r="A111" s="242"/>
      <c r="B111" s="242"/>
      <c r="C111" s="243"/>
      <c r="D111" s="247"/>
      <c r="E111" s="249"/>
      <c r="F111" s="249"/>
      <c r="G111" s="246"/>
    </row>
    <row r="112">
      <c r="A112" s="242"/>
      <c r="B112" s="242"/>
      <c r="C112" s="243"/>
      <c r="D112" s="247"/>
      <c r="E112" s="249"/>
      <c r="F112" s="249"/>
      <c r="G112" s="246"/>
    </row>
    <row r="113">
      <c r="A113" s="242"/>
      <c r="B113" s="242"/>
      <c r="C113" s="243"/>
      <c r="D113" s="247"/>
      <c r="E113" s="249"/>
      <c r="F113" s="249"/>
      <c r="G113" s="246"/>
    </row>
    <row r="114">
      <c r="A114" s="242"/>
      <c r="B114" s="242"/>
      <c r="C114" s="243"/>
      <c r="D114" s="247"/>
      <c r="E114" s="249"/>
      <c r="F114" s="249"/>
      <c r="G114" s="246"/>
    </row>
    <row r="115">
      <c r="A115" s="242"/>
      <c r="B115" s="242"/>
      <c r="C115" s="243"/>
      <c r="D115" s="247"/>
      <c r="E115" s="249"/>
      <c r="F115" s="249"/>
      <c r="G115" s="246"/>
    </row>
    <row r="116">
      <c r="A116" s="242"/>
      <c r="B116" s="242"/>
      <c r="C116" s="243"/>
      <c r="D116" s="247"/>
      <c r="E116" s="249"/>
      <c r="F116" s="249"/>
      <c r="G116" s="246"/>
    </row>
    <row r="117">
      <c r="A117" s="242"/>
      <c r="B117" s="242"/>
      <c r="C117" s="243"/>
      <c r="D117" s="247"/>
      <c r="E117" s="249"/>
      <c r="F117" s="249"/>
      <c r="G117" s="246"/>
    </row>
    <row r="118">
      <c r="A118" s="242"/>
      <c r="B118" s="242"/>
      <c r="C118" s="243"/>
      <c r="D118" s="247"/>
      <c r="E118" s="249"/>
      <c r="F118" s="249"/>
      <c r="G118" s="246"/>
    </row>
    <row r="119">
      <c r="A119" s="242"/>
      <c r="B119" s="242"/>
      <c r="C119" s="243"/>
      <c r="D119" s="247"/>
      <c r="E119" s="249"/>
      <c r="F119" s="249"/>
      <c r="G119" s="246"/>
    </row>
    <row r="120">
      <c r="A120" s="242"/>
      <c r="B120" s="242"/>
      <c r="C120" s="243"/>
      <c r="D120" s="247"/>
      <c r="E120" s="249"/>
      <c r="F120" s="249"/>
      <c r="G120" s="246"/>
    </row>
    <row r="121">
      <c r="A121" s="242"/>
      <c r="B121" s="242"/>
      <c r="C121" s="243"/>
      <c r="D121" s="247"/>
      <c r="E121" s="249"/>
      <c r="F121" s="249"/>
      <c r="G121" s="246"/>
    </row>
    <row r="122">
      <c r="A122" s="242"/>
      <c r="B122" s="242"/>
      <c r="C122" s="243"/>
      <c r="D122" s="247"/>
      <c r="E122" s="249"/>
      <c r="F122" s="249"/>
      <c r="G122" s="246"/>
    </row>
    <row r="123">
      <c r="A123" s="242"/>
      <c r="B123" s="242"/>
      <c r="C123" s="243"/>
      <c r="D123" s="247"/>
      <c r="E123" s="249"/>
      <c r="F123" s="249"/>
      <c r="G123" s="246"/>
    </row>
    <row r="124">
      <c r="A124" s="242"/>
      <c r="B124" s="242"/>
      <c r="C124" s="243"/>
      <c r="D124" s="247"/>
      <c r="E124" s="249"/>
      <c r="F124" s="249"/>
      <c r="G124" s="246"/>
    </row>
    <row r="125">
      <c r="A125" s="242"/>
      <c r="B125" s="242"/>
      <c r="C125" s="243"/>
      <c r="D125" s="247"/>
      <c r="E125" s="249"/>
      <c r="F125" s="249"/>
      <c r="G125" s="246"/>
    </row>
    <row r="126">
      <c r="A126" s="242"/>
      <c r="B126" s="242"/>
      <c r="C126" s="243"/>
      <c r="D126" s="247"/>
      <c r="E126" s="249"/>
      <c r="F126" s="249"/>
      <c r="G126" s="246"/>
    </row>
    <row r="127">
      <c r="A127" s="242"/>
      <c r="B127" s="242"/>
      <c r="C127" s="243"/>
      <c r="D127" s="247"/>
      <c r="E127" s="249"/>
      <c r="F127" s="249"/>
      <c r="G127" s="246"/>
    </row>
    <row r="128">
      <c r="A128" s="242"/>
      <c r="B128" s="242"/>
      <c r="C128" s="243"/>
      <c r="D128" s="247"/>
      <c r="E128" s="249"/>
      <c r="F128" s="249"/>
      <c r="G128" s="246"/>
    </row>
    <row r="129">
      <c r="A129" s="242"/>
      <c r="B129" s="242"/>
      <c r="C129" s="243"/>
      <c r="D129" s="247"/>
      <c r="E129" s="249"/>
      <c r="F129" s="249"/>
      <c r="G129" s="246"/>
    </row>
    <row r="130">
      <c r="A130" s="242"/>
      <c r="B130" s="242"/>
      <c r="C130" s="243"/>
      <c r="D130" s="247"/>
      <c r="E130" s="249"/>
      <c r="F130" s="249"/>
      <c r="G130" s="246"/>
    </row>
    <row r="131">
      <c r="A131" s="242"/>
      <c r="B131" s="242"/>
      <c r="C131" s="243"/>
      <c r="D131" s="247"/>
      <c r="E131" s="249"/>
      <c r="F131" s="249"/>
      <c r="G131" s="246"/>
    </row>
    <row r="132">
      <c r="A132" s="242"/>
      <c r="B132" s="242"/>
      <c r="C132" s="243"/>
      <c r="D132" s="247"/>
      <c r="E132" s="249"/>
      <c r="F132" s="249"/>
      <c r="G132" s="246"/>
    </row>
    <row r="133">
      <c r="A133" s="242"/>
      <c r="B133" s="242"/>
      <c r="C133" s="243"/>
      <c r="D133" s="247"/>
      <c r="E133" s="249"/>
      <c r="F133" s="249"/>
      <c r="G133" s="246"/>
    </row>
    <row r="134">
      <c r="A134" s="242"/>
      <c r="B134" s="242"/>
      <c r="C134" s="243"/>
      <c r="D134" s="247"/>
      <c r="E134" s="249"/>
      <c r="F134" s="249"/>
      <c r="G134" s="246"/>
    </row>
    <row r="135">
      <c r="A135" s="242"/>
      <c r="B135" s="242"/>
      <c r="C135" s="243"/>
      <c r="D135" s="247"/>
      <c r="E135" s="249"/>
      <c r="F135" s="249"/>
      <c r="G135" s="246"/>
    </row>
    <row r="136">
      <c r="A136" s="242"/>
      <c r="B136" s="242"/>
      <c r="C136" s="243"/>
      <c r="D136" s="247"/>
      <c r="E136" s="249"/>
      <c r="F136" s="249"/>
      <c r="G136" s="246"/>
    </row>
    <row r="137">
      <c r="A137" s="242"/>
      <c r="B137" s="242"/>
      <c r="C137" s="243"/>
      <c r="D137" s="247"/>
      <c r="E137" s="249"/>
      <c r="F137" s="249"/>
      <c r="G137" s="246"/>
    </row>
    <row r="138">
      <c r="A138" s="242"/>
      <c r="B138" s="242"/>
      <c r="C138" s="243"/>
      <c r="D138" s="247"/>
      <c r="E138" s="249"/>
      <c r="F138" s="249"/>
      <c r="G138" s="246"/>
    </row>
    <row r="139">
      <c r="A139" s="242"/>
      <c r="B139" s="242"/>
      <c r="C139" s="243"/>
      <c r="D139" s="247"/>
      <c r="E139" s="249"/>
      <c r="F139" s="249"/>
      <c r="G139" s="246"/>
    </row>
    <row r="140">
      <c r="A140" s="242"/>
      <c r="B140" s="242"/>
      <c r="C140" s="243"/>
      <c r="D140" s="247"/>
      <c r="E140" s="249"/>
      <c r="F140" s="249"/>
      <c r="G140" s="246"/>
    </row>
    <row r="141">
      <c r="A141" s="242"/>
      <c r="B141" s="242"/>
      <c r="C141" s="243"/>
      <c r="D141" s="247"/>
      <c r="E141" s="249"/>
      <c r="F141" s="249"/>
      <c r="G141" s="246"/>
    </row>
    <row r="142">
      <c r="A142" s="242"/>
      <c r="B142" s="242"/>
      <c r="C142" s="243"/>
      <c r="D142" s="247"/>
      <c r="E142" s="249"/>
      <c r="F142" s="249"/>
      <c r="G142" s="246"/>
    </row>
    <row r="143">
      <c r="A143" s="242"/>
      <c r="B143" s="242"/>
      <c r="C143" s="243"/>
      <c r="D143" s="247"/>
      <c r="E143" s="249"/>
      <c r="F143" s="249"/>
      <c r="G143" s="246"/>
    </row>
    <row r="144">
      <c r="A144" s="242"/>
      <c r="B144" s="242"/>
      <c r="C144" s="243"/>
      <c r="D144" s="247"/>
      <c r="E144" s="249"/>
      <c r="F144" s="249"/>
      <c r="G144" s="246"/>
    </row>
    <row r="145">
      <c r="A145" s="242"/>
      <c r="B145" s="242"/>
      <c r="C145" s="243"/>
      <c r="D145" s="247"/>
      <c r="E145" s="249"/>
      <c r="F145" s="249"/>
      <c r="G145" s="246"/>
    </row>
    <row r="146">
      <c r="A146" s="242"/>
      <c r="B146" s="242"/>
      <c r="C146" s="243"/>
      <c r="D146" s="247"/>
      <c r="E146" s="249"/>
      <c r="F146" s="249"/>
      <c r="G146" s="246"/>
    </row>
    <row r="147">
      <c r="A147" s="242"/>
      <c r="B147" s="242"/>
      <c r="C147" s="243"/>
      <c r="D147" s="247"/>
      <c r="E147" s="249"/>
      <c r="F147" s="249"/>
      <c r="G147" s="246"/>
    </row>
    <row r="148">
      <c r="A148" s="242"/>
      <c r="B148" s="242"/>
      <c r="C148" s="243"/>
      <c r="D148" s="247"/>
      <c r="E148" s="249"/>
      <c r="F148" s="249"/>
      <c r="G148" s="246"/>
    </row>
    <row r="149">
      <c r="A149" s="242"/>
      <c r="B149" s="242"/>
      <c r="C149" s="243"/>
      <c r="D149" s="247"/>
      <c r="E149" s="249"/>
      <c r="F149" s="249"/>
      <c r="G149" s="246"/>
    </row>
    <row r="150">
      <c r="A150" s="242"/>
      <c r="B150" s="242"/>
      <c r="C150" s="243"/>
      <c r="D150" s="247"/>
      <c r="E150" s="249"/>
      <c r="F150" s="249"/>
      <c r="G150" s="246"/>
    </row>
    <row r="151">
      <c r="A151" s="242"/>
      <c r="B151" s="242"/>
      <c r="C151" s="243"/>
      <c r="D151" s="247"/>
      <c r="E151" s="249"/>
      <c r="F151" s="249"/>
      <c r="G151" s="246"/>
    </row>
    <row r="152">
      <c r="A152" s="242"/>
      <c r="B152" s="242"/>
      <c r="C152" s="243"/>
      <c r="D152" s="247"/>
      <c r="E152" s="249"/>
      <c r="F152" s="249"/>
      <c r="G152" s="246"/>
    </row>
    <row r="153">
      <c r="A153" s="242"/>
      <c r="B153" s="242"/>
      <c r="C153" s="243"/>
      <c r="D153" s="247"/>
      <c r="E153" s="249"/>
      <c r="F153" s="249"/>
      <c r="G153" s="246"/>
    </row>
    <row r="154">
      <c r="A154" s="242"/>
      <c r="B154" s="242"/>
      <c r="C154" s="243"/>
      <c r="D154" s="247"/>
      <c r="E154" s="249"/>
      <c r="F154" s="249"/>
      <c r="G154" s="246"/>
    </row>
    <row r="155">
      <c r="A155" s="242"/>
      <c r="B155" s="242"/>
      <c r="C155" s="243"/>
      <c r="D155" s="247"/>
      <c r="E155" s="249"/>
      <c r="F155" s="249"/>
      <c r="G155" s="246"/>
    </row>
    <row r="156">
      <c r="A156" s="242"/>
      <c r="B156" s="242"/>
      <c r="C156" s="243"/>
      <c r="D156" s="247"/>
      <c r="E156" s="249"/>
      <c r="F156" s="249"/>
      <c r="G156" s="246"/>
    </row>
    <row r="157">
      <c r="A157" s="242"/>
      <c r="B157" s="242"/>
      <c r="C157" s="243"/>
      <c r="D157" s="247"/>
      <c r="E157" s="249"/>
      <c r="F157" s="249"/>
      <c r="G157" s="246"/>
    </row>
    <row r="158">
      <c r="A158" s="242"/>
      <c r="B158" s="242"/>
      <c r="C158" s="243"/>
      <c r="D158" s="247"/>
      <c r="E158" s="249"/>
      <c r="F158" s="249"/>
      <c r="G158" s="246"/>
    </row>
    <row r="159">
      <c r="A159" s="242"/>
      <c r="B159" s="242"/>
      <c r="C159" s="243"/>
      <c r="D159" s="247"/>
      <c r="E159" s="249"/>
      <c r="F159" s="249"/>
      <c r="G159" s="246"/>
    </row>
    <row r="160">
      <c r="A160" s="242"/>
      <c r="B160" s="242"/>
      <c r="C160" s="243"/>
      <c r="D160" s="247"/>
      <c r="E160" s="249"/>
      <c r="F160" s="249"/>
      <c r="G160" s="246"/>
    </row>
    <row r="161">
      <c r="A161" s="242"/>
      <c r="B161" s="242"/>
      <c r="C161" s="243"/>
      <c r="D161" s="247"/>
      <c r="E161" s="249"/>
      <c r="F161" s="249"/>
      <c r="G161" s="246"/>
    </row>
    <row r="162">
      <c r="A162" s="242"/>
      <c r="B162" s="242"/>
      <c r="C162" s="243"/>
      <c r="D162" s="247"/>
      <c r="E162" s="249"/>
      <c r="F162" s="249"/>
      <c r="G162" s="246"/>
    </row>
    <row r="163">
      <c r="A163" s="242"/>
      <c r="B163" s="242"/>
      <c r="C163" s="243"/>
      <c r="D163" s="247"/>
      <c r="E163" s="249"/>
      <c r="F163" s="249"/>
      <c r="G163" s="246"/>
    </row>
    <row r="164">
      <c r="A164" s="242"/>
      <c r="B164" s="242"/>
      <c r="C164" s="243"/>
      <c r="D164" s="247"/>
      <c r="E164" s="249"/>
      <c r="F164" s="249"/>
      <c r="G164" s="246"/>
    </row>
    <row r="165">
      <c r="A165" s="242"/>
      <c r="B165" s="242"/>
      <c r="C165" s="243"/>
      <c r="D165" s="247"/>
      <c r="E165" s="249"/>
      <c r="F165" s="249"/>
      <c r="G165" s="246"/>
    </row>
    <row r="166">
      <c r="A166" s="242"/>
      <c r="B166" s="242"/>
      <c r="C166" s="243"/>
      <c r="D166" s="247"/>
      <c r="E166" s="249"/>
      <c r="F166" s="249"/>
      <c r="G166" s="246"/>
    </row>
  </sheetData>
  <mergeCells count="5">
    <mergeCell ref="E2:E3"/>
    <mergeCell ref="F2:F3"/>
    <mergeCell ref="D3:D66"/>
    <mergeCell ref="E4:E5"/>
    <mergeCell ref="F4:F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29"/>
    <col customWidth="1" min="2" max="2" width="15.0"/>
    <col customWidth="1" min="3" max="3" width="10.14"/>
    <col customWidth="1" min="4" max="4" width="12.57"/>
    <col customWidth="1" min="5" max="5" width="25.71"/>
    <col customWidth="1" min="6" max="6" width="18.86"/>
    <col customWidth="1" min="7" max="7" width="22.14"/>
    <col customWidth="1" min="8" max="8" width="18.86"/>
    <col customWidth="1" min="9" max="9" width="18.29"/>
    <col customWidth="1" min="10" max="10" width="73.0"/>
  </cols>
  <sheetData>
    <row r="1">
      <c r="A1" s="250" t="s">
        <v>180</v>
      </c>
      <c r="B1" s="250" t="s">
        <v>65</v>
      </c>
      <c r="C1" s="250" t="s">
        <v>66</v>
      </c>
      <c r="D1" s="250" t="s">
        <v>67</v>
      </c>
      <c r="E1" s="250" t="s">
        <v>181</v>
      </c>
      <c r="F1" s="250" t="s">
        <v>136</v>
      </c>
      <c r="G1" s="250" t="s">
        <v>137</v>
      </c>
      <c r="H1" s="250" t="s">
        <v>138</v>
      </c>
      <c r="I1" s="250" t="s">
        <v>139</v>
      </c>
      <c r="J1" s="250" t="s">
        <v>140</v>
      </c>
    </row>
    <row r="2">
      <c r="A2" s="251">
        <v>1.0</v>
      </c>
      <c r="B2" s="252"/>
      <c r="C2" s="252"/>
      <c r="D2" s="252"/>
      <c r="E2" s="252"/>
      <c r="F2" s="252"/>
      <c r="G2" s="252"/>
      <c r="H2" s="252"/>
      <c r="I2" s="252"/>
      <c r="J2" s="252"/>
    </row>
    <row r="3">
      <c r="A3" s="253">
        <v>2.0</v>
      </c>
      <c r="B3" s="254"/>
      <c r="C3" s="254"/>
      <c r="D3" s="254"/>
      <c r="E3" s="254"/>
      <c r="F3" s="254"/>
      <c r="G3" s="254"/>
      <c r="H3" s="254"/>
      <c r="I3" s="254"/>
      <c r="J3" s="254"/>
    </row>
    <row r="4">
      <c r="A4" s="251">
        <v>3.0</v>
      </c>
      <c r="B4" s="252"/>
      <c r="C4" s="252"/>
      <c r="D4" s="252"/>
      <c r="E4" s="252"/>
      <c r="F4" s="252"/>
      <c r="G4" s="252"/>
      <c r="H4" s="252"/>
      <c r="I4" s="252"/>
      <c r="J4" s="252"/>
    </row>
    <row r="5">
      <c r="A5" s="253">
        <v>4.0</v>
      </c>
      <c r="B5" s="254"/>
      <c r="C5" s="254"/>
      <c r="D5" s="254"/>
      <c r="E5" s="254"/>
      <c r="F5" s="254"/>
      <c r="G5" s="254"/>
      <c r="H5" s="254"/>
      <c r="I5" s="254"/>
      <c r="J5" s="254"/>
    </row>
    <row r="6">
      <c r="A6" s="251">
        <v>5.0</v>
      </c>
      <c r="B6" s="252"/>
      <c r="C6" s="252"/>
      <c r="D6" s="252"/>
      <c r="E6" s="252"/>
      <c r="F6" s="252"/>
      <c r="G6" s="252"/>
      <c r="H6" s="252"/>
      <c r="I6" s="252"/>
      <c r="J6" s="252"/>
    </row>
    <row r="7">
      <c r="A7" s="253">
        <v>6.0</v>
      </c>
      <c r="B7" s="254"/>
      <c r="C7" s="254"/>
      <c r="D7" s="254"/>
      <c r="E7" s="254"/>
      <c r="F7" s="254"/>
      <c r="G7" s="254"/>
      <c r="H7" s="254"/>
      <c r="I7" s="254"/>
      <c r="J7" s="254"/>
    </row>
    <row r="8">
      <c r="A8" s="251">
        <v>7.0</v>
      </c>
      <c r="B8" s="252"/>
      <c r="C8" s="252"/>
      <c r="D8" s="252"/>
      <c r="E8" s="252"/>
      <c r="F8" s="252"/>
      <c r="G8" s="252"/>
      <c r="H8" s="252"/>
      <c r="I8" s="252"/>
      <c r="J8" s="252"/>
    </row>
    <row r="9">
      <c r="A9" s="253">
        <v>8.0</v>
      </c>
      <c r="B9" s="254"/>
      <c r="C9" s="254"/>
      <c r="D9" s="254"/>
      <c r="E9" s="254"/>
      <c r="F9" s="254"/>
      <c r="G9" s="254"/>
      <c r="H9" s="254"/>
      <c r="I9" s="254"/>
      <c r="J9" s="254"/>
    </row>
    <row r="10">
      <c r="A10" s="251">
        <v>9.0</v>
      </c>
      <c r="B10" s="252"/>
      <c r="C10" s="252"/>
      <c r="D10" s="252"/>
      <c r="E10" s="252"/>
      <c r="F10" s="252"/>
      <c r="G10" s="252"/>
      <c r="H10" s="252"/>
      <c r="I10" s="252"/>
      <c r="J10" s="252"/>
    </row>
    <row r="11">
      <c r="A11" s="253">
        <v>10.0</v>
      </c>
      <c r="B11" s="254"/>
      <c r="C11" s="254"/>
      <c r="D11" s="254"/>
      <c r="E11" s="254"/>
      <c r="F11" s="254"/>
      <c r="G11" s="254"/>
      <c r="H11" s="254"/>
      <c r="I11" s="254"/>
      <c r="J11" s="254"/>
    </row>
    <row r="12">
      <c r="A12" s="251">
        <v>11.0</v>
      </c>
      <c r="B12" s="252"/>
      <c r="C12" s="252"/>
      <c r="D12" s="252"/>
      <c r="E12" s="252"/>
      <c r="F12" s="252"/>
      <c r="G12" s="252"/>
      <c r="H12" s="252"/>
      <c r="I12" s="252"/>
      <c r="J12" s="252"/>
    </row>
    <row r="13">
      <c r="A13" s="253">
        <v>12.0</v>
      </c>
      <c r="B13" s="254"/>
      <c r="C13" s="254"/>
      <c r="D13" s="254"/>
      <c r="E13" s="254"/>
      <c r="F13" s="254"/>
      <c r="G13" s="254"/>
      <c r="H13" s="254"/>
      <c r="I13" s="254"/>
      <c r="J13" s="254"/>
    </row>
    <row r="14">
      <c r="A14" s="251">
        <v>13.0</v>
      </c>
      <c r="B14" s="252"/>
      <c r="C14" s="252"/>
      <c r="D14" s="252"/>
      <c r="E14" s="252"/>
      <c r="F14" s="252"/>
      <c r="G14" s="252"/>
      <c r="H14" s="252"/>
      <c r="I14" s="252"/>
      <c r="J14" s="252"/>
    </row>
    <row r="15">
      <c r="A15" s="253">
        <v>14.0</v>
      </c>
      <c r="B15" s="254"/>
      <c r="C15" s="254"/>
      <c r="D15" s="254"/>
      <c r="E15" s="254"/>
      <c r="F15" s="254"/>
      <c r="G15" s="254"/>
      <c r="H15" s="254"/>
      <c r="I15" s="254"/>
      <c r="J15" s="254"/>
    </row>
    <row r="16">
      <c r="A16" s="251">
        <v>15.0</v>
      </c>
      <c r="B16" s="252"/>
      <c r="C16" s="252"/>
      <c r="D16" s="252"/>
      <c r="E16" s="252"/>
      <c r="F16" s="252"/>
      <c r="G16" s="252"/>
      <c r="H16" s="252"/>
      <c r="I16" s="252"/>
      <c r="J16" s="252"/>
    </row>
    <row r="17">
      <c r="A17" s="253">
        <v>16.0</v>
      </c>
      <c r="B17" s="254"/>
      <c r="C17" s="254"/>
      <c r="D17" s="254"/>
      <c r="E17" s="254"/>
      <c r="F17" s="254"/>
      <c r="G17" s="254"/>
      <c r="H17" s="254"/>
      <c r="I17" s="254"/>
      <c r="J17" s="254"/>
    </row>
    <row r="18">
      <c r="A18" s="251">
        <v>17.0</v>
      </c>
      <c r="B18" s="252"/>
      <c r="C18" s="252"/>
      <c r="D18" s="252"/>
      <c r="E18" s="252"/>
      <c r="F18" s="252"/>
      <c r="G18" s="252"/>
      <c r="H18" s="252"/>
      <c r="I18" s="252"/>
      <c r="J18" s="252"/>
    </row>
    <row r="19">
      <c r="A19" s="253">
        <v>18.0</v>
      </c>
      <c r="B19" s="254"/>
      <c r="C19" s="254"/>
      <c r="D19" s="254"/>
      <c r="E19" s="254"/>
      <c r="F19" s="254"/>
      <c r="G19" s="254"/>
      <c r="H19" s="254"/>
      <c r="I19" s="254"/>
      <c r="J19" s="254"/>
    </row>
    <row r="20">
      <c r="A20" s="251">
        <v>19.0</v>
      </c>
      <c r="B20" s="252"/>
      <c r="C20" s="252"/>
      <c r="D20" s="252"/>
      <c r="E20" s="252"/>
      <c r="F20" s="252"/>
      <c r="G20" s="252"/>
      <c r="H20" s="252"/>
      <c r="I20" s="252"/>
      <c r="J20" s="252"/>
    </row>
    <row r="21">
      <c r="A21" s="253">
        <v>20.0</v>
      </c>
      <c r="B21" s="254"/>
      <c r="C21" s="254"/>
      <c r="D21" s="254"/>
      <c r="E21" s="254"/>
      <c r="F21" s="254"/>
      <c r="G21" s="254"/>
      <c r="H21" s="254"/>
      <c r="I21" s="254"/>
      <c r="J21" s="254"/>
    </row>
    <row r="22">
      <c r="A22" s="251">
        <v>21.0</v>
      </c>
      <c r="B22" s="252"/>
      <c r="C22" s="252"/>
      <c r="D22" s="252"/>
      <c r="E22" s="252"/>
      <c r="F22" s="252"/>
      <c r="G22" s="252"/>
      <c r="H22" s="252"/>
      <c r="I22" s="252"/>
      <c r="J22" s="252"/>
    </row>
    <row r="23">
      <c r="A23" s="253">
        <v>22.0</v>
      </c>
      <c r="B23" s="254"/>
      <c r="C23" s="254"/>
      <c r="D23" s="254"/>
      <c r="E23" s="254"/>
      <c r="F23" s="254"/>
      <c r="G23" s="254"/>
      <c r="H23" s="254"/>
      <c r="I23" s="254"/>
      <c r="J23" s="254"/>
    </row>
    <row r="24">
      <c r="A24" s="251">
        <v>23.0</v>
      </c>
      <c r="B24" s="252"/>
      <c r="C24" s="252"/>
      <c r="D24" s="252"/>
      <c r="E24" s="252"/>
      <c r="F24" s="252"/>
      <c r="G24" s="252"/>
      <c r="H24" s="252"/>
      <c r="I24" s="252"/>
      <c r="J24" s="252"/>
    </row>
    <row r="25">
      <c r="A25" s="253">
        <v>24.0</v>
      </c>
      <c r="B25" s="254"/>
      <c r="C25" s="254"/>
      <c r="D25" s="254"/>
      <c r="E25" s="254"/>
      <c r="F25" s="254"/>
      <c r="G25" s="254"/>
      <c r="H25" s="254"/>
      <c r="I25" s="254"/>
      <c r="J25" s="254"/>
    </row>
    <row r="26">
      <c r="A26" s="251">
        <v>25.0</v>
      </c>
      <c r="B26" s="252"/>
      <c r="C26" s="252"/>
      <c r="D26" s="252"/>
      <c r="E26" s="252"/>
      <c r="F26" s="252"/>
      <c r="G26" s="252"/>
      <c r="H26" s="252"/>
      <c r="I26" s="252"/>
      <c r="J26" s="252"/>
    </row>
    <row r="27">
      <c r="A27" s="253">
        <v>26.0</v>
      </c>
      <c r="B27" s="254"/>
      <c r="C27" s="254"/>
      <c r="D27" s="254"/>
      <c r="E27" s="254"/>
      <c r="F27" s="254"/>
      <c r="G27" s="254"/>
      <c r="H27" s="254"/>
      <c r="I27" s="254"/>
      <c r="J27" s="254"/>
    </row>
    <row r="28">
      <c r="A28" s="251">
        <v>27.0</v>
      </c>
      <c r="B28" s="252"/>
      <c r="C28" s="252"/>
      <c r="D28" s="252"/>
      <c r="E28" s="252"/>
      <c r="F28" s="252"/>
      <c r="G28" s="252"/>
      <c r="H28" s="252"/>
      <c r="I28" s="252"/>
      <c r="J28" s="252"/>
    </row>
    <row r="29">
      <c r="A29" s="253">
        <v>28.0</v>
      </c>
      <c r="B29" s="254"/>
      <c r="C29" s="254"/>
      <c r="D29" s="254"/>
      <c r="E29" s="254"/>
      <c r="F29" s="254"/>
      <c r="G29" s="254"/>
      <c r="H29" s="254"/>
      <c r="I29" s="254"/>
      <c r="J29" s="254"/>
    </row>
    <row r="30">
      <c r="A30" s="251">
        <v>29.0</v>
      </c>
      <c r="B30" s="252"/>
      <c r="C30" s="252"/>
      <c r="D30" s="252"/>
      <c r="E30" s="252"/>
      <c r="F30" s="252"/>
      <c r="G30" s="252"/>
      <c r="H30" s="252"/>
      <c r="I30" s="252"/>
      <c r="J30" s="252"/>
    </row>
    <row r="31">
      <c r="A31" s="253">
        <v>30.0</v>
      </c>
      <c r="B31" s="254"/>
      <c r="C31" s="254"/>
      <c r="D31" s="254"/>
      <c r="E31" s="254"/>
      <c r="F31" s="254"/>
      <c r="G31" s="254"/>
      <c r="H31" s="254"/>
      <c r="I31" s="254"/>
      <c r="J31" s="254"/>
    </row>
    <row r="32">
      <c r="A32" s="251">
        <v>31.0</v>
      </c>
      <c r="B32" s="252"/>
      <c r="C32" s="252"/>
      <c r="D32" s="252"/>
      <c r="E32" s="252"/>
      <c r="F32" s="252"/>
      <c r="G32" s="252"/>
      <c r="H32" s="252"/>
      <c r="I32" s="252"/>
      <c r="J32" s="252"/>
    </row>
    <row r="33">
      <c r="A33" s="253">
        <v>32.0</v>
      </c>
      <c r="B33" s="254"/>
      <c r="C33" s="254"/>
      <c r="D33" s="254"/>
      <c r="E33" s="254"/>
      <c r="F33" s="254"/>
      <c r="G33" s="254"/>
      <c r="H33" s="254"/>
      <c r="I33" s="254"/>
      <c r="J33" s="254"/>
    </row>
    <row r="34">
      <c r="A34" s="251">
        <v>33.0</v>
      </c>
      <c r="B34" s="252"/>
      <c r="C34" s="252"/>
      <c r="D34" s="252"/>
      <c r="E34" s="252"/>
      <c r="F34" s="252"/>
      <c r="G34" s="252"/>
      <c r="H34" s="252"/>
      <c r="I34" s="252"/>
      <c r="J34" s="252"/>
    </row>
    <row r="35">
      <c r="A35" s="253">
        <v>34.0</v>
      </c>
      <c r="B35" s="254"/>
      <c r="C35" s="254"/>
      <c r="D35" s="254"/>
      <c r="E35" s="254"/>
      <c r="F35" s="254"/>
      <c r="G35" s="254"/>
      <c r="H35" s="254"/>
      <c r="I35" s="254"/>
      <c r="J35" s="254"/>
    </row>
    <row r="36">
      <c r="A36" s="251">
        <v>35.0</v>
      </c>
      <c r="B36" s="252"/>
      <c r="C36" s="252"/>
      <c r="D36" s="252"/>
      <c r="E36" s="252"/>
      <c r="F36" s="252"/>
      <c r="G36" s="252"/>
      <c r="H36" s="252"/>
      <c r="I36" s="252"/>
      <c r="J36" s="252"/>
    </row>
    <row r="37">
      <c r="A37" s="253">
        <v>36.0</v>
      </c>
      <c r="B37" s="254"/>
      <c r="C37" s="254"/>
      <c r="D37" s="254"/>
      <c r="E37" s="254"/>
      <c r="F37" s="254"/>
      <c r="G37" s="254"/>
      <c r="H37" s="254"/>
      <c r="I37" s="254"/>
      <c r="J37" s="254"/>
    </row>
    <row r="38">
      <c r="A38" s="251">
        <v>37.0</v>
      </c>
      <c r="B38" s="252"/>
      <c r="C38" s="252"/>
      <c r="D38" s="252"/>
      <c r="E38" s="252"/>
      <c r="F38" s="252"/>
      <c r="G38" s="252"/>
      <c r="H38" s="252"/>
      <c r="I38" s="252"/>
      <c r="J38" s="252"/>
    </row>
    <row r="39">
      <c r="A39" s="253">
        <v>38.0</v>
      </c>
      <c r="B39" s="254"/>
      <c r="C39" s="254"/>
      <c r="D39" s="254"/>
      <c r="E39" s="254"/>
      <c r="F39" s="254"/>
      <c r="G39" s="254"/>
      <c r="H39" s="254"/>
      <c r="I39" s="254"/>
      <c r="J39" s="254"/>
    </row>
    <row r="40">
      <c r="A40" s="251">
        <v>39.0</v>
      </c>
      <c r="B40" s="252"/>
      <c r="C40" s="252"/>
      <c r="D40" s="252"/>
      <c r="E40" s="252"/>
      <c r="F40" s="252"/>
      <c r="G40" s="252"/>
      <c r="H40" s="252"/>
      <c r="I40" s="252"/>
      <c r="J40" s="252"/>
    </row>
    <row r="41">
      <c r="A41" s="253">
        <v>40.0</v>
      </c>
      <c r="B41" s="254"/>
      <c r="C41" s="254"/>
      <c r="D41" s="254"/>
      <c r="E41" s="254"/>
      <c r="F41" s="254"/>
      <c r="G41" s="254"/>
      <c r="H41" s="254"/>
      <c r="I41" s="254"/>
      <c r="J41" s="25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mergeCells count="2">
    <mergeCell ref="A1:X38"/>
    <mergeCell ref="Y1:Z3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0.86"/>
  </cols>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8.29"/>
  </cols>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86"/>
    <col customWidth="1" min="2" max="2" width="16.0"/>
    <col customWidth="1" min="3" max="3" width="17.43"/>
    <col customWidth="1" min="4" max="4" width="19.29"/>
    <col customWidth="1" min="5" max="5" width="19.57"/>
    <col customWidth="1" min="6" max="6" width="56.57"/>
    <col customWidth="1" min="7" max="7" width="64.14"/>
  </cols>
  <sheetData>
    <row r="1">
      <c r="A1" s="152" t="s">
        <v>182</v>
      </c>
      <c r="B1" s="152" t="s">
        <v>136</v>
      </c>
      <c r="C1" s="153" t="s">
        <v>137</v>
      </c>
      <c r="D1" s="154" t="s">
        <v>138</v>
      </c>
      <c r="E1" s="154" t="s">
        <v>139</v>
      </c>
      <c r="F1" s="154" t="s">
        <v>140</v>
      </c>
      <c r="G1" s="155" t="s">
        <v>141</v>
      </c>
    </row>
    <row r="2">
      <c r="A2" s="255"/>
      <c r="B2" s="255"/>
      <c r="C2" s="255"/>
      <c r="D2" s="255"/>
      <c r="E2" s="255"/>
      <c r="F2" s="255"/>
      <c r="G2" s="255"/>
    </row>
    <row r="3">
      <c r="A3" s="256"/>
      <c r="B3" s="256"/>
      <c r="C3" s="256"/>
      <c r="D3" s="256"/>
      <c r="E3" s="256"/>
      <c r="F3" s="256"/>
      <c r="G3" s="256"/>
    </row>
    <row r="4">
      <c r="A4" s="255"/>
      <c r="B4" s="255"/>
      <c r="C4" s="255"/>
      <c r="D4" s="255"/>
      <c r="E4" s="255"/>
      <c r="F4" s="255"/>
      <c r="G4" s="255"/>
    </row>
    <row r="5">
      <c r="A5" s="256"/>
      <c r="B5" s="256"/>
      <c r="C5" s="256"/>
      <c r="D5" s="256"/>
      <c r="E5" s="256"/>
      <c r="F5" s="256"/>
      <c r="G5" s="256"/>
    </row>
    <row r="6">
      <c r="A6" s="255"/>
      <c r="B6" s="255"/>
      <c r="C6" s="255"/>
      <c r="D6" s="255"/>
      <c r="E6" s="255"/>
      <c r="F6" s="255"/>
      <c r="G6" s="255"/>
    </row>
    <row r="7">
      <c r="A7" s="256"/>
      <c r="B7" s="256"/>
      <c r="C7" s="256"/>
      <c r="D7" s="256"/>
      <c r="E7" s="256"/>
      <c r="F7" s="256"/>
      <c r="G7" s="256"/>
    </row>
    <row r="8">
      <c r="A8" s="255"/>
      <c r="B8" s="255"/>
      <c r="C8" s="255"/>
      <c r="D8" s="255"/>
      <c r="E8" s="255"/>
      <c r="F8" s="255"/>
      <c r="G8" s="255"/>
    </row>
    <row r="9">
      <c r="A9" s="256"/>
      <c r="B9" s="256"/>
      <c r="C9" s="256"/>
      <c r="D9" s="256"/>
      <c r="E9" s="256"/>
      <c r="F9" s="256"/>
      <c r="G9" s="256"/>
    </row>
    <row r="10">
      <c r="A10" s="255"/>
      <c r="B10" s="255"/>
      <c r="C10" s="255"/>
      <c r="D10" s="255"/>
      <c r="E10" s="255"/>
      <c r="F10" s="255"/>
      <c r="G10" s="255"/>
    </row>
    <row r="11">
      <c r="A11" s="256"/>
      <c r="B11" s="256"/>
      <c r="C11" s="256"/>
      <c r="D11" s="256"/>
      <c r="E11" s="256"/>
      <c r="F11" s="256"/>
      <c r="G11" s="256"/>
    </row>
    <row r="12">
      <c r="A12" s="255"/>
      <c r="B12" s="255"/>
      <c r="C12" s="255"/>
      <c r="D12" s="255"/>
      <c r="E12" s="255"/>
      <c r="F12" s="255"/>
      <c r="G12" s="255"/>
    </row>
    <row r="13">
      <c r="A13" s="256"/>
      <c r="B13" s="256"/>
      <c r="C13" s="256"/>
      <c r="D13" s="256"/>
      <c r="E13" s="256"/>
      <c r="F13" s="256"/>
      <c r="G13" s="256"/>
    </row>
    <row r="14">
      <c r="A14" s="255"/>
      <c r="B14" s="255"/>
      <c r="C14" s="255"/>
      <c r="D14" s="255"/>
      <c r="E14" s="255"/>
      <c r="F14" s="255"/>
      <c r="G14" s="255"/>
    </row>
    <row r="15">
      <c r="A15" s="256"/>
      <c r="B15" s="256"/>
      <c r="C15" s="256"/>
      <c r="D15" s="256"/>
      <c r="E15" s="256"/>
      <c r="F15" s="256"/>
      <c r="G15" s="256"/>
    </row>
    <row r="16">
      <c r="A16" s="255"/>
      <c r="B16" s="255"/>
      <c r="C16" s="255"/>
      <c r="D16" s="255"/>
      <c r="E16" s="255"/>
      <c r="F16" s="255"/>
      <c r="G16" s="255"/>
    </row>
    <row r="17">
      <c r="A17" s="256"/>
      <c r="B17" s="256"/>
      <c r="C17" s="256"/>
      <c r="D17" s="256"/>
      <c r="E17" s="256"/>
      <c r="F17" s="256"/>
      <c r="G17" s="256"/>
    </row>
    <row r="18">
      <c r="A18" s="255"/>
      <c r="B18" s="255"/>
      <c r="C18" s="255"/>
      <c r="D18" s="255"/>
      <c r="E18" s="255"/>
      <c r="F18" s="255"/>
      <c r="G18" s="255"/>
    </row>
    <row r="19">
      <c r="A19" s="256"/>
      <c r="B19" s="256"/>
      <c r="C19" s="256"/>
      <c r="D19" s="256"/>
      <c r="E19" s="256"/>
      <c r="F19" s="256"/>
      <c r="G19" s="256"/>
    </row>
    <row r="20">
      <c r="A20" s="255"/>
      <c r="B20" s="255"/>
      <c r="C20" s="255"/>
      <c r="D20" s="255"/>
      <c r="E20" s="255"/>
      <c r="F20" s="255"/>
      <c r="G20" s="255"/>
    </row>
    <row r="21">
      <c r="A21" s="256"/>
      <c r="B21" s="256"/>
      <c r="C21" s="256"/>
      <c r="D21" s="256"/>
      <c r="E21" s="256"/>
      <c r="F21" s="256"/>
      <c r="G21" s="256"/>
    </row>
    <row r="22">
      <c r="A22" s="255"/>
      <c r="B22" s="255"/>
      <c r="C22" s="255"/>
      <c r="D22" s="255"/>
      <c r="E22" s="255"/>
      <c r="F22" s="255"/>
      <c r="G22" s="255"/>
    </row>
    <row r="23">
      <c r="A23" s="256"/>
      <c r="B23" s="256"/>
      <c r="C23" s="256"/>
      <c r="D23" s="256"/>
      <c r="E23" s="256"/>
      <c r="F23" s="256"/>
      <c r="G23" s="256"/>
    </row>
    <row r="24">
      <c r="A24" s="255"/>
      <c r="B24" s="255"/>
      <c r="C24" s="255"/>
      <c r="D24" s="255"/>
      <c r="E24" s="255"/>
      <c r="F24" s="255"/>
      <c r="G24" s="255"/>
    </row>
    <row r="25">
      <c r="A25" s="256"/>
      <c r="B25" s="256"/>
      <c r="C25" s="256"/>
      <c r="D25" s="256"/>
      <c r="E25" s="256"/>
      <c r="F25" s="256"/>
      <c r="G25" s="256"/>
    </row>
    <row r="26">
      <c r="A26" s="255"/>
      <c r="B26" s="255"/>
      <c r="C26" s="255"/>
      <c r="D26" s="255"/>
      <c r="E26" s="255"/>
      <c r="F26" s="255"/>
      <c r="G26" s="255"/>
    </row>
    <row r="27">
      <c r="A27" s="256"/>
      <c r="B27" s="256"/>
      <c r="C27" s="256"/>
      <c r="D27" s="256"/>
      <c r="E27" s="256"/>
      <c r="F27" s="256"/>
      <c r="G27" s="256"/>
    </row>
    <row r="28">
      <c r="A28" s="255"/>
      <c r="B28" s="255"/>
      <c r="C28" s="255"/>
      <c r="D28" s="255"/>
      <c r="E28" s="255"/>
      <c r="F28" s="255"/>
      <c r="G28" s="255"/>
    </row>
    <row r="29">
      <c r="A29" s="256"/>
      <c r="B29" s="256"/>
      <c r="C29" s="256"/>
      <c r="D29" s="256"/>
      <c r="E29" s="256"/>
      <c r="F29" s="256"/>
      <c r="G29" s="256"/>
    </row>
    <row r="30">
      <c r="A30" s="255"/>
      <c r="B30" s="255"/>
      <c r="C30" s="255"/>
      <c r="D30" s="255"/>
      <c r="E30" s="255"/>
      <c r="F30" s="255"/>
      <c r="G30" s="255"/>
    </row>
    <row r="31">
      <c r="A31" s="256"/>
      <c r="B31" s="256"/>
      <c r="C31" s="256"/>
      <c r="D31" s="256"/>
      <c r="E31" s="256"/>
      <c r="F31" s="256"/>
      <c r="G31" s="256"/>
    </row>
    <row r="32">
      <c r="A32" s="255"/>
      <c r="B32" s="255"/>
      <c r="C32" s="255"/>
      <c r="D32" s="255"/>
      <c r="E32" s="255"/>
      <c r="F32" s="255"/>
      <c r="G32" s="255"/>
    </row>
    <row r="33">
      <c r="A33" s="256"/>
      <c r="B33" s="256"/>
      <c r="C33" s="256"/>
      <c r="D33" s="256"/>
      <c r="E33" s="256"/>
      <c r="F33" s="256"/>
      <c r="G33" s="256"/>
    </row>
    <row r="34">
      <c r="A34" s="255"/>
      <c r="B34" s="255"/>
      <c r="C34" s="255"/>
      <c r="D34" s="255"/>
      <c r="E34" s="255"/>
      <c r="F34" s="255"/>
      <c r="G34" s="255"/>
    </row>
    <row r="35">
      <c r="A35" s="256"/>
      <c r="B35" s="256"/>
      <c r="C35" s="256"/>
      <c r="D35" s="256"/>
      <c r="E35" s="256"/>
      <c r="F35" s="256"/>
      <c r="G35" s="256"/>
    </row>
    <row r="36">
      <c r="A36" s="255"/>
      <c r="B36" s="255"/>
      <c r="C36" s="255"/>
      <c r="D36" s="255"/>
      <c r="E36" s="255"/>
      <c r="F36" s="255"/>
      <c r="G36" s="255"/>
    </row>
    <row r="37">
      <c r="A37" s="256"/>
      <c r="B37" s="256"/>
      <c r="C37" s="256"/>
      <c r="D37" s="256"/>
      <c r="E37" s="256"/>
      <c r="F37" s="256"/>
      <c r="G37" s="256"/>
    </row>
    <row r="38">
      <c r="A38" s="152" t="s">
        <v>183</v>
      </c>
      <c r="B38" s="152" t="s">
        <v>136</v>
      </c>
      <c r="C38" s="153" t="s">
        <v>137</v>
      </c>
      <c r="D38" s="154" t="s">
        <v>138</v>
      </c>
      <c r="E38" s="154" t="s">
        <v>139</v>
      </c>
      <c r="F38" s="154" t="s">
        <v>140</v>
      </c>
      <c r="G38" s="155" t="s">
        <v>141</v>
      </c>
    </row>
    <row r="39">
      <c r="A39" s="255"/>
      <c r="B39" s="255"/>
      <c r="C39" s="255"/>
      <c r="D39" s="255"/>
      <c r="E39" s="255"/>
      <c r="F39" s="255"/>
      <c r="G39" s="255"/>
    </row>
    <row r="40">
      <c r="A40" s="256"/>
      <c r="B40" s="256"/>
      <c r="C40" s="256"/>
      <c r="D40" s="256"/>
      <c r="E40" s="256"/>
      <c r="F40" s="256"/>
      <c r="G40" s="256"/>
    </row>
    <row r="41">
      <c r="A41" s="255"/>
      <c r="B41" s="255"/>
      <c r="C41" s="255"/>
      <c r="D41" s="255"/>
      <c r="E41" s="255"/>
      <c r="F41" s="255"/>
      <c r="G41" s="255"/>
    </row>
    <row r="42">
      <c r="A42" s="256"/>
      <c r="B42" s="256"/>
      <c r="C42" s="256"/>
      <c r="D42" s="256"/>
      <c r="E42" s="256"/>
      <c r="F42" s="256"/>
      <c r="G42" s="256"/>
    </row>
    <row r="43">
      <c r="A43" s="255"/>
      <c r="B43" s="255"/>
      <c r="C43" s="255"/>
      <c r="D43" s="255"/>
      <c r="E43" s="255"/>
      <c r="F43" s="255"/>
      <c r="G43" s="255"/>
    </row>
    <row r="44">
      <c r="A44" s="256"/>
      <c r="B44" s="256"/>
      <c r="C44" s="256"/>
      <c r="D44" s="256"/>
      <c r="E44" s="256"/>
      <c r="F44" s="256"/>
      <c r="G44" s="256"/>
    </row>
    <row r="45">
      <c r="A45" s="255"/>
      <c r="B45" s="255"/>
      <c r="C45" s="255"/>
      <c r="D45" s="255"/>
      <c r="E45" s="255"/>
      <c r="F45" s="255"/>
      <c r="G45" s="255"/>
    </row>
    <row r="46">
      <c r="A46" s="256"/>
      <c r="B46" s="256"/>
      <c r="C46" s="256"/>
      <c r="D46" s="256"/>
      <c r="E46" s="256"/>
      <c r="F46" s="256"/>
      <c r="G46" s="256"/>
    </row>
    <row r="47">
      <c r="A47" s="255"/>
      <c r="B47" s="255"/>
      <c r="C47" s="255"/>
      <c r="D47" s="255"/>
      <c r="E47" s="255"/>
      <c r="F47" s="255"/>
      <c r="G47" s="255"/>
    </row>
    <row r="48">
      <c r="A48" s="256"/>
      <c r="B48" s="256"/>
      <c r="C48" s="256"/>
      <c r="D48" s="256"/>
      <c r="E48" s="256"/>
      <c r="F48" s="256"/>
      <c r="G48" s="256"/>
    </row>
    <row r="49">
      <c r="A49" s="255"/>
      <c r="B49" s="255"/>
      <c r="C49" s="255"/>
      <c r="D49" s="255"/>
      <c r="E49" s="255"/>
      <c r="F49" s="255"/>
      <c r="G49" s="255"/>
    </row>
    <row r="50">
      <c r="A50" s="256"/>
      <c r="B50" s="256"/>
      <c r="C50" s="256"/>
      <c r="D50" s="256"/>
      <c r="E50" s="256"/>
      <c r="F50" s="256"/>
      <c r="G50" s="256"/>
    </row>
    <row r="51">
      <c r="A51" s="255"/>
      <c r="B51" s="255"/>
      <c r="C51" s="255"/>
      <c r="D51" s="255"/>
      <c r="E51" s="255"/>
      <c r="F51" s="255"/>
      <c r="G51" s="255"/>
    </row>
    <row r="52">
      <c r="A52" s="256"/>
      <c r="B52" s="256"/>
      <c r="C52" s="256"/>
      <c r="D52" s="256"/>
      <c r="E52" s="256"/>
      <c r="F52" s="256"/>
      <c r="G52" s="256"/>
    </row>
    <row r="53">
      <c r="A53" s="255"/>
      <c r="B53" s="255"/>
      <c r="C53" s="255"/>
      <c r="D53" s="255"/>
      <c r="E53" s="255"/>
      <c r="F53" s="255"/>
      <c r="G53" s="255"/>
    </row>
    <row r="54">
      <c r="A54" s="256"/>
      <c r="B54" s="256"/>
      <c r="C54" s="256"/>
      <c r="D54" s="256"/>
      <c r="E54" s="256"/>
      <c r="F54" s="256"/>
      <c r="G54" s="256"/>
    </row>
    <row r="55">
      <c r="A55" s="255"/>
      <c r="B55" s="255"/>
      <c r="C55" s="255"/>
      <c r="D55" s="255"/>
      <c r="E55" s="255"/>
      <c r="F55" s="255"/>
      <c r="G55" s="255"/>
    </row>
    <row r="56">
      <c r="A56" s="256"/>
      <c r="B56" s="256"/>
      <c r="C56" s="256"/>
      <c r="D56" s="256"/>
      <c r="E56" s="256"/>
      <c r="F56" s="256"/>
      <c r="G56" s="256"/>
    </row>
    <row r="57">
      <c r="A57" s="255"/>
      <c r="B57" s="255"/>
      <c r="C57" s="255"/>
      <c r="D57" s="255"/>
      <c r="E57" s="255"/>
      <c r="F57" s="255"/>
      <c r="G57" s="255"/>
    </row>
    <row r="58">
      <c r="A58" s="256"/>
      <c r="B58" s="256"/>
      <c r="C58" s="256"/>
      <c r="D58" s="256"/>
      <c r="E58" s="256"/>
      <c r="F58" s="256"/>
      <c r="G58" s="256"/>
    </row>
    <row r="59">
      <c r="A59" s="255"/>
      <c r="B59" s="255"/>
      <c r="C59" s="255"/>
      <c r="D59" s="255"/>
      <c r="E59" s="255"/>
      <c r="F59" s="255"/>
      <c r="G59" s="255"/>
    </row>
    <row r="60">
      <c r="A60" s="256"/>
      <c r="B60" s="256"/>
      <c r="C60" s="256"/>
      <c r="D60" s="256"/>
      <c r="E60" s="256"/>
      <c r="F60" s="256"/>
      <c r="G60" s="256"/>
    </row>
    <row r="61">
      <c r="A61" s="255"/>
      <c r="B61" s="255"/>
      <c r="C61" s="255"/>
      <c r="D61" s="255"/>
      <c r="E61" s="255"/>
      <c r="F61" s="255"/>
      <c r="G61" s="255"/>
    </row>
    <row r="62">
      <c r="A62" s="256"/>
      <c r="B62" s="256"/>
      <c r="C62" s="256"/>
      <c r="D62" s="256"/>
      <c r="E62" s="256"/>
      <c r="F62" s="256"/>
      <c r="G62" s="256"/>
    </row>
    <row r="63">
      <c r="A63" s="255"/>
      <c r="B63" s="255"/>
      <c r="C63" s="255"/>
      <c r="D63" s="255"/>
      <c r="E63" s="255"/>
      <c r="F63" s="255"/>
      <c r="G63" s="255"/>
    </row>
    <row r="64">
      <c r="A64" s="256"/>
      <c r="B64" s="256"/>
      <c r="C64" s="256"/>
      <c r="D64" s="256"/>
      <c r="E64" s="256"/>
      <c r="F64" s="256"/>
      <c r="G64" s="256"/>
    </row>
    <row r="65">
      <c r="A65" s="255"/>
      <c r="B65" s="255"/>
      <c r="C65" s="255"/>
      <c r="D65" s="255"/>
      <c r="E65" s="255"/>
      <c r="F65" s="255"/>
      <c r="G65" s="255"/>
    </row>
    <row r="66">
      <c r="A66" s="256"/>
      <c r="B66" s="256"/>
      <c r="C66" s="256"/>
      <c r="D66" s="256"/>
      <c r="E66" s="256"/>
      <c r="F66" s="256"/>
      <c r="G66" s="256"/>
    </row>
    <row r="67">
      <c r="A67" s="255"/>
      <c r="B67" s="255"/>
      <c r="C67" s="255"/>
      <c r="D67" s="255"/>
      <c r="E67" s="255"/>
      <c r="F67" s="255"/>
      <c r="G67" s="255"/>
    </row>
    <row r="68">
      <c r="A68" s="256"/>
      <c r="B68" s="256"/>
      <c r="C68" s="256"/>
      <c r="D68" s="256"/>
      <c r="E68" s="256"/>
      <c r="F68" s="256"/>
      <c r="G68" s="256"/>
    </row>
    <row r="69">
      <c r="A69" s="255"/>
      <c r="B69" s="255"/>
      <c r="C69" s="255"/>
      <c r="D69" s="255"/>
      <c r="E69" s="255"/>
      <c r="F69" s="255"/>
      <c r="G69" s="255"/>
    </row>
    <row r="70">
      <c r="A70" s="256"/>
      <c r="B70" s="256"/>
      <c r="C70" s="256"/>
      <c r="D70" s="256"/>
      <c r="E70" s="256"/>
      <c r="F70" s="256"/>
      <c r="G70" s="256"/>
    </row>
    <row r="71">
      <c r="A71" s="255"/>
      <c r="B71" s="255"/>
      <c r="C71" s="255"/>
      <c r="D71" s="255"/>
      <c r="E71" s="255"/>
      <c r="F71" s="255"/>
      <c r="G71" s="255"/>
    </row>
    <row r="72">
      <c r="A72" s="256"/>
      <c r="B72" s="256"/>
      <c r="C72" s="256"/>
      <c r="D72" s="256"/>
      <c r="E72" s="256"/>
      <c r="F72" s="256"/>
      <c r="G72" s="256"/>
    </row>
    <row r="73">
      <c r="A73" s="255"/>
      <c r="B73" s="255"/>
      <c r="C73" s="255"/>
      <c r="D73" s="255"/>
      <c r="E73" s="255"/>
      <c r="F73" s="255"/>
      <c r="G73" s="255"/>
    </row>
    <row r="74">
      <c r="A74" s="256"/>
      <c r="B74" s="256"/>
      <c r="C74" s="256"/>
      <c r="D74" s="256"/>
      <c r="E74" s="256"/>
      <c r="F74" s="256"/>
      <c r="G74" s="256"/>
    </row>
  </sheetData>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14"/>
    <col customWidth="1" min="2" max="2" width="28.29"/>
    <col customWidth="1" min="3" max="3" width="25.71"/>
    <col customWidth="1" min="4" max="4" width="19.29"/>
    <col customWidth="1" min="5" max="5" width="25.57"/>
    <col customWidth="1" min="6" max="6" width="55.43"/>
  </cols>
  <sheetData>
    <row r="1">
      <c r="A1" s="257" t="s">
        <v>181</v>
      </c>
      <c r="B1" s="257" t="s">
        <v>136</v>
      </c>
      <c r="C1" s="258" t="s">
        <v>137</v>
      </c>
      <c r="D1" s="258" t="s">
        <v>138</v>
      </c>
      <c r="E1" s="258" t="s">
        <v>139</v>
      </c>
      <c r="F1" s="258" t="s">
        <v>140</v>
      </c>
    </row>
    <row r="2">
      <c r="A2" s="259" t="s">
        <v>184</v>
      </c>
      <c r="B2" s="259" t="s">
        <v>185</v>
      </c>
      <c r="C2" s="259" t="s">
        <v>186</v>
      </c>
      <c r="D2" s="259" t="s">
        <v>187</v>
      </c>
      <c r="E2" s="259" t="s">
        <v>188</v>
      </c>
      <c r="F2" s="259" t="s">
        <v>189</v>
      </c>
    </row>
    <row r="3">
      <c r="A3" s="260" t="s">
        <v>190</v>
      </c>
      <c r="B3" s="260" t="s">
        <v>185</v>
      </c>
      <c r="C3" s="261"/>
      <c r="D3" s="260" t="s">
        <v>187</v>
      </c>
      <c r="E3" s="260" t="s">
        <v>188</v>
      </c>
      <c r="F3" s="260" t="s">
        <v>191</v>
      </c>
    </row>
    <row r="4">
      <c r="A4" s="259" t="s">
        <v>192</v>
      </c>
      <c r="B4" s="259" t="s">
        <v>193</v>
      </c>
      <c r="C4" s="262"/>
      <c r="D4" s="259" t="s">
        <v>187</v>
      </c>
      <c r="E4" s="259" t="s">
        <v>188</v>
      </c>
      <c r="F4" s="259" t="s">
        <v>194</v>
      </c>
    </row>
    <row r="5">
      <c r="A5" s="260" t="s">
        <v>195</v>
      </c>
      <c r="B5" s="260" t="s">
        <v>185</v>
      </c>
      <c r="C5" s="261"/>
      <c r="D5" s="260" t="s">
        <v>187</v>
      </c>
      <c r="E5" s="260" t="s">
        <v>188</v>
      </c>
      <c r="F5" s="260" t="s">
        <v>196</v>
      </c>
    </row>
    <row r="6">
      <c r="A6" s="259" t="s">
        <v>197</v>
      </c>
      <c r="B6" s="259" t="s">
        <v>198</v>
      </c>
      <c r="C6" s="259" t="s">
        <v>186</v>
      </c>
      <c r="D6" s="259" t="s">
        <v>187</v>
      </c>
      <c r="E6" s="259" t="s">
        <v>199</v>
      </c>
      <c r="F6" s="259" t="s">
        <v>200</v>
      </c>
    </row>
    <row r="7">
      <c r="A7" s="260" t="s">
        <v>201</v>
      </c>
      <c r="B7" s="260" t="s">
        <v>202</v>
      </c>
      <c r="C7" s="260" t="s">
        <v>186</v>
      </c>
      <c r="D7" s="260" t="s">
        <v>187</v>
      </c>
      <c r="E7" s="260" t="s">
        <v>199</v>
      </c>
      <c r="F7" s="260" t="s">
        <v>203</v>
      </c>
    </row>
    <row r="8">
      <c r="A8" s="259" t="s">
        <v>204</v>
      </c>
      <c r="B8" s="259" t="s">
        <v>198</v>
      </c>
      <c r="C8" s="262"/>
      <c r="D8" s="259" t="s">
        <v>187</v>
      </c>
      <c r="E8" s="259" t="s">
        <v>199</v>
      </c>
      <c r="F8" s="259" t="s">
        <v>205</v>
      </c>
    </row>
    <row r="9">
      <c r="A9" s="260" t="s">
        <v>206</v>
      </c>
      <c r="B9" s="260" t="s">
        <v>207</v>
      </c>
      <c r="C9" s="261"/>
      <c r="D9" s="260" t="s">
        <v>187</v>
      </c>
      <c r="E9" s="260" t="s">
        <v>199</v>
      </c>
      <c r="F9" s="260" t="s">
        <v>208</v>
      </c>
    </row>
    <row r="10">
      <c r="A10" s="259" t="s">
        <v>209</v>
      </c>
      <c r="B10" s="259" t="s">
        <v>210</v>
      </c>
      <c r="C10" s="262"/>
      <c r="D10" s="259" t="s">
        <v>187</v>
      </c>
      <c r="E10" s="259" t="s">
        <v>199</v>
      </c>
      <c r="F10" s="259" t="s">
        <v>211</v>
      </c>
    </row>
    <row r="11" ht="99.0" customHeight="1">
      <c r="A11" s="260">
        <v>2.0</v>
      </c>
      <c r="B11" s="260" t="s">
        <v>212</v>
      </c>
      <c r="C11" s="261" t="str">
        <f t="array" ref="C11">SUBSTITUTE(SUBSTITUTE(SUBSTITUTE(SUBSTITUTE(SUBSTITUTE(SUBSTITUTE("&amp;{template:default} {{name=@{name} ❖ {skillname}}} {{Keywords:={keywords}}} {{Range:={range}}} {{Cost:={cost}}} {{Req:={req}}} {{Desc:={desc}}}", "{skillname}", INDIRECT("A"&amp;$A$11)), "{cost}", INDIRECT("B"&amp;$A$11)), "{keywords}", INDIRECT("C"&amp;$A$11)), "{range}", INDIRECT("D"&amp;$A$11)), "{req}", INDIRECT("E"&amp;$A$11)), "{desc}", INDIRECT("F"&amp;$A$11))</f>
        <v>&amp;{template:default} {{name=@{name} ❖ Basic Craft}} {{Keywords:=Rapid}} {{Range:=Self}} {{Cost:=1 Crafting Dice}} {{Req:=Must be in a crafting session}} {{Desc:=You add a crafting check to the item.}}</v>
      </c>
    </row>
  </sheetData>
  <mergeCells count="1">
    <mergeCell ref="C11:F11"/>
  </mergeCells>
  <dataValidations>
    <dataValidation type="list" allowBlank="1" showErrorMessage="1" sqref="A11">
      <formula1>"2,3,4,5,6,7,8,9,10"</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0"/>
    <col customWidth="1" min="2" max="2" width="35.0"/>
    <col customWidth="1" min="3" max="3" width="42.43"/>
    <col customWidth="1" min="4" max="4" width="33.86"/>
    <col customWidth="1" min="5" max="5" width="38.57"/>
    <col customWidth="1" min="6" max="6" width="126.29"/>
    <col customWidth="1" min="7" max="7" width="76.0"/>
    <col customWidth="1" min="8" max="8" width="18.0"/>
    <col customWidth="1" min="9" max="9" width="14.71"/>
    <col customWidth="1" min="10" max="10" width="12.71"/>
    <col customWidth="1" min="11" max="11" width="17.43"/>
    <col customWidth="1" min="12" max="12" width="49.86"/>
    <col customWidth="1" min="13" max="13" width="41.71"/>
    <col customWidth="1" min="14" max="14" width="25.29"/>
    <col customWidth="1" min="15" max="15" width="12.43"/>
    <col customWidth="1" min="16" max="16" width="18.86"/>
  </cols>
  <sheetData>
    <row r="1">
      <c r="A1" s="263"/>
      <c r="B1" s="264" t="str">
        <f>IFERROR(__xludf.DUMMYFUNCTION("IMPORTRANGE(""https://docs.google.com/spreadsheets/d/1xgDM68xiM34Lb7pPa9X0VaOqdhswjHKkl6KIk-vu_2Q/edit?gid=404700120#gid=404700120"", ""Abilities!B1:B1500"")"),"Name")</f>
        <v>Name</v>
      </c>
      <c r="C1" s="263"/>
      <c r="D1" s="264" t="str">
        <f>IFERROR(__xludf.DUMMYFUNCTION("IMPORTRANGE(""https://docs.google.com/spreadsheets/d/1xgDM68xiM34Lb7pPa9X0VaOqdhswjHKkl6KIk-vu_2Q/edit?gid=404700120#gid=404700120"", ""Abilities!F1:F1500"")"),"Keywords")</f>
        <v>Keywords</v>
      </c>
      <c r="E1" s="264" t="str">
        <f>IFERROR(__xludf.DUMMYFUNCTION("IMPORTRANGE(""https://docs.google.com/spreadsheets/d/1xgDM68xiM34Lb7pPa9X0VaOqdhswjHKkl6KIk-vu_2Q/edit?gid=404700120#gid=404700120"", ""Abilities!G1:G1500"")"),"Range")</f>
        <v>Range</v>
      </c>
      <c r="F1" s="265" t="str">
        <f>IFERROR(__xludf.DUMMYFUNCTION("IMPORTRANGE(""https://docs.google.com/spreadsheets/d/1xgDM68xiM34Lb7pPa9X0VaOqdhswjHKkl6KIk-vu_2Q/edit?gid=404700120#gid=404700120"", ""Abilities!I1:I1500"")"),"Description")</f>
        <v>Description</v>
      </c>
      <c r="G1" s="264" t="str">
        <f>IFERROR(__xludf.DUMMYFUNCTION("IMPORTRANGE(""https://docs.google.com/spreadsheets/d/1xgDM68xiM34Lb7pPa9X0VaOqdhswjHKkl6KIk-vu_2Q/edit?gid=404700120#gid=404700120"", ""Abilities!H1:H1500"")"),"Requirement")</f>
        <v>Requirement</v>
      </c>
      <c r="H1" s="266" t="str">
        <f>IFERROR(__xludf.DUMMYFUNCTION("IMPORTRANGE(""https://docs.google.com/spreadsheets/d/1xgDM68xiM34Lb7pPa9X0VaOqdhswjHKkl6KIk-vu_2Q/edit?gid=404700120#gid=404700120"", ""Abilities!L1:L1500"")"),"Total cost")</f>
        <v>Total cost</v>
      </c>
      <c r="I1" s="264" t="str">
        <f>IFERROR(__xludf.DUMMYFUNCTION("IMPORTRANGE(""https://docs.google.com/spreadsheets/d/1xgDM68xiM34Lb7pPa9X0VaOqdhswjHKkl6KIk-vu_2Q/edit?gid=404700120#gid=404700120"", ""Abilities!C1:C1500"")"),"AP cost")</f>
        <v>AP cost</v>
      </c>
      <c r="J1" s="264" t="str">
        <f>IFERROR(__xludf.DUMMYFUNCTION("IMPORTRANGE(""https://docs.google.com/spreadsheets/d/1xgDM68xiM34Lb7pPa9X0VaOqdhswjHKkl6KIk-vu_2Q/edit?gid=404700120#gid=404700120"", ""Abilities!D1:D1500"")"),"Mana cost")</f>
        <v>Mana cost</v>
      </c>
      <c r="K1" s="264" t="str">
        <f>IFERROR(__xludf.DUMMYFUNCTION("IMPORTRANGE(""https://docs.google.com/spreadsheets/d/1xgDM68xiM34Lb7pPa9X0VaOqdhswjHKkl6KIk-vu_2Q/edit?gid=404700120#gid=404700120"", ""Abilities!E1:E1500"")"),"RP cost")</f>
        <v>RP cost</v>
      </c>
      <c r="L1" s="264" t="str">
        <f>IFERROR(__xludf.DUMMYFUNCTION("IMPORTRANGE(""https://docs.google.com/spreadsheets/d/1xgDM68xiM34Lb7pPa9X0VaOqdhswjHKkl6KIk-vu_2Q/edit?gid=404700120#gid=404700120"", ""Abilities!J1:J1500"")"),"Benefits")</f>
        <v>Benefits</v>
      </c>
      <c r="M1" s="263"/>
      <c r="N1" s="263"/>
      <c r="O1" s="263"/>
      <c r="P1" s="263"/>
      <c r="Q1" s="263"/>
      <c r="R1" s="263"/>
      <c r="S1" s="263"/>
      <c r="T1" s="263"/>
      <c r="U1" s="246"/>
      <c r="V1" s="246"/>
      <c r="W1" s="246"/>
      <c r="X1" s="246"/>
      <c r="Y1" s="246"/>
      <c r="Z1" s="246"/>
    </row>
    <row r="2">
      <c r="A2" s="263"/>
      <c r="B2" s="265" t="str">
        <f>IFERROR(__xludf.DUMMYFUNCTION("""COMPUTED_VALUE"""),"Abjurer's Blast")</f>
        <v>Abjurer's Blast</v>
      </c>
      <c r="C2" s="263"/>
      <c r="D2" s="264" t="str">
        <f>IFERROR(__xludf.DUMMYFUNCTION("""COMPUTED_VALUE"""),"Rapid, Spell")</f>
        <v>Rapid, Spell</v>
      </c>
      <c r="E2" s="264" t="str">
        <f>IFERROR(__xludf.DUMMYFUNCTION("""COMPUTED_VALUE"""),"10ft")</f>
        <v>10ft</v>
      </c>
      <c r="F2" s="266" t="str">
        <f>IFERROR(__xludf.DUMMYFUNCTION("""COMPUTED_VALUE"""),"You make a Light (1 AP), Heavy (2 AP) or Precise (2 AP) attack against the target that deals Arcane damage. This spell does not provoke attacks of opportunity.")</f>
        <v>You make a Light (1 AP), Heavy (2 AP) or Precise (2 AP) attack against the target that deals Arcane damage. This spell does not provoke attacks of opportunity.</v>
      </c>
      <c r="G2" s="263" t="str">
        <f>IFERROR(__xludf.DUMMYFUNCTION("""COMPUTED_VALUE"""),"")</f>
        <v/>
      </c>
      <c r="H2" s="265" t="str">
        <f>IFERROR(__xludf.DUMMYFUNCTION("""COMPUTED_VALUE"""),"1 AP")</f>
        <v>1 AP</v>
      </c>
      <c r="I2" s="264" t="str">
        <f>IFERROR(__xludf.DUMMYFUNCTION("""COMPUTED_VALUE"""),"1 AP")</f>
        <v>1 AP</v>
      </c>
      <c r="J2" s="263" t="str">
        <f>IFERROR(__xludf.DUMMYFUNCTION("""COMPUTED_VALUE"""),"")</f>
        <v/>
      </c>
      <c r="K2" s="263" t="str">
        <f>IFERROR(__xludf.DUMMYFUNCTION("""COMPUTED_VALUE"""),"")</f>
        <v/>
      </c>
      <c r="L2" s="263" t="str">
        <f>IFERROR(__xludf.DUMMYFUNCTION("""COMPUTED_VALUE"""),"")</f>
        <v/>
      </c>
      <c r="M2" s="263"/>
      <c r="N2" s="263"/>
      <c r="O2" s="263"/>
      <c r="P2" s="263"/>
      <c r="Q2" s="263"/>
      <c r="R2" s="263"/>
      <c r="S2" s="263"/>
      <c r="T2" s="263"/>
      <c r="U2" s="246"/>
      <c r="V2" s="246"/>
      <c r="W2" s="246"/>
      <c r="X2" s="246"/>
      <c r="Y2" s="246"/>
      <c r="Z2" s="246"/>
    </row>
    <row r="3">
      <c r="A3" s="263"/>
      <c r="B3" s="265" t="str">
        <f>IFERROR(__xludf.DUMMYFUNCTION("""COMPUTED_VALUE"""),"Absorb Ice")</f>
        <v>Absorb Ice</v>
      </c>
      <c r="C3" s="263"/>
      <c r="D3" s="264" t="str">
        <f>IFERROR(__xludf.DUMMYFUNCTION("""COMPUTED_VALUE"""),"Rapid")</f>
        <v>Rapid</v>
      </c>
      <c r="E3" s="264" t="str">
        <f>IFERROR(__xludf.DUMMYFUNCTION("""COMPUTED_VALUE"""),"Self")</f>
        <v>Self</v>
      </c>
      <c r="F3" s="266" t="str">
        <f>IFERROR(__xludf.DUMMYFUNCTION("""COMPUTED_VALUE"""),"You gain Absorb Ice, which gives you Damage Reduction 100 Frost against the triggering damage. After the damage resolves, if the caster is not you, someone allied to you or from an effect made by you or an ally, you gain Temporary HP until the end of the "&amp;"encounter equal to the amount of damage this ability reduces.
Any on hit effects from the damage do not apply if you took 0 damage from it because of your DR.")</f>
        <v>You gain Absorb Ice, which gives you Damage Reduction 100 Frost against the triggering damage. After the damage resolves, if the caster is not you, someone allied to you or from an effect made by you or an ally, you gain Temporary HP until the end of the encounter equal to the amount of damage this ability reduces.
Any on hit effects from the damage do not apply if you took 0 damage from it because of your DR.</v>
      </c>
      <c r="G3" s="264" t="str">
        <f>IFERROR(__xludf.DUMMYFUNCTION("""COMPUTED_VALUE"""),"You're about to take Frost Damage.")</f>
        <v>You're about to take Frost Damage.</v>
      </c>
      <c r="H3" s="265" t="str">
        <f>IFERROR(__xludf.DUMMYFUNCTION("""COMPUTED_VALUE"""),"1 RP")</f>
        <v>1 RP</v>
      </c>
      <c r="I3" s="263" t="str">
        <f>IFERROR(__xludf.DUMMYFUNCTION("""COMPUTED_VALUE"""),"")</f>
        <v/>
      </c>
      <c r="J3" s="263" t="str">
        <f>IFERROR(__xludf.DUMMYFUNCTION("""COMPUTED_VALUE"""),"")</f>
        <v/>
      </c>
      <c r="K3" s="264" t="str">
        <f>IFERROR(__xludf.DUMMYFUNCTION("""COMPUTED_VALUE"""),"1 RP")</f>
        <v>1 RP</v>
      </c>
      <c r="L3" s="263" t="str">
        <f>IFERROR(__xludf.DUMMYFUNCTION("""COMPUTED_VALUE"""),"")</f>
        <v/>
      </c>
      <c r="M3" s="263"/>
      <c r="N3" s="263"/>
      <c r="O3" s="263"/>
      <c r="P3" s="263"/>
      <c r="Q3" s="263"/>
      <c r="R3" s="263"/>
      <c r="S3" s="263"/>
      <c r="T3" s="263"/>
      <c r="U3" s="246"/>
      <c r="V3" s="246"/>
      <c r="W3" s="246"/>
      <c r="X3" s="246"/>
      <c r="Y3" s="246"/>
      <c r="Z3" s="246"/>
    </row>
    <row r="4">
      <c r="A4" s="263"/>
      <c r="B4" s="265" t="str">
        <f>IFERROR(__xludf.DUMMYFUNCTION("""COMPUTED_VALUE"""),"Accelerando")</f>
        <v>Accelerando</v>
      </c>
      <c r="C4" s="263"/>
      <c r="D4" s="264" t="str">
        <f>IFERROR(__xludf.DUMMYFUNCTION("""COMPUTED_VALUE"""),"Encounter Start")</f>
        <v>Encounter Start</v>
      </c>
      <c r="E4" s="264" t="str">
        <f>IFERROR(__xludf.DUMMYFUNCTION("""COMPUTED_VALUE"""),"120ft")</f>
        <v>120ft</v>
      </c>
      <c r="F4" s="266" t="str">
        <f>IFERROR(__xludf.DUMMYFUNCTION("""COMPUTED_VALUE"""),"Grant yourself or an ally +4 initiative.")</f>
        <v>Grant yourself or an ally +4 initiative.</v>
      </c>
      <c r="G4" s="263" t="str">
        <f>IFERROR(__xludf.DUMMYFUNCTION("""COMPUTED_VALUE"""),"")</f>
        <v/>
      </c>
      <c r="H4" s="267" t="str">
        <f>IFERROR(__xludf.DUMMYFUNCTION("""COMPUTED_VALUE"""),"")</f>
        <v/>
      </c>
      <c r="I4" s="263" t="str">
        <f>IFERROR(__xludf.DUMMYFUNCTION("""COMPUTED_VALUE"""),"")</f>
        <v/>
      </c>
      <c r="J4" s="263" t="str">
        <f>IFERROR(__xludf.DUMMYFUNCTION("""COMPUTED_VALUE"""),"")</f>
        <v/>
      </c>
      <c r="K4" s="263" t="str">
        <f>IFERROR(__xludf.DUMMYFUNCTION("""COMPUTED_VALUE"""),"")</f>
        <v/>
      </c>
      <c r="L4" s="263" t="str">
        <f>IFERROR(__xludf.DUMMYFUNCTION("""COMPUTED_VALUE"""),"")</f>
        <v/>
      </c>
      <c r="M4" s="263"/>
      <c r="N4" s="263"/>
      <c r="O4" s="263"/>
      <c r="P4" s="263"/>
      <c r="Q4" s="263"/>
      <c r="R4" s="263"/>
      <c r="S4" s="263"/>
      <c r="T4" s="263"/>
      <c r="U4" s="246"/>
      <c r="V4" s="246"/>
      <c r="W4" s="246"/>
      <c r="X4" s="246"/>
      <c r="Y4" s="246"/>
      <c r="Z4" s="246"/>
    </row>
    <row r="5">
      <c r="A5" s="263"/>
      <c r="B5" s="265" t="str">
        <f>IFERROR(__xludf.DUMMYFUNCTION("""COMPUTED_VALUE"""),"Accelerating Strike")</f>
        <v>Accelerating Strike</v>
      </c>
      <c r="C5" s="263"/>
      <c r="D5" s="263" t="str">
        <f>IFERROR(__xludf.DUMMYFUNCTION("""COMPUTED_VALUE"""),"")</f>
        <v/>
      </c>
      <c r="E5" s="264" t="str">
        <f>IFERROR(__xludf.DUMMYFUNCTION("""COMPUTED_VALUE"""),"Melee Weapon Range")</f>
        <v>Melee Weapon Range</v>
      </c>
      <c r="F5" s="266" t="str">
        <f>IFERROR(__xludf.DUMMYFUNCTION("""COMPUTED_VALUE"""),"You make a Heavy Attack against the target. Afterwards, you gain Accelerating Strike, which increases your Initiative by up to 2.")</f>
        <v>You make a Heavy Attack against the target. Afterwards, you gain Accelerating Strike, which increases your Initiative by up to 2.</v>
      </c>
      <c r="G5" s="263" t="str">
        <f>IFERROR(__xludf.DUMMYFUNCTION("""COMPUTED_VALUE"""),"")</f>
        <v/>
      </c>
      <c r="H5" s="265" t="str">
        <f>IFERROR(__xludf.DUMMYFUNCTION("""COMPUTED_VALUE"""),"2 AP, 1 MP")</f>
        <v>2 AP, 1 MP</v>
      </c>
      <c r="I5" s="264" t="str">
        <f>IFERROR(__xludf.DUMMYFUNCTION("""COMPUTED_VALUE"""),"2 AP")</f>
        <v>2 AP</v>
      </c>
      <c r="J5" s="264" t="str">
        <f>IFERROR(__xludf.DUMMYFUNCTION("""COMPUTED_VALUE"""),"1 MP")</f>
        <v>1 MP</v>
      </c>
      <c r="K5" s="263" t="str">
        <f>IFERROR(__xludf.DUMMYFUNCTION("""COMPUTED_VALUE"""),"")</f>
        <v/>
      </c>
      <c r="L5" s="263" t="str">
        <f>IFERROR(__xludf.DUMMYFUNCTION("""COMPUTED_VALUE"""),"")</f>
        <v/>
      </c>
      <c r="M5" s="263"/>
      <c r="N5" s="263"/>
      <c r="O5" s="263"/>
      <c r="P5" s="263"/>
      <c r="Q5" s="263"/>
      <c r="R5" s="263"/>
      <c r="S5" s="263"/>
      <c r="T5" s="263"/>
      <c r="U5" s="246"/>
      <c r="V5" s="246"/>
      <c r="W5" s="246"/>
      <c r="X5" s="246"/>
      <c r="Y5" s="246"/>
      <c r="Z5" s="246"/>
    </row>
    <row r="6">
      <c r="A6" s="263"/>
      <c r="B6" s="265" t="str">
        <f>IFERROR(__xludf.DUMMYFUNCTION("""COMPUTED_VALUE"""),"Adaptive Defense")</f>
        <v>Adaptive Defense</v>
      </c>
      <c r="C6" s="263"/>
      <c r="D6" s="264" t="str">
        <f>IFERROR(__xludf.DUMMYFUNCTION("""COMPUTED_VALUE"""),"Rapid")</f>
        <v>Rapid</v>
      </c>
      <c r="E6" s="264" t="str">
        <f>IFERROR(__xludf.DUMMYFUNCTION("""COMPUTED_VALUE"""),"Self")</f>
        <v>Self</v>
      </c>
      <c r="F6" s="266" t="str">
        <f>IFERROR(__xludf.DUMMYFUNCTION("""COMPUTED_VALUE"""),"You take the Block Action. You then gain 4 Adaptive Defense (Type) which grants you Damage Reduction 4 against that damage type until the end of your next turn. You can only have one instance of Adaptive Defense at a time.")</f>
        <v>You take the Block Action. You then gain 4 Adaptive Defense (Type) which grants you Damage Reduction 4 against that damage type until the end of your next turn. You can only have one instance of Adaptive Defense at a time.</v>
      </c>
      <c r="G6" s="263" t="str">
        <f>IFERROR(__xludf.DUMMYFUNCTION("""COMPUTED_VALUE"""),"")</f>
        <v/>
      </c>
      <c r="H6" s="265" t="str">
        <f>IFERROR(__xludf.DUMMYFUNCTION("""COMPUTED_VALUE"""),"2 MP, 1 RP")</f>
        <v>2 MP, 1 RP</v>
      </c>
      <c r="I6" s="263" t="str">
        <f>IFERROR(__xludf.DUMMYFUNCTION("""COMPUTED_VALUE"""),"")</f>
        <v/>
      </c>
      <c r="J6" s="264" t="str">
        <f>IFERROR(__xludf.DUMMYFUNCTION("""COMPUTED_VALUE"""),"2 MP")</f>
        <v>2 MP</v>
      </c>
      <c r="K6" s="264" t="str">
        <f>IFERROR(__xludf.DUMMYFUNCTION("""COMPUTED_VALUE"""),"1 RP")</f>
        <v>1 RP</v>
      </c>
      <c r="L6" s="263" t="str">
        <f>IFERROR(__xludf.DUMMYFUNCTION("""COMPUTED_VALUE"""),"")</f>
        <v/>
      </c>
      <c r="M6" s="263"/>
      <c r="N6" s="263"/>
      <c r="O6" s="263"/>
      <c r="P6" s="263"/>
      <c r="Q6" s="263"/>
      <c r="R6" s="263"/>
      <c r="S6" s="263"/>
      <c r="T6" s="263"/>
      <c r="U6" s="246"/>
      <c r="V6" s="246"/>
      <c r="W6" s="246"/>
      <c r="X6" s="246"/>
      <c r="Y6" s="246"/>
      <c r="Z6" s="246"/>
    </row>
    <row r="7">
      <c r="A7" s="263"/>
      <c r="B7" s="265" t="str">
        <f>IFERROR(__xludf.DUMMYFUNCTION("""COMPUTED_VALUE"""),"Advanced Artificing")</f>
        <v>Advanced Artificing</v>
      </c>
      <c r="C7" s="263"/>
      <c r="D7" s="263" t="str">
        <f>IFERROR(__xludf.DUMMYFUNCTION("""COMPUTED_VALUE"""),"")</f>
        <v/>
      </c>
      <c r="E7" s="263" t="str">
        <f>IFERROR(__xludf.DUMMYFUNCTION("""COMPUTED_VALUE"""),"")</f>
        <v/>
      </c>
      <c r="F7" s="266" t="str">
        <f>IFERROR(__xludf.DUMMYFUNCTION("""COMPUTED_VALUE"""),"Artifice Modification B
Cost: X crafting points
Description:
You add a B-Type modification to an artifice. See the Universal Artifice mods page as well as the individual weapon page for details. Each modification has its own cost.
Weapon Modification B
Co"&amp;"st: X Crafting Points
Description:
You add an B-Type modification to the weapon. See the Universal Weapon page as well as the individual weapon page for details. Each modification has its own cost.")</f>
        <v>Artifice Modification B
Cost: X crafting points
Description:
You add a B-Type modification to an artifice. See the Universal Artifice mods page as well as the individual weapon page for details. Each modification has its own cost.
Weapon Modification B
Cost: X Crafting Points
Description:
You add an B-Type modification to the weapon. See the Universal Weapon page as well as the individual weapon page for details. Each modification has its own cost.</v>
      </c>
      <c r="G7" s="263" t="str">
        <f>IFERROR(__xludf.DUMMYFUNCTION("""COMPUTED_VALUE"""),"")</f>
        <v/>
      </c>
      <c r="H7" s="267" t="str">
        <f>IFERROR(__xludf.DUMMYFUNCTION("""COMPUTED_VALUE"""),"")</f>
        <v/>
      </c>
      <c r="I7" s="263" t="str">
        <f>IFERROR(__xludf.DUMMYFUNCTION("""COMPUTED_VALUE"""),"")</f>
        <v/>
      </c>
      <c r="J7" s="263" t="str">
        <f>IFERROR(__xludf.DUMMYFUNCTION("""COMPUTED_VALUE"""),"")</f>
        <v/>
      </c>
      <c r="K7" s="263" t="str">
        <f>IFERROR(__xludf.DUMMYFUNCTION("""COMPUTED_VALUE"""),"")</f>
        <v/>
      </c>
      <c r="L7" s="263" t="str">
        <f>IFERROR(__xludf.DUMMYFUNCTION("""COMPUTED_VALUE"""),"")</f>
        <v/>
      </c>
      <c r="M7" s="263"/>
      <c r="N7" s="263"/>
      <c r="O7" s="263"/>
      <c r="P7" s="263"/>
      <c r="Q7" s="263"/>
      <c r="R7" s="263"/>
      <c r="S7" s="263"/>
      <c r="T7" s="263"/>
      <c r="U7" s="246"/>
      <c r="V7" s="246"/>
      <c r="W7" s="246"/>
      <c r="X7" s="246"/>
      <c r="Y7" s="246"/>
      <c r="Z7" s="246"/>
    </row>
    <row r="8">
      <c r="A8" s="263"/>
      <c r="B8" s="265" t="str">
        <f>IFERROR(__xludf.DUMMYFUNCTION("""COMPUTED_VALUE"""),"Aerial Crashdown")</f>
        <v>Aerial Crashdown</v>
      </c>
      <c r="C8" s="263"/>
      <c r="D8" s="263" t="str">
        <f>IFERROR(__xludf.DUMMYFUNCTION("""COMPUTED_VALUE"""),"")</f>
        <v/>
      </c>
      <c r="E8" s="264" t="str">
        <f>IFERROR(__xludf.DUMMYFUNCTION("""COMPUTED_VALUE"""),"60ft")</f>
        <v>60ft</v>
      </c>
      <c r="F8" s="266" t="str">
        <f>IFERROR(__xludf.DUMMYFUNCTION("""COMPUTED_VALUE"""),"You and your mount crash down on the target. You move towards the target and your mount makes a Heavy attack against it. On damage, the target is knocked prone.")</f>
        <v>You and your mount crash down on the target. You move towards the target and your mount makes a Heavy attack against it. On damage, the target is knocked prone.</v>
      </c>
      <c r="G8" s="264" t="str">
        <f>IFERROR(__xludf.DUMMYFUNCTION("""COMPUTED_VALUE"""),"You are mounted on a flying mount and the target is at least 20ft below you.")</f>
        <v>You are mounted on a flying mount and the target is at least 20ft below you.</v>
      </c>
      <c r="H8" s="265" t="str">
        <f>IFERROR(__xludf.DUMMYFUNCTION("""COMPUTED_VALUE"""),"2 AP")</f>
        <v>2 AP</v>
      </c>
      <c r="I8" s="264" t="str">
        <f>IFERROR(__xludf.DUMMYFUNCTION("""COMPUTED_VALUE"""),"2 AP")</f>
        <v>2 AP</v>
      </c>
      <c r="J8" s="263" t="str">
        <f>IFERROR(__xludf.DUMMYFUNCTION("""COMPUTED_VALUE"""),"")</f>
        <v/>
      </c>
      <c r="K8" s="263" t="str">
        <f>IFERROR(__xludf.DUMMYFUNCTION("""COMPUTED_VALUE"""),"")</f>
        <v/>
      </c>
      <c r="L8" s="263" t="str">
        <f>IFERROR(__xludf.DUMMYFUNCTION("""COMPUTED_VALUE"""),"")</f>
        <v/>
      </c>
      <c r="M8" s="263"/>
      <c r="N8" s="263"/>
      <c r="O8" s="263"/>
      <c r="P8" s="263"/>
      <c r="Q8" s="263"/>
      <c r="R8" s="263"/>
      <c r="S8" s="263"/>
      <c r="T8" s="263"/>
      <c r="U8" s="246"/>
      <c r="V8" s="246"/>
      <c r="W8" s="246"/>
      <c r="X8" s="246"/>
      <c r="Y8" s="246"/>
      <c r="Z8" s="246"/>
    </row>
    <row r="9">
      <c r="A9" s="263"/>
      <c r="B9" s="265" t="str">
        <f>IFERROR(__xludf.DUMMYFUNCTION("""COMPUTED_VALUE"""),"Aerial Loop")</f>
        <v>Aerial Loop</v>
      </c>
      <c r="C9" s="263"/>
      <c r="D9" s="263" t="str">
        <f>IFERROR(__xludf.DUMMYFUNCTION("""COMPUTED_VALUE"""),"")</f>
        <v/>
      </c>
      <c r="E9" s="264" t="str">
        <f>IFERROR(__xludf.DUMMYFUNCTION("""COMPUTED_VALUE"""),"Self or Mount")</f>
        <v>Self or Mount</v>
      </c>
      <c r="F9" s="266" t="str">
        <f>IFERROR(__xludf.DUMMYFUNCTION("""COMPUTED_VALUE"""),"You and your mount take the Dodge action and gain a +5 bonus to evasion against the attack.")</f>
        <v>You and your mount take the Dodge action and gain a +5 bonus to evasion against the attack.</v>
      </c>
      <c r="G9" s="264" t="str">
        <f>IFERROR(__xludf.DUMMYFUNCTION("""COMPUTED_VALUE"""),"You are mounted on a flying mount and you or your mount are the target of a ranged attack")</f>
        <v>You are mounted on a flying mount and you or your mount are the target of a ranged attack</v>
      </c>
      <c r="H9" s="265" t="str">
        <f>IFERROR(__xludf.DUMMYFUNCTION("""COMPUTED_VALUE"""),"1 MP, 1 RP")</f>
        <v>1 MP, 1 RP</v>
      </c>
      <c r="I9" s="263" t="str">
        <f>IFERROR(__xludf.DUMMYFUNCTION("""COMPUTED_VALUE"""),"")</f>
        <v/>
      </c>
      <c r="J9" s="264" t="str">
        <f>IFERROR(__xludf.DUMMYFUNCTION("""COMPUTED_VALUE"""),"1 MP")</f>
        <v>1 MP</v>
      </c>
      <c r="K9" s="264" t="str">
        <f>IFERROR(__xludf.DUMMYFUNCTION("""COMPUTED_VALUE"""),"1 RP")</f>
        <v>1 RP</v>
      </c>
      <c r="L9" s="263" t="str">
        <f>IFERROR(__xludf.DUMMYFUNCTION("""COMPUTED_VALUE"""),"")</f>
        <v/>
      </c>
      <c r="M9" s="263"/>
      <c r="N9" s="263"/>
      <c r="O9" s="263"/>
      <c r="P9" s="263"/>
      <c r="Q9" s="263"/>
      <c r="R9" s="263"/>
      <c r="S9" s="263"/>
      <c r="T9" s="263"/>
      <c r="U9" s="246"/>
      <c r="V9" s="246"/>
      <c r="W9" s="246"/>
      <c r="X9" s="246"/>
      <c r="Y9" s="246"/>
      <c r="Z9" s="246"/>
    </row>
    <row r="10">
      <c r="A10" s="263"/>
      <c r="B10" s="265" t="str">
        <f>IFERROR(__xludf.DUMMYFUNCTION("""COMPUTED_VALUE"""),"Aerial Mode Switch")</f>
        <v>Aerial Mode Switch</v>
      </c>
      <c r="C10" s="263"/>
      <c r="D10" s="264" t="str">
        <f>IFERROR(__xludf.DUMMYFUNCTION("""COMPUTED_VALUE"""),"Quick, Rapid, Aerial Mage")</f>
        <v>Quick, Rapid, Aerial Mage</v>
      </c>
      <c r="E10" s="264" t="str">
        <f>IFERROR(__xludf.DUMMYFUNCTION("""COMPUTED_VALUE"""),"Self")</f>
        <v>Self</v>
      </c>
      <c r="F10" s="266" t="str">
        <f>IFERROR(__xludf.DUMMYFUNCTION("""COMPUTED_VALUE"""),"You switch between hover and aerial mode.
Hover mode allows you to attack with normal attacks with one hand. Your airships movement speed is reduced to 10ft while in hover mode.
While in Aerial Mode you cannot use any attacks or actions that are not airsh"&amp;"ip weapons or have the Aerial Mage keyword.")</f>
        <v>You switch between hover and aerial mode.
Hover mode allows you to attack with normal attacks with one hand. Your airships movement speed is reduced to 10ft while in hover mode.
While in Aerial Mode you cannot use any attacks or actions that are not airship weapons or have the Aerial Mage keyword.</v>
      </c>
      <c r="G10" s="264" t="str">
        <f>IFERROR(__xludf.DUMMYFUNCTION("""COMPUTED_VALUE"""),"Riding Aerial Staff.")</f>
        <v>Riding Aerial Staff.</v>
      </c>
      <c r="H10" s="265" t="str">
        <f>IFERROR(__xludf.DUMMYFUNCTION("""COMPUTED_VALUE"""),"0 AP")</f>
        <v>0 AP</v>
      </c>
      <c r="I10" s="263" t="str">
        <f>IFERROR(__xludf.DUMMYFUNCTION("""COMPUTED_VALUE"""),"0 AP")</f>
        <v>0 AP</v>
      </c>
      <c r="J10" s="263" t="str">
        <f>IFERROR(__xludf.DUMMYFUNCTION("""COMPUTED_VALUE"""),"")</f>
        <v/>
      </c>
      <c r="K10" s="264" t="str">
        <f>IFERROR(__xludf.DUMMYFUNCTION("""COMPUTED_VALUE"""),"")</f>
        <v/>
      </c>
      <c r="L10" s="263" t="str">
        <f>IFERROR(__xludf.DUMMYFUNCTION("""COMPUTED_VALUE"""),"")</f>
        <v/>
      </c>
      <c r="M10" s="263"/>
      <c r="N10" s="263"/>
      <c r="O10" s="263"/>
      <c r="P10" s="263"/>
      <c r="Q10" s="263"/>
      <c r="R10" s="263"/>
      <c r="S10" s="263"/>
      <c r="T10" s="263"/>
      <c r="U10" s="246"/>
      <c r="V10" s="246"/>
      <c r="W10" s="246"/>
      <c r="X10" s="246"/>
      <c r="Y10" s="246"/>
      <c r="Z10" s="246"/>
    </row>
    <row r="11">
      <c r="A11" s="263"/>
      <c r="B11" s="265" t="str">
        <f>IFERROR(__xludf.DUMMYFUNCTION("""COMPUTED_VALUE"""),"Aftershock")</f>
        <v>Aftershock</v>
      </c>
      <c r="C11" s="263"/>
      <c r="D11" s="264" t="str">
        <f>IFERROR(__xludf.DUMMYFUNCTION("""COMPUTED_VALUE"""),"Rage, Half Pierce")</f>
        <v>Rage, Half Pierce</v>
      </c>
      <c r="E11" s="264" t="str">
        <f>IFERROR(__xludf.DUMMYFUNCTION("""COMPUTED_VALUE"""),"Melee Weapon Range")</f>
        <v>Melee Weapon Range</v>
      </c>
      <c r="F11" s="266" t="str">
        <f>IFERROR(__xludf.DUMMYFUNCTION("""COMPUTED_VALUE"""),"You attack with such force that you create aftershocks when you miss your attack, dealing Half Pierce Physical Damage equal to your Power to the target and all enemies within 5ft of it.
If the target Dodged the triggering attack, this damage is reduced to"&amp;" half your Power instead.
If your attack targets multiple enemies, this only applies if you miss all enemies.")</f>
        <v>You attack with such force that you create aftershocks when you miss your attack, dealing Half Pierce Physical Damage equal to your Power to the target and all enemies within 5ft of it.
If the target Dodged the triggering attack, this damage is reduced to half your Power instead.
If your attack targets multiple enemies, this only applies if you miss all enemies.</v>
      </c>
      <c r="G11" s="263" t="str">
        <f>IFERROR(__xludf.DUMMYFUNCTION("""COMPUTED_VALUE"""),"You missed a Heavy melee attack with a Two-Handed Melee Weapon.")</f>
        <v>You missed a Heavy melee attack with a Two-Handed Melee Weapon.</v>
      </c>
      <c r="H11" s="265" t="str">
        <f>IFERROR(__xludf.DUMMYFUNCTION("""COMPUTED_VALUE"""),"1 MP, 0 RP")</f>
        <v>1 MP, 0 RP</v>
      </c>
      <c r="I11" s="264" t="str">
        <f>IFERROR(__xludf.DUMMYFUNCTION("""COMPUTED_VALUE"""),"")</f>
        <v/>
      </c>
      <c r="J11" s="264" t="str">
        <f>IFERROR(__xludf.DUMMYFUNCTION("""COMPUTED_VALUE"""),"1 MP")</f>
        <v>1 MP</v>
      </c>
      <c r="K11" s="263" t="str">
        <f>IFERROR(__xludf.DUMMYFUNCTION("""COMPUTED_VALUE"""),"0 RP")</f>
        <v>0 RP</v>
      </c>
      <c r="L11" s="263" t="str">
        <f>IFERROR(__xludf.DUMMYFUNCTION("""COMPUTED_VALUE"""),"")</f>
        <v/>
      </c>
      <c r="M11" s="263"/>
      <c r="N11" s="263"/>
      <c r="O11" s="263"/>
      <c r="P11" s="263"/>
      <c r="Q11" s="263"/>
      <c r="R11" s="263"/>
      <c r="S11" s="263"/>
      <c r="T11" s="263"/>
      <c r="U11" s="246"/>
      <c r="V11" s="246"/>
      <c r="W11" s="246"/>
      <c r="X11" s="246"/>
      <c r="Y11" s="246"/>
      <c r="Z11" s="246"/>
    </row>
    <row r="12">
      <c r="A12" s="263"/>
      <c r="B12" s="265" t="str">
        <f>IFERROR(__xludf.DUMMYFUNCTION("""COMPUTED_VALUE"""),"Aimed Shot")</f>
        <v>Aimed Shot</v>
      </c>
      <c r="C12" s="263"/>
      <c r="D12" s="264" t="str">
        <f>IFERROR(__xludf.DUMMYFUNCTION("""COMPUTED_VALUE"""),"Lock On")</f>
        <v>Lock On</v>
      </c>
      <c r="E12" s="264" t="str">
        <f>IFERROR(__xludf.DUMMYFUNCTION("""COMPUTED_VALUE"""),"Ranged Weapon Range")</f>
        <v>Ranged Weapon Range</v>
      </c>
      <c r="F12" s="266" t="str">
        <f>IFERROR(__xludf.DUMMYFUNCTION("""COMPUTED_VALUE"""),"You make a Heavy Attack against the target.")</f>
        <v>You make a Heavy Attack against the target.</v>
      </c>
      <c r="G12" s="263" t="str">
        <f>IFERROR(__xludf.DUMMYFUNCTION("""COMPUTED_VALUE"""),"")</f>
        <v/>
      </c>
      <c r="H12" s="265" t="str">
        <f>IFERROR(__xludf.DUMMYFUNCTION("""COMPUTED_VALUE"""),"2 AP, 2 MP")</f>
        <v>2 AP, 2 MP</v>
      </c>
      <c r="I12" s="263" t="str">
        <f>IFERROR(__xludf.DUMMYFUNCTION("""COMPUTED_VALUE"""),"2 AP")</f>
        <v>2 AP</v>
      </c>
      <c r="J12" s="264" t="str">
        <f>IFERROR(__xludf.DUMMYFUNCTION("""COMPUTED_VALUE"""),"2 MP")</f>
        <v>2 MP</v>
      </c>
      <c r="K12" s="263" t="str">
        <f>IFERROR(__xludf.DUMMYFUNCTION("""COMPUTED_VALUE"""),"")</f>
        <v/>
      </c>
      <c r="L12" s="263" t="str">
        <f>IFERROR(__xludf.DUMMYFUNCTION("""COMPUTED_VALUE"""),"")</f>
        <v/>
      </c>
      <c r="M12" s="263"/>
      <c r="N12" s="263"/>
      <c r="O12" s="263"/>
      <c r="P12" s="263"/>
      <c r="Q12" s="263"/>
      <c r="R12" s="263"/>
      <c r="S12" s="263"/>
      <c r="T12" s="263"/>
      <c r="U12" s="246"/>
      <c r="V12" s="246"/>
      <c r="W12" s="246"/>
      <c r="X12" s="246"/>
      <c r="Y12" s="246"/>
      <c r="Z12" s="246"/>
    </row>
    <row r="13">
      <c r="A13" s="263"/>
      <c r="B13" s="265" t="str">
        <f>IFERROR(__xludf.DUMMYFUNCTION("""COMPUTED_VALUE"""),"Airheart Gravity Turn")</f>
        <v>Airheart Gravity Turn</v>
      </c>
      <c r="C13" s="263"/>
      <c r="D13" s="263" t="str">
        <f>IFERROR(__xludf.DUMMYFUNCTION("""COMPUTED_VALUE"""),"Aerial Mage")</f>
        <v>Aerial Mage</v>
      </c>
      <c r="E13" s="263" t="str">
        <f>IFERROR(__xludf.DUMMYFUNCTION("""COMPUTED_VALUE"""),"Self")</f>
        <v>Self</v>
      </c>
      <c r="F13" s="266" t="str">
        <f>IFERROR(__xludf.DUMMYFUNCTION("""COMPUTED_VALUE"""),"You drop 25 feet altitude in order to immediately change direction. Can be used mid movement, all leftover movement can carry over into the new direction.")</f>
        <v>You drop 25 feet altitude in order to immediately change direction. Can be used mid movement, all leftover movement can carry over into the new direction.</v>
      </c>
      <c r="G13" s="263" t="str">
        <f>IFERROR(__xludf.DUMMYFUNCTION("""COMPUTED_VALUE"""),"Must be at least 30ft in the sky and on an aerial staff in Aerial mode")</f>
        <v>Must be at least 30ft in the sky and on an aerial staff in Aerial mode</v>
      </c>
      <c r="H13" s="267" t="str">
        <f>IFERROR(__xludf.DUMMYFUNCTION("""COMPUTED_VALUE"""),"1 MP, 0 RP")</f>
        <v>1 MP, 0 RP</v>
      </c>
      <c r="I13" s="263" t="str">
        <f>IFERROR(__xludf.DUMMYFUNCTION("""COMPUTED_VALUE"""),"")</f>
        <v/>
      </c>
      <c r="J13" s="263" t="str">
        <f>IFERROR(__xludf.DUMMYFUNCTION("""COMPUTED_VALUE"""),"1 MP")</f>
        <v>1 MP</v>
      </c>
      <c r="K13" s="263" t="str">
        <f>IFERROR(__xludf.DUMMYFUNCTION("""COMPUTED_VALUE"""),"0 RP")</f>
        <v>0 RP</v>
      </c>
      <c r="L13" s="263" t="str">
        <f>IFERROR(__xludf.DUMMYFUNCTION("""COMPUTED_VALUE"""),"")</f>
        <v/>
      </c>
      <c r="M13" s="263"/>
      <c r="N13" s="263"/>
      <c r="O13" s="263"/>
      <c r="P13" s="263"/>
      <c r="Q13" s="263"/>
      <c r="R13" s="263"/>
      <c r="S13" s="263"/>
      <c r="T13" s="263"/>
      <c r="U13" s="246"/>
      <c r="V13" s="246"/>
      <c r="W13" s="246"/>
      <c r="X13" s="246"/>
      <c r="Y13" s="246"/>
      <c r="Z13" s="246"/>
    </row>
    <row r="14">
      <c r="A14" s="263"/>
      <c r="B14" s="265" t="str">
        <f>IFERROR(__xludf.DUMMYFUNCTION("""COMPUTED_VALUE"""),"Alarm Ward")</f>
        <v>Alarm Ward</v>
      </c>
      <c r="C14" s="263"/>
      <c r="D14" s="264" t="str">
        <f>IFERROR(__xludf.DUMMYFUNCTION("""COMPUTED_VALUE"""),"Bounded Field, Spell")</f>
        <v>Bounded Field, Spell</v>
      </c>
      <c r="E14" s="264" t="str">
        <f>IFERROR(__xludf.DUMMYFUNCTION("""COMPUTED_VALUE"""),"Touch")</f>
        <v>Touch</v>
      </c>
      <c r="F14" s="266" t="str">
        <f>IFERROR(__xludf.DUMMYFUNCTION("""COMPUTED_VALUE"""),"A ward that can be placed on a normal-sized room or can be combined to ward off a house or larger area. Each ward can cover a 40ft radius. For each Alarm Ward placed in the same area as another Alarm Ward, this radius increases by 40ft (For example, 120ft"&amp;" with 3 Alarm Wards). If someone other than you passes through the ward, the ward triggers creating a loud ringing noise that persists until the ward is disabled. Casting this takes 10 minutes of uninterrupted casting. Once triggered, the field remains ac"&amp;"tive for 5 more minutes before vanishing. At the time of casting, you may choose people that can pass through the barrier without triggering it. If not triggered, Alarm Ward lasts until you remove it. For each Alarm Ward you maintain, your maximum mana is"&amp;" reduced by 1. This is considered a tier 1 ward.")</f>
        <v>A ward that can be placed on a normal-sized room or can be combined to ward off a house or larger area. Each ward can cover a 40ft radius. For each Alarm Ward placed in the same area as another Alarm Ward, this radius increases by 40ft (For example, 120ft with 3 Alarm Wards). If someone other than you passes through the ward, the ward triggers creating a loud ringing noise that persists until the ward is disabled. Casting this takes 10 minutes of uninterrupted casting. Once triggered, the field remains active for 5 more minutes before vanishing. At the time of casting, you may choose people that can pass through the barrier without triggering it. If not triggered, Alarm Ward lasts until you remove it. For each Alarm Ward you maintain, your maximum mana is reduced by 1. This is considered a tier 1 ward.</v>
      </c>
      <c r="G14" s="263" t="str">
        <f>IFERROR(__xludf.DUMMYFUNCTION("""COMPUTED_VALUE"""),"")</f>
        <v/>
      </c>
      <c r="H14" s="265" t="str">
        <f>IFERROR(__xludf.DUMMYFUNCTION("""COMPUTED_VALUE"""),"1 MP")</f>
        <v>1 MP</v>
      </c>
      <c r="I14" s="264" t="str">
        <f>IFERROR(__xludf.DUMMYFUNCTION("""COMPUTED_VALUE"""),"")</f>
        <v/>
      </c>
      <c r="J14" s="263" t="str">
        <f>IFERROR(__xludf.DUMMYFUNCTION("""COMPUTED_VALUE"""),"1 MP")</f>
        <v>1 MP</v>
      </c>
      <c r="K14" s="263" t="str">
        <f>IFERROR(__xludf.DUMMYFUNCTION("""COMPUTED_VALUE"""),"")</f>
        <v/>
      </c>
      <c r="L14" s="263" t="str">
        <f>IFERROR(__xludf.DUMMYFUNCTION("""COMPUTED_VALUE"""),"")</f>
        <v/>
      </c>
      <c r="M14" s="263"/>
      <c r="N14" s="263"/>
      <c r="O14" s="263"/>
      <c r="P14" s="263"/>
      <c r="Q14" s="263"/>
      <c r="R14" s="263"/>
      <c r="S14" s="263"/>
      <c r="T14" s="263"/>
      <c r="U14" s="246"/>
      <c r="V14" s="246"/>
      <c r="W14" s="246"/>
      <c r="X14" s="246"/>
      <c r="Y14" s="246"/>
      <c r="Z14" s="246"/>
    </row>
    <row r="15">
      <c r="A15" s="263"/>
      <c r="B15" s="265" t="str">
        <f>IFERROR(__xludf.DUMMYFUNCTION("""COMPUTED_VALUE"""),"Alchemeister Core Crafting")</f>
        <v>Alchemeister Core Crafting</v>
      </c>
      <c r="C15" s="263"/>
      <c r="D15" s="263" t="str">
        <f>IFERROR(__xludf.DUMMYFUNCTION("""COMPUTED_VALUE"""),"")</f>
        <v/>
      </c>
      <c r="E15" s="263" t="str">
        <f>IFERROR(__xludf.DUMMYFUNCTION("""COMPUTED_VALUE"""),"")</f>
        <v/>
      </c>
      <c r="F15" s="266" t="str">
        <f>IFERROR(__xludf.DUMMYFUNCTION("""COMPUTED_VALUE"""),"Masterful Dilution
Cost: 40 Crafting Points
Description:
By diluting the contents to the perfect required amounts, you gain an additional Elixir, Potion, Flask, Potion or Salve upon crafting success. Stacks with Efficient Dilution.
Distillation
Cost: 40 C"&amp;"rafting Points
Description:
You extract the highest quality healing materials from herbs, granting Healing +8 to a Potion with a heal or shielding effect.
Explosive Lining
Cost: 10 Crafting Points
Description:
You carefully add an alchemical compound to a"&amp;" pressurized Flask. If the Flask has an area of effect, increases the area by another 5ft (example a 10ft radius becomes 15ft radius).
Purify Elixir
Cost: 40 Crafting Points
Description:
You reduce the toxicity of an Elixir that has been detoxified while "&amp;"still maintaining its effect, reducing the damage from taking an Elixir by an additional 5.")</f>
        <v>Masterful Dilution
Cost: 40 Crafting Points
Description:
By diluting the contents to the perfect required amounts, you gain an additional Elixir, Potion, Flask, Potion or Salve upon crafting success. Stacks with Efficient Dilution.
Distillation
Cost: 40 Crafting Points
Description:
You extract the highest quality healing materials from herbs, granting Healing +8 to a Potion with a heal or shielding effect.
Explosive Lining
Cost: 10 Crafting Points
Description:
You carefully add an alchemical compound to a pressurized Flask. If the Flask has an area of effect, increases the area by another 5ft (example a 10ft radius becomes 15ft radius).
Purify Elixir
Cost: 40 Crafting Points
Description:
You reduce the toxicity of an Elixir that has been detoxified while still maintaining its effect, reducing the damage from taking an Elixir by an additional 5.</v>
      </c>
      <c r="G15" s="263" t="str">
        <f>IFERROR(__xludf.DUMMYFUNCTION("""COMPUTED_VALUE"""),"")</f>
        <v/>
      </c>
      <c r="H15" s="267" t="str">
        <f>IFERROR(__xludf.DUMMYFUNCTION("""COMPUTED_VALUE"""),"")</f>
        <v/>
      </c>
      <c r="I15" s="263" t="str">
        <f>IFERROR(__xludf.DUMMYFUNCTION("""COMPUTED_VALUE"""),"")</f>
        <v/>
      </c>
      <c r="J15" s="263" t="str">
        <f>IFERROR(__xludf.DUMMYFUNCTION("""COMPUTED_VALUE"""),"")</f>
        <v/>
      </c>
      <c r="K15" s="263" t="str">
        <f>IFERROR(__xludf.DUMMYFUNCTION("""COMPUTED_VALUE"""),"")</f>
        <v/>
      </c>
      <c r="L15" s="263" t="str">
        <f>IFERROR(__xludf.DUMMYFUNCTION("""COMPUTED_VALUE"""),"")</f>
        <v/>
      </c>
      <c r="M15" s="263"/>
      <c r="N15" s="263"/>
      <c r="O15" s="263"/>
      <c r="P15" s="263"/>
      <c r="Q15" s="263"/>
      <c r="R15" s="263"/>
      <c r="S15" s="263"/>
      <c r="T15" s="263"/>
      <c r="U15" s="246"/>
      <c r="V15" s="246"/>
      <c r="W15" s="246"/>
      <c r="X15" s="246"/>
      <c r="Y15" s="246"/>
      <c r="Z15" s="246"/>
    </row>
    <row r="16">
      <c r="A16" s="263"/>
      <c r="B16" s="265" t="str">
        <f>IFERROR(__xludf.DUMMYFUNCTION("""COMPUTED_VALUE"""),"Alchemical Detonation")</f>
        <v>Alchemical Detonation</v>
      </c>
      <c r="C16" s="263"/>
      <c r="D16" s="264" t="str">
        <f>IFERROR(__xludf.DUMMYFUNCTION("""COMPUTED_VALUE"""),"Rapid")</f>
        <v>Rapid</v>
      </c>
      <c r="E16" s="264" t="str">
        <f>IFERROR(__xludf.DUMMYFUNCTION("""COMPUTED_VALUE"""),"5ft")</f>
        <v>5ft</v>
      </c>
      <c r="F16" s="266" t="str">
        <f>IFERROR(__xludf.DUMMYFUNCTION("""COMPUTED_VALUE"""),"You touch a wall, door or container in front of you, which shatters from deconstructive force, becoming destroyed.  Can destroy up to a 5ftx5ft segment of wall.  Only affects objects made out of common building materials (wood, clay, stone, iron etc), how"&amp;"ever it affects all walls made out of player abilities.  The GM determines if the object is detonateable.  You can then take a movement action to move 5ft into the space where the wall was.")</f>
        <v>You touch a wall, door or container in front of you, which shatters from deconstructive force, becoming destroyed.  Can destroy up to a 5ftx5ft segment of wall.  Only affects objects made out of common building materials (wood, clay, stone, iron etc), however it affects all walls made out of player abilities.  The GM determines if the object is detonateable.  You can then take a movement action to move 5ft into the space where the wall was.</v>
      </c>
      <c r="G16" s="263" t="str">
        <f>IFERROR(__xludf.DUMMYFUNCTION("""COMPUTED_VALUE"""),"")</f>
        <v/>
      </c>
      <c r="H16" s="265" t="str">
        <f>IFERROR(__xludf.DUMMYFUNCTION("""COMPUTED_VALUE"""),"1 AP")</f>
        <v>1 AP</v>
      </c>
      <c r="I16" s="264" t="str">
        <f>IFERROR(__xludf.DUMMYFUNCTION("""COMPUTED_VALUE"""),"1 AP")</f>
        <v>1 AP</v>
      </c>
      <c r="J16" s="264" t="str">
        <f>IFERROR(__xludf.DUMMYFUNCTION("""COMPUTED_VALUE"""),"")</f>
        <v/>
      </c>
      <c r="K16" s="263" t="str">
        <f>IFERROR(__xludf.DUMMYFUNCTION("""COMPUTED_VALUE"""),"")</f>
        <v/>
      </c>
      <c r="L16" s="263" t="str">
        <f>IFERROR(__xludf.DUMMYFUNCTION("""COMPUTED_VALUE"""),"")</f>
        <v/>
      </c>
      <c r="M16" s="263"/>
      <c r="N16" s="263"/>
      <c r="O16" s="263"/>
      <c r="P16" s="263"/>
      <c r="Q16" s="263"/>
      <c r="R16" s="263"/>
      <c r="S16" s="263"/>
      <c r="T16" s="263"/>
      <c r="U16" s="246"/>
      <c r="V16" s="246"/>
      <c r="W16" s="246"/>
      <c r="X16" s="246"/>
      <c r="Y16" s="246"/>
      <c r="Z16" s="246"/>
    </row>
    <row r="17">
      <c r="A17" s="263"/>
      <c r="B17" s="265" t="str">
        <f>IFERROR(__xludf.DUMMYFUNCTION("""COMPUTED_VALUE"""),"Alchemist Core Crafting")</f>
        <v>Alchemist Core Crafting</v>
      </c>
      <c r="C17" s="263"/>
      <c r="D17" s="264" t="str">
        <f>IFERROR(__xludf.DUMMYFUNCTION("""COMPUTED_VALUE"""),"")</f>
        <v/>
      </c>
      <c r="E17" s="264" t="str">
        <f>IFERROR(__xludf.DUMMYFUNCTION("""COMPUTED_VALUE"""),"")</f>
        <v/>
      </c>
      <c r="F17" s="266" t="str">
        <f>IFERROR(__xludf.DUMMYFUNCTION("""COMPUTED_VALUE"""),"Efficient Dilution
Cost: 10 Crafting Points
Description:
By diluting the contents to the perfect required amounts, you gain an additional Elixir, Potion, Flask, Poison or Salve upon crafting success.
Stone Grinding
Cost: 10 Crafting Points
Description:
Yo"&amp;"u extract the highest quality healing materials from herbs, granting Healing +5 to a Potion with a heal or shielding effect.
Pressurization
Cost: 10 Crafting Points
Description:
You pressurize a Flask carefully. If the Flask has an area of effect, increas"&amp;"es the area by 5ft (example a 10ft radius becomes 15ft radius).
Volatile Flask
Cost: 10 Crafting Points
Description:
You overload the active ingredients on a Flask, giving it a +5 damage to its damaging effects.
Detoxify Elixir
Cost: 10 Crafting Points
De"&amp;"scription:
You reduce the toxicity of an Elixir while still maintaining its effect, reducing the damage from taking an Elixir by 3.
Create Oil Coating
Cost: Errand
Description:
You create an Oil Coating from Carpenter materials.  See Items:  Carpenter Mat"&amp;"erials")</f>
        <v>Efficient Dilution
Cost: 10 Crafting Points
Description:
By diluting the contents to the perfect required amounts, you gain an additional Elixir, Potion, Flask, Poison or Salve upon crafting success.
Stone Grinding
Cost: 10 Crafting Points
Description:
You extract the highest quality healing materials from herbs, granting Healing +5 to a Potion with a heal or shielding effect.
Pressurization
Cost: 10 Crafting Points
Description:
You pressurize a Flask carefully. If the Flask has an area of effect, increases the area by 5ft (example a 10ft radius becomes 15ft radius).
Volatile Flask
Cost: 10 Crafting Points
Description:
You overload the active ingredients on a Flask, giving it a +5 damage to its damaging effects.
Detoxify Elixir
Cost: 10 Crafting Points
Description:
You reduce the toxicity of an Elixir while still maintaining its effect, reducing the damage from taking an Elixir by 3.
Create Oil Coating
Cost: Errand
Description:
You create an Oil Coating from Carpenter materials.  See Items:  Carpenter Materials</v>
      </c>
      <c r="G17" s="264" t="str">
        <f>IFERROR(__xludf.DUMMYFUNCTION("""COMPUTED_VALUE"""),"")</f>
        <v/>
      </c>
      <c r="H17" s="267" t="str">
        <f>IFERROR(__xludf.DUMMYFUNCTION("""COMPUTED_VALUE"""),"")</f>
        <v/>
      </c>
      <c r="I17" s="263" t="str">
        <f>IFERROR(__xludf.DUMMYFUNCTION("""COMPUTED_VALUE"""),"")</f>
        <v/>
      </c>
      <c r="J17" s="263" t="str">
        <f>IFERROR(__xludf.DUMMYFUNCTION("""COMPUTED_VALUE"""),"")</f>
        <v/>
      </c>
      <c r="K17" s="263" t="str">
        <f>IFERROR(__xludf.DUMMYFUNCTION("""COMPUTED_VALUE"""),"")</f>
        <v/>
      </c>
      <c r="L17" s="263" t="str">
        <f>IFERROR(__xludf.DUMMYFUNCTION("""COMPUTED_VALUE"""),"")</f>
        <v/>
      </c>
      <c r="M17" s="263"/>
      <c r="N17" s="263"/>
      <c r="O17" s="263"/>
      <c r="P17" s="263"/>
      <c r="Q17" s="263"/>
      <c r="R17" s="263"/>
      <c r="S17" s="263"/>
      <c r="T17" s="263"/>
      <c r="U17" s="246"/>
      <c r="V17" s="246"/>
      <c r="W17" s="246"/>
      <c r="X17" s="246"/>
      <c r="Y17" s="246"/>
      <c r="Z17" s="246"/>
    </row>
    <row r="18">
      <c r="A18" s="263"/>
      <c r="B18" s="265" t="str">
        <f>IFERROR(__xludf.DUMMYFUNCTION("""COMPUTED_VALUE"""),"Allow me to clean that~")</f>
        <v>Allow me to clean that~</v>
      </c>
      <c r="C18" s="263"/>
      <c r="D18" s="264" t="str">
        <f>IFERROR(__xludf.DUMMYFUNCTION("""COMPUTED_VALUE"""),"Rapid")</f>
        <v>Rapid</v>
      </c>
      <c r="E18" s="264" t="str">
        <f>IFERROR(__xludf.DUMMYFUNCTION("""COMPUTED_VALUE"""),"5ft")</f>
        <v>5ft</v>
      </c>
      <c r="F18" s="266" t="str">
        <f>IFERROR(__xludf.DUMMYFUNCTION("""COMPUTED_VALUE"""),"You instantly remove a negative effect from the terrain (such as Oil Slick, Sheet Ice, Web etc). Permanent effects such as fissure or effects with HP like a wall cannot be removed with this. A maximum of 15x15ft can be removed in 1 use and you may move to"&amp;" any spot of the cleaned terrain afterwards.
In addition, you may target an ally with this to remove 1 negative physical effect from them instead.")</f>
        <v>You instantly remove a negative effect from the terrain (such as Oil Slick, Sheet Ice, Web etc). Permanent effects such as fissure or effects with HP like a wall cannot be removed with this. A maximum of 15x15ft can be removed in 1 use and you may move to any spot of the cleaned terrain afterwards.
In addition, you may target an ally with this to remove 1 negative physical effect from them instead.</v>
      </c>
      <c r="G18" s="264" t="str">
        <f>IFERROR(__xludf.DUMMYFUNCTION("""COMPUTED_VALUE"""),"")</f>
        <v/>
      </c>
      <c r="H18" s="267" t="str">
        <f>IFERROR(__xludf.DUMMYFUNCTION("""COMPUTED_VALUE"""),"1 AP, 1 MP")</f>
        <v>1 AP, 1 MP</v>
      </c>
      <c r="I18" s="263" t="str">
        <f>IFERROR(__xludf.DUMMYFUNCTION("""COMPUTED_VALUE"""),"1 AP")</f>
        <v>1 AP</v>
      </c>
      <c r="J18" s="263" t="str">
        <f>IFERROR(__xludf.DUMMYFUNCTION("""COMPUTED_VALUE"""),"1 MP")</f>
        <v>1 MP</v>
      </c>
      <c r="K18" s="263" t="str">
        <f>IFERROR(__xludf.DUMMYFUNCTION("""COMPUTED_VALUE"""),"")</f>
        <v/>
      </c>
      <c r="L18" s="263" t="str">
        <f>IFERROR(__xludf.DUMMYFUNCTION("""COMPUTED_VALUE"""),"")</f>
        <v/>
      </c>
      <c r="M18" s="263"/>
      <c r="N18" s="263"/>
      <c r="O18" s="263"/>
      <c r="P18" s="263"/>
      <c r="Q18" s="263"/>
      <c r="R18" s="263"/>
      <c r="S18" s="263"/>
      <c r="T18" s="263"/>
      <c r="U18" s="246"/>
      <c r="V18" s="246"/>
      <c r="W18" s="246"/>
      <c r="X18" s="246"/>
      <c r="Y18" s="246"/>
      <c r="Z18" s="246"/>
    </row>
    <row r="19">
      <c r="A19" s="263"/>
      <c r="B19" s="265" t="str">
        <f>IFERROR(__xludf.DUMMYFUNCTION("""COMPUTED_VALUE"""),"Always Prepared")</f>
        <v>Always Prepared</v>
      </c>
      <c r="C19" s="263"/>
      <c r="D19" s="263" t="str">
        <f>IFERROR(__xludf.DUMMYFUNCTION("""COMPUTED_VALUE"""),"Flashback")</f>
        <v>Flashback</v>
      </c>
      <c r="E19" s="263" t="str">
        <f>IFERROR(__xludf.DUMMYFUNCTION("""COMPUTED_VALUE"""),"Self")</f>
        <v>Self</v>
      </c>
      <c r="F19" s="266" t="str">
        <f>IFERROR(__xludf.DUMMYFUNCTION("""COMPUTED_VALUE"""),"You immediately purchase a single base item with no mods that is worth 1000 clim or less (base cost).
You can immediately use the draw/stow action and equip this item into your hand.
Can only be used once per arc.")</f>
        <v>You immediately purchase a single base item with no mods that is worth 1000 clim or less (base cost).
You can immediately use the draw/stow action and equip this item into your hand.
Can only be used once per arc.</v>
      </c>
      <c r="G19" s="263" t="str">
        <f>IFERROR(__xludf.DUMMYFUNCTION("""COMPUTED_VALUE"""),"")</f>
        <v/>
      </c>
      <c r="H19" s="267" t="str">
        <f>IFERROR(__xludf.DUMMYFUNCTION("""COMPUTED_VALUE"""),"1 MP, 0 RP")</f>
        <v>1 MP, 0 RP</v>
      </c>
      <c r="I19" s="263" t="str">
        <f>IFERROR(__xludf.DUMMYFUNCTION("""COMPUTED_VALUE"""),"")</f>
        <v/>
      </c>
      <c r="J19" s="263" t="str">
        <f>IFERROR(__xludf.DUMMYFUNCTION("""COMPUTED_VALUE"""),"1 MP")</f>
        <v>1 MP</v>
      </c>
      <c r="K19" s="263" t="str">
        <f>IFERROR(__xludf.DUMMYFUNCTION("""COMPUTED_VALUE"""),"0 RP")</f>
        <v>0 RP</v>
      </c>
      <c r="L19" s="263" t="str">
        <f>IFERROR(__xludf.DUMMYFUNCTION("""COMPUTED_VALUE"""),"")</f>
        <v/>
      </c>
      <c r="M19" s="263"/>
      <c r="N19" s="263"/>
      <c r="O19" s="263"/>
      <c r="P19" s="263"/>
      <c r="Q19" s="263"/>
      <c r="R19" s="263"/>
      <c r="S19" s="263"/>
      <c r="T19" s="263"/>
      <c r="U19" s="246"/>
      <c r="V19" s="246"/>
      <c r="W19" s="246"/>
      <c r="X19" s="246"/>
      <c r="Y19" s="246"/>
      <c r="Z19" s="246"/>
    </row>
    <row r="20">
      <c r="A20" s="263"/>
      <c r="B20" s="265" t="str">
        <f>IFERROR(__xludf.DUMMYFUNCTION("""COMPUTED_VALUE"""),"Ambush Trapper")</f>
        <v>Ambush Trapper</v>
      </c>
      <c r="C20" s="263"/>
      <c r="D20" s="264" t="str">
        <f>IFERROR(__xludf.DUMMYFUNCTION("""COMPUTED_VALUE"""),"Encounter Start")</f>
        <v>Encounter Start</v>
      </c>
      <c r="E20" s="264" t="str">
        <f>IFERROR(__xludf.DUMMYFUNCTION("""COMPUTED_VALUE"""),"Self")</f>
        <v>Self</v>
      </c>
      <c r="F20" s="266" t="str">
        <f>IFERROR(__xludf.DUMMYFUNCTION("""COMPUTED_VALUE"""),"You may use Place Trap’s 0 RP effect once this encounter, even if you didn’t spend the time to set it up. The GM may rule that the pitfall and net options are unavailable based on the situation.
These activations still cost a Trap when used (but not if yo"&amp;"u don't use them).")</f>
        <v>You may use Place Trap’s 0 RP effect once this encounter, even if you didn’t spend the time to set it up. The GM may rule that the pitfall and net options are unavailable based on the situation.
These activations still cost a Trap when used (but not if you don't use them).</v>
      </c>
      <c r="G20" s="263" t="str">
        <f>IFERROR(__xludf.DUMMYFUNCTION("""COMPUTED_VALUE"""),"Must be stealthed or have surprised the enemy.")</f>
        <v>Must be stealthed or have surprised the enemy.</v>
      </c>
      <c r="H20" s="265" t="str">
        <f>IFERROR(__xludf.DUMMYFUNCTION("""COMPUTED_VALUE"""),"")</f>
        <v/>
      </c>
      <c r="I20" s="264" t="str">
        <f>IFERROR(__xludf.DUMMYFUNCTION("""COMPUTED_VALUE"""),"")</f>
        <v/>
      </c>
      <c r="J20" s="264" t="str">
        <f>IFERROR(__xludf.DUMMYFUNCTION("""COMPUTED_VALUE"""),"")</f>
        <v/>
      </c>
      <c r="K20" s="263" t="str">
        <f>IFERROR(__xludf.DUMMYFUNCTION("""COMPUTED_VALUE"""),"")</f>
        <v/>
      </c>
      <c r="L20" s="263" t="str">
        <f>IFERROR(__xludf.DUMMYFUNCTION("""COMPUTED_VALUE"""),"")</f>
        <v/>
      </c>
      <c r="M20" s="263"/>
      <c r="N20" s="263"/>
      <c r="O20" s="263"/>
      <c r="P20" s="263"/>
      <c r="Q20" s="263"/>
      <c r="R20" s="263"/>
      <c r="S20" s="263"/>
      <c r="T20" s="263"/>
      <c r="U20" s="246"/>
      <c r="V20" s="246"/>
      <c r="W20" s="246"/>
      <c r="X20" s="246"/>
      <c r="Y20" s="246"/>
      <c r="Z20" s="246"/>
    </row>
    <row r="21">
      <c r="A21" s="263"/>
      <c r="B21" s="265" t="str">
        <f>IFERROR(__xludf.DUMMYFUNCTION("""COMPUTED_VALUE"""),"Amoxicillin")</f>
        <v>Amoxicillin</v>
      </c>
      <c r="C21" s="263"/>
      <c r="D21" s="264" t="str">
        <f>IFERROR(__xludf.DUMMYFUNCTION("""COMPUTED_VALUE"""),"Concentration, Healing, Spell")</f>
        <v>Concentration, Healing, Spell</v>
      </c>
      <c r="E21" s="264" t="str">
        <f>IFERROR(__xludf.DUMMYFUNCTION("""COMPUTED_VALUE"""),"30ft")</f>
        <v>30ft</v>
      </c>
      <c r="F21" s="266" t="str">
        <f>IFERROR(__xludf.DUMMYFUNCTION("""COMPUTED_VALUE"""),"You choose up to 10 willing units in range. After spending 1 minute in concentration, you create a cloud of spores that heals a disease that you can identify.")</f>
        <v>You choose up to 10 willing units in range. After spending 1 minute in concentration, you create a cloud of spores that heals a disease that you can identify.</v>
      </c>
      <c r="G21" s="264" t="str">
        <f>IFERROR(__xludf.DUMMYFUNCTION("""COMPUTED_VALUE"""),"You can identify the disease.")</f>
        <v>You can identify the disease.</v>
      </c>
      <c r="H21" s="265" t="str">
        <f>IFERROR(__xludf.DUMMYFUNCTION("""COMPUTED_VALUE"""),"")</f>
        <v/>
      </c>
      <c r="I21" s="263" t="str">
        <f>IFERROR(__xludf.DUMMYFUNCTION("""COMPUTED_VALUE"""),"")</f>
        <v/>
      </c>
      <c r="J21" s="263" t="str">
        <f>IFERROR(__xludf.DUMMYFUNCTION("""COMPUTED_VALUE"""),"")</f>
        <v/>
      </c>
      <c r="K21" s="264" t="str">
        <f>IFERROR(__xludf.DUMMYFUNCTION("""COMPUTED_VALUE"""),"")</f>
        <v/>
      </c>
      <c r="L21" s="263" t="str">
        <f>IFERROR(__xludf.DUMMYFUNCTION("""COMPUTED_VALUE"""),"")</f>
        <v/>
      </c>
      <c r="M21" s="263"/>
      <c r="N21" s="263"/>
      <c r="O21" s="263"/>
      <c r="P21" s="263"/>
      <c r="Q21" s="263"/>
      <c r="R21" s="263"/>
      <c r="S21" s="263"/>
      <c r="T21" s="263"/>
      <c r="U21" s="246"/>
      <c r="V21" s="246"/>
      <c r="W21" s="246"/>
      <c r="X21" s="246"/>
      <c r="Y21" s="246"/>
      <c r="Z21" s="246"/>
    </row>
    <row r="22">
      <c r="A22" s="263"/>
      <c r="B22" s="265" t="str">
        <f>IFERROR(__xludf.DUMMYFUNCTION("""COMPUTED_VALUE"""),"Amphibious")</f>
        <v>Amphibious</v>
      </c>
      <c r="C22" s="263"/>
      <c r="D22" s="263" t="str">
        <f>IFERROR(__xludf.DUMMYFUNCTION("""COMPUTED_VALUE"""),"")</f>
        <v/>
      </c>
      <c r="E22" s="263" t="str">
        <f>IFERROR(__xludf.DUMMYFUNCTION("""COMPUTED_VALUE"""),"")</f>
        <v/>
      </c>
      <c r="F22" s="266" t="str">
        <f>IFERROR(__xludf.DUMMYFUNCTION("""COMPUTED_VALUE"""),"You can swim up to your speed and can hold your breath underwater for up to an hour.")</f>
        <v>You can swim up to your speed and can hold your breath underwater for up to an hour.</v>
      </c>
      <c r="G22" s="263" t="str">
        <f>IFERROR(__xludf.DUMMYFUNCTION("""COMPUTED_VALUE"""),"")</f>
        <v/>
      </c>
      <c r="H22" s="267" t="str">
        <f>IFERROR(__xludf.DUMMYFUNCTION("""COMPUTED_VALUE"""),"")</f>
        <v/>
      </c>
      <c r="I22" s="263" t="str">
        <f>IFERROR(__xludf.DUMMYFUNCTION("""COMPUTED_VALUE"""),"")</f>
        <v/>
      </c>
      <c r="J22" s="263" t="str">
        <f>IFERROR(__xludf.DUMMYFUNCTION("""COMPUTED_VALUE"""),"")</f>
        <v/>
      </c>
      <c r="K22" s="263" t="str">
        <f>IFERROR(__xludf.DUMMYFUNCTION("""COMPUTED_VALUE"""),"")</f>
        <v/>
      </c>
      <c r="L22" s="263" t="str">
        <f>IFERROR(__xludf.DUMMYFUNCTION("""COMPUTED_VALUE"""),"")</f>
        <v/>
      </c>
      <c r="M22" s="263"/>
      <c r="N22" s="263"/>
      <c r="O22" s="263"/>
      <c r="P22" s="263"/>
      <c r="Q22" s="263"/>
      <c r="R22" s="263"/>
      <c r="S22" s="263"/>
      <c r="T22" s="263"/>
      <c r="U22" s="246"/>
      <c r="V22" s="246"/>
      <c r="W22" s="246"/>
      <c r="X22" s="246"/>
      <c r="Y22" s="246"/>
      <c r="Z22" s="246"/>
    </row>
    <row r="23">
      <c r="A23" s="263"/>
      <c r="B23" s="265" t="str">
        <f>IFERROR(__xludf.DUMMYFUNCTION("""COMPUTED_VALUE"""),"Anathema")</f>
        <v>Anathema</v>
      </c>
      <c r="C23" s="263"/>
      <c r="D23" s="264" t="str">
        <f>IFERROR(__xludf.DUMMYFUNCTION("""COMPUTED_VALUE"""),"Curse, Spell")</f>
        <v>Curse, Spell</v>
      </c>
      <c r="E23" s="264" t="str">
        <f>IFERROR(__xludf.DUMMYFUNCTION("""COMPUTED_VALUE"""),"60ft")</f>
        <v>60ft</v>
      </c>
      <c r="F23" s="266" t="str">
        <f>IFERROR(__xludf.DUMMYFUNCTION("""COMPUTED_VALUE"""),"You choose one target unit and they must save against your Potency or be afflicted by Anathema. Anathema increases the next source of damage that the target receives by your Heavy Attack damage.")</f>
        <v>You choose one target unit and they must save against your Potency or be afflicted by Anathema. Anathema increases the next source of damage that the target receives by your Heavy Attack damage.</v>
      </c>
      <c r="G23" s="264" t="str">
        <f>IFERROR(__xludf.DUMMYFUNCTION("""COMPUTED_VALUE"""),"")</f>
        <v/>
      </c>
      <c r="H23" s="265" t="str">
        <f>IFERROR(__xludf.DUMMYFUNCTION("""COMPUTED_VALUE"""),"2 AP, 2 MP")</f>
        <v>2 AP, 2 MP</v>
      </c>
      <c r="I23" s="263" t="str">
        <f>IFERROR(__xludf.DUMMYFUNCTION("""COMPUTED_VALUE"""),"2 AP")</f>
        <v>2 AP</v>
      </c>
      <c r="J23" s="263" t="str">
        <f>IFERROR(__xludf.DUMMYFUNCTION("""COMPUTED_VALUE"""),"2 MP")</f>
        <v>2 MP</v>
      </c>
      <c r="K23" s="264" t="str">
        <f>IFERROR(__xludf.DUMMYFUNCTION("""COMPUTED_VALUE"""),"")</f>
        <v/>
      </c>
      <c r="L23" s="263" t="str">
        <f>IFERROR(__xludf.DUMMYFUNCTION("""COMPUTED_VALUE"""),"")</f>
        <v/>
      </c>
      <c r="M23" s="263"/>
      <c r="N23" s="263"/>
      <c r="O23" s="263"/>
      <c r="P23" s="263"/>
      <c r="Q23" s="263"/>
      <c r="R23" s="263"/>
      <c r="S23" s="263"/>
      <c r="T23" s="263"/>
      <c r="U23" s="246"/>
      <c r="V23" s="246"/>
      <c r="W23" s="246"/>
      <c r="X23" s="246"/>
      <c r="Y23" s="246"/>
      <c r="Z23" s="246"/>
    </row>
    <row r="24">
      <c r="A24" s="263"/>
      <c r="B24" s="265" t="str">
        <f>IFERROR(__xludf.DUMMYFUNCTION("""COMPUTED_VALUE"""),"Angel's Embrace")</f>
        <v>Angel's Embrace</v>
      </c>
      <c r="C24" s="263"/>
      <c r="D24" s="264" t="str">
        <f>IFERROR(__xludf.DUMMYFUNCTION("""COMPUTED_VALUE"""),"Shield, Spell, Aid")</f>
        <v>Shield, Spell, Aid</v>
      </c>
      <c r="E24" s="264" t="str">
        <f>IFERROR(__xludf.DUMMYFUNCTION("""COMPUTED_VALUE"""),"15ft")</f>
        <v>15ft</v>
      </c>
      <c r="F24" s="266" t="str">
        <f>IFERROR(__xludf.DUMMYFUNCTION("""COMPUTED_VALUE"""),"You grant the target ally Angel’s Embrace, which grants a Shield against the triggering attack that blocks damage equal to 5 + (2 x Toughness). This Spell does not provoke attacks of opportunity.")</f>
        <v>You grant the target ally Angel’s Embrace, which grants a Shield against the triggering attack that blocks damage equal to 5 + (2 x Toughness). This Spell does not provoke attacks of opportunity.</v>
      </c>
      <c r="G24" s="263" t="str">
        <f>IFERROR(__xludf.DUMMYFUNCTION("""COMPUTED_VALUE"""),"A creature other than you is attacked.")</f>
        <v>A creature other than you is attacked.</v>
      </c>
      <c r="H24" s="265" t="str">
        <f>IFERROR(__xludf.DUMMYFUNCTION("""COMPUTED_VALUE"""),"1 RP")</f>
        <v>1 RP</v>
      </c>
      <c r="I24" s="264" t="str">
        <f>IFERROR(__xludf.DUMMYFUNCTION("""COMPUTED_VALUE"""),"")</f>
        <v/>
      </c>
      <c r="J24" s="263" t="str">
        <f>IFERROR(__xludf.DUMMYFUNCTION("""COMPUTED_VALUE"""),"")</f>
        <v/>
      </c>
      <c r="K24" s="263" t="str">
        <f>IFERROR(__xludf.DUMMYFUNCTION("""COMPUTED_VALUE"""),"1 RP")</f>
        <v>1 RP</v>
      </c>
      <c r="L24" s="263" t="str">
        <f>IFERROR(__xludf.DUMMYFUNCTION("""COMPUTED_VALUE"""),"")</f>
        <v/>
      </c>
      <c r="M24" s="263"/>
      <c r="N24" s="263"/>
      <c r="O24" s="263"/>
      <c r="P24" s="263"/>
      <c r="Q24" s="263"/>
      <c r="R24" s="263"/>
      <c r="S24" s="263"/>
      <c r="T24" s="263"/>
      <c r="U24" s="246"/>
      <c r="V24" s="246"/>
      <c r="W24" s="246"/>
      <c r="X24" s="246"/>
      <c r="Y24" s="246"/>
      <c r="Z24" s="246"/>
    </row>
    <row r="25">
      <c r="A25" s="263"/>
      <c r="B25" s="265" t="str">
        <f>IFERROR(__xludf.DUMMYFUNCTION("""COMPUTED_VALUE"""),"Antennae")</f>
        <v>Antennae</v>
      </c>
      <c r="C25" s="263"/>
      <c r="D25" s="263" t="str">
        <f>IFERROR(__xludf.DUMMYFUNCTION("""COMPUTED_VALUE"""),"")</f>
        <v/>
      </c>
      <c r="E25" s="264" t="str">
        <f>IFERROR(__xludf.DUMMYFUNCTION("""COMPUTED_VALUE"""),"")</f>
        <v/>
      </c>
      <c r="F25" s="266" t="str">
        <f>IFERROR(__xludf.DUMMYFUNCTION("""COMPUTED_VALUE"""),"You are able to detect creatures by sensing the vibrations in the air. You gain a +10 expertise bonus to Perception (Vibration Sense) which works up to 40ft from you, but only detects creatures.")</f>
        <v>You are able to detect creatures by sensing the vibrations in the air. You gain a +10 expertise bonus to Perception (Vibration Sense) which works up to 40ft from you, but only detects creatures.</v>
      </c>
      <c r="G25" s="263" t="str">
        <f>IFERROR(__xludf.DUMMYFUNCTION("""COMPUTED_VALUE"""),"")</f>
        <v/>
      </c>
      <c r="H25" s="265" t="str">
        <f>IFERROR(__xludf.DUMMYFUNCTION("""COMPUTED_VALUE"""),"")</f>
        <v/>
      </c>
      <c r="I25" s="264" t="str">
        <f>IFERROR(__xludf.DUMMYFUNCTION("""COMPUTED_VALUE"""),"")</f>
        <v/>
      </c>
      <c r="J25" s="264" t="str">
        <f>IFERROR(__xludf.DUMMYFUNCTION("""COMPUTED_VALUE"""),"")</f>
        <v/>
      </c>
      <c r="K25" s="263" t="str">
        <f>IFERROR(__xludf.DUMMYFUNCTION("""COMPUTED_VALUE"""),"")</f>
        <v/>
      </c>
      <c r="L25" s="263" t="str">
        <f>IFERROR(__xludf.DUMMYFUNCTION("""COMPUTED_VALUE"""),"")</f>
        <v/>
      </c>
      <c r="M25" s="263"/>
      <c r="N25" s="263"/>
      <c r="O25" s="263"/>
      <c r="P25" s="263"/>
      <c r="Q25" s="263"/>
      <c r="R25" s="263"/>
      <c r="S25" s="263"/>
      <c r="T25" s="263"/>
      <c r="U25" s="246"/>
      <c r="V25" s="246"/>
      <c r="W25" s="246"/>
      <c r="X25" s="246"/>
      <c r="Y25" s="246"/>
      <c r="Z25" s="246"/>
    </row>
    <row r="26">
      <c r="A26" s="263"/>
      <c r="B26" s="265" t="str">
        <f>IFERROR(__xludf.DUMMYFUNCTION("""COMPUTED_VALUE"""),"Anti-Magic Shield")</f>
        <v>Anti-Magic Shield</v>
      </c>
      <c r="C26" s="263"/>
      <c r="D26" s="264" t="str">
        <f>IFERROR(__xludf.DUMMYFUNCTION("""COMPUTED_VALUE"""),"Aid, Arcane, Shield, Spell")</f>
        <v>Aid, Arcane, Shield, Spell</v>
      </c>
      <c r="E26" s="264" t="str">
        <f>IFERROR(__xludf.DUMMYFUNCTION("""COMPUTED_VALUE"""),"60ft")</f>
        <v>60ft</v>
      </c>
      <c r="F26" s="266" t="str">
        <f>IFERROR(__xludf.DUMMYFUNCTION("""COMPUTED_VALUE"""),"You grant the target ally 1 RP that must be spend on a basic Dodge or Block action against the triggering attack as well as Anti-Magic Shield for the triggering attack. Anti-Magic Shield reduces the damage the target ally takes by your Focus.")</f>
        <v>You grant the target ally 1 RP that must be spend on a basic Dodge or Block action against the triggering attack as well as Anti-Magic Shield for the triggering attack. Anti-Magic Shield reduces the damage the target ally takes by your Focus.</v>
      </c>
      <c r="G26" s="264" t="str">
        <f>IFERROR(__xludf.DUMMYFUNCTION("""COMPUTED_VALUE"""),"Ally is the target of a damage dealing Spell.")</f>
        <v>Ally is the target of a damage dealing Spell.</v>
      </c>
      <c r="H26" s="265" t="str">
        <f>IFERROR(__xludf.DUMMYFUNCTION("""COMPUTED_VALUE"""),"1 RP")</f>
        <v>1 RP</v>
      </c>
      <c r="I26" s="264" t="str">
        <f>IFERROR(__xludf.DUMMYFUNCTION("""COMPUTED_VALUE"""),"")</f>
        <v/>
      </c>
      <c r="J26" s="263" t="str">
        <f>IFERROR(__xludf.DUMMYFUNCTION("""COMPUTED_VALUE"""),"")</f>
        <v/>
      </c>
      <c r="K26" s="264" t="str">
        <f>IFERROR(__xludf.DUMMYFUNCTION("""COMPUTED_VALUE"""),"1 RP")</f>
        <v>1 RP</v>
      </c>
      <c r="L26" s="263" t="str">
        <f>IFERROR(__xludf.DUMMYFUNCTION("""COMPUTED_VALUE"""),"")</f>
        <v/>
      </c>
      <c r="M26" s="263"/>
      <c r="N26" s="263"/>
      <c r="O26" s="263"/>
      <c r="P26" s="263"/>
      <c r="Q26" s="263"/>
      <c r="R26" s="263"/>
      <c r="S26" s="263"/>
      <c r="T26" s="263"/>
      <c r="U26" s="246"/>
      <c r="V26" s="246"/>
      <c r="W26" s="246"/>
      <c r="X26" s="246"/>
      <c r="Y26" s="246"/>
      <c r="Z26" s="246"/>
    </row>
    <row r="27">
      <c r="A27" s="263"/>
      <c r="B27" s="265" t="str">
        <f>IFERROR(__xludf.DUMMYFUNCTION("""COMPUTED_VALUE"""),"Anti-Shield")</f>
        <v>Anti-Shield</v>
      </c>
      <c r="C27" s="263"/>
      <c r="D27" s="263" t="str">
        <f>IFERROR(__xludf.DUMMYFUNCTION("""COMPUTED_VALUE"""),"Arcane, Spell")</f>
        <v>Arcane, Spell</v>
      </c>
      <c r="E27" s="263" t="str">
        <f>IFERROR(__xludf.DUMMYFUNCTION("""COMPUTED_VALUE"""),"60ft")</f>
        <v>60ft</v>
      </c>
      <c r="F27" s="266" t="str">
        <f>IFERROR(__xludf.DUMMYFUNCTION("""COMPUTED_VALUE"""),"You weave a web of magic around the target. The target cannot be the target of any abilities with the Shield keyword until the start of your next turn.")</f>
        <v>You weave a web of magic around the target. The target cannot be the target of any abilities with the Shield keyword until the start of your next turn.</v>
      </c>
      <c r="G27" s="263" t="str">
        <f>IFERROR(__xludf.DUMMYFUNCTION("""COMPUTED_VALUE"""),"")</f>
        <v/>
      </c>
      <c r="H27" s="267" t="str">
        <f>IFERROR(__xludf.DUMMYFUNCTION("""COMPUTED_VALUE"""),"1 AP")</f>
        <v>1 AP</v>
      </c>
      <c r="I27" s="263" t="str">
        <f>IFERROR(__xludf.DUMMYFUNCTION("""COMPUTED_VALUE"""),"1 AP")</f>
        <v>1 AP</v>
      </c>
      <c r="J27" s="263" t="str">
        <f>IFERROR(__xludf.DUMMYFUNCTION("""COMPUTED_VALUE"""),"")</f>
        <v/>
      </c>
      <c r="K27" s="263" t="str">
        <f>IFERROR(__xludf.DUMMYFUNCTION("""COMPUTED_VALUE"""),"")</f>
        <v/>
      </c>
      <c r="L27" s="263" t="str">
        <f>IFERROR(__xludf.DUMMYFUNCTION("""COMPUTED_VALUE"""),"")</f>
        <v/>
      </c>
      <c r="M27" s="263"/>
      <c r="N27" s="263"/>
      <c r="O27" s="263"/>
      <c r="P27" s="263"/>
      <c r="Q27" s="263"/>
      <c r="R27" s="263"/>
      <c r="S27" s="263"/>
      <c r="T27" s="263"/>
      <c r="U27" s="246"/>
      <c r="V27" s="246"/>
      <c r="W27" s="246"/>
      <c r="X27" s="246"/>
      <c r="Y27" s="246"/>
      <c r="Z27" s="246"/>
    </row>
    <row r="28">
      <c r="A28" s="263"/>
      <c r="B28" s="265" t="str">
        <f>IFERROR(__xludf.DUMMYFUNCTION("""COMPUTED_VALUE"""),"Anvil Tactics")</f>
        <v>Anvil Tactics</v>
      </c>
      <c r="C28" s="263"/>
      <c r="D28" s="264" t="str">
        <f>IFERROR(__xludf.DUMMYFUNCTION("""COMPUTED_VALUE"""),"")</f>
        <v/>
      </c>
      <c r="E28" s="264" t="str">
        <f>IFERROR(__xludf.DUMMYFUNCTION("""COMPUTED_VALUE"""),"80ft")</f>
        <v>80ft</v>
      </c>
      <c r="F28" s="266" t="str">
        <f>IFERROR(__xludf.DUMMYFUNCTION("""COMPUTED_VALUE"""),"A single ally in range may move up to their speed. If they end up in melee range of an enemy and there is an ally on the direct opposite side of that enemy, they may make an Attack of Opportunity. This attack gains Lock On.")</f>
        <v>A single ally in range may move up to their speed. If they end up in melee range of an enemy and there is an ally on the direct opposite side of that enemy, they may make an Attack of Opportunity. This attack gains Lock On.</v>
      </c>
      <c r="G28" s="264" t="str">
        <f>IFERROR(__xludf.DUMMYFUNCTION("""COMPUTED_VALUE"""),"")</f>
        <v/>
      </c>
      <c r="H28" s="265" t="str">
        <f>IFERROR(__xludf.DUMMYFUNCTION("""COMPUTED_VALUE"""),"1 AP, 1 MP")</f>
        <v>1 AP, 1 MP</v>
      </c>
      <c r="I28" s="263" t="str">
        <f>IFERROR(__xludf.DUMMYFUNCTION("""COMPUTED_VALUE"""),"1 AP")</f>
        <v>1 AP</v>
      </c>
      <c r="J28" s="264" t="str">
        <f>IFERROR(__xludf.DUMMYFUNCTION("""COMPUTED_VALUE"""),"1 MP")</f>
        <v>1 MP</v>
      </c>
      <c r="K28" s="264" t="str">
        <f>IFERROR(__xludf.DUMMYFUNCTION("""COMPUTED_VALUE"""),"")</f>
        <v/>
      </c>
      <c r="L28" s="263" t="str">
        <f>IFERROR(__xludf.DUMMYFUNCTION("""COMPUTED_VALUE"""),"")</f>
        <v/>
      </c>
      <c r="M28" s="263"/>
      <c r="N28" s="263"/>
      <c r="O28" s="263"/>
      <c r="P28" s="263"/>
      <c r="Q28" s="263"/>
      <c r="R28" s="263"/>
      <c r="S28" s="263"/>
      <c r="T28" s="263"/>
      <c r="U28" s="246"/>
      <c r="V28" s="246"/>
      <c r="W28" s="246"/>
      <c r="X28" s="246"/>
      <c r="Y28" s="246"/>
      <c r="Z28" s="246"/>
    </row>
    <row r="29">
      <c r="A29" s="263"/>
      <c r="B29" s="265" t="str">
        <f>IFERROR(__xludf.DUMMYFUNCTION("""COMPUTED_VALUE"""),"Aqua Drill")</f>
        <v>Aqua Drill</v>
      </c>
      <c r="C29" s="263"/>
      <c r="D29" s="264" t="str">
        <f>IFERROR(__xludf.DUMMYFUNCTION("""COMPUTED_VALUE"""),"Safe, Water")</f>
        <v>Safe, Water</v>
      </c>
      <c r="E29" s="264" t="str">
        <f>IFERROR(__xludf.DUMMYFUNCTION("""COMPUTED_VALUE"""),"60ft")</f>
        <v>60ft</v>
      </c>
      <c r="F29" s="266" t="str">
        <f>IFERROR(__xludf.DUMMYFUNCTION("""COMPUTED_VALUE"""),"You infuse water with your mana firing a spiraling blast of high pressure water, making a heavy attack that deals Water damage against a target within range. You can use either the RP or AP cost for the ability.  The water is used as a projectile and spil"&amp;"ls anywhere within 5ft of the target at your choice.
If you use an RP for this ability, the mana cost increases by 1.")</f>
        <v>You infuse water with your mana firing a spiraling blast of high pressure water, making a heavy attack that deals Water damage against a target within range. You can use either the RP or AP cost for the ability.  The water is used as a projectile and spills anywhere within 5ft of the target at your choice.
If you use an RP for this ability, the mana cost increases by 1.</v>
      </c>
      <c r="G29" s="264" t="str">
        <f>IFERROR(__xludf.DUMMYFUNCTION("""COMPUTED_VALUE"""),"You are touching an amount of water equal to a normal sized bucket of water.")</f>
        <v>You are touching an amount of water equal to a normal sized bucket of water.</v>
      </c>
      <c r="H29" s="265" t="str">
        <f>IFERROR(__xludf.DUMMYFUNCTION("""COMPUTED_VALUE"""),"2 AP, 1 RP")</f>
        <v>2 AP, 1 RP</v>
      </c>
      <c r="I29" s="263" t="str">
        <f>IFERROR(__xludf.DUMMYFUNCTION("""COMPUTED_VALUE"""),"2 AP")</f>
        <v>2 AP</v>
      </c>
      <c r="J29" s="264" t="str">
        <f>IFERROR(__xludf.DUMMYFUNCTION("""COMPUTED_VALUE"""),"")</f>
        <v/>
      </c>
      <c r="K29" s="264" t="str">
        <f>IFERROR(__xludf.DUMMYFUNCTION("""COMPUTED_VALUE"""),"1 RP")</f>
        <v>1 RP</v>
      </c>
      <c r="L29" s="263" t="str">
        <f>IFERROR(__xludf.DUMMYFUNCTION("""COMPUTED_VALUE"""),"")</f>
        <v/>
      </c>
      <c r="M29" s="263"/>
      <c r="N29" s="263"/>
      <c r="O29" s="263"/>
      <c r="P29" s="263"/>
      <c r="Q29" s="263"/>
      <c r="R29" s="263"/>
      <c r="S29" s="263"/>
      <c r="T29" s="263"/>
      <c r="U29" s="246"/>
      <c r="V29" s="246"/>
      <c r="W29" s="246"/>
      <c r="X29" s="246"/>
      <c r="Y29" s="246"/>
      <c r="Z29" s="246"/>
    </row>
    <row r="30">
      <c r="A30" s="263"/>
      <c r="B30" s="265" t="str">
        <f>IFERROR(__xludf.DUMMYFUNCTION("""COMPUTED_VALUE"""),"Aquatic Fae")</f>
        <v>Aquatic Fae</v>
      </c>
      <c r="C30" s="263"/>
      <c r="D30" s="264" t="str">
        <f>IFERROR(__xludf.DUMMYFUNCTION("""COMPUTED_VALUE"""),"")</f>
        <v/>
      </c>
      <c r="E30" s="264" t="str">
        <f>IFERROR(__xludf.DUMMYFUNCTION("""COMPUTED_VALUE"""),"")</f>
        <v/>
      </c>
      <c r="F30" s="266" t="str">
        <f>IFERROR(__xludf.DUMMYFUNCTION("""COMPUTED_VALUE"""),"While swimming, your base movement speed becomes 30, in addition you gain Elemental Mastery: Water.
Your Aqua Drill costs 0 mana when used as RP ability while in natural water.")</f>
        <v>While swimming, your base movement speed becomes 30, in addition you gain Elemental Mastery: Water.
Your Aqua Drill costs 0 mana when used as RP ability while in natural water.</v>
      </c>
      <c r="G30" s="263" t="str">
        <f>IFERROR(__xludf.DUMMYFUNCTION("""COMPUTED_VALUE"""),"")</f>
        <v/>
      </c>
      <c r="H30" s="265" t="str">
        <f>IFERROR(__xludf.DUMMYFUNCTION("""COMPUTED_VALUE"""),"")</f>
        <v/>
      </c>
      <c r="I30" s="264" t="str">
        <f>IFERROR(__xludf.DUMMYFUNCTION("""COMPUTED_VALUE"""),"")</f>
        <v/>
      </c>
      <c r="J30" s="263" t="str">
        <f>IFERROR(__xludf.DUMMYFUNCTION("""COMPUTED_VALUE"""),"")</f>
        <v/>
      </c>
      <c r="K30" s="263" t="str">
        <f>IFERROR(__xludf.DUMMYFUNCTION("""COMPUTED_VALUE"""),"")</f>
        <v/>
      </c>
      <c r="L30" s="263" t="str">
        <f>IFERROR(__xludf.DUMMYFUNCTION("""COMPUTED_VALUE"""),"")</f>
        <v/>
      </c>
      <c r="M30" s="263"/>
      <c r="N30" s="263"/>
      <c r="O30" s="263"/>
      <c r="P30" s="263"/>
      <c r="Q30" s="263"/>
      <c r="R30" s="263"/>
      <c r="S30" s="263"/>
      <c r="T30" s="263"/>
      <c r="U30" s="246"/>
      <c r="V30" s="246"/>
      <c r="W30" s="246"/>
      <c r="X30" s="246"/>
      <c r="Y30" s="246"/>
      <c r="Z30" s="246"/>
    </row>
    <row r="31">
      <c r="A31" s="263"/>
      <c r="B31" s="265" t="str">
        <f>IFERROR(__xludf.DUMMYFUNCTION("""COMPUTED_VALUE"""),"Arcane Barrier")</f>
        <v>Arcane Barrier</v>
      </c>
      <c r="C31" s="263"/>
      <c r="D31" s="264" t="str">
        <f>IFERROR(__xludf.DUMMYFUNCTION("""COMPUTED_VALUE"""),"Shield, Spell")</f>
        <v>Shield, Spell</v>
      </c>
      <c r="E31" s="264" t="str">
        <f>IFERROR(__xludf.DUMMYFUNCTION("""COMPUTED_VALUE"""),"Self")</f>
        <v>Self</v>
      </c>
      <c r="F31" s="266" t="str">
        <f>IFERROR(__xludf.DUMMYFUNCTION("""COMPUTED_VALUE"""),"You create a Magical Barrier that absorbs damage until it breaks. The barrier has HP equal to 15 + your Focus. The barrier has a Guard of 0 and any damage it takes is subtracted from the barrier’s HP. When the barrier breaks, any remaining damage is subtr"&amp;"acted from your HP. The barrier otherwise lasts until the start of your next turn or until you take any action other than the Block action.
This spell does not provoke attacks of opportunity and does not protect against true damage.")</f>
        <v>You create a Magical Barrier that absorbs damage until it breaks. The barrier has HP equal to 15 + your Focus. The barrier has a Guard of 0 and any damage it takes is subtracted from the barrier’s HP. When the barrier breaks, any remaining damage is subtracted from your HP. The barrier otherwise lasts until the start of your next turn or until you take any action other than the Block action.
This spell does not provoke attacks of opportunity and does not protect against true damage.</v>
      </c>
      <c r="G31" s="263" t="str">
        <f>IFERROR(__xludf.DUMMYFUNCTION("""COMPUTED_VALUE"""),"You're about to take damage.")</f>
        <v>You're about to take damage.</v>
      </c>
      <c r="H31" s="265" t="str">
        <f>IFERROR(__xludf.DUMMYFUNCTION("""COMPUTED_VALUE"""),"1 MP, 1 RP")</f>
        <v>1 MP, 1 RP</v>
      </c>
      <c r="I31" s="264" t="str">
        <f>IFERROR(__xludf.DUMMYFUNCTION("""COMPUTED_VALUE"""),"")</f>
        <v/>
      </c>
      <c r="J31" s="263" t="str">
        <f>IFERROR(__xludf.DUMMYFUNCTION("""COMPUTED_VALUE"""),"1 MP")</f>
        <v>1 MP</v>
      </c>
      <c r="K31" s="263" t="str">
        <f>IFERROR(__xludf.DUMMYFUNCTION("""COMPUTED_VALUE"""),"1 RP")</f>
        <v>1 RP</v>
      </c>
      <c r="L31" s="263" t="str">
        <f>IFERROR(__xludf.DUMMYFUNCTION("""COMPUTED_VALUE"""),"")</f>
        <v/>
      </c>
      <c r="M31" s="263"/>
      <c r="N31" s="263"/>
      <c r="O31" s="263"/>
      <c r="P31" s="263"/>
      <c r="Q31" s="263"/>
      <c r="R31" s="263"/>
      <c r="S31" s="263"/>
      <c r="T31" s="263"/>
      <c r="U31" s="246"/>
      <c r="V31" s="246"/>
      <c r="W31" s="246"/>
      <c r="X31" s="246"/>
      <c r="Y31" s="246"/>
      <c r="Z31" s="246"/>
    </row>
    <row r="32">
      <c r="A32" s="263"/>
      <c r="B32" s="265" t="str">
        <f>IFERROR(__xludf.DUMMYFUNCTION("""COMPUTED_VALUE"""),"Arcane Barrier II")</f>
        <v>Arcane Barrier II</v>
      </c>
      <c r="C32" s="263"/>
      <c r="D32" s="264" t="str">
        <f>IFERROR(__xludf.DUMMYFUNCTION("""COMPUTED_VALUE"""),"Shield, Spell")</f>
        <v>Shield, Spell</v>
      </c>
      <c r="E32" s="264" t="str">
        <f>IFERROR(__xludf.DUMMYFUNCTION("""COMPUTED_VALUE"""),"Self")</f>
        <v>Self</v>
      </c>
      <c r="F32" s="266" t="str">
        <f>IFERROR(__xludf.DUMMYFUNCTION("""COMPUTED_VALUE"""),"You create a Magical Barrier that absorbs damage until it breaks.
The barrier has HP equal to 15 + your Focus. The barrier has a Guard of 0 + your guard and any damage it takes is subtracted from the barrier’s HP. When the barrier breaks, any remaining da"&amp;"mage is subtracted from your HP. The barrier otherwise lasts until the start of your next turn or until you take any action other than the Block action. If using the Block action while the barrier is active, the guard of the barrier also increases.
This s"&amp;"pell does not provoke attacks of opportunity and does not protect against true damage.")</f>
        <v>You create a Magical Barrier that absorbs damage until it breaks.
The barrier has HP equal to 15 + your Focus. The barrier has a Guard of 0 + your guard and any damage it takes is subtracted from the barrier’s HP. When the barrier breaks, any remaining damage is subtracted from your HP. The barrier otherwise lasts until the start of your next turn or until you take any action other than the Block action. If using the Block action while the barrier is active, the guard of the barrier also increases.
This spell does not provoke attacks of opportunity and does not protect against true damage.</v>
      </c>
      <c r="G32" s="263" t="str">
        <f>IFERROR(__xludf.DUMMYFUNCTION("""COMPUTED_VALUE"""),"You're about to take damage.")</f>
        <v>You're about to take damage.</v>
      </c>
      <c r="H32" s="265" t="str">
        <f>IFERROR(__xludf.DUMMYFUNCTION("""COMPUTED_VALUE"""),"1 MP, 1 RP")</f>
        <v>1 MP, 1 RP</v>
      </c>
      <c r="I32" s="264" t="str">
        <f>IFERROR(__xludf.DUMMYFUNCTION("""COMPUTED_VALUE"""),"")</f>
        <v/>
      </c>
      <c r="J32" s="264" t="str">
        <f>IFERROR(__xludf.DUMMYFUNCTION("""COMPUTED_VALUE"""),"1 MP")</f>
        <v>1 MP</v>
      </c>
      <c r="K32" s="263" t="str">
        <f>IFERROR(__xludf.DUMMYFUNCTION("""COMPUTED_VALUE"""),"1 RP")</f>
        <v>1 RP</v>
      </c>
      <c r="L32" s="263" t="str">
        <f>IFERROR(__xludf.DUMMYFUNCTION("""COMPUTED_VALUE"""),"")</f>
        <v/>
      </c>
      <c r="M32" s="263"/>
      <c r="N32" s="263"/>
      <c r="O32" s="263"/>
      <c r="P32" s="263"/>
      <c r="Q32" s="263"/>
      <c r="R32" s="263"/>
      <c r="S32" s="263"/>
      <c r="T32" s="263"/>
      <c r="U32" s="246"/>
      <c r="V32" s="246"/>
      <c r="W32" s="246"/>
      <c r="X32" s="246"/>
      <c r="Y32" s="246"/>
      <c r="Z32" s="246"/>
    </row>
    <row r="33">
      <c r="A33" s="263"/>
      <c r="B33" s="265" t="str">
        <f>IFERROR(__xludf.DUMMYFUNCTION("""COMPUTED_VALUE"""),"Arcane Blast")</f>
        <v>Arcane Blast</v>
      </c>
      <c r="C33" s="263"/>
      <c r="D33" s="264" t="str">
        <f>IFERROR(__xludf.DUMMYFUNCTION("""COMPUTED_VALUE"""),"Spell, Circuit")</f>
        <v>Spell, Circuit</v>
      </c>
      <c r="E33" s="264" t="str">
        <f>IFERROR(__xludf.DUMMYFUNCTION("""COMPUTED_VALUE"""),"60ft")</f>
        <v>60ft</v>
      </c>
      <c r="F33" s="266" t="str">
        <f>IFERROR(__xludf.DUMMYFUNCTION("""COMPUTED_VALUE"""),"You make a Heavy attack that deals Arcane damage against the target.")</f>
        <v>You make a Heavy attack that deals Arcane damage against the target.</v>
      </c>
      <c r="G33" s="264" t="str">
        <f>IFERROR(__xludf.DUMMYFUNCTION("""COMPUTED_VALUE"""),"")</f>
        <v/>
      </c>
      <c r="H33" s="265" t="str">
        <f>IFERROR(__xludf.DUMMYFUNCTION("""COMPUTED_VALUE"""),"1 AP, 3 MP")</f>
        <v>1 AP, 3 MP</v>
      </c>
      <c r="I33" s="263" t="str">
        <f>IFERROR(__xludf.DUMMYFUNCTION("""COMPUTED_VALUE"""),"1 AP")</f>
        <v>1 AP</v>
      </c>
      <c r="J33" s="263" t="str">
        <f>IFERROR(__xludf.DUMMYFUNCTION("""COMPUTED_VALUE"""),"3 MP")</f>
        <v>3 MP</v>
      </c>
      <c r="K33" s="264" t="str">
        <f>IFERROR(__xludf.DUMMYFUNCTION("""COMPUTED_VALUE"""),"")</f>
        <v/>
      </c>
      <c r="L33" s="263" t="str">
        <f>IFERROR(__xludf.DUMMYFUNCTION("""COMPUTED_VALUE"""),"")</f>
        <v/>
      </c>
      <c r="M33" s="263"/>
      <c r="N33" s="263"/>
      <c r="O33" s="263"/>
      <c r="P33" s="263"/>
      <c r="Q33" s="263"/>
      <c r="R33" s="263"/>
      <c r="S33" s="263"/>
      <c r="T33" s="263"/>
      <c r="U33" s="246"/>
      <c r="V33" s="246"/>
      <c r="W33" s="246"/>
      <c r="X33" s="246"/>
      <c r="Y33" s="246"/>
      <c r="Z33" s="246"/>
    </row>
    <row r="34">
      <c r="A34" s="263"/>
      <c r="B34" s="265" t="str">
        <f>IFERROR(__xludf.DUMMYFUNCTION("""COMPUTED_VALUE"""),"Arcane Buster")</f>
        <v>Arcane Buster</v>
      </c>
      <c r="C34" s="263"/>
      <c r="D34" s="264" t="str">
        <f>IFERROR(__xludf.DUMMYFUNCTION("""COMPUTED_VALUE"""),"Arcane, Spell, Shieldbreaker")</f>
        <v>Arcane, Spell, Shieldbreaker</v>
      </c>
      <c r="E34" s="264" t="str">
        <f>IFERROR(__xludf.DUMMYFUNCTION("""COMPUTED_VALUE"""),"60ft")</f>
        <v>60ft</v>
      </c>
      <c r="F34" s="266" t="str">
        <f>IFERROR(__xludf.DUMMYFUNCTION("""COMPUTED_VALUE"""),"You fire a blast of energy, making a Heavy Attack that deals Arcane Damage. This attack has the Shieldbreaker property.")</f>
        <v>You fire a blast of energy, making a Heavy Attack that deals Arcane Damage. This attack has the Shieldbreaker property.</v>
      </c>
      <c r="G34" s="264" t="str">
        <f>IFERROR(__xludf.DUMMYFUNCTION("""COMPUTED_VALUE"""),"")</f>
        <v/>
      </c>
      <c r="H34" s="265" t="str">
        <f>IFERROR(__xludf.DUMMYFUNCTION("""COMPUTED_VALUE"""),"2 AP")</f>
        <v>2 AP</v>
      </c>
      <c r="I34" s="264" t="str">
        <f>IFERROR(__xludf.DUMMYFUNCTION("""COMPUTED_VALUE"""),"2 AP")</f>
        <v>2 AP</v>
      </c>
      <c r="J34" s="264" t="str">
        <f>IFERROR(__xludf.DUMMYFUNCTION("""COMPUTED_VALUE"""),"")</f>
        <v/>
      </c>
      <c r="K34" s="263" t="str">
        <f>IFERROR(__xludf.DUMMYFUNCTION("""COMPUTED_VALUE"""),"")</f>
        <v/>
      </c>
      <c r="L34" s="263" t="str">
        <f>IFERROR(__xludf.DUMMYFUNCTION("""COMPUTED_VALUE"""),"")</f>
        <v/>
      </c>
      <c r="M34" s="263"/>
      <c r="N34" s="263"/>
      <c r="O34" s="263"/>
      <c r="P34" s="263"/>
      <c r="Q34" s="263"/>
      <c r="R34" s="263"/>
      <c r="S34" s="263"/>
      <c r="T34" s="263"/>
      <c r="U34" s="246"/>
      <c r="V34" s="246"/>
      <c r="W34" s="246"/>
      <c r="X34" s="246"/>
      <c r="Y34" s="246"/>
      <c r="Z34" s="246"/>
    </row>
    <row r="35">
      <c r="A35" s="263"/>
      <c r="B35" s="265" t="str">
        <f>IFERROR(__xludf.DUMMYFUNCTION("""COMPUTED_VALUE"""),"Arcane Explosion")</f>
        <v>Arcane Explosion</v>
      </c>
      <c r="C35" s="263"/>
      <c r="D35" s="263" t="str">
        <f>IFERROR(__xludf.DUMMYFUNCTION("""COMPUTED_VALUE"""),"Arcane, Rapid, Spell, Blanketing, Safe")</f>
        <v>Arcane, Rapid, Spell, Blanketing, Safe</v>
      </c>
      <c r="E35" s="264" t="str">
        <f>IFERROR(__xludf.DUMMYFUNCTION("""COMPUTED_VALUE"""),"Self")</f>
        <v>Self</v>
      </c>
      <c r="F35" s="266" t="str">
        <f>IFERROR(__xludf.DUMMYFUNCTION("""COMPUTED_VALUE"""),"You make a Light Attack that deals Arcane damage against all enemies within 10ft of yourself. This Spell does not provoke attacks of opportunity.")</f>
        <v>You make a Light Attack that deals Arcane damage against all enemies within 10ft of yourself. This Spell does not provoke attacks of opportunity.</v>
      </c>
      <c r="G35" s="264" t="str">
        <f>IFERROR(__xludf.DUMMYFUNCTION("""COMPUTED_VALUE"""),"")</f>
        <v/>
      </c>
      <c r="H35" s="265" t="str">
        <f>IFERROR(__xludf.DUMMYFUNCTION("""COMPUTED_VALUE"""),"2 AP")</f>
        <v>2 AP</v>
      </c>
      <c r="I35" s="264" t="str">
        <f>IFERROR(__xludf.DUMMYFUNCTION("""COMPUTED_VALUE"""),"2 AP")</f>
        <v>2 AP</v>
      </c>
      <c r="J35" s="264" t="str">
        <f>IFERROR(__xludf.DUMMYFUNCTION("""COMPUTED_VALUE"""),"")</f>
        <v/>
      </c>
      <c r="K35" s="263" t="str">
        <f>IFERROR(__xludf.DUMMYFUNCTION("""COMPUTED_VALUE"""),"")</f>
        <v/>
      </c>
      <c r="L35" s="263" t="str">
        <f>IFERROR(__xludf.DUMMYFUNCTION("""COMPUTED_VALUE"""),"")</f>
        <v/>
      </c>
      <c r="M35" s="263"/>
      <c r="N35" s="263"/>
      <c r="O35" s="263"/>
      <c r="P35" s="263"/>
      <c r="Q35" s="263"/>
      <c r="R35" s="263"/>
      <c r="S35" s="263"/>
      <c r="T35" s="263"/>
      <c r="U35" s="246"/>
      <c r="V35" s="246"/>
      <c r="W35" s="246"/>
      <c r="X35" s="246"/>
      <c r="Y35" s="246"/>
      <c r="Z35" s="246"/>
    </row>
    <row r="36">
      <c r="A36" s="263"/>
      <c r="B36" s="265" t="str">
        <f>IFERROR(__xludf.DUMMYFUNCTION("""COMPUTED_VALUE"""),"Arcane Power")</f>
        <v>Arcane Power</v>
      </c>
      <c r="C36" s="263"/>
      <c r="D36" s="263" t="str">
        <f>IFERROR(__xludf.DUMMYFUNCTION("""COMPUTED_VALUE"""),"Arcane")</f>
        <v>Arcane</v>
      </c>
      <c r="E36" s="263" t="str">
        <f>IFERROR(__xludf.DUMMYFUNCTION("""COMPUTED_VALUE"""),"Self")</f>
        <v>Self</v>
      </c>
      <c r="F36" s="266" t="str">
        <f>IFERROR(__xludf.DUMMYFUNCTION("""COMPUTED_VALUE"""),"You gain Arcane Power, which adds 3 damage to the damage of all your Arcane Damage rolls until the start of your next turn.")</f>
        <v>You gain Arcane Power, which adds 3 damage to the damage of all your Arcane Damage rolls until the start of your next turn.</v>
      </c>
      <c r="G36" s="263" t="str">
        <f>IFERROR(__xludf.DUMMYFUNCTION("""COMPUTED_VALUE"""),"")</f>
        <v/>
      </c>
      <c r="H36" s="267" t="str">
        <f>IFERROR(__xludf.DUMMYFUNCTION("""COMPUTED_VALUE"""),"0 AP, 3 MP")</f>
        <v>0 AP, 3 MP</v>
      </c>
      <c r="I36" s="263" t="str">
        <f>IFERROR(__xludf.DUMMYFUNCTION("""COMPUTED_VALUE"""),"0 AP")</f>
        <v>0 AP</v>
      </c>
      <c r="J36" s="263" t="str">
        <f>IFERROR(__xludf.DUMMYFUNCTION("""COMPUTED_VALUE"""),"3 MP")</f>
        <v>3 MP</v>
      </c>
      <c r="K36" s="263" t="str">
        <f>IFERROR(__xludf.DUMMYFUNCTION("""COMPUTED_VALUE"""),"")</f>
        <v/>
      </c>
      <c r="L36" s="263" t="str">
        <f>IFERROR(__xludf.DUMMYFUNCTION("""COMPUTED_VALUE"""),"")</f>
        <v/>
      </c>
      <c r="M36" s="263"/>
      <c r="N36" s="263"/>
      <c r="O36" s="263"/>
      <c r="P36" s="263"/>
      <c r="Q36" s="263"/>
      <c r="R36" s="263"/>
      <c r="S36" s="263"/>
      <c r="T36" s="263"/>
      <c r="U36" s="246"/>
      <c r="V36" s="246"/>
      <c r="W36" s="246"/>
      <c r="X36" s="246"/>
      <c r="Y36" s="246"/>
      <c r="Z36" s="246"/>
    </row>
    <row r="37">
      <c r="A37" s="263"/>
      <c r="B37" s="265" t="str">
        <f>IFERROR(__xludf.DUMMYFUNCTION("""COMPUTED_VALUE"""),"Arcane Pull")</f>
        <v>Arcane Pull</v>
      </c>
      <c r="C37" s="263"/>
      <c r="D37" s="263" t="str">
        <f>IFERROR(__xludf.DUMMYFUNCTION("""COMPUTED_VALUE"""),"Spell")</f>
        <v>Spell</v>
      </c>
      <c r="E37" s="263" t="str">
        <f>IFERROR(__xludf.DUMMYFUNCTION("""COMPUTED_VALUE"""),"40ft")</f>
        <v>40ft</v>
      </c>
      <c r="F37" s="266" t="str">
        <f>IFERROR(__xludf.DUMMYFUNCTION("""COMPUTED_VALUE"""),"You pull the target to an empty square next to you. This movement does not provoke attacks of opportunity. Your next Block or Dodge action against the target before the start of your next turn costs 0 RP. This Spell does not provoke attacks of opportunity"&amp;".")</f>
        <v>You pull the target to an empty square next to you. This movement does not provoke attacks of opportunity. Your next Block or Dodge action against the target before the start of your next turn costs 0 RP. This Spell does not provoke attacks of opportunity.</v>
      </c>
      <c r="G37" s="263" t="str">
        <f>IFERROR(__xludf.DUMMYFUNCTION("""COMPUTED_VALUE"""),"Target is challenged by you and attacking someone that isn't you.")</f>
        <v>Target is challenged by you and attacking someone that isn't you.</v>
      </c>
      <c r="H37" s="267" t="str">
        <f>IFERROR(__xludf.DUMMYFUNCTION("""COMPUTED_VALUE"""),"1 RP")</f>
        <v>1 RP</v>
      </c>
      <c r="I37" s="263" t="str">
        <f>IFERROR(__xludf.DUMMYFUNCTION("""COMPUTED_VALUE"""),"")</f>
        <v/>
      </c>
      <c r="J37" s="263" t="str">
        <f>IFERROR(__xludf.DUMMYFUNCTION("""COMPUTED_VALUE"""),"")</f>
        <v/>
      </c>
      <c r="K37" s="263" t="str">
        <f>IFERROR(__xludf.DUMMYFUNCTION("""COMPUTED_VALUE"""),"1 RP")</f>
        <v>1 RP</v>
      </c>
      <c r="L37" s="263" t="str">
        <f>IFERROR(__xludf.DUMMYFUNCTION("""COMPUTED_VALUE"""),"")</f>
        <v/>
      </c>
      <c r="M37" s="263"/>
      <c r="N37" s="263"/>
      <c r="O37" s="263"/>
      <c r="P37" s="263"/>
      <c r="Q37" s="263"/>
      <c r="R37" s="263"/>
      <c r="S37" s="263"/>
      <c r="T37" s="263"/>
      <c r="U37" s="246"/>
      <c r="V37" s="246"/>
      <c r="W37" s="246"/>
      <c r="X37" s="246"/>
      <c r="Y37" s="246"/>
      <c r="Z37" s="246"/>
    </row>
    <row r="38">
      <c r="A38" s="263"/>
      <c r="B38" s="265" t="str">
        <f>IFERROR(__xludf.DUMMYFUNCTION("""COMPUTED_VALUE"""),"Arcane Rapidfire")</f>
        <v>Arcane Rapidfire</v>
      </c>
      <c r="C38" s="263"/>
      <c r="D38" s="263" t="str">
        <f>IFERROR(__xludf.DUMMYFUNCTION("""COMPUTED_VALUE"""),"Spell, Arcane, Circuit")</f>
        <v>Spell, Arcane, Circuit</v>
      </c>
      <c r="E38" s="264" t="str">
        <f>IFERROR(__xludf.DUMMYFUNCTION("""COMPUTED_VALUE"""),"60ft")</f>
        <v>60ft</v>
      </c>
      <c r="F38" s="266" t="str">
        <f>IFERROR(__xludf.DUMMYFUNCTION("""COMPUTED_VALUE"""),"You make 4 light attacks that deal Arcane damage against the target.")</f>
        <v>You make 4 light attacks that deal Arcane damage against the target.</v>
      </c>
      <c r="G38" s="264" t="str">
        <f>IFERROR(__xludf.DUMMYFUNCTION("""COMPUTED_VALUE"""),"")</f>
        <v/>
      </c>
      <c r="H38" s="265" t="str">
        <f>IFERROR(__xludf.DUMMYFUNCTION("""COMPUTED_VALUE"""),"2 AP, 3 MP")</f>
        <v>2 AP, 3 MP</v>
      </c>
      <c r="I38" s="263" t="str">
        <f>IFERROR(__xludf.DUMMYFUNCTION("""COMPUTED_VALUE"""),"2 AP")</f>
        <v>2 AP</v>
      </c>
      <c r="J38" s="263" t="str">
        <f>IFERROR(__xludf.DUMMYFUNCTION("""COMPUTED_VALUE"""),"3 MP")</f>
        <v>3 MP</v>
      </c>
      <c r="K38" s="264" t="str">
        <f>IFERROR(__xludf.DUMMYFUNCTION("""COMPUTED_VALUE"""),"")</f>
        <v/>
      </c>
      <c r="L38" s="263" t="str">
        <f>IFERROR(__xludf.DUMMYFUNCTION("""COMPUTED_VALUE"""),"")</f>
        <v/>
      </c>
      <c r="M38" s="263"/>
      <c r="N38" s="263"/>
      <c r="O38" s="263"/>
      <c r="P38" s="263"/>
      <c r="Q38" s="263"/>
      <c r="R38" s="263"/>
      <c r="S38" s="263"/>
      <c r="T38" s="263"/>
      <c r="U38" s="246"/>
      <c r="V38" s="246"/>
      <c r="W38" s="246"/>
      <c r="X38" s="246"/>
      <c r="Y38" s="246"/>
      <c r="Z38" s="246"/>
    </row>
    <row r="39">
      <c r="A39" s="263"/>
      <c r="B39" s="265" t="str">
        <f>IFERROR(__xludf.DUMMYFUNCTION("""COMPUTED_VALUE"""),"Armor Crushing Shell")</f>
        <v>Armor Crushing Shell</v>
      </c>
      <c r="C39" s="263"/>
      <c r="D39" s="263" t="str">
        <f>IFERROR(__xludf.DUMMYFUNCTION("""COMPUTED_VALUE"""),"Artillery, Sunder, Cannon")</f>
        <v>Artillery, Sunder, Cannon</v>
      </c>
      <c r="E39" s="263" t="str">
        <f>IFERROR(__xludf.DUMMYFUNCTION("""COMPUTED_VALUE"""),"Ranged Weapon Range")</f>
        <v>Ranged Weapon Range</v>
      </c>
      <c r="F39" s="266" t="str">
        <f>IFERROR(__xludf.DUMMYFUNCTION("""COMPUTED_VALUE"""),"You make a Light attack against the target. On damage, you apply Sunder 2 until the start of your next turn.")</f>
        <v>You make a Light attack against the target. On damage, you apply Sunder 2 until the start of your next turn.</v>
      </c>
      <c r="G39" s="263" t="str">
        <f>IFERROR(__xludf.DUMMYFUNCTION("""COMPUTED_VALUE"""),"Cannon only.")</f>
        <v>Cannon only.</v>
      </c>
      <c r="H39" s="267" t="str">
        <f>IFERROR(__xludf.DUMMYFUNCTION("""COMPUTED_VALUE"""),"1 AP, 1 MP")</f>
        <v>1 AP, 1 MP</v>
      </c>
      <c r="I39" s="263" t="str">
        <f>IFERROR(__xludf.DUMMYFUNCTION("""COMPUTED_VALUE"""),"1 AP")</f>
        <v>1 AP</v>
      </c>
      <c r="J39" s="263" t="str">
        <f>IFERROR(__xludf.DUMMYFUNCTION("""COMPUTED_VALUE"""),"1 MP")</f>
        <v>1 MP</v>
      </c>
      <c r="K39" s="263" t="str">
        <f>IFERROR(__xludf.DUMMYFUNCTION("""COMPUTED_VALUE"""),"")</f>
        <v/>
      </c>
      <c r="L39" s="263" t="str">
        <f>IFERROR(__xludf.DUMMYFUNCTION("""COMPUTED_VALUE"""),"")</f>
        <v/>
      </c>
      <c r="M39" s="263"/>
      <c r="N39" s="263"/>
      <c r="O39" s="263"/>
      <c r="P39" s="263"/>
      <c r="Q39" s="263"/>
      <c r="R39" s="263"/>
      <c r="S39" s="263"/>
      <c r="T39" s="263"/>
      <c r="U39" s="246"/>
      <c r="V39" s="246"/>
      <c r="W39" s="246"/>
      <c r="X39" s="246"/>
      <c r="Y39" s="246"/>
      <c r="Z39" s="246"/>
    </row>
    <row r="40">
      <c r="A40" s="263"/>
      <c r="B40" s="265" t="str">
        <f>IFERROR(__xludf.DUMMYFUNCTION("""COMPUTED_VALUE"""),"Armor Up")</f>
        <v>Armor Up</v>
      </c>
      <c r="C40" s="263"/>
      <c r="D40" s="264" t="str">
        <f>IFERROR(__xludf.DUMMYFUNCTION("""COMPUTED_VALUE"""),"Shield")</f>
        <v>Shield</v>
      </c>
      <c r="E40" s="264" t="str">
        <f>IFERROR(__xludf.DUMMYFUNCTION("""COMPUTED_VALUE"""),"Self")</f>
        <v>Self</v>
      </c>
      <c r="F40" s="266" t="str">
        <f>IFERROR(__xludf.DUMMYFUNCTION("""COMPUTED_VALUE"""),"You gain temporary HP equal to the Block value of your armor and shield, up to a maximum of 40 temporary HP.")</f>
        <v>You gain temporary HP equal to the Block value of your armor and shield, up to a maximum of 40 temporary HP.</v>
      </c>
      <c r="G40" s="263" t="str">
        <f>IFERROR(__xludf.DUMMYFUNCTION("""COMPUTED_VALUE"""),"Must be wearing armor and/or a shield.")</f>
        <v>Must be wearing armor and/or a shield.</v>
      </c>
      <c r="H40" s="265" t="str">
        <f>IFERROR(__xludf.DUMMYFUNCTION("""COMPUTED_VALUE"""),"1 AP, 3 MP")</f>
        <v>1 AP, 3 MP</v>
      </c>
      <c r="I40" s="264" t="str">
        <f>IFERROR(__xludf.DUMMYFUNCTION("""COMPUTED_VALUE"""),"1 AP")</f>
        <v>1 AP</v>
      </c>
      <c r="J40" s="263" t="str">
        <f>IFERROR(__xludf.DUMMYFUNCTION("""COMPUTED_VALUE"""),"3 MP")</f>
        <v>3 MP</v>
      </c>
      <c r="K40" s="263" t="str">
        <f>IFERROR(__xludf.DUMMYFUNCTION("""COMPUTED_VALUE"""),"")</f>
        <v/>
      </c>
      <c r="L40" s="263" t="str">
        <f>IFERROR(__xludf.DUMMYFUNCTION("""COMPUTED_VALUE"""),"")</f>
        <v/>
      </c>
      <c r="M40" s="263"/>
      <c r="N40" s="263"/>
      <c r="O40" s="263"/>
      <c r="P40" s="263"/>
      <c r="Q40" s="263"/>
      <c r="R40" s="263"/>
      <c r="S40" s="263"/>
      <c r="T40" s="263"/>
      <c r="U40" s="246"/>
      <c r="V40" s="246"/>
      <c r="W40" s="246"/>
      <c r="X40" s="246"/>
      <c r="Y40" s="246"/>
      <c r="Z40" s="246"/>
    </row>
    <row r="41">
      <c r="A41" s="263"/>
      <c r="B41" s="265" t="str">
        <f>IFERROR(__xludf.DUMMYFUNCTION("""COMPUTED_VALUE"""),"Armored Blow")</f>
        <v>Armored Blow</v>
      </c>
      <c r="C41" s="263"/>
      <c r="D41" s="263" t="str">
        <f>IFERROR(__xludf.DUMMYFUNCTION("""COMPUTED_VALUE"""),"")</f>
        <v/>
      </c>
      <c r="E41" s="264" t="str">
        <f>IFERROR(__xludf.DUMMYFUNCTION("""COMPUTED_VALUE"""),"Melee Weapon Range")</f>
        <v>Melee Weapon Range</v>
      </c>
      <c r="F41" s="266" t="str">
        <f>IFERROR(__xludf.DUMMYFUNCTION("""COMPUTED_VALUE"""),"You make a Heavy attack against the target. Your next Block against that target costs 0 RP and gains a +10 bonus.")</f>
        <v>You make a Heavy attack against the target. Your next Block against that target costs 0 RP and gains a +10 bonus.</v>
      </c>
      <c r="G41" s="263" t="str">
        <f>IFERROR(__xludf.DUMMYFUNCTION("""COMPUTED_VALUE"""),"May only be used after moving at least 20ft in the previous action. Must be mounted.")</f>
        <v>May only be used after moving at least 20ft in the previous action. Must be mounted.</v>
      </c>
      <c r="H41" s="267" t="str">
        <f>IFERROR(__xludf.DUMMYFUNCTION("""COMPUTED_VALUE"""),"2 AP, 1 MP")</f>
        <v>2 AP, 1 MP</v>
      </c>
      <c r="I41" s="263" t="str">
        <f>IFERROR(__xludf.DUMMYFUNCTION("""COMPUTED_VALUE"""),"2 AP")</f>
        <v>2 AP</v>
      </c>
      <c r="J41" s="263" t="str">
        <f>IFERROR(__xludf.DUMMYFUNCTION("""COMPUTED_VALUE"""),"1 MP")</f>
        <v>1 MP</v>
      </c>
      <c r="K41" s="263" t="str">
        <f>IFERROR(__xludf.DUMMYFUNCTION("""COMPUTED_VALUE"""),"")</f>
        <v/>
      </c>
      <c r="L41" s="263" t="str">
        <f>IFERROR(__xludf.DUMMYFUNCTION("""COMPUTED_VALUE"""),"")</f>
        <v/>
      </c>
      <c r="M41" s="263"/>
      <c r="N41" s="263"/>
      <c r="O41" s="263"/>
      <c r="P41" s="263"/>
      <c r="Q41" s="263"/>
      <c r="R41" s="263"/>
      <c r="S41" s="263"/>
      <c r="T41" s="263"/>
      <c r="U41" s="246"/>
      <c r="V41" s="246"/>
      <c r="W41" s="246"/>
      <c r="X41" s="246"/>
      <c r="Y41" s="246"/>
      <c r="Z41" s="246"/>
    </row>
    <row r="42">
      <c r="A42" s="263"/>
      <c r="B42" s="265" t="str">
        <f>IFERROR(__xludf.DUMMYFUNCTION("""COMPUTED_VALUE"""),"Armorsmith Basics")</f>
        <v>Armorsmith Basics</v>
      </c>
      <c r="C42" s="263"/>
      <c r="D42" s="264" t="str">
        <f>IFERROR(__xludf.DUMMYFUNCTION("""COMPUTED_VALUE"""),"")</f>
        <v/>
      </c>
      <c r="E42" s="264" t="str">
        <f>IFERROR(__xludf.DUMMYFUNCTION("""COMPUTED_VALUE"""),"")</f>
        <v/>
      </c>
      <c r="F42" s="266" t="str">
        <f>IFERROR(__xludf.DUMMYFUNCTION("""COMPUTED_VALUE"""),"Armorsmith's Modification A
Cost: X Crafting Points
Description:
You add an A-Type modification to the armor. See the Universal Armor page as well as the individual armor pages for details. Each modification has its own cost.
Armorsmith's Modification Fra"&amp;"me
Cost: X Crafting Points
Description:
You add an Frame-Type modification to the armor. See the Universal Armor page as well as the individual armor pages for details. Each modification has its own cost.
Adaptive Layering
Cost: X crafting points
Descript"&amp;"ion:
You mix a special material into the armor or shield. Each material has its own crafting point cost.
Cloak Layering
Cost: X crafting points
Description:
You use a special material for the creation of the cloak. Each material has its own crafting point"&amp;" cost. Only cloak special materials can be used and mixing in a special material increases the burden cost of the cloak by 1.
Create Ingot
Cost: Errand
Description:
You create an ingot from armorsmithing base materials or from armorsmithing special materi"&amp;"als.  See Item: Armorsmithing Materials.
Tan Leather
Cost: Errand
Description:
You create a tanned hide from armorsmithing base leather materials. See item: Armorsmithing materials.")</f>
        <v>Armorsmith's Modification A
Cost: X Crafting Points
Description:
You add an A-Type modification to the armor. See the Universal Armor page as well as the individual armor pages for details. Each modification has its own cost.
Armorsmith's Modification Frame
Cost: X Crafting Points
Description:
You add an Frame-Type modification to the armor. See the Universal Armor page as well as the individual armor pages for details. Each modification has its own cost.
Adaptive Layering
Cost: X crafting points
Description:
You mix a special material into the armor or shield. Each material has its own crafting point cost.
Cloak Layering
Cost: X crafting points
Description:
You use a special material for the creation of the cloak. Each material has its own crafting point cost. Only cloak special materials can be used and mixing in a special material increases the burden cost of the cloak by 1.
Create Ingot
Cost: Errand
Description:
You create an ingot from armorsmithing base materials or from armorsmithing special materials.  See Item: Armorsmithing Materials.
Tan Leather
Cost: Errand
Description:
You create a tanned hide from armorsmithing base leather materials. See item: Armorsmithing materials.</v>
      </c>
      <c r="G42" s="263" t="str">
        <f>IFERROR(__xludf.DUMMYFUNCTION("""COMPUTED_VALUE"""),"")</f>
        <v/>
      </c>
      <c r="H42" s="265" t="str">
        <f>IFERROR(__xludf.DUMMYFUNCTION("""COMPUTED_VALUE"""),"")</f>
        <v/>
      </c>
      <c r="I42" s="263" t="str">
        <f>IFERROR(__xludf.DUMMYFUNCTION("""COMPUTED_VALUE"""),"")</f>
        <v/>
      </c>
      <c r="J42" s="264" t="str">
        <f>IFERROR(__xludf.DUMMYFUNCTION("""COMPUTED_VALUE"""),"")</f>
        <v/>
      </c>
      <c r="K42" s="264" t="str">
        <f>IFERROR(__xludf.DUMMYFUNCTION("""COMPUTED_VALUE"""),"")</f>
        <v/>
      </c>
      <c r="L42" s="263" t="str">
        <f>IFERROR(__xludf.DUMMYFUNCTION("""COMPUTED_VALUE"""),"")</f>
        <v/>
      </c>
      <c r="M42" s="263"/>
      <c r="N42" s="263"/>
      <c r="O42" s="263"/>
      <c r="P42" s="263"/>
      <c r="Q42" s="263"/>
      <c r="R42" s="263"/>
      <c r="S42" s="263"/>
      <c r="T42" s="263"/>
      <c r="U42" s="246"/>
      <c r="V42" s="246"/>
      <c r="W42" s="246"/>
      <c r="X42" s="246"/>
      <c r="Y42" s="246"/>
      <c r="Z42" s="246"/>
    </row>
    <row r="43">
      <c r="A43" s="263"/>
      <c r="B43" s="265" t="str">
        <f>IFERROR(__xludf.DUMMYFUNCTION("""COMPUTED_VALUE"""),"Armorsmithing Expert")</f>
        <v>Armorsmithing Expert</v>
      </c>
      <c r="C43" s="263"/>
      <c r="D43" s="263" t="str">
        <f>IFERROR(__xludf.DUMMYFUNCTION("""COMPUTED_VALUE"""),"")</f>
        <v/>
      </c>
      <c r="E43" s="264" t="str">
        <f>IFERROR(__xludf.DUMMYFUNCTION("""COMPUTED_VALUE"""),"")</f>
        <v/>
      </c>
      <c r="F43" s="266" t="str">
        <f>IFERROR(__xludf.DUMMYFUNCTION("""COMPUTED_VALUE"""),"Armorsmith's Modification B
Cost: X Crafting Points
Description:
You add an B-Type modification to the weapon or tool. See the Universal Armor page as well as the individual armor pages for details. Each modification has its own cost.")</f>
        <v>Armorsmith's Modification B
Cost: X Crafting Points
Description:
You add an B-Type modification to the weapon or tool. See the Universal Armor page as well as the individual armor pages for details. Each modification has its own cost.</v>
      </c>
      <c r="G43" s="263" t="str">
        <f>IFERROR(__xludf.DUMMYFUNCTION("""COMPUTED_VALUE"""),"")</f>
        <v/>
      </c>
      <c r="H43" s="265" t="str">
        <f>IFERROR(__xludf.DUMMYFUNCTION("""COMPUTED_VALUE"""),"")</f>
        <v/>
      </c>
      <c r="I43" s="264" t="str">
        <f>IFERROR(__xludf.DUMMYFUNCTION("""COMPUTED_VALUE"""),"")</f>
        <v/>
      </c>
      <c r="J43" s="263" t="str">
        <f>IFERROR(__xludf.DUMMYFUNCTION("""COMPUTED_VALUE"""),"")</f>
        <v/>
      </c>
      <c r="K43" s="263" t="str">
        <f>IFERROR(__xludf.DUMMYFUNCTION("""COMPUTED_VALUE"""),"")</f>
        <v/>
      </c>
      <c r="L43" s="263" t="str">
        <f>IFERROR(__xludf.DUMMYFUNCTION("""COMPUTED_VALUE"""),"")</f>
        <v/>
      </c>
      <c r="M43" s="263"/>
      <c r="N43" s="263"/>
      <c r="O43" s="263"/>
      <c r="P43" s="263"/>
      <c r="Q43" s="263"/>
      <c r="R43" s="263"/>
      <c r="S43" s="263"/>
      <c r="T43" s="263"/>
      <c r="U43" s="246"/>
      <c r="V43" s="246"/>
      <c r="W43" s="246"/>
      <c r="X43" s="246"/>
      <c r="Y43" s="246"/>
      <c r="Z43" s="246"/>
    </row>
    <row r="44">
      <c r="A44" s="263"/>
      <c r="B44" s="265" t="str">
        <f>IFERROR(__xludf.DUMMYFUNCTION("""COMPUTED_VALUE"""),"Artery Cut")</f>
        <v>Artery Cut</v>
      </c>
      <c r="C44" s="263"/>
      <c r="D44" s="264" t="str">
        <f>IFERROR(__xludf.DUMMYFUNCTION("""COMPUTED_VALUE"""),"")</f>
        <v/>
      </c>
      <c r="E44" s="264" t="str">
        <f>IFERROR(__xludf.DUMMYFUNCTION("""COMPUTED_VALUE"""),"Melee Weapon Range")</f>
        <v>Melee Weapon Range</v>
      </c>
      <c r="F44" s="266" t="str">
        <f>IFERROR(__xludf.DUMMYFUNCTION("""COMPUTED_VALUE"""),"You change the arc of your weapon and go for a vital spot, turning the hit into a critical hit.")</f>
        <v>You change the arc of your weapon and go for a vital spot, turning the hit into a critical hit.</v>
      </c>
      <c r="G44" s="263" t="str">
        <f>IFERROR(__xludf.DUMMYFUNCTION("""COMPUTED_VALUE"""),"One-Handed weapon only, can be used after a light attack hits and is not reacted against.")</f>
        <v>One-Handed weapon only, can be used after a light attack hits and is not reacted against.</v>
      </c>
      <c r="H44" s="265" t="str">
        <f>IFERROR(__xludf.DUMMYFUNCTION("""COMPUTED_VALUE"""),"1 RP")</f>
        <v>1 RP</v>
      </c>
      <c r="I44" s="263" t="str">
        <f>IFERROR(__xludf.DUMMYFUNCTION("""COMPUTED_VALUE"""),"")</f>
        <v/>
      </c>
      <c r="J44" s="263" t="str">
        <f>IFERROR(__xludf.DUMMYFUNCTION("""COMPUTED_VALUE"""),"")</f>
        <v/>
      </c>
      <c r="K44" s="264" t="str">
        <f>IFERROR(__xludf.DUMMYFUNCTION("""COMPUTED_VALUE"""),"1 RP")</f>
        <v>1 RP</v>
      </c>
      <c r="L44" s="263" t="str">
        <f>IFERROR(__xludf.DUMMYFUNCTION("""COMPUTED_VALUE"""),"")</f>
        <v/>
      </c>
      <c r="M44" s="263"/>
      <c r="N44" s="263"/>
      <c r="O44" s="263"/>
      <c r="P44" s="263"/>
      <c r="Q44" s="263"/>
      <c r="R44" s="263"/>
      <c r="S44" s="263"/>
      <c r="T44" s="263"/>
      <c r="U44" s="246"/>
      <c r="V44" s="246"/>
      <c r="W44" s="246"/>
      <c r="X44" s="246"/>
      <c r="Y44" s="246"/>
      <c r="Z44" s="246"/>
    </row>
    <row r="45">
      <c r="A45" s="263"/>
      <c r="B45" s="265" t="str">
        <f>IFERROR(__xludf.DUMMYFUNCTION("""COMPUTED_VALUE"""),"Artificer Basics")</f>
        <v>Artificer Basics</v>
      </c>
      <c r="C45" s="263"/>
      <c r="D45" s="264" t="str">
        <f>IFERROR(__xludf.DUMMYFUNCTION("""COMPUTED_VALUE"""),"")</f>
        <v/>
      </c>
      <c r="E45" s="264" t="str">
        <f>IFERROR(__xludf.DUMMYFUNCTION("""COMPUTED_VALUE"""),"")</f>
        <v/>
      </c>
      <c r="F45" s="266" t="str">
        <f>IFERROR(__xludf.DUMMYFUNCTION("""COMPUTED_VALUE"""),"Artifice Modification A
Cost: X Crafting Points
Description:
You add an A-Type modification to an artifice. See the Universal Artifice mods page as well as the individual artifice page for details. Each modification has its own cost.
Weapon Modification A"&amp;"
Cost: X Crafting Points
Description:
You add an A-Type modification to the weapon. See the Universal Weapon mods page as well as the individual weapon page for details. Each modification has its own cost.
Artifice Modification C
Cost: X Crafting Points
D"&amp;"escription:
You add an C-Type modification to the weapon. See the Universal Artifice mods page as well as the individual artifice page for details. Each modification has its own cost.
Craft Fuel Shells
Cost: Errand
Description:
You craft up to 5 small she"&amp;"lls.  You can instead craft a medium shell instead of 2 small shells.  Small shells require 50 magical fuel, medium shells require 200 magical fuel.
Craft Artifice Parts
Cost: Errand
Description:
You create up to 3000u of artifice parts of the same type o"&amp;"f blacksmithing material used to make them at a 1:1 rate. (3000u of Iron Creates 3000u of Iron Artifice Parts.)  See Items:  Blacksmithing Materials, Artificer Materials. When converting items of a higher tier, you can convert up to 6000 of tamahagane, 90"&amp;"00 of mithril, 12000 of Orihalcum or 15000 of escudo.
Firearm Alloy
Cost: X Crafting Points
Description:
You mix a special material into the firearm or artifice weapon. Each material has its own crafting point cost.
Create Ingot
Cost: Errand
Description:
"&amp;"You create an ingot from blacksmithing base materials or from blacksmithing special materials.  See Item: Blacksmithing Materials.")</f>
        <v>Artifice Modification A
Cost: X Crafting Points
Description:
You add an A-Type modification to an artifice. See the Universal Artifice mods page as well as the individual artifice page for details. Each modification has its own cost.
Weapon Modification A
Cost: X Crafting Points
Description:
You add an A-Type modification to the weapon. See the Universal Weapon mods page as well as the individual weapon page for details. Each modification has its own cost.
Artifice Modification C
Cost: X Crafting Points
Description:
You add an C-Type modification to the weapon. See the Universal Artifice mods page as well as the individual artifice page for details. Each modification has its own cost.
Craft Fuel Shells
Cost: Errand
Description:
You craft up to 5 small shells.  You can instead craft a medium shell instead of 2 small shells.  Small shells require 50 magical fuel, medium shells require 200 magical fuel.
Craft Artifice Parts
Cost: Errand
Description:
You create up to 3000u of artifice parts of the same type of blacksmithing material used to make them at a 1:1 rate. (3000u of Iron Creates 3000u of Iron Artifice Parts.)  See Items:  Blacksmithing Materials, Artificer Materials. When converting items of a higher tier, you can convert up to 6000 of tamahagane, 9000 of mithril, 12000 of Orihalcum or 15000 of escudo.
Firearm Alloy
Cost: X Crafting Points
Description:
You mix a special material into the firearm or artifice weapon. Each material has its own crafting point cost.
Create Ingot
Cost: Errand
Description:
You create an ingot from blacksmithing base materials or from blacksmithing special materials.  See Item: Blacksmithing Materials.</v>
      </c>
      <c r="G45" s="264" t="str">
        <f>IFERROR(__xludf.DUMMYFUNCTION("""COMPUTED_VALUE"""),"")</f>
        <v/>
      </c>
      <c r="H45" s="265" t="str">
        <f>IFERROR(__xludf.DUMMYFUNCTION("""COMPUTED_VALUE"""),"")</f>
        <v/>
      </c>
      <c r="I45" s="264" t="str">
        <f>IFERROR(__xludf.DUMMYFUNCTION("""COMPUTED_VALUE"""),"")</f>
        <v/>
      </c>
      <c r="J45" s="263" t="str">
        <f>IFERROR(__xludf.DUMMYFUNCTION("""COMPUTED_VALUE"""),"")</f>
        <v/>
      </c>
      <c r="K45" s="263" t="str">
        <f>IFERROR(__xludf.DUMMYFUNCTION("""COMPUTED_VALUE"""),"")</f>
        <v/>
      </c>
      <c r="L45" s="263" t="str">
        <f>IFERROR(__xludf.DUMMYFUNCTION("""COMPUTED_VALUE"""),"")</f>
        <v/>
      </c>
      <c r="M45" s="263"/>
      <c r="N45" s="263"/>
      <c r="O45" s="263"/>
      <c r="P45" s="263"/>
      <c r="Q45" s="263"/>
      <c r="R45" s="263"/>
      <c r="S45" s="263"/>
      <c r="T45" s="263"/>
      <c r="U45" s="246"/>
      <c r="V45" s="246"/>
      <c r="W45" s="246"/>
      <c r="X45" s="246"/>
      <c r="Y45" s="246"/>
      <c r="Z45" s="246"/>
    </row>
    <row r="46">
      <c r="A46" s="263"/>
      <c r="B46" s="265" t="str">
        <f>IFERROR(__xludf.DUMMYFUNCTION("""COMPUTED_VALUE"""),"Assign Decoy")</f>
        <v>Assign Decoy</v>
      </c>
      <c r="C46" s="263"/>
      <c r="D46" s="264" t="str">
        <f>IFERROR(__xludf.DUMMYFUNCTION("""COMPUTED_VALUE"""),"Challenge, Quick")</f>
        <v>Challenge, Quick</v>
      </c>
      <c r="E46" s="264" t="str">
        <f>IFERROR(__xludf.DUMMYFUNCTION("""COMPUTED_VALUE"""),"60ft")</f>
        <v>60ft</v>
      </c>
      <c r="F46" s="266" t="str">
        <f>IFERROR(__xludf.DUMMYFUNCTION("""COMPUTED_VALUE"""),"Choose one willing ally other than yourself within range and one enemy within range. The enemy is Challenged by the chosen ally until the start of your next turn.")</f>
        <v>Choose one willing ally other than yourself within range and one enemy within range. The enemy is Challenged by the chosen ally until the start of your next turn.</v>
      </c>
      <c r="G46" s="263" t="str">
        <f>IFERROR(__xludf.DUMMYFUNCTION("""COMPUTED_VALUE"""),"")</f>
        <v/>
      </c>
      <c r="H46" s="265" t="str">
        <f>IFERROR(__xludf.DUMMYFUNCTION("""COMPUTED_VALUE"""),"0 AP")</f>
        <v>0 AP</v>
      </c>
      <c r="I46" s="264" t="str">
        <f>IFERROR(__xludf.DUMMYFUNCTION("""COMPUTED_VALUE"""),"0 AP")</f>
        <v>0 AP</v>
      </c>
      <c r="J46" s="263" t="str">
        <f>IFERROR(__xludf.DUMMYFUNCTION("""COMPUTED_VALUE"""),"")</f>
        <v/>
      </c>
      <c r="K46" s="263" t="str">
        <f>IFERROR(__xludf.DUMMYFUNCTION("""COMPUTED_VALUE"""),"")</f>
        <v/>
      </c>
      <c r="L46" s="263" t="str">
        <f>IFERROR(__xludf.DUMMYFUNCTION("""COMPUTED_VALUE"""),"")</f>
        <v/>
      </c>
      <c r="M46" s="263"/>
      <c r="N46" s="263"/>
      <c r="O46" s="263"/>
      <c r="P46" s="263"/>
      <c r="Q46" s="263"/>
      <c r="R46" s="263"/>
      <c r="S46" s="263"/>
      <c r="T46" s="263"/>
      <c r="U46" s="246"/>
      <c r="V46" s="246"/>
      <c r="W46" s="246"/>
      <c r="X46" s="246"/>
      <c r="Y46" s="246"/>
      <c r="Z46" s="246"/>
    </row>
    <row r="47">
      <c r="A47" s="263"/>
      <c r="B47" s="265" t="str">
        <f>IFERROR(__xludf.DUMMYFUNCTION("""COMPUTED_VALUE"""),"Astral Projection")</f>
        <v>Astral Projection</v>
      </c>
      <c r="C47" s="263"/>
      <c r="D47" s="264" t="str">
        <f>IFERROR(__xludf.DUMMYFUNCTION("""COMPUTED_VALUE"""),"")</f>
        <v/>
      </c>
      <c r="E47" s="264" t="str">
        <f>IFERROR(__xludf.DUMMYFUNCTION("""COMPUTED_VALUE"""),"Self")</f>
        <v>Self</v>
      </c>
      <c r="F47" s="266" t="str">
        <f>IFERROR(__xludf.DUMMYFUNCTION("""COMPUTED_VALUE"""),"After a 10 minute channel you arrive at the space between worlds, allowing you to interact with Eidolons that wish to meet with you.")</f>
        <v>After a 10 minute channel you arrive at the space between worlds, allowing you to interact with Eidolons that wish to meet with you.</v>
      </c>
      <c r="G47" s="263" t="str">
        <f>IFERROR(__xludf.DUMMYFUNCTION("""COMPUTED_VALUE"""),"")</f>
        <v/>
      </c>
      <c r="H47" s="265" t="str">
        <f>IFERROR(__xludf.DUMMYFUNCTION("""COMPUTED_VALUE"""),"")</f>
        <v/>
      </c>
      <c r="I47" s="264" t="str">
        <f>IFERROR(__xludf.DUMMYFUNCTION("""COMPUTED_VALUE"""),"")</f>
        <v/>
      </c>
      <c r="J47" s="263" t="str">
        <f>IFERROR(__xludf.DUMMYFUNCTION("""COMPUTED_VALUE"""),"")</f>
        <v/>
      </c>
      <c r="K47" s="263" t="str">
        <f>IFERROR(__xludf.DUMMYFUNCTION("""COMPUTED_VALUE"""),"")</f>
        <v/>
      </c>
      <c r="L47" s="263" t="str">
        <f>IFERROR(__xludf.DUMMYFUNCTION("""COMPUTED_VALUE"""),"")</f>
        <v/>
      </c>
      <c r="M47" s="263"/>
      <c r="N47" s="263"/>
      <c r="O47" s="263"/>
      <c r="P47" s="263"/>
      <c r="Q47" s="263"/>
      <c r="R47" s="263"/>
      <c r="S47" s="263"/>
      <c r="T47" s="263"/>
      <c r="U47" s="246"/>
      <c r="V47" s="246"/>
      <c r="W47" s="246"/>
      <c r="X47" s="246"/>
      <c r="Y47" s="246"/>
      <c r="Z47" s="246"/>
    </row>
    <row r="48">
      <c r="A48" s="263"/>
      <c r="B48" s="265" t="str">
        <f>IFERROR(__xludf.DUMMYFUNCTION("""COMPUTED_VALUE"""),"At your side")</f>
        <v>At your side</v>
      </c>
      <c r="C48" s="263"/>
      <c r="D48" s="263" t="str">
        <f>IFERROR(__xludf.DUMMYFUNCTION("""COMPUTED_VALUE"""),"Teleport")</f>
        <v>Teleport</v>
      </c>
      <c r="E48" s="264" t="str">
        <f>IFERROR(__xludf.DUMMYFUNCTION("""COMPUTED_VALUE"""),"Self")</f>
        <v>Self</v>
      </c>
      <c r="F48" s="266" t="str">
        <f>IFERROR(__xludf.DUMMYFUNCTION("""COMPUTED_VALUE"""),"You teleport up to 40ft. This must place you next to your VIP.")</f>
        <v>You teleport up to 40ft. This must place you next to your VIP.</v>
      </c>
      <c r="G48" s="263" t="str">
        <f>IFERROR(__xludf.DUMMYFUNCTION("""COMPUTED_VALUE"""),"")</f>
        <v/>
      </c>
      <c r="H48" s="265" t="str">
        <f>IFERROR(__xludf.DUMMYFUNCTION("""COMPUTED_VALUE"""),"2 MP, 0 RP")</f>
        <v>2 MP, 0 RP</v>
      </c>
      <c r="I48" s="264" t="str">
        <f>IFERROR(__xludf.DUMMYFUNCTION("""COMPUTED_VALUE"""),"")</f>
        <v/>
      </c>
      <c r="J48" s="263" t="str">
        <f>IFERROR(__xludf.DUMMYFUNCTION("""COMPUTED_VALUE"""),"2 MP")</f>
        <v>2 MP</v>
      </c>
      <c r="K48" s="263" t="str">
        <f>IFERROR(__xludf.DUMMYFUNCTION("""COMPUTED_VALUE"""),"0 RP")</f>
        <v>0 RP</v>
      </c>
      <c r="L48" s="263" t="str">
        <f>IFERROR(__xludf.DUMMYFUNCTION("""COMPUTED_VALUE"""),"")</f>
        <v/>
      </c>
      <c r="M48" s="263"/>
      <c r="N48" s="263"/>
      <c r="O48" s="263"/>
      <c r="P48" s="263"/>
      <c r="Q48" s="263"/>
      <c r="R48" s="263"/>
      <c r="S48" s="263"/>
      <c r="T48" s="263"/>
      <c r="U48" s="246"/>
      <c r="V48" s="246"/>
      <c r="W48" s="246"/>
      <c r="X48" s="246"/>
      <c r="Y48" s="246"/>
      <c r="Z48" s="246"/>
    </row>
    <row r="49">
      <c r="A49" s="263"/>
      <c r="B49" s="265" t="str">
        <f>IFERROR(__xludf.DUMMYFUNCTION("""COMPUTED_VALUE"""),"Attack in Detail")</f>
        <v>Attack in Detail</v>
      </c>
      <c r="C49" s="263"/>
      <c r="D49" s="264" t="str">
        <f>IFERROR(__xludf.DUMMYFUNCTION("""COMPUTED_VALUE"""),"")</f>
        <v/>
      </c>
      <c r="E49" s="264" t="str">
        <f>IFERROR(__xludf.DUMMYFUNCTION("""COMPUTED_VALUE"""),"120ft")</f>
        <v>120ft</v>
      </c>
      <c r="F49" s="266" t="str">
        <f>IFERROR(__xludf.DUMMYFUNCTION("""COMPUTED_VALUE"""),"You target one enemy unit. All allied units (including yourself) gain a +1 Damage Bonus when that enemy unit is the target of an attack until the start of your next turn. In addition, all allied units gain +5 Movement Speed when moving towards that enemy "&amp;"unit.")</f>
        <v>You target one enemy unit. All allied units (including yourself) gain a +1 Damage Bonus when that enemy unit is the target of an attack until the start of your next turn. In addition, all allied units gain +5 Movement Speed when moving towards that enemy unit.</v>
      </c>
      <c r="G49" s="263" t="str">
        <f>IFERROR(__xludf.DUMMYFUNCTION("""COMPUTED_VALUE"""),"")</f>
        <v/>
      </c>
      <c r="H49" s="265" t="str">
        <f>IFERROR(__xludf.DUMMYFUNCTION("""COMPUTED_VALUE"""),"2 AP")</f>
        <v>2 AP</v>
      </c>
      <c r="I49" s="264" t="str">
        <f>IFERROR(__xludf.DUMMYFUNCTION("""COMPUTED_VALUE"""),"2 AP")</f>
        <v>2 AP</v>
      </c>
      <c r="J49" s="263" t="str">
        <f>IFERROR(__xludf.DUMMYFUNCTION("""COMPUTED_VALUE"""),"")</f>
        <v/>
      </c>
      <c r="K49" s="263" t="str">
        <f>IFERROR(__xludf.DUMMYFUNCTION("""COMPUTED_VALUE"""),"")</f>
        <v/>
      </c>
      <c r="L49" s="263" t="str">
        <f>IFERROR(__xludf.DUMMYFUNCTION("""COMPUTED_VALUE"""),"")</f>
        <v/>
      </c>
      <c r="M49" s="263"/>
      <c r="N49" s="263"/>
      <c r="O49" s="263"/>
      <c r="P49" s="263"/>
      <c r="Q49" s="263"/>
      <c r="R49" s="263"/>
      <c r="S49" s="263"/>
      <c r="T49" s="263"/>
      <c r="U49" s="246"/>
      <c r="V49" s="246"/>
      <c r="W49" s="246"/>
      <c r="X49" s="246"/>
      <c r="Y49" s="246"/>
      <c r="Z49" s="246"/>
    </row>
    <row r="50">
      <c r="A50" s="263"/>
      <c r="B50" s="265" t="str">
        <f>IFERROR(__xludf.DUMMYFUNCTION("""COMPUTED_VALUE"""),"Attacks from the Past")</f>
        <v>Attacks from the Past</v>
      </c>
      <c r="C50" s="263"/>
      <c r="D50" s="264" t="str">
        <f>IFERROR(__xludf.DUMMYFUNCTION("""COMPUTED_VALUE"""),"Rage")</f>
        <v>Rage</v>
      </c>
      <c r="E50" s="264" t="str">
        <f>IFERROR(__xludf.DUMMYFUNCTION("""COMPUTED_VALUE"""),"Self")</f>
        <v>Self</v>
      </c>
      <c r="F50" s="266" t="str">
        <f>IFERROR(__xludf.DUMMYFUNCTION("""COMPUTED_VALUE"""),"After making a melee weapon attack, you may repeat the attack from one of your past self tokens. You may target the same enemy as your original attack. Cannot repeat Secret Arts or other attacks with a once per combat/arc etc type limitation.
Can only rep"&amp;"eat attacks with a base cost of 2 AP or lower and any mana cost must be paid as normal.")</f>
        <v>After making a melee weapon attack, you may repeat the attack from one of your past self tokens. You may target the same enemy as your original attack. Cannot repeat Secret Arts or other attacks with a once per combat/arc etc type limitation.
Can only repeat attacks with a base cost of 2 AP or lower and any mana cost must be paid as normal.</v>
      </c>
      <c r="G50" s="263" t="str">
        <f>IFERROR(__xludf.DUMMYFUNCTION("""COMPUTED_VALUE"""),"")</f>
        <v/>
      </c>
      <c r="H50" s="265" t="str">
        <f>IFERROR(__xludf.DUMMYFUNCTION("""COMPUTED_VALUE"""),"1 RP")</f>
        <v>1 RP</v>
      </c>
      <c r="I50" s="264" t="str">
        <f>IFERROR(__xludf.DUMMYFUNCTION("""COMPUTED_VALUE"""),"")</f>
        <v/>
      </c>
      <c r="J50" s="264" t="str">
        <f>IFERROR(__xludf.DUMMYFUNCTION("""COMPUTED_VALUE"""),"")</f>
        <v/>
      </c>
      <c r="K50" s="263" t="str">
        <f>IFERROR(__xludf.DUMMYFUNCTION("""COMPUTED_VALUE"""),"1 RP")</f>
        <v>1 RP</v>
      </c>
      <c r="L50" s="263" t="str">
        <f>IFERROR(__xludf.DUMMYFUNCTION("""COMPUTED_VALUE"""),"")</f>
        <v/>
      </c>
      <c r="M50" s="263"/>
      <c r="N50" s="263"/>
      <c r="O50" s="263"/>
      <c r="P50" s="263"/>
      <c r="Q50" s="263"/>
      <c r="R50" s="263"/>
      <c r="S50" s="263"/>
      <c r="T50" s="263"/>
      <c r="U50" s="246"/>
      <c r="V50" s="246"/>
      <c r="W50" s="246"/>
      <c r="X50" s="246"/>
      <c r="Y50" s="246"/>
      <c r="Z50" s="246"/>
    </row>
    <row r="51">
      <c r="A51" s="263"/>
      <c r="B51" s="265" t="str">
        <f>IFERROR(__xludf.DUMMYFUNCTION("""COMPUTED_VALUE"""),"Attune Eidolon")</f>
        <v>Attune Eidolon</v>
      </c>
      <c r="C51" s="263"/>
      <c r="D51" s="264" t="str">
        <f>IFERROR(__xludf.DUMMYFUNCTION("""COMPUTED_VALUE"""),"Encounter Start")</f>
        <v>Encounter Start</v>
      </c>
      <c r="E51" s="264" t="str">
        <f>IFERROR(__xludf.DUMMYFUNCTION("""COMPUTED_VALUE"""),"Self")</f>
        <v>Self</v>
      </c>
      <c r="F51" s="266" t="str">
        <f>IFERROR(__xludf.DUMMYFUNCTION("""COMPUTED_VALUE"""),"You attune to a specific Eidolon, paying the attunement cost (if applicable) and then activating its Passive (if applicable).  You gain its Channel Eidolon, Summon Lesser Eidolon and Secret Art: Summon Eidolon abilities provided that you have advanced eno"&amp;"ugh in this class to get them.
You may use this as an Encounter Start ability without paying an AP cost.")</f>
        <v>You attune to a specific Eidolon, paying the attunement cost (if applicable) and then activating its Passive (if applicable).  You gain its Channel Eidolon, Summon Lesser Eidolon and Secret Art: Summon Eidolon abilities provided that you have advanced enough in this class to get them.
You may use this as an Encounter Start ability without paying an AP cost.</v>
      </c>
      <c r="G51" s="263" t="str">
        <f>IFERROR(__xludf.DUMMYFUNCTION("""COMPUTED_VALUE"""),"You have an Eidolon you are contracted to.")</f>
        <v>You have an Eidolon you are contracted to.</v>
      </c>
      <c r="H51" s="265" t="str">
        <f>IFERROR(__xludf.DUMMYFUNCTION("""COMPUTED_VALUE"""),"2 AP")</f>
        <v>2 AP</v>
      </c>
      <c r="I51" s="264" t="str">
        <f>IFERROR(__xludf.DUMMYFUNCTION("""COMPUTED_VALUE"""),"2 AP")</f>
        <v>2 AP</v>
      </c>
      <c r="J51" s="264" t="str">
        <f>IFERROR(__xludf.DUMMYFUNCTION("""COMPUTED_VALUE"""),"")</f>
        <v/>
      </c>
      <c r="K51" s="263" t="str">
        <f>IFERROR(__xludf.DUMMYFUNCTION("""COMPUTED_VALUE"""),"")</f>
        <v/>
      </c>
      <c r="L51" s="263" t="str">
        <f>IFERROR(__xludf.DUMMYFUNCTION("""COMPUTED_VALUE"""),"")</f>
        <v/>
      </c>
      <c r="M51" s="263"/>
      <c r="N51" s="263"/>
      <c r="O51" s="263"/>
      <c r="P51" s="263"/>
      <c r="Q51" s="263"/>
      <c r="R51" s="263"/>
      <c r="S51" s="263"/>
      <c r="T51" s="263"/>
      <c r="U51" s="246"/>
      <c r="V51" s="246"/>
      <c r="W51" s="246"/>
      <c r="X51" s="246"/>
      <c r="Y51" s="246"/>
      <c r="Z51" s="246"/>
    </row>
    <row r="52">
      <c r="A52" s="263"/>
      <c r="B52" s="265" t="str">
        <f>IFERROR(__xludf.DUMMYFUNCTION("""COMPUTED_VALUE"""),"Aura of Protection")</f>
        <v>Aura of Protection</v>
      </c>
      <c r="C52" s="263"/>
      <c r="D52" s="263" t="str">
        <f>IFERROR(__xludf.DUMMYFUNCTION("""COMPUTED_VALUE"""),"Aura")</f>
        <v>Aura</v>
      </c>
      <c r="E52" s="263" t="str">
        <f>IFERROR(__xludf.DUMMYFUNCTION("""COMPUTED_VALUE"""),"Self")</f>
        <v>Self</v>
      </c>
      <c r="F52" s="266" t="str">
        <f>IFERROR(__xludf.DUMMYFUNCTION("""COMPUTED_VALUE"""),"You create a 30ft radius Aura of Protection around yourself. While this aura is active, when an ally within 30ft of you takes the Block action you may spend 1 Mana to replace their Block Value with your own. In addition, any abilities with the Aid keyword"&amp;" have their range increased by 20ft while inside the Aura.")</f>
        <v>You create a 30ft radius Aura of Protection around yourself. While this aura is active, when an ally within 30ft of you takes the Block action you may spend 1 Mana to replace their Block Value with your own. In addition, any abilities with the Aid keyword have their range increased by 20ft while inside the Aura.</v>
      </c>
      <c r="G52" s="263" t="str">
        <f>IFERROR(__xludf.DUMMYFUNCTION("""COMPUTED_VALUE"""),"")</f>
        <v/>
      </c>
      <c r="H52" s="267" t="str">
        <f>IFERROR(__xludf.DUMMYFUNCTION("""COMPUTED_VALUE"""),"1 AP")</f>
        <v>1 AP</v>
      </c>
      <c r="I52" s="263" t="str">
        <f>IFERROR(__xludf.DUMMYFUNCTION("""COMPUTED_VALUE"""),"1 AP")</f>
        <v>1 AP</v>
      </c>
      <c r="J52" s="263" t="str">
        <f>IFERROR(__xludf.DUMMYFUNCTION("""COMPUTED_VALUE"""),"")</f>
        <v/>
      </c>
      <c r="K52" s="263" t="str">
        <f>IFERROR(__xludf.DUMMYFUNCTION("""COMPUTED_VALUE"""),"")</f>
        <v/>
      </c>
      <c r="L52" s="263" t="str">
        <f>IFERROR(__xludf.DUMMYFUNCTION("""COMPUTED_VALUE"""),"")</f>
        <v/>
      </c>
      <c r="M52" s="263"/>
      <c r="N52" s="263"/>
      <c r="O52" s="263"/>
      <c r="P52" s="263"/>
      <c r="Q52" s="263"/>
      <c r="R52" s="263"/>
      <c r="S52" s="263"/>
      <c r="T52" s="263"/>
      <c r="U52" s="246"/>
      <c r="V52" s="246"/>
      <c r="W52" s="246"/>
      <c r="X52" s="246"/>
      <c r="Y52" s="246"/>
      <c r="Z52" s="246"/>
    </row>
    <row r="53">
      <c r="A53" s="263"/>
      <c r="B53" s="265" t="str">
        <f>IFERROR(__xludf.DUMMYFUNCTION("""COMPUTED_VALUE"""),"Aura of Resistance")</f>
        <v>Aura of Resistance</v>
      </c>
      <c r="C53" s="263"/>
      <c r="D53" s="264" t="str">
        <f>IFERROR(__xludf.DUMMYFUNCTION("""COMPUTED_VALUE"""),"Aura")</f>
        <v>Aura</v>
      </c>
      <c r="E53" s="264" t="str">
        <f>IFERROR(__xludf.DUMMYFUNCTION("""COMPUTED_VALUE"""),"Self")</f>
        <v>Self</v>
      </c>
      <c r="F53" s="266" t="str">
        <f>IFERROR(__xludf.DUMMYFUNCTION("""COMPUTED_VALUE"""),"You create a 30ft radius Aura of Resistance around yourself until the end of the encounter.
While this aura is active, when an ally other than yourself fails a save you may spend 1 Mana to make them treat their save as if they were using your Toughness va"&amp;"lue instead of their own.")</f>
        <v>You create a 30ft radius Aura of Resistance around yourself until the end of the encounter.
While this aura is active, when an ally other than yourself fails a save you may spend 1 Mana to make them treat their save as if they were using your Toughness value instead of their own.</v>
      </c>
      <c r="G53" s="263" t="str">
        <f>IFERROR(__xludf.DUMMYFUNCTION("""COMPUTED_VALUE"""),"")</f>
        <v/>
      </c>
      <c r="H53" s="265" t="str">
        <f>IFERROR(__xludf.DUMMYFUNCTION("""COMPUTED_VALUE"""),"1 AP")</f>
        <v>1 AP</v>
      </c>
      <c r="I53" s="264" t="str">
        <f>IFERROR(__xludf.DUMMYFUNCTION("""COMPUTED_VALUE"""),"1 AP")</f>
        <v>1 AP</v>
      </c>
      <c r="J53" s="263" t="str">
        <f>IFERROR(__xludf.DUMMYFUNCTION("""COMPUTED_VALUE"""),"")</f>
        <v/>
      </c>
      <c r="K53" s="263" t="str">
        <f>IFERROR(__xludf.DUMMYFUNCTION("""COMPUTED_VALUE"""),"")</f>
        <v/>
      </c>
      <c r="L53" s="263" t="str">
        <f>IFERROR(__xludf.DUMMYFUNCTION("""COMPUTED_VALUE"""),"")</f>
        <v/>
      </c>
      <c r="M53" s="263"/>
      <c r="N53" s="263"/>
      <c r="O53" s="263"/>
      <c r="P53" s="263"/>
      <c r="Q53" s="263"/>
      <c r="R53" s="263"/>
      <c r="S53" s="263"/>
      <c r="T53" s="263"/>
      <c r="U53" s="246"/>
      <c r="V53" s="246"/>
      <c r="W53" s="246"/>
      <c r="X53" s="246"/>
      <c r="Y53" s="246"/>
      <c r="Z53" s="246"/>
    </row>
    <row r="54">
      <c r="A54" s="263"/>
      <c r="B54" s="265" t="str">
        <f>IFERROR(__xludf.DUMMYFUNCTION("""COMPUTED_VALUE"""),"Aurora Blade Style Secret Art: Permafrost Guilotine")</f>
        <v>Aurora Blade Style Secret Art: Permafrost Guilotine</v>
      </c>
      <c r="C54" s="263"/>
      <c r="D54" s="263" t="str">
        <f>IFERROR(__xludf.DUMMYFUNCTION("""COMPUTED_VALUE"""),"Secret Art, Stance, Frost")</f>
        <v>Secret Art, Stance, Frost</v>
      </c>
      <c r="E54" s="264" t="str">
        <f>IFERROR(__xludf.DUMMYFUNCTION("""COMPUTED_VALUE"""),"Melee Weapon Range")</f>
        <v>Melee Weapon Range</v>
      </c>
      <c r="F54" s="266" t="str">
        <f>IFERROR(__xludf.DUMMYFUNCTION("""COMPUTED_VALUE"""),"You make a light attack against the target or spend 1 extra AP to make a heavy or precise attack that deals Frost damage. On damage, the target is rooted until the end of your next turn.
Then, enter Permafrost Guillotine stance. While in this stance you c"&amp;"an use Aurora Blade Style Secret Art: Permafrost Guillotine again. The stance lasts until the end of combat or until you enter different stance.")</f>
        <v>You make a light attack against the target or spend 1 extra AP to make a heavy or precise attack that deals Frost damage. On damage, the target is rooted until the end of your next turn.
Then, enter Permafrost Guillotine stance. While in this stance you can use Aurora Blade Style Secret Art: Permafrost Guillotine again. The stance lasts until the end of combat or until you enter different stance.</v>
      </c>
      <c r="G54" s="264" t="str">
        <f>IFERROR(__xludf.DUMMYFUNCTION("""COMPUTED_VALUE"""),"Can only be used after you move to a target using Rimestep. Light swords, longsword, katana or dueling weapon only.")</f>
        <v>Can only be used after you move to a target using Rimestep. Light swords, longsword, katana or dueling weapon only.</v>
      </c>
      <c r="H54" s="265" t="str">
        <f>IFERROR(__xludf.DUMMYFUNCTION("""COMPUTED_VALUE"""),"0 AP")</f>
        <v>0 AP</v>
      </c>
      <c r="I54" s="264" t="str">
        <f>IFERROR(__xludf.DUMMYFUNCTION("""COMPUTED_VALUE"""),"0 AP")</f>
        <v>0 AP</v>
      </c>
      <c r="J54" s="264" t="str">
        <f>IFERROR(__xludf.DUMMYFUNCTION("""COMPUTED_VALUE"""),"")</f>
        <v/>
      </c>
      <c r="K54" s="263" t="str">
        <f>IFERROR(__xludf.DUMMYFUNCTION("""COMPUTED_VALUE"""),"")</f>
        <v/>
      </c>
      <c r="L54" s="263" t="str">
        <f>IFERROR(__xludf.DUMMYFUNCTION("""COMPUTED_VALUE"""),"")</f>
        <v/>
      </c>
      <c r="M54" s="263"/>
      <c r="N54" s="263"/>
      <c r="O54" s="263"/>
      <c r="P54" s="263"/>
      <c r="Q54" s="263"/>
      <c r="R54" s="263"/>
      <c r="S54" s="263"/>
      <c r="T54" s="263"/>
      <c r="U54" s="246"/>
      <c r="V54" s="246"/>
      <c r="W54" s="246"/>
      <c r="X54" s="246"/>
      <c r="Y54" s="246"/>
      <c r="Z54" s="246"/>
    </row>
    <row r="55">
      <c r="A55" s="263"/>
      <c r="B55" s="265" t="str">
        <f>IFERROR(__xludf.DUMMYFUNCTION("""COMPUTED_VALUE"""),"Aurora Blade Style: Aurora Slash")</f>
        <v>Aurora Blade Style: Aurora Slash</v>
      </c>
      <c r="C55" s="263"/>
      <c r="D55" s="263" t="str">
        <f>IFERROR(__xludf.DUMMYFUNCTION("""COMPUTED_VALUE"""),"Slow, Frost")</f>
        <v>Slow, Frost</v>
      </c>
      <c r="E55" s="264" t="str">
        <f>IFERROR(__xludf.DUMMYFUNCTION("""COMPUTED_VALUE"""),"80ft")</f>
        <v>80ft</v>
      </c>
      <c r="F55" s="266" t="str">
        <f>IFERROR(__xludf.DUMMYFUNCTION("""COMPUTED_VALUE"""),"You fire slashes in a straight line creating a curtain of light which strikes the first target hit with a light attack that deals frost damage. On hit the target is slowed until the end of your next turn.
The light from the slash continues for the full ra"&amp;"nge, creating a 300ft high wall that blocks vision on both sides. This wall of multicolored light last until the start of your next turn.")</f>
        <v>You fire slashes in a straight line creating a curtain of light which strikes the first target hit with a light attack that deals frost damage. On hit the target is slowed until the end of your next turn.
The light from the slash continues for the full range, creating a 300ft high wall that blocks vision on both sides. This wall of multicolored light last until the start of your next turn.</v>
      </c>
      <c r="G55" s="263" t="str">
        <f>IFERROR(__xludf.DUMMYFUNCTION("""COMPUTED_VALUE"""),"Light swords, longsword, katana or dueling weapon only.")</f>
        <v>Light swords, longsword, katana or dueling weapon only.</v>
      </c>
      <c r="H55" s="265" t="str">
        <f>IFERROR(__xludf.DUMMYFUNCTION("""COMPUTED_VALUE"""),"2 AP, 1 MP")</f>
        <v>2 AP, 1 MP</v>
      </c>
      <c r="I55" s="264" t="str">
        <f>IFERROR(__xludf.DUMMYFUNCTION("""COMPUTED_VALUE"""),"2 AP")</f>
        <v>2 AP</v>
      </c>
      <c r="J55" s="263" t="str">
        <f>IFERROR(__xludf.DUMMYFUNCTION("""COMPUTED_VALUE"""),"1 MP")</f>
        <v>1 MP</v>
      </c>
      <c r="K55" s="263" t="str">
        <f>IFERROR(__xludf.DUMMYFUNCTION("""COMPUTED_VALUE"""),"")</f>
        <v/>
      </c>
      <c r="L55" s="263" t="str">
        <f>IFERROR(__xludf.DUMMYFUNCTION("""COMPUTED_VALUE"""),"")</f>
        <v/>
      </c>
      <c r="M55" s="263"/>
      <c r="N55" s="263"/>
      <c r="O55" s="263"/>
      <c r="P55" s="263"/>
      <c r="Q55" s="263"/>
      <c r="R55" s="263"/>
      <c r="S55" s="263"/>
      <c r="T55" s="263"/>
      <c r="U55" s="246"/>
      <c r="V55" s="246"/>
      <c r="W55" s="246"/>
      <c r="X55" s="246"/>
      <c r="Y55" s="246"/>
      <c r="Z55" s="246"/>
    </row>
    <row r="56">
      <c r="A56" s="263"/>
      <c r="B56" s="265" t="str">
        <f>IFERROR(__xludf.DUMMYFUNCTION("""COMPUTED_VALUE"""),"Aurora Blade Style: Rimestep")</f>
        <v>Aurora Blade Style: Rimestep</v>
      </c>
      <c r="C56" s="263"/>
      <c r="D56" s="263" t="str">
        <f>IFERROR(__xludf.DUMMYFUNCTION("""COMPUTED_VALUE"""),"Sidestep")</f>
        <v>Sidestep</v>
      </c>
      <c r="E56" s="263" t="str">
        <f>IFERROR(__xludf.DUMMYFUNCTION("""COMPUTED_VALUE"""),"Self")</f>
        <v>Self</v>
      </c>
      <c r="F56" s="266" t="str">
        <f>IFERROR(__xludf.DUMMYFUNCTION("""COMPUTED_VALUE"""),"When a target is slowed by an attack with the frost keyword, you may sidestep up to your speed towards the target. If you have enough movement you can end your movement anywhere next to the target. Overcharge: You may spend 1 Mana to instead make it three"&amp;" times your speed.")</f>
        <v>When a target is slowed by an attack with the frost keyword, you may sidestep up to your speed towards the target. If you have enough movement you can end your movement anywhere next to the target. Overcharge: You may spend 1 Mana to instead make it three times your speed.</v>
      </c>
      <c r="G56" s="263" t="str">
        <f>IFERROR(__xludf.DUMMYFUNCTION("""COMPUTED_VALUE"""),"")</f>
        <v/>
      </c>
      <c r="H56" s="267" t="str">
        <f>IFERROR(__xludf.DUMMYFUNCTION("""COMPUTED_VALUE"""),"0 RP")</f>
        <v>0 RP</v>
      </c>
      <c r="I56" s="263" t="str">
        <f>IFERROR(__xludf.DUMMYFUNCTION("""COMPUTED_VALUE"""),"")</f>
        <v/>
      </c>
      <c r="J56" s="263" t="str">
        <f>IFERROR(__xludf.DUMMYFUNCTION("""COMPUTED_VALUE"""),"")</f>
        <v/>
      </c>
      <c r="K56" s="263" t="str">
        <f>IFERROR(__xludf.DUMMYFUNCTION("""COMPUTED_VALUE"""),"0 RP")</f>
        <v>0 RP</v>
      </c>
      <c r="L56" s="263" t="str">
        <f>IFERROR(__xludf.DUMMYFUNCTION("""COMPUTED_VALUE"""),"")</f>
        <v/>
      </c>
      <c r="M56" s="263"/>
      <c r="N56" s="263"/>
      <c r="O56" s="263"/>
      <c r="P56" s="263"/>
      <c r="Q56" s="263"/>
      <c r="R56" s="263"/>
      <c r="S56" s="263"/>
      <c r="T56" s="263"/>
      <c r="U56" s="246"/>
      <c r="V56" s="246"/>
      <c r="W56" s="246"/>
      <c r="X56" s="246"/>
      <c r="Y56" s="246"/>
      <c r="Z56" s="246"/>
    </row>
    <row r="57">
      <c r="A57" s="263"/>
      <c r="B57" s="265" t="str">
        <f>IFERROR(__xludf.DUMMYFUNCTION("""COMPUTED_VALUE"""),"Aurora Blade Style: Winter's Edge")</f>
        <v>Aurora Blade Style: Winter's Edge</v>
      </c>
      <c r="C57" s="263"/>
      <c r="D57" s="263" t="str">
        <f>IFERROR(__xludf.DUMMYFUNCTION("""COMPUTED_VALUE"""),"Slow, Frost")</f>
        <v>Slow, Frost</v>
      </c>
      <c r="E57" s="264" t="str">
        <f>IFERROR(__xludf.DUMMYFUNCTION("""COMPUTED_VALUE"""),"Melee Weapon Range")</f>
        <v>Melee Weapon Range</v>
      </c>
      <c r="F57" s="266" t="str">
        <f>IFERROR(__xludf.DUMMYFUNCTION("""COMPUTED_VALUE"""),"You imbue your blade with frost energy and make a precise attack that deals Frost damage. On hit, the target is slowed until the end of your next turn.")</f>
        <v>You imbue your blade with frost energy and make a precise attack that deals Frost damage. On hit, the target is slowed until the end of your next turn.</v>
      </c>
      <c r="G57" s="263" t="str">
        <f>IFERROR(__xludf.DUMMYFUNCTION("""COMPUTED_VALUE"""),"Light swords, longsword, katana or dueling weapon only.")</f>
        <v>Light swords, longsword, katana or dueling weapon only.</v>
      </c>
      <c r="H57" s="265" t="str">
        <f>IFERROR(__xludf.DUMMYFUNCTION("""COMPUTED_VALUE"""),"2 AP, 1 MP")</f>
        <v>2 AP, 1 MP</v>
      </c>
      <c r="I57" s="264" t="str">
        <f>IFERROR(__xludf.DUMMYFUNCTION("""COMPUTED_VALUE"""),"2 AP")</f>
        <v>2 AP</v>
      </c>
      <c r="J57" s="263" t="str">
        <f>IFERROR(__xludf.DUMMYFUNCTION("""COMPUTED_VALUE"""),"1 MP")</f>
        <v>1 MP</v>
      </c>
      <c r="K57" s="263" t="str">
        <f>IFERROR(__xludf.DUMMYFUNCTION("""COMPUTED_VALUE"""),"")</f>
        <v/>
      </c>
      <c r="L57" s="263" t="str">
        <f>IFERROR(__xludf.DUMMYFUNCTION("""COMPUTED_VALUE"""),"")</f>
        <v/>
      </c>
      <c r="M57" s="263"/>
      <c r="N57" s="263"/>
      <c r="O57" s="263"/>
      <c r="P57" s="263"/>
      <c r="Q57" s="263"/>
      <c r="R57" s="263"/>
      <c r="S57" s="263"/>
      <c r="T57" s="263"/>
      <c r="U57" s="246"/>
      <c r="V57" s="246"/>
      <c r="W57" s="246"/>
      <c r="X57" s="246"/>
      <c r="Y57" s="246"/>
      <c r="Z57" s="246"/>
    </row>
    <row r="58">
      <c r="A58" s="263"/>
      <c r="B58" s="265" t="str">
        <f>IFERROR(__xludf.DUMMYFUNCTION("""COMPUTED_VALUE"""),"Ave María")</f>
        <v>Ave María</v>
      </c>
      <c r="C58" s="263"/>
      <c r="D58" s="264" t="str">
        <f>IFERROR(__xludf.DUMMYFUNCTION("""COMPUTED_VALUE"""),"")</f>
        <v/>
      </c>
      <c r="E58" s="264" t="str">
        <f>IFERROR(__xludf.DUMMYFUNCTION("""COMPUTED_VALUE"""),"Melee Weapon Range")</f>
        <v>Melee Weapon Range</v>
      </c>
      <c r="F58" s="266" t="str">
        <f>IFERROR(__xludf.DUMMYFUNCTION("""COMPUTED_VALUE"""),"You attack with a swift double slash in the blink of an eye, making a Heavy Attack that deals Light damage + Heavy Holy damage.")</f>
        <v>You attack with a swift double slash in the blink of an eye, making a Heavy Attack that deals Light damage + Heavy Holy damage.</v>
      </c>
      <c r="G58" s="263" t="str">
        <f>IFERROR(__xludf.DUMMYFUNCTION("""COMPUTED_VALUE"""),"")</f>
        <v/>
      </c>
      <c r="H58" s="265" t="str">
        <f>IFERROR(__xludf.DUMMYFUNCTION("""COMPUTED_VALUE"""),"3 AP")</f>
        <v>3 AP</v>
      </c>
      <c r="I58" s="264" t="str">
        <f>IFERROR(__xludf.DUMMYFUNCTION("""COMPUTED_VALUE"""),"3 AP")</f>
        <v>3 AP</v>
      </c>
      <c r="J58" s="263" t="str">
        <f>IFERROR(__xludf.DUMMYFUNCTION("""COMPUTED_VALUE"""),"")</f>
        <v/>
      </c>
      <c r="K58" s="263" t="str">
        <f>IFERROR(__xludf.DUMMYFUNCTION("""COMPUTED_VALUE"""),"")</f>
        <v/>
      </c>
      <c r="L58" s="263" t="str">
        <f>IFERROR(__xludf.DUMMYFUNCTION("""COMPUTED_VALUE"""),"")</f>
        <v/>
      </c>
      <c r="M58" s="263"/>
      <c r="N58" s="263"/>
      <c r="O58" s="263"/>
      <c r="P58" s="263"/>
      <c r="Q58" s="263"/>
      <c r="R58" s="263"/>
      <c r="S58" s="263"/>
      <c r="T58" s="263"/>
      <c r="U58" s="246"/>
      <c r="V58" s="246"/>
      <c r="W58" s="246"/>
      <c r="X58" s="246"/>
      <c r="Y58" s="246"/>
      <c r="Z58" s="246"/>
    </row>
    <row r="59">
      <c r="A59" s="263"/>
      <c r="B59" s="265" t="str">
        <f>IFERROR(__xludf.DUMMYFUNCTION("""COMPUTED_VALUE"""),"Backlash")</f>
        <v>Backlash</v>
      </c>
      <c r="C59" s="263"/>
      <c r="D59" s="264" t="str">
        <f>IFERROR(__xludf.DUMMYFUNCTION("""COMPUTED_VALUE"""),"Full Pierce, Lockstep")</f>
        <v>Full Pierce, Lockstep</v>
      </c>
      <c r="E59" s="264" t="str">
        <f>IFERROR(__xludf.DUMMYFUNCTION("""COMPUTED_VALUE"""),"Melee Weapon Range")</f>
        <v>Melee Weapon Range</v>
      </c>
      <c r="F59" s="266" t="str">
        <f>IFERROR(__xludf.DUMMYFUNCTION("""COMPUTED_VALUE"""),"You make a Light attack against the target. You take true damage equal to half the damage dealt.")</f>
        <v>You make a Light attack against the target. You take true damage equal to half the damage dealt.</v>
      </c>
      <c r="G59" s="264" t="str">
        <f>IFERROR(__xludf.DUMMYFUNCTION("""COMPUTED_VALUE"""),"")</f>
        <v/>
      </c>
      <c r="H59" s="265" t="str">
        <f>IFERROR(__xludf.DUMMYFUNCTION("""COMPUTED_VALUE"""),"1 AP")</f>
        <v>1 AP</v>
      </c>
      <c r="I59" s="263" t="str">
        <f>IFERROR(__xludf.DUMMYFUNCTION("""COMPUTED_VALUE"""),"1 AP")</f>
        <v>1 AP</v>
      </c>
      <c r="J59" s="264" t="str">
        <f>IFERROR(__xludf.DUMMYFUNCTION("""COMPUTED_VALUE"""),"")</f>
        <v/>
      </c>
      <c r="K59" s="264" t="str">
        <f>IFERROR(__xludf.DUMMYFUNCTION("""COMPUTED_VALUE"""),"")</f>
        <v/>
      </c>
      <c r="L59" s="263" t="str">
        <f>IFERROR(__xludf.DUMMYFUNCTION("""COMPUTED_VALUE"""),"")</f>
        <v/>
      </c>
      <c r="M59" s="263"/>
      <c r="N59" s="263"/>
      <c r="O59" s="263"/>
      <c r="P59" s="263"/>
      <c r="Q59" s="263"/>
      <c r="R59" s="263"/>
      <c r="S59" s="263"/>
      <c r="T59" s="263"/>
      <c r="U59" s="246"/>
      <c r="V59" s="246"/>
      <c r="W59" s="246"/>
      <c r="X59" s="246"/>
      <c r="Y59" s="246"/>
      <c r="Z59" s="246"/>
    </row>
    <row r="60">
      <c r="A60" s="263"/>
      <c r="B60" s="265" t="str">
        <f>IFERROR(__xludf.DUMMYFUNCTION("""COMPUTED_VALUE"""),"Banana Peel")</f>
        <v>Banana Peel</v>
      </c>
      <c r="C60" s="263"/>
      <c r="D60" s="263" t="str">
        <f>IFERROR(__xludf.DUMMYFUNCTION("""COMPUTED_VALUE"""),"")</f>
        <v/>
      </c>
      <c r="E60" s="264" t="str">
        <f>IFERROR(__xludf.DUMMYFUNCTION("""COMPUTED_VALUE"""),"20ft")</f>
        <v>20ft</v>
      </c>
      <c r="F60" s="266" t="str">
        <f>IFERROR(__xludf.DUMMYFUNCTION("""COMPUTED_VALUE"""),"You toss a banana peel in front of the target and they must make a Save or fall prone. If they fall prone, you may immediately use Pie Toss against them for 0 RP.")</f>
        <v>You toss a banana peel in front of the target and they must make a Save or fall prone. If they fall prone, you may immediately use Pie Toss against them for 0 RP.</v>
      </c>
      <c r="G60" s="264" t="str">
        <f>IFERROR(__xludf.DUMMYFUNCTION("""COMPUTED_VALUE"""),"An enemy is moving within range.")</f>
        <v>An enemy is moving within range.</v>
      </c>
      <c r="H60" s="265" t="str">
        <f>IFERROR(__xludf.DUMMYFUNCTION("""COMPUTED_VALUE"""),"1 RP")</f>
        <v>1 RP</v>
      </c>
      <c r="I60" s="263" t="str">
        <f>IFERROR(__xludf.DUMMYFUNCTION("""COMPUTED_VALUE"""),"")</f>
        <v/>
      </c>
      <c r="J60" s="263" t="str">
        <f>IFERROR(__xludf.DUMMYFUNCTION("""COMPUTED_VALUE"""),"")</f>
        <v/>
      </c>
      <c r="K60" s="264" t="str">
        <f>IFERROR(__xludf.DUMMYFUNCTION("""COMPUTED_VALUE"""),"1 RP")</f>
        <v>1 RP</v>
      </c>
      <c r="L60" s="263" t="str">
        <f>IFERROR(__xludf.DUMMYFUNCTION("""COMPUTED_VALUE"""),"")</f>
        <v/>
      </c>
      <c r="M60" s="263"/>
      <c r="N60" s="263"/>
      <c r="O60" s="263"/>
      <c r="P60" s="263"/>
      <c r="Q60" s="263"/>
      <c r="R60" s="263"/>
      <c r="S60" s="263"/>
      <c r="T60" s="263"/>
      <c r="U60" s="246"/>
      <c r="V60" s="246"/>
      <c r="W60" s="246"/>
      <c r="X60" s="246"/>
      <c r="Y60" s="246"/>
      <c r="Z60" s="246"/>
    </row>
    <row r="61">
      <c r="A61" s="263"/>
      <c r="B61" s="265" t="str">
        <f>IFERROR(__xludf.DUMMYFUNCTION("""COMPUTED_VALUE"""),"Barrel Roll")</f>
        <v>Barrel Roll</v>
      </c>
      <c r="C61" s="263"/>
      <c r="D61" s="264" t="str">
        <f>IFERROR(__xludf.DUMMYFUNCTION("""COMPUTED_VALUE"""),"Aerial Mage")</f>
        <v>Aerial Mage</v>
      </c>
      <c r="E61" s="264" t="str">
        <f>IFERROR(__xludf.DUMMYFUNCTION("""COMPUTED_VALUE"""),"Self")</f>
        <v>Self</v>
      </c>
      <c r="F61" s="266" t="str">
        <f>IFERROR(__xludf.DUMMYFUNCTION("""COMPUTED_VALUE"""),"You take the Dodge action and remove Lock On from the attack.
You may spend an additional RP to automatically make the attack miss you, even if the attack has Sure Hit.")</f>
        <v>You take the Dodge action and remove Lock On from the attack.
You may spend an additional RP to automatically make the attack miss you, even if the attack has Sure Hit.</v>
      </c>
      <c r="G61" s="264" t="str">
        <f>IFERROR(__xludf.DUMMYFUNCTION("""COMPUTED_VALUE"""),"You are on an aerial staff and in Aerial mode.")</f>
        <v>You are on an aerial staff and in Aerial mode.</v>
      </c>
      <c r="H61" s="265" t="str">
        <f>IFERROR(__xludf.DUMMYFUNCTION("""COMPUTED_VALUE"""),"1 MP, 1 RP")</f>
        <v>1 MP, 1 RP</v>
      </c>
      <c r="I61" s="264" t="str">
        <f>IFERROR(__xludf.DUMMYFUNCTION("""COMPUTED_VALUE"""),"")</f>
        <v/>
      </c>
      <c r="J61" s="264" t="str">
        <f>IFERROR(__xludf.DUMMYFUNCTION("""COMPUTED_VALUE"""),"1 MP")</f>
        <v>1 MP</v>
      </c>
      <c r="K61" s="263" t="str">
        <f>IFERROR(__xludf.DUMMYFUNCTION("""COMPUTED_VALUE"""),"1 RP")</f>
        <v>1 RP</v>
      </c>
      <c r="L61" s="263" t="str">
        <f>IFERROR(__xludf.DUMMYFUNCTION("""COMPUTED_VALUE"""),"")</f>
        <v/>
      </c>
      <c r="M61" s="263"/>
      <c r="N61" s="263"/>
      <c r="O61" s="263"/>
      <c r="P61" s="263"/>
      <c r="Q61" s="263"/>
      <c r="R61" s="263"/>
      <c r="S61" s="263"/>
      <c r="T61" s="263"/>
      <c r="U61" s="246"/>
      <c r="V61" s="246"/>
      <c r="W61" s="246"/>
      <c r="X61" s="246"/>
      <c r="Y61" s="246"/>
      <c r="Z61" s="246"/>
    </row>
    <row r="62">
      <c r="A62" s="263"/>
      <c r="B62" s="265" t="str">
        <f>IFERROR(__xludf.DUMMYFUNCTION("""COMPUTED_VALUE"""),"Battle Cast")</f>
        <v>Battle Cast</v>
      </c>
      <c r="C62" s="263"/>
      <c r="D62" s="263" t="str">
        <f>IFERROR(__xludf.DUMMYFUNCTION("""COMPUTED_VALUE"""),"Circuit")</f>
        <v>Circuit</v>
      </c>
      <c r="E62" s="264" t="str">
        <f>IFERROR(__xludf.DUMMYFUNCTION("""COMPUTED_VALUE"""),"Self")</f>
        <v>Self</v>
      </c>
      <c r="F62" s="266" t="str">
        <f>IFERROR(__xludf.DUMMYFUNCTION("""COMPUTED_VALUE"""),"The next Spell you cast before the end of your turn does not provoke an attack of opportunity from being casted in Melee Range of an opponent.")</f>
        <v>The next Spell you cast before the end of your turn does not provoke an attack of opportunity from being casted in Melee Range of an opponent.</v>
      </c>
      <c r="G62" s="263" t="str">
        <f>IFERROR(__xludf.DUMMYFUNCTION("""COMPUTED_VALUE"""),"")</f>
        <v/>
      </c>
      <c r="H62" s="265" t="str">
        <f>IFERROR(__xludf.DUMMYFUNCTION("""COMPUTED_VALUE"""),"0 AP, 1 MP")</f>
        <v>0 AP, 1 MP</v>
      </c>
      <c r="I62" s="264" t="str">
        <f>IFERROR(__xludf.DUMMYFUNCTION("""COMPUTED_VALUE"""),"0 AP")</f>
        <v>0 AP</v>
      </c>
      <c r="J62" s="264" t="str">
        <f>IFERROR(__xludf.DUMMYFUNCTION("""COMPUTED_VALUE"""),"1 MP")</f>
        <v>1 MP</v>
      </c>
      <c r="K62" s="263" t="str">
        <f>IFERROR(__xludf.DUMMYFUNCTION("""COMPUTED_VALUE"""),"")</f>
        <v/>
      </c>
      <c r="L62" s="263" t="str">
        <f>IFERROR(__xludf.DUMMYFUNCTION("""COMPUTED_VALUE"""),"")</f>
        <v/>
      </c>
      <c r="M62" s="263"/>
      <c r="N62" s="263"/>
      <c r="O62" s="263"/>
      <c r="P62" s="263"/>
      <c r="Q62" s="263"/>
      <c r="R62" s="263"/>
      <c r="S62" s="263"/>
      <c r="T62" s="263"/>
      <c r="U62" s="246"/>
      <c r="V62" s="246"/>
      <c r="W62" s="246"/>
      <c r="X62" s="246"/>
      <c r="Y62" s="246"/>
      <c r="Z62" s="246"/>
    </row>
    <row r="63">
      <c r="A63" s="263"/>
      <c r="B63" s="265" t="str">
        <f>IFERROR(__xludf.DUMMYFUNCTION("""COMPUTED_VALUE"""),"Bear Maul")</f>
        <v>Bear Maul</v>
      </c>
      <c r="C63" s="263"/>
      <c r="D63" s="264" t="str">
        <f>IFERROR(__xludf.DUMMYFUNCTION("""COMPUTED_VALUE"""),"Unarmed Strike")</f>
        <v>Unarmed Strike</v>
      </c>
      <c r="E63" s="264" t="str">
        <f>IFERROR(__xludf.DUMMYFUNCTION("""COMPUTED_VALUE"""),"5ft")</f>
        <v>5ft</v>
      </c>
      <c r="F63" s="266" t="str">
        <f>IFERROR(__xludf.DUMMYFUNCTION("""COMPUTED_VALUE"""),"You swing your paw at the target and make a Heavy attack against it that deals maximum damage. If the target dodges, this attack automatically misses.
You are considered proficient in unarmed attacks for this attack, even if you normally wouldn’t be.")</f>
        <v>You swing your paw at the target and make a Heavy attack against it that deals maximum damage. If the target dodges, this attack automatically misses.
You are considered proficient in unarmed attacks for this attack, even if you normally wouldn’t be.</v>
      </c>
      <c r="G63" s="264" t="str">
        <f>IFERROR(__xludf.DUMMYFUNCTION("""COMPUTED_VALUE"""),"")</f>
        <v/>
      </c>
      <c r="H63" s="265" t="str">
        <f>IFERROR(__xludf.DUMMYFUNCTION("""COMPUTED_VALUE"""),"2 AP, 1 MP")</f>
        <v>2 AP, 1 MP</v>
      </c>
      <c r="I63" s="263" t="str">
        <f>IFERROR(__xludf.DUMMYFUNCTION("""COMPUTED_VALUE"""),"2 AP")</f>
        <v>2 AP</v>
      </c>
      <c r="J63" s="264" t="str">
        <f>IFERROR(__xludf.DUMMYFUNCTION("""COMPUTED_VALUE"""),"1 MP")</f>
        <v>1 MP</v>
      </c>
      <c r="K63" s="264" t="str">
        <f>IFERROR(__xludf.DUMMYFUNCTION("""COMPUTED_VALUE"""),"")</f>
        <v/>
      </c>
      <c r="L63" s="263" t="str">
        <f>IFERROR(__xludf.DUMMYFUNCTION("""COMPUTED_VALUE"""),"")</f>
        <v/>
      </c>
      <c r="M63" s="263"/>
      <c r="N63" s="263"/>
      <c r="O63" s="263"/>
      <c r="P63" s="263"/>
      <c r="Q63" s="263"/>
      <c r="R63" s="263"/>
      <c r="S63" s="263"/>
      <c r="T63" s="263"/>
      <c r="U63" s="246"/>
      <c r="V63" s="246"/>
      <c r="W63" s="246"/>
      <c r="X63" s="246"/>
      <c r="Y63" s="246"/>
      <c r="Z63" s="246"/>
    </row>
    <row r="64">
      <c r="A64" s="263"/>
      <c r="B64" s="265" t="str">
        <f>IFERROR(__xludf.DUMMYFUNCTION("""COMPUTED_VALUE"""),"Bear Shock")</f>
        <v>Bear Shock</v>
      </c>
      <c r="C64" s="263"/>
      <c r="D64" s="264" t="str">
        <f>IFERROR(__xludf.DUMMYFUNCTION("""COMPUTED_VALUE"""),"")</f>
        <v/>
      </c>
      <c r="E64" s="264" t="str">
        <f>IFERROR(__xludf.DUMMYFUNCTION("""COMPUTED_VALUE"""),"")</f>
        <v/>
      </c>
      <c r="F64" s="266" t="str">
        <f>IFERROR(__xludf.DUMMYFUNCTION("""COMPUTED_VALUE"""),"You gain a +20 bonus to Deception checks when disguising yourself as something other than a bearfolk.")</f>
        <v>You gain a +20 bonus to Deception checks when disguising yourself as something other than a bearfolk.</v>
      </c>
      <c r="G64" s="263" t="str">
        <f>IFERROR(__xludf.DUMMYFUNCTION("""COMPUTED_VALUE"""),"")</f>
        <v/>
      </c>
      <c r="H64" s="265" t="str">
        <f>IFERROR(__xludf.DUMMYFUNCTION("""COMPUTED_VALUE"""),"")</f>
        <v/>
      </c>
      <c r="I64" s="264" t="str">
        <f>IFERROR(__xludf.DUMMYFUNCTION("""COMPUTED_VALUE"""),"")</f>
        <v/>
      </c>
      <c r="J64" s="263" t="str">
        <f>IFERROR(__xludf.DUMMYFUNCTION("""COMPUTED_VALUE"""),"")</f>
        <v/>
      </c>
      <c r="K64" s="263" t="str">
        <f>IFERROR(__xludf.DUMMYFUNCTION("""COMPUTED_VALUE"""),"")</f>
        <v/>
      </c>
      <c r="L64" s="263" t="str">
        <f>IFERROR(__xludf.DUMMYFUNCTION("""COMPUTED_VALUE"""),"")</f>
        <v/>
      </c>
      <c r="M64" s="263"/>
      <c r="N64" s="263"/>
      <c r="O64" s="263"/>
      <c r="P64" s="263"/>
      <c r="Q64" s="263"/>
      <c r="R64" s="263"/>
      <c r="S64" s="263"/>
      <c r="T64" s="263"/>
      <c r="U64" s="246"/>
      <c r="V64" s="246"/>
      <c r="W64" s="246"/>
      <c r="X64" s="246"/>
      <c r="Y64" s="246"/>
      <c r="Z64" s="246"/>
    </row>
    <row r="65">
      <c r="A65" s="263"/>
      <c r="B65" s="265" t="str">
        <f>IFERROR(__xludf.DUMMYFUNCTION("""COMPUTED_VALUE"""),"Bear Trap")</f>
        <v>Bear Trap</v>
      </c>
      <c r="C65" s="263"/>
      <c r="D65" s="264" t="str">
        <f>IFERROR(__xludf.DUMMYFUNCTION("""COMPUTED_VALUE"""),"Root, Full Pierce, Stealth")</f>
        <v>Root, Full Pierce, Stealth</v>
      </c>
      <c r="E65" s="264" t="str">
        <f>IFERROR(__xludf.DUMMYFUNCTION("""COMPUTED_VALUE"""),"5ft")</f>
        <v>5ft</v>
      </c>
      <c r="F65" s="266" t="str">
        <f>IFERROR(__xludf.DUMMYFUNCTION("""COMPUTED_VALUE"""),"You place down a bear trap in an empty square within range. If an enemy enters that square, they trigger the trap taking Light full pierce damage and becoming rooted until they spend 2 AP to remove the effect.
Against beasts, this does Heavy damage instea"&amp;"d of Light damage.
This ability consumes a Trap.")</f>
        <v>You place down a bear trap in an empty square within range. If an enemy enters that square, they trigger the trap taking Light full pierce damage and becoming rooted until they spend 2 AP to remove the effect.
Against beasts, this does Heavy damage instead of Light damage.
This ability consumes a Trap.</v>
      </c>
      <c r="G65" s="263" t="str">
        <f>IFERROR(__xludf.DUMMYFUNCTION("""COMPUTED_VALUE"""),"")</f>
        <v/>
      </c>
      <c r="H65" s="265" t="str">
        <f>IFERROR(__xludf.DUMMYFUNCTION("""COMPUTED_VALUE"""),"1 AP")</f>
        <v>1 AP</v>
      </c>
      <c r="I65" s="264" t="str">
        <f>IFERROR(__xludf.DUMMYFUNCTION("""COMPUTED_VALUE"""),"1 AP")</f>
        <v>1 AP</v>
      </c>
      <c r="J65" s="263" t="str">
        <f>IFERROR(__xludf.DUMMYFUNCTION("""COMPUTED_VALUE"""),"")</f>
        <v/>
      </c>
      <c r="K65" s="263" t="str">
        <f>IFERROR(__xludf.DUMMYFUNCTION("""COMPUTED_VALUE"""),"")</f>
        <v/>
      </c>
      <c r="L65" s="263" t="str">
        <f>IFERROR(__xludf.DUMMYFUNCTION("""COMPUTED_VALUE"""),"")</f>
        <v/>
      </c>
      <c r="M65" s="263"/>
      <c r="N65" s="263"/>
      <c r="O65" s="263"/>
      <c r="P65" s="263"/>
      <c r="Q65" s="263"/>
      <c r="R65" s="263"/>
      <c r="S65" s="263"/>
      <c r="T65" s="263"/>
      <c r="U65" s="246"/>
      <c r="V65" s="246"/>
      <c r="W65" s="246"/>
      <c r="X65" s="246"/>
      <c r="Y65" s="246"/>
      <c r="Z65" s="246"/>
    </row>
    <row r="66">
      <c r="A66" s="263"/>
      <c r="B66" s="265" t="str">
        <f>IFERROR(__xludf.DUMMYFUNCTION("""COMPUTED_VALUE"""),"Benediction")</f>
        <v>Benediction</v>
      </c>
      <c r="C66" s="263"/>
      <c r="D66" s="264" t="str">
        <f>IFERROR(__xludf.DUMMYFUNCTION("""COMPUTED_VALUE"""),"Spell, Sanctify")</f>
        <v>Spell, Sanctify</v>
      </c>
      <c r="E66" s="264" t="str">
        <f>IFERROR(__xludf.DUMMYFUNCTION("""COMPUTED_VALUE"""),"60ft")</f>
        <v>60ft</v>
      </c>
      <c r="F66" s="266" t="str">
        <f>IFERROR(__xludf.DUMMYFUNCTION("""COMPUTED_VALUE"""),"You make a precise attack against the target that deals Holy damage. On damage, inflict Sanctify 3.
This attack does not benefit from Pinpoint.")</f>
        <v>You make a precise attack against the target that deals Holy damage. On damage, inflict Sanctify 3.
This attack does not benefit from Pinpoint.</v>
      </c>
      <c r="G66" s="263" t="str">
        <f>IFERROR(__xludf.DUMMYFUNCTION("""COMPUTED_VALUE"""),"")</f>
        <v/>
      </c>
      <c r="H66" s="265" t="str">
        <f>IFERROR(__xludf.DUMMYFUNCTION("""COMPUTED_VALUE"""),"1 AP, 3 MP")</f>
        <v>1 AP, 3 MP</v>
      </c>
      <c r="I66" s="264" t="str">
        <f>IFERROR(__xludf.DUMMYFUNCTION("""COMPUTED_VALUE"""),"1 AP")</f>
        <v>1 AP</v>
      </c>
      <c r="J66" s="264" t="str">
        <f>IFERROR(__xludf.DUMMYFUNCTION("""COMPUTED_VALUE"""),"3 MP")</f>
        <v>3 MP</v>
      </c>
      <c r="K66" s="263" t="str">
        <f>IFERROR(__xludf.DUMMYFUNCTION("""COMPUTED_VALUE"""),"")</f>
        <v/>
      </c>
      <c r="L66" s="263" t="str">
        <f>IFERROR(__xludf.DUMMYFUNCTION("""COMPUTED_VALUE"""),"")</f>
        <v/>
      </c>
      <c r="M66" s="263"/>
      <c r="N66" s="263"/>
      <c r="O66" s="263"/>
      <c r="P66" s="263"/>
      <c r="Q66" s="263"/>
      <c r="R66" s="263"/>
      <c r="S66" s="263"/>
      <c r="T66" s="263"/>
      <c r="U66" s="246"/>
      <c r="V66" s="246"/>
      <c r="W66" s="246"/>
      <c r="X66" s="246"/>
      <c r="Y66" s="246"/>
      <c r="Z66" s="246"/>
    </row>
    <row r="67">
      <c r="A67" s="263"/>
      <c r="B67" s="265" t="str">
        <f>IFERROR(__xludf.DUMMYFUNCTION("""COMPUTED_VALUE"""),"Bestial Command")</f>
        <v>Bestial Command</v>
      </c>
      <c r="C67" s="263"/>
      <c r="D67" s="263" t="str">
        <f>IFERROR(__xludf.DUMMYFUNCTION("""COMPUTED_VALUE"""),"")</f>
        <v/>
      </c>
      <c r="E67" s="264" t="str">
        <f>IFERROR(__xludf.DUMMYFUNCTION("""COMPUTED_VALUE"""),"Sight")</f>
        <v>Sight</v>
      </c>
      <c r="F67" s="266" t="str">
        <f>IFERROR(__xludf.DUMMYFUNCTION("""COMPUTED_VALUE"""),"The summon may take basic actions as if it had 2 AP to spend.
In addition, if your summon is under the effects of Independent Action, it gains Bestial Command until the end of the encounter, it dies or you cancel it for 0 AP. While Bestial Command lasts, "&amp;"its maximum AP and AP recovery are increased by 2 while your AP recovery is lowered by 2.")</f>
        <v>The summon may take basic actions as if it had 2 AP to spend.
In addition, if your summon is under the effects of Independent Action, it gains Bestial Command until the end of the encounter, it dies or you cancel it for 0 AP. While Bestial Command lasts, its maximum AP and AP recovery are increased by 2 while your AP recovery is lowered by 2.</v>
      </c>
      <c r="G67" s="264" t="str">
        <f>IFERROR(__xludf.DUMMYFUNCTION("""COMPUTED_VALUE"""),"Can only target your summoned animal.")</f>
        <v>Can only target your summoned animal.</v>
      </c>
      <c r="H67" s="265" t="str">
        <f>IFERROR(__xludf.DUMMYFUNCTION("""COMPUTED_VALUE"""),"0 AP, 2 MP")</f>
        <v>0 AP, 2 MP</v>
      </c>
      <c r="I67" s="264" t="str">
        <f>IFERROR(__xludf.DUMMYFUNCTION("""COMPUTED_VALUE"""),"0 AP")</f>
        <v>0 AP</v>
      </c>
      <c r="J67" s="263" t="str">
        <f>IFERROR(__xludf.DUMMYFUNCTION("""COMPUTED_VALUE"""),"2 MP")</f>
        <v>2 MP</v>
      </c>
      <c r="K67" s="263" t="str">
        <f>IFERROR(__xludf.DUMMYFUNCTION("""COMPUTED_VALUE"""),"")</f>
        <v/>
      </c>
      <c r="L67" s="263" t="str">
        <f>IFERROR(__xludf.DUMMYFUNCTION("""COMPUTED_VALUE"""),"")</f>
        <v/>
      </c>
      <c r="M67" s="263"/>
      <c r="N67" s="263"/>
      <c r="O67" s="263"/>
      <c r="P67" s="263"/>
      <c r="Q67" s="263"/>
      <c r="R67" s="263"/>
      <c r="S67" s="263"/>
      <c r="T67" s="263"/>
      <c r="U67" s="246"/>
      <c r="V67" s="246"/>
      <c r="W67" s="246"/>
      <c r="X67" s="246"/>
      <c r="Y67" s="246"/>
      <c r="Z67" s="246"/>
    </row>
    <row r="68">
      <c r="A68" s="263"/>
      <c r="B68" s="265" t="str">
        <f>IFERROR(__xludf.DUMMYFUNCTION("""COMPUTED_VALUE"""),"Biohacking")</f>
        <v>Biohacking</v>
      </c>
      <c r="C68" s="263"/>
      <c r="D68" s="264" t="str">
        <f>IFERROR(__xludf.DUMMYFUNCTION("""COMPUTED_VALUE"""),"")</f>
        <v/>
      </c>
      <c r="E68" s="264" t="str">
        <f>IFERROR(__xludf.DUMMYFUNCTION("""COMPUTED_VALUE"""),"Self")</f>
        <v>Self</v>
      </c>
      <c r="F68" s="266" t="str">
        <f>IFERROR(__xludf.DUMMYFUNCTION("""COMPUTED_VALUE"""),"At the start of an arc, you can transmute a gene from a Chimera Subrace into your DNA as long as you have a sample (a vial of blood).
Transmuting the gene does not consume the item. Add a single Chimera gene to your gene inventory.
You can perform this ac"&amp;"tion again for an IP or EP. Biohacking can store genes equal to your gene limit.")</f>
        <v>At the start of an arc, you can transmute a gene from a Chimera Subrace into your DNA as long as you have a sample (a vial of blood).
Transmuting the gene does not consume the item. Add a single Chimera gene to your gene inventory.
You can perform this action again for an IP or EP. Biohacking can store genes equal to your gene limit.</v>
      </c>
      <c r="G68" s="264" t="str">
        <f>IFERROR(__xludf.DUMMYFUNCTION("""COMPUTED_VALUE"""),"")</f>
        <v/>
      </c>
      <c r="H68" s="265" t="str">
        <f>IFERROR(__xludf.DUMMYFUNCTION("""COMPUTED_VALUE"""),"")</f>
        <v/>
      </c>
      <c r="I68" s="264" t="str">
        <f>IFERROR(__xludf.DUMMYFUNCTION("""COMPUTED_VALUE"""),"")</f>
        <v/>
      </c>
      <c r="J68" s="263" t="str">
        <f>IFERROR(__xludf.DUMMYFUNCTION("""COMPUTED_VALUE"""),"")</f>
        <v/>
      </c>
      <c r="K68" s="263" t="str">
        <f>IFERROR(__xludf.DUMMYFUNCTION("""COMPUTED_VALUE"""),"")</f>
        <v/>
      </c>
      <c r="L68" s="263" t="str">
        <f>IFERROR(__xludf.DUMMYFUNCTION("""COMPUTED_VALUE"""),"")</f>
        <v/>
      </c>
      <c r="M68" s="263"/>
      <c r="N68" s="263"/>
      <c r="O68" s="263"/>
      <c r="P68" s="263"/>
      <c r="Q68" s="263"/>
      <c r="R68" s="263"/>
      <c r="S68" s="263"/>
      <c r="T68" s="263"/>
      <c r="U68" s="246"/>
      <c r="V68" s="246"/>
      <c r="W68" s="246"/>
      <c r="X68" s="246"/>
      <c r="Y68" s="246"/>
      <c r="Z68" s="246"/>
    </row>
    <row r="69">
      <c r="A69" s="263"/>
      <c r="B69" s="265" t="str">
        <f>IFERROR(__xludf.DUMMYFUNCTION("""COMPUTED_VALUE"""),"Blackbird")</f>
        <v>Blackbird</v>
      </c>
      <c r="C69" s="263"/>
      <c r="D69" s="264" t="str">
        <f>IFERROR(__xludf.DUMMYFUNCTION("""COMPUTED_VALUE"""),"")</f>
        <v/>
      </c>
      <c r="E69" s="264" t="str">
        <f>IFERROR(__xludf.DUMMYFUNCTION("""COMPUTED_VALUE"""),"5ft")</f>
        <v>5ft</v>
      </c>
      <c r="F69" s="266" t="str">
        <f>IFERROR(__xludf.DUMMYFUNCTION("""COMPUTED_VALUE"""),"You deploy a Blackbird, a small artifice drone that outputs a grainy image to a device on your wrist.  The blackbird has a maximum range of 3000ft and can observe major movements and structures such as doors and enemies.  The drone cannot display fine mov"&amp;"ements or detail such as words in a book without being up close, but can see large signs.  The blackbird is the size of a walnut and is relatively quiet, and can only be heard by those with normal human hearing within 10 ft.
The fuel shell lasts for one f"&amp;"light, up to 15 minutes.  If your Blackbird is lost or damaged, you must create a new one as an errand action before you can use this again.")</f>
        <v>You deploy a Blackbird, a small artifice drone that outputs a grainy image to a device on your wrist.  The blackbird has a maximum range of 3000ft and can observe major movements and structures such as doors and enemies.  The drone cannot display fine movements or detail such as words in a book without being up close, but can see large signs.  The blackbird is the size of a walnut and is relatively quiet, and can only be heard by those with normal human hearing within 10 ft.
The fuel shell lasts for one flight, up to 15 minutes.  If your Blackbird is lost or damaged, you must create a new one as an errand action before you can use this again.</v>
      </c>
      <c r="G69" s="264" t="str">
        <f>IFERROR(__xludf.DUMMYFUNCTION("""COMPUTED_VALUE"""),"")</f>
        <v/>
      </c>
      <c r="H69" s="265" t="str">
        <f>IFERROR(__xludf.DUMMYFUNCTION("""COMPUTED_VALUE"""),"1 AP, 1 Small Shell")</f>
        <v>1 AP, 1 Small Shell</v>
      </c>
      <c r="I69" s="264" t="str">
        <f>IFERROR(__xludf.DUMMYFUNCTION("""COMPUTED_VALUE"""),"1 AP")</f>
        <v>1 AP</v>
      </c>
      <c r="J69" s="264" t="str">
        <f>IFERROR(__xludf.DUMMYFUNCTION("""COMPUTED_VALUE"""),"")</f>
        <v/>
      </c>
      <c r="K69" s="263" t="str">
        <f>IFERROR(__xludf.DUMMYFUNCTION("""COMPUTED_VALUE"""),"")</f>
        <v/>
      </c>
      <c r="L69" s="263" t="str">
        <f>IFERROR(__xludf.DUMMYFUNCTION("""COMPUTED_VALUE"""),"")</f>
        <v/>
      </c>
      <c r="M69" s="263"/>
      <c r="N69" s="263"/>
      <c r="O69" s="263"/>
      <c r="P69" s="263"/>
      <c r="Q69" s="263"/>
      <c r="R69" s="263"/>
      <c r="S69" s="263"/>
      <c r="T69" s="263"/>
      <c r="U69" s="246"/>
      <c r="V69" s="246"/>
      <c r="W69" s="246"/>
      <c r="X69" s="246"/>
      <c r="Y69" s="246"/>
      <c r="Z69" s="246"/>
    </row>
    <row r="70">
      <c r="A70" s="263"/>
      <c r="B70" s="265" t="str">
        <f>IFERROR(__xludf.DUMMYFUNCTION("""COMPUTED_VALUE"""),"Blacksmith Core Crafting")</f>
        <v>Blacksmith Core Crafting</v>
      </c>
      <c r="C70" s="263"/>
      <c r="D70" s="264" t="str">
        <f>IFERROR(__xludf.DUMMYFUNCTION("""COMPUTED_VALUE"""),"")</f>
        <v/>
      </c>
      <c r="E70" s="264" t="str">
        <f>IFERROR(__xludf.DUMMYFUNCTION("""COMPUTED_VALUE"""),"")</f>
        <v/>
      </c>
      <c r="F70" s="266" t="str">
        <f>IFERROR(__xludf.DUMMYFUNCTION("""COMPUTED_VALUE"""),"Blacksmith’s Modification A
Cost: X Crafting Points
Description:
You add an A-Type modification to the weapon or tool. See the Universal Weapon or Crafting mods page as well as the individual weapon page for details. Each modification has its own cost.
We"&amp;"apon Alloy
Cost: X Crafting Points
Description:
You mix a special material into the smithing weapon. Each material has its own crafting point cost.
Create Ingot
Cost: Errand
Description:
You create an ingot from blacksmithing base materials or from blacks"&amp;"mithing special materials.  See Item: Blacksmithing Materials.")</f>
        <v>Blacksmith’s Modification A
Cost: X Crafting Points
Description:
You add an A-Type modification to the weapon or tool. See the Universal Weapon or Crafting mods page as well as the individual weapon page for details. Each modification has its own cost.
Weapon Alloy
Cost: X Crafting Points
Description:
You mix a special material into the smithing weapon. Each material has its own crafting point cost.
Create Ingot
Cost: Errand
Description:
You create an ingot from blacksmithing base materials or from blacksmithing special materials.  See Item: Blacksmithing Materials.</v>
      </c>
      <c r="G70" s="263" t="str">
        <f>IFERROR(__xludf.DUMMYFUNCTION("""COMPUTED_VALUE"""),"")</f>
        <v/>
      </c>
      <c r="H70" s="265" t="str">
        <f>IFERROR(__xludf.DUMMYFUNCTION("""COMPUTED_VALUE"""),"")</f>
        <v/>
      </c>
      <c r="I70" s="264" t="str">
        <f>IFERROR(__xludf.DUMMYFUNCTION("""COMPUTED_VALUE"""),"")</f>
        <v/>
      </c>
      <c r="J70" s="264" t="str">
        <f>IFERROR(__xludf.DUMMYFUNCTION("""COMPUTED_VALUE"""),"")</f>
        <v/>
      </c>
      <c r="K70" s="263" t="str">
        <f>IFERROR(__xludf.DUMMYFUNCTION("""COMPUTED_VALUE"""),"")</f>
        <v/>
      </c>
      <c r="L70" s="263" t="str">
        <f>IFERROR(__xludf.DUMMYFUNCTION("""COMPUTED_VALUE"""),"")</f>
        <v/>
      </c>
      <c r="M70" s="263"/>
      <c r="N70" s="263"/>
      <c r="O70" s="263"/>
      <c r="P70" s="263"/>
      <c r="Q70" s="263"/>
      <c r="R70" s="263"/>
      <c r="S70" s="263"/>
      <c r="T70" s="263"/>
      <c r="U70" s="246"/>
      <c r="V70" s="246"/>
      <c r="W70" s="246"/>
      <c r="X70" s="246"/>
      <c r="Y70" s="246"/>
      <c r="Z70" s="246"/>
    </row>
    <row r="71">
      <c r="A71" s="263"/>
      <c r="B71" s="265" t="str">
        <f>IFERROR(__xludf.DUMMYFUNCTION("""COMPUTED_VALUE"""),"Blast Away")</f>
        <v>Blast Away</v>
      </c>
      <c r="C71" s="263"/>
      <c r="D71" s="263" t="str">
        <f>IFERROR(__xludf.DUMMYFUNCTION("""COMPUTED_VALUE"""),"")</f>
        <v/>
      </c>
      <c r="E71" s="264" t="str">
        <f>IFERROR(__xludf.DUMMYFUNCTION("""COMPUTED_VALUE"""),"5ft")</f>
        <v>5ft</v>
      </c>
      <c r="F71" s="266" t="str">
        <f>IFERROR(__xludf.DUMMYFUNCTION("""COMPUTED_VALUE"""),"You fire a point blank shot at an enemy unit. The enemy must save against your Potency or be knocked back 5ft and take Light Damage. This ability does not provoke attacks of opportunity.")</f>
        <v>You fire a point blank shot at an enemy unit. The enemy must save against your Potency or be knocked back 5ft and take Light Damage. This ability does not provoke attacks of opportunity.</v>
      </c>
      <c r="G71" s="264" t="str">
        <f>IFERROR(__xludf.DUMMYFUNCTION("""COMPUTED_VALUE"""),"")</f>
        <v/>
      </c>
      <c r="H71" s="265" t="str">
        <f>IFERROR(__xludf.DUMMYFUNCTION("""COMPUTED_VALUE"""),"1 AP")</f>
        <v>1 AP</v>
      </c>
      <c r="I71" s="264" t="str">
        <f>IFERROR(__xludf.DUMMYFUNCTION("""COMPUTED_VALUE"""),"1 AP")</f>
        <v>1 AP</v>
      </c>
      <c r="J71" s="264" t="str">
        <f>IFERROR(__xludf.DUMMYFUNCTION("""COMPUTED_VALUE"""),"")</f>
        <v/>
      </c>
      <c r="K71" s="263" t="str">
        <f>IFERROR(__xludf.DUMMYFUNCTION("""COMPUTED_VALUE"""),"")</f>
        <v/>
      </c>
      <c r="L71" s="263" t="str">
        <f>IFERROR(__xludf.DUMMYFUNCTION("""COMPUTED_VALUE"""),"")</f>
        <v/>
      </c>
      <c r="M71" s="263"/>
      <c r="N71" s="263"/>
      <c r="O71" s="263"/>
      <c r="P71" s="263"/>
      <c r="Q71" s="263"/>
      <c r="R71" s="263"/>
      <c r="S71" s="263"/>
      <c r="T71" s="263"/>
      <c r="U71" s="246"/>
      <c r="V71" s="246"/>
      <c r="W71" s="246"/>
      <c r="X71" s="246"/>
      <c r="Y71" s="246"/>
      <c r="Z71" s="246"/>
    </row>
    <row r="72">
      <c r="A72" s="263"/>
      <c r="B72" s="265" t="str">
        <f>IFERROR(__xludf.DUMMYFUNCTION("""COMPUTED_VALUE"""),"Blast Wave")</f>
        <v>Blast Wave</v>
      </c>
      <c r="C72" s="263"/>
      <c r="D72" s="264" t="str">
        <f>IFERROR(__xludf.DUMMYFUNCTION("""COMPUTED_VALUE"""),"Fire, Spell, Blanketing")</f>
        <v>Fire, Spell, Blanketing</v>
      </c>
      <c r="E72" s="264" t="str">
        <f>IFERROR(__xludf.DUMMYFUNCTION("""COMPUTED_VALUE"""),"Self")</f>
        <v>Self</v>
      </c>
      <c r="F72" s="266" t="str">
        <f>IFERROR(__xludf.DUMMYFUNCTION("""COMPUTED_VALUE"""),"You may make a Light attack that deals Fire damage against every character within 10ft of you. On damage, they are pushed back 10ft. This spell does not provoke attacks of opportunity.")</f>
        <v>You may make a Light attack that deals Fire damage against every character within 10ft of you. On damage, they are pushed back 10ft. This spell does not provoke attacks of opportunity.</v>
      </c>
      <c r="G72" s="264" t="str">
        <f>IFERROR(__xludf.DUMMYFUNCTION("""COMPUTED_VALUE"""),"")</f>
        <v/>
      </c>
      <c r="H72" s="265" t="str">
        <f>IFERROR(__xludf.DUMMYFUNCTION("""COMPUTED_VALUE"""),"2 AP")</f>
        <v>2 AP</v>
      </c>
      <c r="I72" s="263" t="str">
        <f>IFERROR(__xludf.DUMMYFUNCTION("""COMPUTED_VALUE"""),"2 AP")</f>
        <v>2 AP</v>
      </c>
      <c r="J72" s="263" t="str">
        <f>IFERROR(__xludf.DUMMYFUNCTION("""COMPUTED_VALUE"""),"")</f>
        <v/>
      </c>
      <c r="K72" s="264" t="str">
        <f>IFERROR(__xludf.DUMMYFUNCTION("""COMPUTED_VALUE"""),"")</f>
        <v/>
      </c>
      <c r="L72" s="263" t="str">
        <f>IFERROR(__xludf.DUMMYFUNCTION("""COMPUTED_VALUE"""),"")</f>
        <v/>
      </c>
      <c r="M72" s="263"/>
      <c r="N72" s="263"/>
      <c r="O72" s="263"/>
      <c r="P72" s="263"/>
      <c r="Q72" s="263"/>
      <c r="R72" s="263"/>
      <c r="S72" s="263"/>
      <c r="T72" s="263"/>
      <c r="U72" s="246"/>
      <c r="V72" s="246"/>
      <c r="W72" s="246"/>
      <c r="X72" s="246"/>
      <c r="Y72" s="246"/>
      <c r="Z72" s="246"/>
    </row>
    <row r="73">
      <c r="A73" s="263"/>
      <c r="B73" s="265" t="str">
        <f>IFERROR(__xludf.DUMMYFUNCTION("""COMPUTED_VALUE"""),"Blinding Dust")</f>
        <v>Blinding Dust</v>
      </c>
      <c r="C73" s="263"/>
      <c r="D73" s="264" t="str">
        <f>IFERROR(__xludf.DUMMYFUNCTION("""COMPUTED_VALUE"""),"Sidestep, Blinded, Circuit")</f>
        <v>Sidestep, Blinded, Circuit</v>
      </c>
      <c r="E73" s="264" t="str">
        <f>IFERROR(__xludf.DUMMYFUNCTION("""COMPUTED_VALUE"""),"5ft")</f>
        <v>5ft</v>
      </c>
      <c r="F73" s="266" t="str">
        <f>IFERROR(__xludf.DUMMYFUNCTION("""COMPUTED_VALUE"""),"You flap your wings and blow dust in the eyes of the attacker, making them Blinded 6 until the end of their attack. If their attack against you misses, you may Sidestep 5ft.")</f>
        <v>You flap your wings and blow dust in the eyes of the attacker, making them Blinded 6 until the end of their attack. If their attack against you misses, you may Sidestep 5ft.</v>
      </c>
      <c r="G73" s="263" t="str">
        <f>IFERROR(__xludf.DUMMYFUNCTION("""COMPUTED_VALUE"""),"You are the target of an attack.")</f>
        <v>You are the target of an attack.</v>
      </c>
      <c r="H73" s="265" t="str">
        <f>IFERROR(__xludf.DUMMYFUNCTION("""COMPUTED_VALUE"""),"2 MP, 1 RP")</f>
        <v>2 MP, 1 RP</v>
      </c>
      <c r="I73" s="264" t="str">
        <f>IFERROR(__xludf.DUMMYFUNCTION("""COMPUTED_VALUE"""),"")</f>
        <v/>
      </c>
      <c r="J73" s="264" t="str">
        <f>IFERROR(__xludf.DUMMYFUNCTION("""COMPUTED_VALUE"""),"2 MP")</f>
        <v>2 MP</v>
      </c>
      <c r="K73" s="263" t="str">
        <f>IFERROR(__xludf.DUMMYFUNCTION("""COMPUTED_VALUE"""),"1 RP")</f>
        <v>1 RP</v>
      </c>
      <c r="L73" s="263" t="str">
        <f>IFERROR(__xludf.DUMMYFUNCTION("""COMPUTED_VALUE"""),"")</f>
        <v/>
      </c>
      <c r="M73" s="263"/>
      <c r="N73" s="263"/>
      <c r="O73" s="263"/>
      <c r="P73" s="263"/>
      <c r="Q73" s="263"/>
      <c r="R73" s="263"/>
      <c r="S73" s="263"/>
      <c r="T73" s="263"/>
      <c r="U73" s="246"/>
      <c r="V73" s="246"/>
      <c r="W73" s="246"/>
      <c r="X73" s="246"/>
      <c r="Y73" s="246"/>
      <c r="Z73" s="246"/>
    </row>
    <row r="74">
      <c r="A74" s="263"/>
      <c r="B74" s="265" t="str">
        <f>IFERROR(__xludf.DUMMYFUNCTION("""COMPUTED_VALUE"""),"Blocking Move")</f>
        <v>Blocking Move</v>
      </c>
      <c r="C74" s="263"/>
      <c r="D74" s="264" t="str">
        <f>IFERROR(__xludf.DUMMYFUNCTION("""COMPUTED_VALUE"""),"")</f>
        <v/>
      </c>
      <c r="E74" s="264" t="str">
        <f>IFERROR(__xludf.DUMMYFUNCTION("""COMPUTED_VALUE"""),"Self")</f>
        <v>Self</v>
      </c>
      <c r="F74" s="266" t="str">
        <f>IFERROR(__xludf.DUMMYFUNCTION("""COMPUTED_VALUE"""),"You move in front of the target and their movement action immediately ends. Until the end of their turn, they are Challenged by you and your next Block action against them costs 0 RP. If they willingly move from you through any method (including teleports"&amp;") you may make a Heavy attack against them with Sure Hit.
Your movement may ignore Line Movement restrictions for this ability.")</f>
        <v>You move in front of the target and their movement action immediately ends. Until the end of their turn, they are Challenged by you and your next Block action against them costs 0 RP. If they willingly move from you through any method (including teleports) you may make a Heavy attack against them with Sure Hit.
Your movement may ignore Line Movement restrictions for this ability.</v>
      </c>
      <c r="G74" s="263" t="str">
        <f>IFERROR(__xludf.DUMMYFUNCTION("""COMPUTED_VALUE"""),"You made an opportunity attack against a target moving away from you. Must be mounted.")</f>
        <v>You made an opportunity attack against a target moving away from you. Must be mounted.</v>
      </c>
      <c r="H74" s="267" t="str">
        <f>IFERROR(__xludf.DUMMYFUNCTION("""COMPUTED_VALUE"""),"1 RP")</f>
        <v>1 RP</v>
      </c>
      <c r="I74" s="263" t="str">
        <f>IFERROR(__xludf.DUMMYFUNCTION("""COMPUTED_VALUE"""),"")</f>
        <v/>
      </c>
      <c r="J74" s="263" t="str">
        <f>IFERROR(__xludf.DUMMYFUNCTION("""COMPUTED_VALUE"""),"")</f>
        <v/>
      </c>
      <c r="K74" s="263" t="str">
        <f>IFERROR(__xludf.DUMMYFUNCTION("""COMPUTED_VALUE"""),"1 RP")</f>
        <v>1 RP</v>
      </c>
      <c r="L74" s="263" t="str">
        <f>IFERROR(__xludf.DUMMYFUNCTION("""COMPUTED_VALUE"""),"")</f>
        <v/>
      </c>
      <c r="M74" s="263"/>
      <c r="N74" s="263"/>
      <c r="O74" s="263"/>
      <c r="P74" s="263"/>
      <c r="Q74" s="263"/>
      <c r="R74" s="263"/>
      <c r="S74" s="263"/>
      <c r="T74" s="263"/>
      <c r="U74" s="246"/>
      <c r="V74" s="246"/>
      <c r="W74" s="246"/>
      <c r="X74" s="246"/>
      <c r="Y74" s="246"/>
      <c r="Z74" s="246"/>
    </row>
    <row r="75">
      <c r="A75" s="263"/>
      <c r="B75" s="265" t="str">
        <f>IFERROR(__xludf.DUMMYFUNCTION("""COMPUTED_VALUE"""),"Blood Drain")</f>
        <v>Blood Drain</v>
      </c>
      <c r="C75" s="263"/>
      <c r="D75" s="263" t="str">
        <f>IFERROR(__xludf.DUMMYFUNCTION("""COMPUTED_VALUE"""),"Healing, Safe")</f>
        <v>Healing, Safe</v>
      </c>
      <c r="E75" s="264" t="str">
        <f>IFERROR(__xludf.DUMMYFUNCTION("""COMPUTED_VALUE"""),"40ft")</f>
        <v>40ft</v>
      </c>
      <c r="F75" s="266" t="str">
        <f>IFERROR(__xludf.DUMMYFUNCTION("""COMPUTED_VALUE"""),"You make a Light Attack that deals Dark damage against the target. On damage, you recover HP equal to your Toughness + 3.")</f>
        <v>You make a Light Attack that deals Dark damage against the target. On damage, you recover HP equal to your Toughness + 3.</v>
      </c>
      <c r="G75" s="264" t="str">
        <f>IFERROR(__xludf.DUMMYFUNCTION("""COMPUTED_VALUE"""),"Target must be a living creature. Target cannot be an ally.")</f>
        <v>Target must be a living creature. Target cannot be an ally.</v>
      </c>
      <c r="H75" s="265" t="str">
        <f>IFERROR(__xludf.DUMMYFUNCTION("""COMPUTED_VALUE"""),"1 AP, 1 MP")</f>
        <v>1 AP, 1 MP</v>
      </c>
      <c r="I75" s="264" t="str">
        <f>IFERROR(__xludf.DUMMYFUNCTION("""COMPUTED_VALUE"""),"1 AP")</f>
        <v>1 AP</v>
      </c>
      <c r="J75" s="263" t="str">
        <f>IFERROR(__xludf.DUMMYFUNCTION("""COMPUTED_VALUE"""),"1 MP")</f>
        <v>1 MP</v>
      </c>
      <c r="K75" s="263" t="str">
        <f>IFERROR(__xludf.DUMMYFUNCTION("""COMPUTED_VALUE"""),"")</f>
        <v/>
      </c>
      <c r="L75" s="263" t="str">
        <f>IFERROR(__xludf.DUMMYFUNCTION("""COMPUTED_VALUE"""),"")</f>
        <v/>
      </c>
      <c r="M75" s="263"/>
      <c r="N75" s="263"/>
      <c r="O75" s="263"/>
      <c r="P75" s="263"/>
      <c r="Q75" s="263"/>
      <c r="R75" s="263"/>
      <c r="S75" s="263"/>
      <c r="T75" s="263"/>
      <c r="U75" s="246"/>
      <c r="V75" s="246"/>
      <c r="W75" s="246"/>
      <c r="X75" s="246"/>
      <c r="Y75" s="246"/>
      <c r="Z75" s="246"/>
    </row>
    <row r="76">
      <c r="A76" s="263"/>
      <c r="B76" s="265" t="str">
        <f>IFERROR(__xludf.DUMMYFUNCTION("""COMPUTED_VALUE"""),"Blood Frenzy")</f>
        <v>Blood Frenzy</v>
      </c>
      <c r="C76" s="263"/>
      <c r="D76" s="264" t="str">
        <f>IFERROR(__xludf.DUMMYFUNCTION("""COMPUTED_VALUE"""),"")</f>
        <v/>
      </c>
      <c r="E76" s="264" t="str">
        <f>IFERROR(__xludf.DUMMYFUNCTION("""COMPUTED_VALUE"""),"Self")</f>
        <v>Self</v>
      </c>
      <c r="F76" s="266" t="str">
        <f>IFERROR(__xludf.DUMMYFUNCTION("""COMPUTED_VALUE"""),"You go into a blood frenzy, mindlessly attacking enemies near you.
While the blood frenzy lasts, you must attack the nearest enemy target with a basic unarmed attack. If two targets are equally close, you may choose which one you attack. If no enemies are"&amp;" within range, you must use your movement to move closer to the closest visible enemy until you can attack them.
While under the effect of blood frenzy, you heal for half the damage you deal with your unarmed attacks.
You cannot use Vampire Bite while und"&amp;"er the effect of Blood Frenzy.
This effect lasts until all visible enemies are dead or until your mana runs out. At the start of your turn, you lose 2 mana.")</f>
        <v>You go into a blood frenzy, mindlessly attacking enemies near you.
While the blood frenzy lasts, you must attack the nearest enemy target with a basic unarmed attack. If two targets are equally close, you may choose which one you attack. If no enemies are within range, you must use your movement to move closer to the closest visible enemy until you can attack them.
While under the effect of blood frenzy, you heal for half the damage you deal with your unarmed attacks.
You cannot use Vampire Bite while under the effect of Blood Frenzy.
This effect lasts until all visible enemies are dead or until your mana runs out. At the start of your turn, you lose 2 mana.</v>
      </c>
      <c r="G76" s="263" t="str">
        <f>IFERROR(__xludf.DUMMYFUNCTION("""COMPUTED_VALUE"""),"")</f>
        <v/>
      </c>
      <c r="H76" s="265" t="str">
        <f>IFERROR(__xludf.DUMMYFUNCTION("""COMPUTED_VALUE"""),"0 AP, 2 MP")</f>
        <v>0 AP, 2 MP</v>
      </c>
      <c r="I76" s="264" t="str">
        <f>IFERROR(__xludf.DUMMYFUNCTION("""COMPUTED_VALUE"""),"0 AP")</f>
        <v>0 AP</v>
      </c>
      <c r="J76" s="264" t="str">
        <f>IFERROR(__xludf.DUMMYFUNCTION("""COMPUTED_VALUE"""),"2 MP")</f>
        <v>2 MP</v>
      </c>
      <c r="K76" s="263" t="str">
        <f>IFERROR(__xludf.DUMMYFUNCTION("""COMPUTED_VALUE"""),"")</f>
        <v/>
      </c>
      <c r="L76" s="263" t="str">
        <f>IFERROR(__xludf.DUMMYFUNCTION("""COMPUTED_VALUE"""),"")</f>
        <v/>
      </c>
      <c r="M76" s="263"/>
      <c r="N76" s="263"/>
      <c r="O76" s="263"/>
      <c r="P76" s="263"/>
      <c r="Q76" s="263"/>
      <c r="R76" s="263"/>
      <c r="S76" s="263"/>
      <c r="T76" s="263"/>
      <c r="U76" s="246"/>
      <c r="V76" s="246"/>
      <c r="W76" s="246"/>
      <c r="X76" s="246"/>
      <c r="Y76" s="246"/>
      <c r="Z76" s="246"/>
    </row>
    <row r="77">
      <c r="A77" s="263"/>
      <c r="B77" s="265" t="str">
        <f>IFERROR(__xludf.DUMMYFUNCTION("""COMPUTED_VALUE"""),"Blood Shield")</f>
        <v>Blood Shield</v>
      </c>
      <c r="C77" s="263"/>
      <c r="D77" s="264" t="str">
        <f>IFERROR(__xludf.DUMMYFUNCTION("""COMPUTED_VALUE"""),"Aid, Healing, Shield")</f>
        <v>Aid, Healing, Shield</v>
      </c>
      <c r="E77" s="264" t="str">
        <f>IFERROR(__xludf.DUMMYFUNCTION("""COMPUTED_VALUE"""),"40ft")</f>
        <v>40ft</v>
      </c>
      <c r="F77" s="266" t="str">
        <f>IFERROR(__xludf.DUMMYFUNCTION("""COMPUTED_VALUE"""),"You grant the target 1 RP that must be spent on the Block action against the triggering attack. They gain a +5 bonus to their Guard for this Block action. After the attack, the target regains HP equal to half the damage blocked (Blocked meaning the damage"&amp;" reduced through block, not necessarily your total block value).")</f>
        <v>You grant the target 1 RP that must be spent on the Block action against the triggering attack. They gain a +5 bonus to their Guard for this Block action. After the attack, the target regains HP equal to half the damage blocked (Blocked meaning the damage reduced through block, not necessarily your total block value).</v>
      </c>
      <c r="G77" s="263" t="str">
        <f>IFERROR(__xludf.DUMMYFUNCTION("""COMPUTED_VALUE"""),"Target is the target of an attack.")</f>
        <v>Target is the target of an attack.</v>
      </c>
      <c r="H77" s="265" t="str">
        <f>IFERROR(__xludf.DUMMYFUNCTION("""COMPUTED_VALUE"""),"2 MP, 1 RP")</f>
        <v>2 MP, 1 RP</v>
      </c>
      <c r="I77" s="264" t="str">
        <f>IFERROR(__xludf.DUMMYFUNCTION("""COMPUTED_VALUE"""),"")</f>
        <v/>
      </c>
      <c r="J77" s="264" t="str">
        <f>IFERROR(__xludf.DUMMYFUNCTION("""COMPUTED_VALUE"""),"2 MP")</f>
        <v>2 MP</v>
      </c>
      <c r="K77" s="263" t="str">
        <f>IFERROR(__xludf.DUMMYFUNCTION("""COMPUTED_VALUE"""),"1 RP")</f>
        <v>1 RP</v>
      </c>
      <c r="L77" s="263" t="str">
        <f>IFERROR(__xludf.DUMMYFUNCTION("""COMPUTED_VALUE"""),"")</f>
        <v/>
      </c>
      <c r="M77" s="263"/>
      <c r="N77" s="263"/>
      <c r="O77" s="263"/>
      <c r="P77" s="263"/>
      <c r="Q77" s="263"/>
      <c r="R77" s="263"/>
      <c r="S77" s="263"/>
      <c r="T77" s="263"/>
      <c r="U77" s="246"/>
      <c r="V77" s="246"/>
      <c r="W77" s="246"/>
      <c r="X77" s="246"/>
      <c r="Y77" s="246"/>
      <c r="Z77" s="246"/>
    </row>
    <row r="78">
      <c r="A78" s="263"/>
      <c r="B78" s="265" t="str">
        <f>IFERROR(__xludf.DUMMYFUNCTION("""COMPUTED_VALUE"""),"Bloodbolt")</f>
        <v>Bloodbolt</v>
      </c>
      <c r="C78" s="263"/>
      <c r="D78" s="264" t="str">
        <f>IFERROR(__xludf.DUMMYFUNCTION("""COMPUTED_VALUE"""),"Overcharge")</f>
        <v>Overcharge</v>
      </c>
      <c r="E78" s="264" t="str">
        <f>IFERROR(__xludf.DUMMYFUNCTION("""COMPUTED_VALUE"""),"60ft")</f>
        <v>60ft</v>
      </c>
      <c r="F78" s="266" t="str">
        <f>IFERROR(__xludf.DUMMYFUNCTION("""COMPUTED_VALUE"""),"You make a Light attack against the target.
Overcharge: You may spend X HP to increase the damage the attack deals by X. X may not exceed your Toughness.")</f>
        <v>You make a Light attack against the target.
Overcharge: You may spend X HP to increase the damage the attack deals by X. X may not exceed your Toughness.</v>
      </c>
      <c r="G78" s="264" t="str">
        <f>IFERROR(__xludf.DUMMYFUNCTION("""COMPUTED_VALUE"""),"")</f>
        <v/>
      </c>
      <c r="H78" s="265" t="str">
        <f>IFERROR(__xludf.DUMMYFUNCTION("""COMPUTED_VALUE"""),"1 AP")</f>
        <v>1 AP</v>
      </c>
      <c r="I78" s="263" t="str">
        <f>IFERROR(__xludf.DUMMYFUNCTION("""COMPUTED_VALUE"""),"1 AP")</f>
        <v>1 AP</v>
      </c>
      <c r="J78" s="263" t="str">
        <f>IFERROR(__xludf.DUMMYFUNCTION("""COMPUTED_VALUE"""),"")</f>
        <v/>
      </c>
      <c r="K78" s="264" t="str">
        <f>IFERROR(__xludf.DUMMYFUNCTION("""COMPUTED_VALUE"""),"")</f>
        <v/>
      </c>
      <c r="L78" s="263" t="str">
        <f>IFERROR(__xludf.DUMMYFUNCTION("""COMPUTED_VALUE"""),"")</f>
        <v/>
      </c>
      <c r="M78" s="263"/>
      <c r="N78" s="263"/>
      <c r="O78" s="263"/>
      <c r="P78" s="263"/>
      <c r="Q78" s="263"/>
      <c r="R78" s="263"/>
      <c r="S78" s="263"/>
      <c r="T78" s="263"/>
      <c r="U78" s="246"/>
      <c r="V78" s="246"/>
      <c r="W78" s="246"/>
      <c r="X78" s="246"/>
      <c r="Y78" s="246"/>
      <c r="Z78" s="246"/>
    </row>
    <row r="79">
      <c r="A79" s="263"/>
      <c r="B79" s="265" t="str">
        <f>IFERROR(__xludf.DUMMYFUNCTION("""COMPUTED_VALUE"""),"Blue Tide")</f>
        <v>Blue Tide</v>
      </c>
      <c r="C79" s="263"/>
      <c r="D79" s="264" t="str">
        <f>IFERROR(__xludf.DUMMYFUNCTION("""COMPUTED_VALUE"""),"Domain, Spell")</f>
        <v>Domain, Spell</v>
      </c>
      <c r="E79" s="264" t="str">
        <f>IFERROR(__xludf.DUMMYFUNCTION("""COMPUTED_VALUE"""),"Self")</f>
        <v>Self</v>
      </c>
      <c r="F79" s="266" t="str">
        <f>IFERROR(__xludf.DUMMYFUNCTION("""COMPUTED_VALUE"""),"You create a 15ft radius zone of 1ft of water in a circle around yourself. This zone of water remains stationary at its original position, even after you move.
This zone lasts until the end of the encounter and automatically replenishes itself when Aqua D"&amp;"rill is used inside of it. You may have multiple of these zones active at once.")</f>
        <v>You create a 15ft radius zone of 1ft of water in a circle around yourself. This zone of water remains stationary at its original position, even after you move.
This zone lasts until the end of the encounter and automatically replenishes itself when Aqua Drill is used inside of it. You may have multiple of these zones active at once.</v>
      </c>
      <c r="G79" s="264" t="str">
        <f>IFERROR(__xludf.DUMMYFUNCTION("""COMPUTED_VALUE"""),"")</f>
        <v/>
      </c>
      <c r="H79" s="265" t="str">
        <f>IFERROR(__xludf.DUMMYFUNCTION("""COMPUTED_VALUE"""),"1 AP")</f>
        <v>1 AP</v>
      </c>
      <c r="I79" s="264" t="str">
        <f>IFERROR(__xludf.DUMMYFUNCTION("""COMPUTED_VALUE"""),"1 AP")</f>
        <v>1 AP</v>
      </c>
      <c r="J79" s="264" t="str">
        <f>IFERROR(__xludf.DUMMYFUNCTION("""COMPUTED_VALUE"""),"")</f>
        <v/>
      </c>
      <c r="K79" s="263" t="str">
        <f>IFERROR(__xludf.DUMMYFUNCTION("""COMPUTED_VALUE"""),"")</f>
        <v/>
      </c>
      <c r="L79" s="263" t="str">
        <f>IFERROR(__xludf.DUMMYFUNCTION("""COMPUTED_VALUE"""),"")</f>
        <v/>
      </c>
      <c r="M79" s="263"/>
      <c r="N79" s="263"/>
      <c r="O79" s="263"/>
      <c r="P79" s="263"/>
      <c r="Q79" s="263"/>
      <c r="R79" s="263"/>
      <c r="S79" s="263"/>
      <c r="T79" s="263"/>
      <c r="U79" s="246"/>
      <c r="V79" s="246"/>
      <c r="W79" s="246"/>
      <c r="X79" s="246"/>
      <c r="Y79" s="246"/>
      <c r="Z79" s="246"/>
    </row>
    <row r="80">
      <c r="A80" s="263"/>
      <c r="B80" s="265" t="str">
        <f>IFERROR(__xludf.DUMMYFUNCTION("""COMPUTED_VALUE"""),"Bolting")</f>
        <v>Bolting</v>
      </c>
      <c r="C80" s="263"/>
      <c r="D80" s="263" t="str">
        <f>IFERROR(__xludf.DUMMYFUNCTION("""COMPUTED_VALUE"""),"Lightning, Rapid, Spell")</f>
        <v>Lightning, Rapid, Spell</v>
      </c>
      <c r="E80" s="263" t="str">
        <f>IFERROR(__xludf.DUMMYFUNCTION("""COMPUTED_VALUE"""),"360ft")</f>
        <v>360ft</v>
      </c>
      <c r="F80" s="266" t="str">
        <f>IFERROR(__xludf.DUMMYFUNCTION("""COMPUTED_VALUE"""),"You may make a Heavy Attack that deals Lightning Damage with a bolt from the sky. On damage, inflict Static X where X equals your Focus x 3. As the attack from the sky, any cover is calculated from above the target rather than from your path to the target"&amp;".")</f>
        <v>You may make a Heavy Attack that deals Lightning Damage with a bolt from the sky. On damage, inflict Static X where X equals your Focus x 3. As the attack from the sky, any cover is calculated from above the target rather than from your path to the target.</v>
      </c>
      <c r="G80" s="263" t="str">
        <f>IFERROR(__xludf.DUMMYFUNCTION("""COMPUTED_VALUE"""),"")</f>
        <v/>
      </c>
      <c r="H80" s="267" t="str">
        <f>IFERROR(__xludf.DUMMYFUNCTION("""COMPUTED_VALUE"""),"2 AP, 1 MP")</f>
        <v>2 AP, 1 MP</v>
      </c>
      <c r="I80" s="263" t="str">
        <f>IFERROR(__xludf.DUMMYFUNCTION("""COMPUTED_VALUE"""),"2 AP")</f>
        <v>2 AP</v>
      </c>
      <c r="J80" s="263" t="str">
        <f>IFERROR(__xludf.DUMMYFUNCTION("""COMPUTED_VALUE"""),"1 MP")</f>
        <v>1 MP</v>
      </c>
      <c r="K80" s="263" t="str">
        <f>IFERROR(__xludf.DUMMYFUNCTION("""COMPUTED_VALUE"""),"")</f>
        <v/>
      </c>
      <c r="L80" s="263" t="str">
        <f>IFERROR(__xludf.DUMMYFUNCTION("""COMPUTED_VALUE"""),"")</f>
        <v/>
      </c>
      <c r="M80" s="263"/>
      <c r="N80" s="263"/>
      <c r="O80" s="263"/>
      <c r="P80" s="263"/>
      <c r="Q80" s="263"/>
      <c r="R80" s="263"/>
      <c r="S80" s="263"/>
      <c r="T80" s="263"/>
      <c r="U80" s="246"/>
      <c r="V80" s="246"/>
      <c r="W80" s="246"/>
      <c r="X80" s="246"/>
      <c r="Y80" s="246"/>
      <c r="Z80" s="246"/>
    </row>
    <row r="81">
      <c r="A81" s="263"/>
      <c r="B81" s="265" t="str">
        <f>IFERROR(__xludf.DUMMYFUNCTION("""COMPUTED_VALUE"""),"Bone Armor")</f>
        <v>Bone Armor</v>
      </c>
      <c r="C81" s="263"/>
      <c r="D81" s="264" t="str">
        <f>IFERROR(__xludf.DUMMYFUNCTION("""COMPUTED_VALUE"""),"")</f>
        <v/>
      </c>
      <c r="E81" s="264" t="str">
        <f>IFERROR(__xludf.DUMMYFUNCTION("""COMPUTED_VALUE"""),"30ft")</f>
        <v>30ft</v>
      </c>
      <c r="F81" s="266" t="str">
        <f>IFERROR(__xludf.DUMMYFUNCTION("""COMPUTED_VALUE"""),"You target and destroy a corpse within range to give yourself Bone Armor, which gives you a +2 bonus to your guard. Bone Armor lasts until the end of the encounter or until you take 2 or more damage from an attack.")</f>
        <v>You target and destroy a corpse within range to give yourself Bone Armor, which gives you a +2 bonus to your guard. Bone Armor lasts until the end of the encounter or until you take 2 or more damage from an attack.</v>
      </c>
      <c r="G81" s="263" t="str">
        <f>IFERROR(__xludf.DUMMYFUNCTION("""COMPUTED_VALUE"""),"Corpse within range.")</f>
        <v>Corpse within range.</v>
      </c>
      <c r="H81" s="265" t="str">
        <f>IFERROR(__xludf.DUMMYFUNCTION("""COMPUTED_VALUE"""),"1 AP")</f>
        <v>1 AP</v>
      </c>
      <c r="I81" s="263" t="str">
        <f>IFERROR(__xludf.DUMMYFUNCTION("""COMPUTED_VALUE"""),"1 AP")</f>
        <v>1 AP</v>
      </c>
      <c r="J81" s="264" t="str">
        <f>IFERROR(__xludf.DUMMYFUNCTION("""COMPUTED_VALUE"""),"")</f>
        <v/>
      </c>
      <c r="K81" s="264" t="str">
        <f>IFERROR(__xludf.DUMMYFUNCTION("""COMPUTED_VALUE"""),"")</f>
        <v/>
      </c>
      <c r="L81" s="263" t="str">
        <f>IFERROR(__xludf.DUMMYFUNCTION("""COMPUTED_VALUE"""),"")</f>
        <v/>
      </c>
      <c r="M81" s="263"/>
      <c r="N81" s="263"/>
      <c r="O81" s="263"/>
      <c r="P81" s="263"/>
      <c r="Q81" s="263"/>
      <c r="R81" s="263"/>
      <c r="S81" s="263"/>
      <c r="T81" s="263"/>
      <c r="U81" s="246"/>
      <c r="V81" s="246"/>
      <c r="W81" s="246"/>
      <c r="X81" s="246"/>
      <c r="Y81" s="246"/>
      <c r="Z81" s="246"/>
    </row>
    <row r="82">
      <c r="A82" s="263"/>
      <c r="B82" s="265" t="str">
        <f>IFERROR(__xludf.DUMMYFUNCTION("""COMPUTED_VALUE"""),"Bottle Smash")</f>
        <v>Bottle Smash</v>
      </c>
      <c r="C82" s="263"/>
      <c r="D82" s="264" t="str">
        <f>IFERROR(__xludf.DUMMYFUNCTION("""COMPUTED_VALUE"""),"Daze, Prone")</f>
        <v>Daze, Prone</v>
      </c>
      <c r="E82" s="263" t="str">
        <f>IFERROR(__xludf.DUMMYFUNCTION("""COMPUTED_VALUE"""),"5ft")</f>
        <v>5ft</v>
      </c>
      <c r="F82" s="266" t="str">
        <f>IFERROR(__xludf.DUMMYFUNCTION("""COMPUTED_VALUE"""),"You may make a Light Attack against the target. On damage, the target becomes Dazed. After this attack, your improvised weapon breaks.")</f>
        <v>You may make a Light Attack against the target. On damage, the target becomes Dazed. After this attack, your improvised weapon breaks.</v>
      </c>
      <c r="G82" s="263" t="str">
        <f>IFERROR(__xludf.DUMMYFUNCTION("""COMPUTED_VALUE"""),"Improvised weapon only.")</f>
        <v>Improvised weapon only.</v>
      </c>
      <c r="H82" s="265" t="str">
        <f>IFERROR(__xludf.DUMMYFUNCTION("""COMPUTED_VALUE"""),"1 AP")</f>
        <v>1 AP</v>
      </c>
      <c r="I82" s="263" t="str">
        <f>IFERROR(__xludf.DUMMYFUNCTION("""COMPUTED_VALUE"""),"1 AP")</f>
        <v>1 AP</v>
      </c>
      <c r="J82" s="263" t="str">
        <f>IFERROR(__xludf.DUMMYFUNCTION("""COMPUTED_VALUE"""),"")</f>
        <v/>
      </c>
      <c r="K82" s="264" t="str">
        <f>IFERROR(__xludf.DUMMYFUNCTION("""COMPUTED_VALUE"""),"")</f>
        <v/>
      </c>
      <c r="L82" s="263" t="str">
        <f>IFERROR(__xludf.DUMMYFUNCTION("""COMPUTED_VALUE"""),"")</f>
        <v/>
      </c>
      <c r="M82" s="263"/>
      <c r="N82" s="263"/>
      <c r="O82" s="263"/>
      <c r="P82" s="263"/>
      <c r="Q82" s="263"/>
      <c r="R82" s="263"/>
      <c r="S82" s="263"/>
      <c r="T82" s="263"/>
      <c r="U82" s="246"/>
      <c r="V82" s="246"/>
      <c r="W82" s="246"/>
      <c r="X82" s="246"/>
      <c r="Y82" s="246"/>
      <c r="Z82" s="246"/>
    </row>
    <row r="83">
      <c r="A83" s="263"/>
      <c r="B83" s="265" t="str">
        <f>IFERROR(__xludf.DUMMYFUNCTION("""COMPUTED_VALUE"""),"Bottle Toss")</f>
        <v>Bottle Toss</v>
      </c>
      <c r="C83" s="263"/>
      <c r="D83" s="263" t="str">
        <f>IFERROR(__xludf.DUMMYFUNCTION("""COMPUTED_VALUE"""),"Daze")</f>
        <v>Daze</v>
      </c>
      <c r="E83" s="264" t="str">
        <f>IFERROR(__xludf.DUMMYFUNCTION("""COMPUTED_VALUE"""),"20ft")</f>
        <v>20ft</v>
      </c>
      <c r="F83" s="266" t="str">
        <f>IFERROR(__xludf.DUMMYFUNCTION("""COMPUTED_VALUE"""),"You may make a Light Attack against the target. On damage, the target becomes Dazed. After this attack, your improvised weapon breaks.")</f>
        <v>You may make a Light Attack against the target. On damage, the target becomes Dazed. After this attack, your improvised weapon breaks.</v>
      </c>
      <c r="G83" s="264" t="str">
        <f>IFERROR(__xludf.DUMMYFUNCTION("""COMPUTED_VALUE"""),"Improvised weapon only.")</f>
        <v>Improvised weapon only.</v>
      </c>
      <c r="H83" s="265" t="str">
        <f>IFERROR(__xludf.DUMMYFUNCTION("""COMPUTED_VALUE"""),"1 AP, 1 MP")</f>
        <v>1 AP, 1 MP</v>
      </c>
      <c r="I83" s="264" t="str">
        <f>IFERROR(__xludf.DUMMYFUNCTION("""COMPUTED_VALUE"""),"1 AP")</f>
        <v>1 AP</v>
      </c>
      <c r="J83" s="263" t="str">
        <f>IFERROR(__xludf.DUMMYFUNCTION("""COMPUTED_VALUE"""),"1 MP")</f>
        <v>1 MP</v>
      </c>
      <c r="K83" s="263" t="str">
        <f>IFERROR(__xludf.DUMMYFUNCTION("""COMPUTED_VALUE"""),"")</f>
        <v/>
      </c>
      <c r="L83" s="263" t="str">
        <f>IFERROR(__xludf.DUMMYFUNCTION("""COMPUTED_VALUE"""),"")</f>
        <v/>
      </c>
      <c r="M83" s="263"/>
      <c r="N83" s="263"/>
      <c r="O83" s="263"/>
      <c r="P83" s="263"/>
      <c r="Q83" s="263"/>
      <c r="R83" s="263"/>
      <c r="S83" s="263"/>
      <c r="T83" s="263"/>
      <c r="U83" s="246"/>
      <c r="V83" s="246"/>
      <c r="W83" s="246"/>
      <c r="X83" s="246"/>
      <c r="Y83" s="246"/>
      <c r="Z83" s="246"/>
    </row>
    <row r="84">
      <c r="A84" s="263"/>
      <c r="B84" s="265" t="str">
        <f>IFERROR(__xludf.DUMMYFUNCTION("""COMPUTED_VALUE"""),"Boundless Wind Stance")</f>
        <v>Boundless Wind Stance</v>
      </c>
      <c r="C84" s="263"/>
      <c r="D84" s="264" t="str">
        <f>IFERROR(__xludf.DUMMYFUNCTION("""COMPUTED_VALUE"""),"Stance")</f>
        <v>Stance</v>
      </c>
      <c r="E84" s="264" t="str">
        <f>IFERROR(__xludf.DUMMYFUNCTION("""COMPUTED_VALUE"""),"Self")</f>
        <v>Self</v>
      </c>
      <c r="F84" s="266" t="str">
        <f>IFERROR(__xludf.DUMMYFUNCTION("""COMPUTED_VALUE"""),"You enter the Wind Stance, an unarmed style focusing around aerial combat. While in this stance, you may Hover and Fly up to your speed. If you already have a natural Flying speed or the Flight racial ability, your flying speed is increased  by 10ft.
This"&amp;" stance lasts until you enter a different stance or make an attack with anything other than a melee attack or an ability with the Unarmed Strike keyword.")</f>
        <v>You enter the Wind Stance, an unarmed style focusing around aerial combat. While in this stance, you may Hover and Fly up to your speed. If you already have a natural Flying speed or the Flight racial ability, your flying speed is increased  by 10ft.
This stance lasts until you enter a different stance or make an attack with anything other than a melee attack or an ability with the Unarmed Strike keyword.</v>
      </c>
      <c r="G84" s="263" t="str">
        <f>IFERROR(__xludf.DUMMYFUNCTION("""COMPUTED_VALUE"""),"")</f>
        <v/>
      </c>
      <c r="H84" s="265" t="str">
        <f>IFERROR(__xludf.DUMMYFUNCTION("""COMPUTED_VALUE"""),"0 AP, 1 MP")</f>
        <v>0 AP, 1 MP</v>
      </c>
      <c r="I84" s="264" t="str">
        <f>IFERROR(__xludf.DUMMYFUNCTION("""COMPUTED_VALUE"""),"0 AP")</f>
        <v>0 AP</v>
      </c>
      <c r="J84" s="264" t="str">
        <f>IFERROR(__xludf.DUMMYFUNCTION("""COMPUTED_VALUE"""),"1 MP")</f>
        <v>1 MP</v>
      </c>
      <c r="K84" s="263" t="str">
        <f>IFERROR(__xludf.DUMMYFUNCTION("""COMPUTED_VALUE"""),"")</f>
        <v/>
      </c>
      <c r="L84" s="263" t="str">
        <f>IFERROR(__xludf.DUMMYFUNCTION("""COMPUTED_VALUE"""),"")</f>
        <v/>
      </c>
      <c r="M84" s="263"/>
      <c r="N84" s="263"/>
      <c r="O84" s="263"/>
      <c r="P84" s="263"/>
      <c r="Q84" s="263"/>
      <c r="R84" s="263"/>
      <c r="S84" s="263"/>
      <c r="T84" s="263"/>
      <c r="U84" s="246"/>
      <c r="V84" s="246"/>
      <c r="W84" s="246"/>
      <c r="X84" s="246"/>
      <c r="Y84" s="246"/>
      <c r="Z84" s="246"/>
    </row>
    <row r="85">
      <c r="A85" s="263"/>
      <c r="B85" s="265" t="str">
        <f>IFERROR(__xludf.DUMMYFUNCTION("""COMPUTED_VALUE"""),"Break Away")</f>
        <v>Break Away</v>
      </c>
      <c r="C85" s="263"/>
      <c r="D85" s="264" t="str">
        <f>IFERROR(__xludf.DUMMYFUNCTION("""COMPUTED_VALUE"""),"")</f>
        <v/>
      </c>
      <c r="E85" s="264" t="str">
        <f>IFERROR(__xludf.DUMMYFUNCTION("""COMPUTED_VALUE"""),"Self")</f>
        <v>Self</v>
      </c>
      <c r="F85" s="266" t="str">
        <f>IFERROR(__xludf.DUMMYFUNCTION("""COMPUTED_VALUE"""),"You disengage and may move up to half your speed away from the nearest enemy.")</f>
        <v>You disengage and may move up to half your speed away from the nearest enemy.</v>
      </c>
      <c r="G85" s="263" t="str">
        <f>IFERROR(__xludf.DUMMYFUNCTION("""COMPUTED_VALUE"""),"Must be mounted.")</f>
        <v>Must be mounted.</v>
      </c>
      <c r="H85" s="265" t="str">
        <f>IFERROR(__xludf.DUMMYFUNCTION("""COMPUTED_VALUE"""),"1 AP, 2 MP")</f>
        <v>1 AP, 2 MP</v>
      </c>
      <c r="I85" s="264" t="str">
        <f>IFERROR(__xludf.DUMMYFUNCTION("""COMPUTED_VALUE"""),"1 AP")</f>
        <v>1 AP</v>
      </c>
      <c r="J85" s="264" t="str">
        <f>IFERROR(__xludf.DUMMYFUNCTION("""COMPUTED_VALUE"""),"2 MP")</f>
        <v>2 MP</v>
      </c>
      <c r="K85" s="263" t="str">
        <f>IFERROR(__xludf.DUMMYFUNCTION("""COMPUTED_VALUE"""),"")</f>
        <v/>
      </c>
      <c r="L85" s="263" t="str">
        <f>IFERROR(__xludf.DUMMYFUNCTION("""COMPUTED_VALUE"""),"")</f>
        <v/>
      </c>
      <c r="M85" s="263"/>
      <c r="N85" s="263"/>
      <c r="O85" s="263"/>
      <c r="P85" s="263"/>
      <c r="Q85" s="263"/>
      <c r="R85" s="263"/>
      <c r="S85" s="263"/>
      <c r="T85" s="263"/>
      <c r="U85" s="246"/>
      <c r="V85" s="246"/>
      <c r="W85" s="246"/>
      <c r="X85" s="246"/>
      <c r="Y85" s="246"/>
      <c r="Z85" s="246"/>
    </row>
    <row r="86">
      <c r="A86" s="263"/>
      <c r="B86" s="265" t="str">
        <f>IFERROR(__xludf.DUMMYFUNCTION("""COMPUTED_VALUE"""),"Break Free")</f>
        <v>Break Free</v>
      </c>
      <c r="C86" s="263"/>
      <c r="D86" s="264" t="str">
        <f>IFERROR(__xludf.DUMMYFUNCTION("""COMPUTED_VALUE"""),"Rage")</f>
        <v>Rage</v>
      </c>
      <c r="E86" s="264" t="str">
        <f>IFERROR(__xludf.DUMMYFUNCTION("""COMPUTED_VALUE"""),"Self")</f>
        <v>Self</v>
      </c>
      <c r="F86" s="266" t="str">
        <f>IFERROR(__xludf.DUMMYFUNCTION("""COMPUTED_VALUE"""),"You may use this ability when you would be affected by a Stun, Root, Fear or a similar effect that would prevent you from acting that's inflicted by an enemy. You may immediately enter Rage Stance without spending any AP or RP. You gain immunity to this e"&amp;"ffect for the duration of the Rage.")</f>
        <v>You may use this ability when you would be affected by a Stun, Root, Fear or a similar effect that would prevent you from acting that's inflicted by an enemy. You may immediately enter Rage Stance without spending any AP or RP. You gain immunity to this effect for the duration of the Rage.</v>
      </c>
      <c r="G86" s="263" t="str">
        <f>IFERROR(__xludf.DUMMYFUNCTION("""COMPUTED_VALUE"""),"Not in Rage Stance.")</f>
        <v>Not in Rage Stance.</v>
      </c>
      <c r="H86" s="265" t="str">
        <f>IFERROR(__xludf.DUMMYFUNCTION("""COMPUTED_VALUE"""),"0 RP")</f>
        <v>0 RP</v>
      </c>
      <c r="I86" s="264" t="str">
        <f>IFERROR(__xludf.DUMMYFUNCTION("""COMPUTED_VALUE"""),"")</f>
        <v/>
      </c>
      <c r="J86" s="264" t="str">
        <f>IFERROR(__xludf.DUMMYFUNCTION("""COMPUTED_VALUE"""),"")</f>
        <v/>
      </c>
      <c r="K86" s="263" t="str">
        <f>IFERROR(__xludf.DUMMYFUNCTION("""COMPUTED_VALUE"""),"0 RP")</f>
        <v>0 RP</v>
      </c>
      <c r="L86" s="263" t="str">
        <f>IFERROR(__xludf.DUMMYFUNCTION("""COMPUTED_VALUE"""),"")</f>
        <v/>
      </c>
      <c r="M86" s="263"/>
      <c r="N86" s="263"/>
      <c r="O86" s="263"/>
      <c r="P86" s="263"/>
      <c r="Q86" s="263"/>
      <c r="R86" s="263"/>
      <c r="S86" s="263"/>
      <c r="T86" s="263"/>
      <c r="U86" s="246"/>
      <c r="V86" s="246"/>
      <c r="W86" s="246"/>
      <c r="X86" s="246"/>
      <c r="Y86" s="246"/>
      <c r="Z86" s="246"/>
    </row>
    <row r="87">
      <c r="A87" s="263"/>
      <c r="B87" s="265" t="str">
        <f>IFERROR(__xludf.DUMMYFUNCTION("""COMPUTED_VALUE"""),"Brilliance")</f>
        <v>Brilliance</v>
      </c>
      <c r="C87" s="263"/>
      <c r="D87" s="264" t="str">
        <f>IFERROR(__xludf.DUMMYFUNCTION("""COMPUTED_VALUE"""),"Spell, Illumination, Light")</f>
        <v>Spell, Illumination, Light</v>
      </c>
      <c r="E87" s="264" t="str">
        <f>IFERROR(__xludf.DUMMYFUNCTION("""COMPUTED_VALUE"""),"80ft")</f>
        <v>80ft</v>
      </c>
      <c r="F87" s="266" t="str">
        <f>IFERROR(__xludf.DUMMYFUNCTION("""COMPUTED_VALUE"""),"You make a Light attack against the target dealing Holy(Light) damage. On damage, inflict Illumination X, where X equals your Focus / 2 (rounded down) until the end of your next turn.")</f>
        <v>You make a Light attack against the target dealing Holy(Light) damage. On damage, inflict Illumination X, where X equals your Focus / 2 (rounded down) until the end of your next turn.</v>
      </c>
      <c r="G87" s="263" t="str">
        <f>IFERROR(__xludf.DUMMYFUNCTION("""COMPUTED_VALUE"""),"")</f>
        <v/>
      </c>
      <c r="H87" s="265" t="str">
        <f>IFERROR(__xludf.DUMMYFUNCTION("""COMPUTED_VALUE"""),"1 AP, 1 MP")</f>
        <v>1 AP, 1 MP</v>
      </c>
      <c r="I87" s="264" t="str">
        <f>IFERROR(__xludf.DUMMYFUNCTION("""COMPUTED_VALUE"""),"1 AP")</f>
        <v>1 AP</v>
      </c>
      <c r="J87" s="263" t="str">
        <f>IFERROR(__xludf.DUMMYFUNCTION("""COMPUTED_VALUE"""),"1 MP")</f>
        <v>1 MP</v>
      </c>
      <c r="K87" s="263" t="str">
        <f>IFERROR(__xludf.DUMMYFUNCTION("""COMPUTED_VALUE"""),"")</f>
        <v/>
      </c>
      <c r="L87" s="263" t="str">
        <f>IFERROR(__xludf.DUMMYFUNCTION("""COMPUTED_VALUE"""),"")</f>
        <v/>
      </c>
      <c r="M87" s="263"/>
      <c r="N87" s="263"/>
      <c r="O87" s="263"/>
      <c r="P87" s="263"/>
      <c r="Q87" s="263"/>
      <c r="R87" s="263"/>
      <c r="S87" s="263"/>
      <c r="T87" s="263"/>
      <c r="U87" s="246"/>
      <c r="V87" s="246"/>
      <c r="W87" s="246"/>
      <c r="X87" s="246"/>
      <c r="Y87" s="246"/>
      <c r="Z87" s="246"/>
    </row>
    <row r="88">
      <c r="A88" s="263"/>
      <c r="B88" s="265" t="str">
        <f>IFERROR(__xludf.DUMMYFUNCTION("""COMPUTED_VALUE"""),"Bring out your dead")</f>
        <v>Bring out your dead</v>
      </c>
      <c r="C88" s="263"/>
      <c r="D88" s="263" t="str">
        <f>IFERROR(__xludf.DUMMYFUNCTION("""COMPUTED_VALUE"""),"Encounter Start")</f>
        <v>Encounter Start</v>
      </c>
      <c r="E88" s="263" t="str">
        <f>IFERROR(__xludf.DUMMYFUNCTION("""COMPUTED_VALUE"""),"10ft")</f>
        <v>10ft</v>
      </c>
      <c r="F88" s="266" t="str">
        <f>IFERROR(__xludf.DUMMYFUNCTION("""COMPUTED_VALUE"""),"You summon 3 zombies, as if you used Raise Undead 3 times. Restrictions on max zombie limit still apply.
Does not require corpses.")</f>
        <v>You summon 3 zombies, as if you used Raise Undead 3 times. Restrictions on max zombie limit still apply.
Does not require corpses.</v>
      </c>
      <c r="G88" s="263" t="str">
        <f>IFERROR(__xludf.DUMMYFUNCTION("""COMPUTED_VALUE"""),"")</f>
        <v/>
      </c>
      <c r="H88" s="267" t="str">
        <f>IFERROR(__xludf.DUMMYFUNCTION("""COMPUTED_VALUE"""),"")</f>
        <v/>
      </c>
      <c r="I88" s="263" t="str">
        <f>IFERROR(__xludf.DUMMYFUNCTION("""COMPUTED_VALUE"""),"")</f>
        <v/>
      </c>
      <c r="J88" s="263" t="str">
        <f>IFERROR(__xludf.DUMMYFUNCTION("""COMPUTED_VALUE"""),"")</f>
        <v/>
      </c>
      <c r="K88" s="263" t="str">
        <f>IFERROR(__xludf.DUMMYFUNCTION("""COMPUTED_VALUE"""),"")</f>
        <v/>
      </c>
      <c r="L88" s="263" t="str">
        <f>IFERROR(__xludf.DUMMYFUNCTION("""COMPUTED_VALUE"""),"")</f>
        <v/>
      </c>
      <c r="M88" s="263"/>
      <c r="N88" s="263"/>
      <c r="O88" s="263"/>
      <c r="P88" s="263"/>
      <c r="Q88" s="263"/>
      <c r="R88" s="263"/>
      <c r="S88" s="263"/>
      <c r="T88" s="263"/>
      <c r="U88" s="246"/>
      <c r="V88" s="246"/>
      <c r="W88" s="246"/>
      <c r="X88" s="246"/>
      <c r="Y88" s="246"/>
      <c r="Z88" s="246"/>
    </row>
    <row r="89">
      <c r="A89" s="263"/>
      <c r="B89" s="265" t="str">
        <f>IFERROR(__xludf.DUMMYFUNCTION("""COMPUTED_VALUE"""),"Bulk Orders")</f>
        <v>Bulk Orders</v>
      </c>
      <c r="C89" s="263"/>
      <c r="D89" s="263" t="str">
        <f>IFERROR(__xludf.DUMMYFUNCTION("""COMPUTED_VALUE"""),"")</f>
        <v/>
      </c>
      <c r="E89" s="264" t="str">
        <f>IFERROR(__xludf.DUMMYFUNCTION("""COMPUTED_VALUE"""),"")</f>
        <v/>
      </c>
      <c r="F89" s="266" t="str">
        <f>IFERROR(__xludf.DUMMYFUNCTION("""COMPUTED_VALUE"""),"When purchasing five or more of the same item from an NPC or Procurement, reduce the total price by 10%. For commodities, you must purchase at least 4000 units.")</f>
        <v>When purchasing five or more of the same item from an NPC or Procurement, reduce the total price by 10%. For commodities, you must purchase at least 4000 units.</v>
      </c>
      <c r="G89" s="264" t="str">
        <f>IFERROR(__xludf.DUMMYFUNCTION("""COMPUTED_VALUE"""),"")</f>
        <v/>
      </c>
      <c r="H89" s="265" t="str">
        <f>IFERROR(__xludf.DUMMYFUNCTION("""COMPUTED_VALUE"""),"")</f>
        <v/>
      </c>
      <c r="I89" s="264" t="str">
        <f>IFERROR(__xludf.DUMMYFUNCTION("""COMPUTED_VALUE"""),"")</f>
        <v/>
      </c>
      <c r="J89" s="264" t="str">
        <f>IFERROR(__xludf.DUMMYFUNCTION("""COMPUTED_VALUE"""),"")</f>
        <v/>
      </c>
      <c r="K89" s="263" t="str">
        <f>IFERROR(__xludf.DUMMYFUNCTION("""COMPUTED_VALUE"""),"")</f>
        <v/>
      </c>
      <c r="L89" s="263" t="str">
        <f>IFERROR(__xludf.DUMMYFUNCTION("""COMPUTED_VALUE"""),"")</f>
        <v/>
      </c>
      <c r="M89" s="263"/>
      <c r="N89" s="263"/>
      <c r="O89" s="263"/>
      <c r="P89" s="263"/>
      <c r="Q89" s="263"/>
      <c r="R89" s="263"/>
      <c r="S89" s="263"/>
      <c r="T89" s="263"/>
      <c r="U89" s="246"/>
      <c r="V89" s="246"/>
      <c r="W89" s="246"/>
      <c r="X89" s="246"/>
      <c r="Y89" s="246"/>
      <c r="Z89" s="246"/>
    </row>
    <row r="90">
      <c r="A90" s="263"/>
      <c r="B90" s="265" t="str">
        <f>IFERROR(__xludf.DUMMYFUNCTION("""COMPUTED_VALUE"""),"Bullet Magnet")</f>
        <v>Bullet Magnet</v>
      </c>
      <c r="C90" s="263"/>
      <c r="D90" s="263" t="str">
        <f>IFERROR(__xludf.DUMMYFUNCTION("""COMPUTED_VALUE"""),"")</f>
        <v/>
      </c>
      <c r="E90" s="264" t="str">
        <f>IFERROR(__xludf.DUMMYFUNCTION("""COMPUTED_VALUE"""),"20ft")</f>
        <v>20ft</v>
      </c>
      <c r="F90" s="266" t="str">
        <f>IFERROR(__xludf.DUMMYFUNCTION("""COMPUTED_VALUE"""),"Until the start of your next turn, any single target Ranged Weapon Attack made against an ally in range is made against you instead.")</f>
        <v>Until the start of your next turn, any single target Ranged Weapon Attack made against an ally in range is made against you instead.</v>
      </c>
      <c r="G90" s="263" t="str">
        <f>IFERROR(__xludf.DUMMYFUNCTION("""COMPUTED_VALUE"""),"Must be using a greatshield.")</f>
        <v>Must be using a greatshield.</v>
      </c>
      <c r="H90" s="265" t="str">
        <f>IFERROR(__xludf.DUMMYFUNCTION("""COMPUTED_VALUE"""),"1 AP")</f>
        <v>1 AP</v>
      </c>
      <c r="I90" s="263" t="str">
        <f>IFERROR(__xludf.DUMMYFUNCTION("""COMPUTED_VALUE"""),"1 AP")</f>
        <v>1 AP</v>
      </c>
      <c r="J90" s="263" t="str">
        <f>IFERROR(__xludf.DUMMYFUNCTION("""COMPUTED_VALUE"""),"")</f>
        <v/>
      </c>
      <c r="K90" s="264" t="str">
        <f>IFERROR(__xludf.DUMMYFUNCTION("""COMPUTED_VALUE"""),"")</f>
        <v/>
      </c>
      <c r="L90" s="263" t="str">
        <f>IFERROR(__xludf.DUMMYFUNCTION("""COMPUTED_VALUE"""),"")</f>
        <v/>
      </c>
      <c r="M90" s="263"/>
      <c r="N90" s="263"/>
      <c r="O90" s="263"/>
      <c r="P90" s="263"/>
      <c r="Q90" s="263"/>
      <c r="R90" s="263"/>
      <c r="S90" s="263"/>
      <c r="T90" s="263"/>
      <c r="U90" s="246"/>
      <c r="V90" s="246"/>
      <c r="W90" s="246"/>
      <c r="X90" s="246"/>
      <c r="Y90" s="246"/>
      <c r="Z90" s="246"/>
    </row>
    <row r="91">
      <c r="A91" s="263"/>
      <c r="B91" s="265" t="str">
        <f>IFERROR(__xludf.DUMMYFUNCTION("""COMPUTED_VALUE"""),"Bunshin Tai no Jutsu")</f>
        <v>Bunshin Tai no Jutsu</v>
      </c>
      <c r="C91" s="263"/>
      <c r="D91" s="264" t="str">
        <f>IFERROR(__xludf.DUMMYFUNCTION("""COMPUTED_VALUE"""),"Ninjutsu, Stealth")</f>
        <v>Ninjutsu, Stealth</v>
      </c>
      <c r="E91" s="264" t="str">
        <f>IFERROR(__xludf.DUMMYFUNCTION("""COMPUTED_VALUE"""),"5ft")</f>
        <v>5ft</v>
      </c>
      <c r="F91" s="266" t="str">
        <f>IFERROR(__xludf.DUMMYFUNCTION("""COMPUTED_VALUE"""),"You create a body double of yourself that has the same stats you do at the time of creation. You and the body double share the same HP, Mana, AP and RP etc and unless stated otherwise your clones are considered you. All effects on you are mirrored on your"&amp;" clone and vice versa, however a clone cannot benefit from Presence Concealment.
When taking an action, you may choose to let the user be yourself or the body double. However, the body double may only use basic abilities and abilities with the Ninjutsu ke"&amp;"yword and cannot create more body doubles of itself.
When you take the movement action or use a non-teleport movement ability, your clone may move for the same amount of distance as you moved.
You may spend 0 AP or 1 RP to dismiss the body double. A clone"&amp;" can never travel more than 300ft from your actual body, but while it lasts you may spend 2 AP to swap locations with it.
A clone lasts until you rest.")</f>
        <v>You create a body double of yourself that has the same stats you do at the time of creation. You and the body double share the same HP, Mana, AP and RP etc and unless stated otherwise your clones are considered you. All effects on you are mirrored on your clone and vice versa, however a clone cannot benefit from Presence Concealment.
When taking an action, you may choose to let the user be yourself or the body double. However, the body double may only use basic abilities and abilities with the Ninjutsu keyword and cannot create more body doubles of itself.
When you take the movement action or use a non-teleport movement ability, your clone may move for the same amount of distance as you moved.
You may spend 0 AP or 1 RP to dismiss the body double. A clone can never travel more than 300ft from your actual body, but while it lasts you may spend 2 AP to swap locations with it.
A clone lasts until you rest.</v>
      </c>
      <c r="G91" s="264" t="str">
        <f>IFERROR(__xludf.DUMMYFUNCTION("""COMPUTED_VALUE"""),"")</f>
        <v/>
      </c>
      <c r="H91" s="265" t="str">
        <f>IFERROR(__xludf.DUMMYFUNCTION("""COMPUTED_VALUE"""),"1 AP, 2 MP")</f>
        <v>1 AP, 2 MP</v>
      </c>
      <c r="I91" s="264" t="str">
        <f>IFERROR(__xludf.DUMMYFUNCTION("""COMPUTED_VALUE"""),"1 AP")</f>
        <v>1 AP</v>
      </c>
      <c r="J91" s="263" t="str">
        <f>IFERROR(__xludf.DUMMYFUNCTION("""COMPUTED_VALUE"""),"2 MP")</f>
        <v>2 MP</v>
      </c>
      <c r="K91" s="263" t="str">
        <f>IFERROR(__xludf.DUMMYFUNCTION("""COMPUTED_VALUE"""),"")</f>
        <v/>
      </c>
      <c r="L91" s="263" t="str">
        <f>IFERROR(__xludf.DUMMYFUNCTION("""COMPUTED_VALUE"""),"")</f>
        <v/>
      </c>
      <c r="M91" s="263"/>
      <c r="N91" s="263"/>
      <c r="O91" s="263"/>
      <c r="P91" s="263"/>
      <c r="Q91" s="263"/>
      <c r="R91" s="263"/>
      <c r="S91" s="263"/>
      <c r="T91" s="263"/>
      <c r="U91" s="246"/>
      <c r="V91" s="246"/>
      <c r="W91" s="246"/>
      <c r="X91" s="246"/>
      <c r="Y91" s="246"/>
      <c r="Z91" s="246"/>
    </row>
    <row r="92">
      <c r="A92" s="263"/>
      <c r="B92" s="265" t="str">
        <f>IFERROR(__xludf.DUMMYFUNCTION("""COMPUTED_VALUE"""),"Call of the Grave")</f>
        <v>Call of the Grave</v>
      </c>
      <c r="C92" s="263"/>
      <c r="D92" s="263" t="str">
        <f>IFERROR(__xludf.DUMMYFUNCTION("""COMPUTED_VALUE"""),"Challenge")</f>
        <v>Challenge</v>
      </c>
      <c r="E92" s="264" t="str">
        <f>IFERROR(__xludf.DUMMYFUNCTION("""COMPUTED_VALUE"""),"60ft")</f>
        <v>60ft</v>
      </c>
      <c r="F92" s="266" t="str">
        <f>IFERROR(__xludf.DUMMYFUNCTION("""COMPUTED_VALUE"""),"You make a Heavy Attack against the target that deals Dark damage. On hit, if the target is large or smaller, you pull them to you. They are Challenged until the start of your next turn. This ability does not provoke an attack of opportunity.")</f>
        <v>You make a Heavy Attack against the target that deals Dark damage. On hit, if the target is large or smaller, you pull them to you. They are Challenged until the start of your next turn. This ability does not provoke an attack of opportunity.</v>
      </c>
      <c r="G92" s="263" t="str">
        <f>IFERROR(__xludf.DUMMYFUNCTION("""COMPUTED_VALUE"""),"")</f>
        <v/>
      </c>
      <c r="H92" s="265" t="str">
        <f>IFERROR(__xludf.DUMMYFUNCTION("""COMPUTED_VALUE"""),"2 AP, 2 MP")</f>
        <v>2 AP, 2 MP</v>
      </c>
      <c r="I92" s="264" t="str">
        <f>IFERROR(__xludf.DUMMYFUNCTION("""COMPUTED_VALUE"""),"2 AP")</f>
        <v>2 AP</v>
      </c>
      <c r="J92" s="263" t="str">
        <f>IFERROR(__xludf.DUMMYFUNCTION("""COMPUTED_VALUE"""),"2 MP")</f>
        <v>2 MP</v>
      </c>
      <c r="K92" s="263" t="str">
        <f>IFERROR(__xludf.DUMMYFUNCTION("""COMPUTED_VALUE"""),"")</f>
        <v/>
      </c>
      <c r="L92" s="263" t="str">
        <f>IFERROR(__xludf.DUMMYFUNCTION("""COMPUTED_VALUE"""),"")</f>
        <v/>
      </c>
      <c r="M92" s="263"/>
      <c r="N92" s="263"/>
      <c r="O92" s="263"/>
      <c r="P92" s="263"/>
      <c r="Q92" s="263"/>
      <c r="R92" s="263"/>
      <c r="S92" s="263"/>
      <c r="T92" s="263"/>
      <c r="U92" s="246"/>
      <c r="V92" s="246"/>
      <c r="W92" s="246"/>
      <c r="X92" s="246"/>
      <c r="Y92" s="246"/>
      <c r="Z92" s="246"/>
    </row>
    <row r="93">
      <c r="A93" s="263"/>
      <c r="B93" s="265" t="str">
        <f>IFERROR(__xludf.DUMMYFUNCTION("""COMPUTED_VALUE"""),"Call to Grace")</f>
        <v>Call to Grace</v>
      </c>
      <c r="C93" s="263"/>
      <c r="D93" s="263" t="str">
        <f>IFERROR(__xludf.DUMMYFUNCTION("""COMPUTED_VALUE"""),"Sanctify")</f>
        <v>Sanctify</v>
      </c>
      <c r="E93" s="264" t="str">
        <f>IFERROR(__xludf.DUMMYFUNCTION("""COMPUTED_VALUE"""),"60ft")</f>
        <v>60ft</v>
      </c>
      <c r="F93" s="266" t="str">
        <f>IFERROR(__xludf.DUMMYFUNCTION("""COMPUTED_VALUE"""),"You trigger the effect of Sanctify, healing the target of the attack by your sanctify amount (and reducing the sanctify stacks). If the attack targets multiple creatures, you only heal one.")</f>
        <v>You trigger the effect of Sanctify, healing the target of the attack by your sanctify amount (and reducing the sanctify stacks). If the attack targets multiple creatures, you only heal one.</v>
      </c>
      <c r="G93" s="263" t="str">
        <f>IFERROR(__xludf.DUMMYFUNCTION("""COMPUTED_VALUE"""),"An enemy within range that inflicted with Sanctify is attacking an ally.")</f>
        <v>An enemy within range that inflicted with Sanctify is attacking an ally.</v>
      </c>
      <c r="H93" s="265" t="str">
        <f>IFERROR(__xludf.DUMMYFUNCTION("""COMPUTED_VALUE"""),"0 RP")</f>
        <v>0 RP</v>
      </c>
      <c r="I93" s="264" t="str">
        <f>IFERROR(__xludf.DUMMYFUNCTION("""COMPUTED_VALUE"""),"")</f>
        <v/>
      </c>
      <c r="J93" s="263" t="str">
        <f>IFERROR(__xludf.DUMMYFUNCTION("""COMPUTED_VALUE"""),"")</f>
        <v/>
      </c>
      <c r="K93" s="263" t="str">
        <f>IFERROR(__xludf.DUMMYFUNCTION("""COMPUTED_VALUE"""),"0 RP")</f>
        <v>0 RP</v>
      </c>
      <c r="L93" s="263" t="str">
        <f>IFERROR(__xludf.DUMMYFUNCTION("""COMPUTED_VALUE"""),"")</f>
        <v/>
      </c>
      <c r="M93" s="263"/>
      <c r="N93" s="263"/>
      <c r="O93" s="263"/>
      <c r="P93" s="263"/>
      <c r="Q93" s="263"/>
      <c r="R93" s="263"/>
      <c r="S93" s="263"/>
      <c r="T93" s="263"/>
      <c r="U93" s="246"/>
      <c r="V93" s="246"/>
      <c r="W93" s="246"/>
      <c r="X93" s="246"/>
      <c r="Y93" s="246"/>
      <c r="Z93" s="246"/>
    </row>
    <row r="94">
      <c r="A94" s="263"/>
      <c r="B94" s="265" t="str">
        <f>IFERROR(__xludf.DUMMYFUNCTION("""COMPUTED_VALUE"""),"Can't Escape Death")</f>
        <v>Can't Escape Death</v>
      </c>
      <c r="C94" s="263"/>
      <c r="D94" s="264" t="str">
        <f>IFERROR(__xludf.DUMMYFUNCTION("""COMPUTED_VALUE"""),"Sidestep")</f>
        <v>Sidestep</v>
      </c>
      <c r="E94" s="264" t="str">
        <f>IFERROR(__xludf.DUMMYFUNCTION("""COMPUTED_VALUE"""),"Melee Weapon Range")</f>
        <v>Melee Weapon Range</v>
      </c>
      <c r="F94" s="266" t="str">
        <f>IFERROR(__xludf.DUMMYFUNCTION("""COMPUTED_VALUE"""),"You may use this after an enemy leaves your melee range. After the target finishes moving, you may sidestep up to your speed towards them. For 1 RP, you may move double your speed instead.")</f>
        <v>You may use this after an enemy leaves your melee range. After the target finishes moving, you may sidestep up to your speed towards them. For 1 RP, you may move double your speed instead.</v>
      </c>
      <c r="G94" s="263" t="str">
        <f>IFERROR(__xludf.DUMMYFUNCTION("""COMPUTED_VALUE"""),"A target Challenged by you leaves your melee range.")</f>
        <v>A target Challenged by you leaves your melee range.</v>
      </c>
      <c r="H94" s="265" t="str">
        <f>IFERROR(__xludf.DUMMYFUNCTION("""COMPUTED_VALUE"""),"0 RP")</f>
        <v>0 RP</v>
      </c>
      <c r="I94" s="264" t="str">
        <f>IFERROR(__xludf.DUMMYFUNCTION("""COMPUTED_VALUE"""),"")</f>
        <v/>
      </c>
      <c r="J94" s="264" t="str">
        <f>IFERROR(__xludf.DUMMYFUNCTION("""COMPUTED_VALUE"""),"")</f>
        <v/>
      </c>
      <c r="K94" s="263" t="str">
        <f>IFERROR(__xludf.DUMMYFUNCTION("""COMPUTED_VALUE"""),"0 RP")</f>
        <v>0 RP</v>
      </c>
      <c r="L94" s="263" t="str">
        <f>IFERROR(__xludf.DUMMYFUNCTION("""COMPUTED_VALUE"""),"")</f>
        <v/>
      </c>
      <c r="M94" s="263"/>
      <c r="N94" s="263"/>
      <c r="O94" s="263"/>
      <c r="P94" s="263"/>
      <c r="Q94" s="263"/>
      <c r="R94" s="263"/>
      <c r="S94" s="263"/>
      <c r="T94" s="263"/>
      <c r="U94" s="246"/>
      <c r="V94" s="246"/>
      <c r="W94" s="246"/>
      <c r="X94" s="246"/>
      <c r="Y94" s="246"/>
      <c r="Z94" s="246"/>
    </row>
    <row r="95">
      <c r="A95" s="263"/>
      <c r="B95" s="265" t="str">
        <f>IFERROR(__xludf.DUMMYFUNCTION("""COMPUTED_VALUE"""),"Cannonball")</f>
        <v>Cannonball</v>
      </c>
      <c r="C95" s="263"/>
      <c r="D95" s="264" t="str">
        <f>IFERROR(__xludf.DUMMYFUNCTION("""COMPUTED_VALUE"""),"Cannon, Artillery")</f>
        <v>Cannon, Artillery</v>
      </c>
      <c r="E95" s="264" t="str">
        <f>IFERROR(__xludf.DUMMYFUNCTION("""COMPUTED_VALUE"""),"Ranged Weapon Range")</f>
        <v>Ranged Weapon Range</v>
      </c>
      <c r="F95" s="266" t="str">
        <f>IFERROR(__xludf.DUMMYFUNCTION("""COMPUTED_VALUE"""),"You make 2 heavy attacks against the target and a light attack against all other enemies within 5ft of the target.")</f>
        <v>You make 2 heavy attacks against the target and a light attack against all other enemies within 5ft of the target.</v>
      </c>
      <c r="G95" s="264" t="str">
        <f>IFERROR(__xludf.DUMMYFUNCTION("""COMPUTED_VALUE"""),"Cannon only.")</f>
        <v>Cannon only.</v>
      </c>
      <c r="H95" s="267" t="str">
        <f>IFERROR(__xludf.DUMMYFUNCTION("""COMPUTED_VALUE"""),"4 AP")</f>
        <v>4 AP</v>
      </c>
      <c r="I95" s="263" t="str">
        <f>IFERROR(__xludf.DUMMYFUNCTION("""COMPUTED_VALUE"""),"4 AP")</f>
        <v>4 AP</v>
      </c>
      <c r="J95" s="263" t="str">
        <f>IFERROR(__xludf.DUMMYFUNCTION("""COMPUTED_VALUE"""),"")</f>
        <v/>
      </c>
      <c r="K95" s="263" t="str">
        <f>IFERROR(__xludf.DUMMYFUNCTION("""COMPUTED_VALUE"""),"")</f>
        <v/>
      </c>
      <c r="L95" s="263" t="str">
        <f>IFERROR(__xludf.DUMMYFUNCTION("""COMPUTED_VALUE"""),"")</f>
        <v/>
      </c>
      <c r="M95" s="263"/>
      <c r="N95" s="263"/>
      <c r="O95" s="263"/>
      <c r="P95" s="263"/>
      <c r="Q95" s="263"/>
      <c r="R95" s="263"/>
      <c r="S95" s="263"/>
      <c r="T95" s="263"/>
      <c r="U95" s="246"/>
      <c r="V95" s="246"/>
      <c r="W95" s="246"/>
      <c r="X95" s="246"/>
      <c r="Y95" s="246"/>
      <c r="Z95" s="246"/>
    </row>
    <row r="96">
      <c r="A96" s="263"/>
      <c r="B96" s="265" t="str">
        <f>IFERROR(__xludf.DUMMYFUNCTION("""COMPUTED_VALUE"""),"Canter")</f>
        <v>Canter</v>
      </c>
      <c r="C96" s="263"/>
      <c r="D96" s="264" t="str">
        <f>IFERROR(__xludf.DUMMYFUNCTION("""COMPUTED_VALUE"""),"Sidestep")</f>
        <v>Sidestep</v>
      </c>
      <c r="E96" s="264" t="str">
        <f>IFERROR(__xludf.DUMMYFUNCTION("""COMPUTED_VALUE"""),"Self")</f>
        <v>Self</v>
      </c>
      <c r="F96" s="266" t="str">
        <f>IFERROR(__xludf.DUMMYFUNCTION("""COMPUTED_VALUE"""),"You may Sidestep 10ft.")</f>
        <v>You may Sidestep 10ft.</v>
      </c>
      <c r="G96" s="264" t="str">
        <f>IFERROR(__xludf.DUMMYFUNCTION("""COMPUTED_VALUE"""),"Must be mounted and can be used immediately after making a weapon attack.")</f>
        <v>Must be mounted and can be used immediately after making a weapon attack.</v>
      </c>
      <c r="H96" s="267" t="str">
        <f>IFERROR(__xludf.DUMMYFUNCTION("""COMPUTED_VALUE"""),"0 AP, 1 MP")</f>
        <v>0 AP, 1 MP</v>
      </c>
      <c r="I96" s="263" t="str">
        <f>IFERROR(__xludf.DUMMYFUNCTION("""COMPUTED_VALUE"""),"0 AP")</f>
        <v>0 AP</v>
      </c>
      <c r="J96" s="263" t="str">
        <f>IFERROR(__xludf.DUMMYFUNCTION("""COMPUTED_VALUE"""),"1 MP")</f>
        <v>1 MP</v>
      </c>
      <c r="K96" s="263" t="str">
        <f>IFERROR(__xludf.DUMMYFUNCTION("""COMPUTED_VALUE"""),"")</f>
        <v/>
      </c>
      <c r="L96" s="263" t="str">
        <f>IFERROR(__xludf.DUMMYFUNCTION("""COMPUTED_VALUE"""),"")</f>
        <v/>
      </c>
      <c r="M96" s="263"/>
      <c r="N96" s="263"/>
      <c r="O96" s="263"/>
      <c r="P96" s="263"/>
      <c r="Q96" s="263"/>
      <c r="R96" s="263"/>
      <c r="S96" s="263"/>
      <c r="T96" s="263"/>
      <c r="U96" s="246"/>
      <c r="V96" s="246"/>
      <c r="W96" s="246"/>
      <c r="X96" s="246"/>
      <c r="Y96" s="246"/>
      <c r="Z96" s="246"/>
    </row>
    <row r="97">
      <c r="A97" s="263"/>
      <c r="B97" s="265" t="str">
        <f>IFERROR(__xludf.DUMMYFUNCTION("""COMPUTED_VALUE"""),"Carpenter Basics")</f>
        <v>Carpenter Basics</v>
      </c>
      <c r="C97" s="263"/>
      <c r="D97" s="263" t="str">
        <f>IFERROR(__xludf.DUMMYFUNCTION("""COMPUTED_VALUE"""),"")</f>
        <v/>
      </c>
      <c r="E97" s="263" t="str">
        <f>IFERROR(__xludf.DUMMYFUNCTION("""COMPUTED_VALUE"""),"")</f>
        <v/>
      </c>
      <c r="F97" s="266" t="str">
        <f>IFERROR(__xludf.DUMMYFUNCTION("""COMPUTED_VALUE"""),"Carpenter's Modification A
Cost: X Crafting Points
Description:
You add an A-Type modification to the weapon or tool. See the Universal Weapon page as well as the individual weapon page for details. Each modification has its own cost.
Joining and Assembli"&amp;"ng
Cost: X Crafting Points
Description:
You mix a special material into the carpentry project. Each material has its own crafting point cost.
Create Oil Coating
Cost: Errand
Description:
You create an Oil Coating from Carpenter materials.  See Items: Carp"&amp;"enter Materials.
Create Wood Block
Cost: Errand
Description:
You create a Wood Block from Carpenter materials.  See Items: Carpenter Materials.
Infuse Wand
Cost: 5 Crafting Points
Description:
You add a drop of Oil Coating into a wand, changing the built "&amp;"in damage type to the element of the oil. Only works with oils that change the damage type. Does not consume the oil.")</f>
        <v>Carpenter's Modification A
Cost: X Crafting Points
Description:
You add an A-Type modification to the weapon or tool. See the Universal Weapon page as well as the individual weapon page for details. Each modification has its own cost.
Joining and Assembling
Cost: X Crafting Points
Description:
You mix a special material into the carpentry project. Each material has its own crafting point cost.
Create Oil Coating
Cost: Errand
Description:
You create an Oil Coating from Carpenter materials.  See Items: Carpenter Materials.
Create Wood Block
Cost: Errand
Description:
You create a Wood Block from Carpenter materials.  See Items: Carpenter Materials.
Infuse Wand
Cost: 5 Crafting Points
Description:
You add a drop of Oil Coating into a wand, changing the built in damage type to the element of the oil. Only works with oils that change the damage type. Does not consume the oil.</v>
      </c>
      <c r="G97" s="263" t="str">
        <f>IFERROR(__xludf.DUMMYFUNCTION("""COMPUTED_VALUE"""),"")</f>
        <v/>
      </c>
      <c r="H97" s="267" t="str">
        <f>IFERROR(__xludf.DUMMYFUNCTION("""COMPUTED_VALUE"""),"")</f>
        <v/>
      </c>
      <c r="I97" s="263" t="str">
        <f>IFERROR(__xludf.DUMMYFUNCTION("""COMPUTED_VALUE"""),"")</f>
        <v/>
      </c>
      <c r="J97" s="263" t="str">
        <f>IFERROR(__xludf.DUMMYFUNCTION("""COMPUTED_VALUE"""),"")</f>
        <v/>
      </c>
      <c r="K97" s="263" t="str">
        <f>IFERROR(__xludf.DUMMYFUNCTION("""COMPUTED_VALUE"""),"")</f>
        <v/>
      </c>
      <c r="L97" s="263" t="str">
        <f>IFERROR(__xludf.DUMMYFUNCTION("""COMPUTED_VALUE"""),"")</f>
        <v/>
      </c>
      <c r="M97" s="263"/>
      <c r="N97" s="263"/>
      <c r="O97" s="263"/>
      <c r="P97" s="263"/>
      <c r="Q97" s="263"/>
      <c r="R97" s="263"/>
      <c r="S97" s="263"/>
      <c r="T97" s="263"/>
      <c r="U97" s="246"/>
      <c r="V97" s="246"/>
      <c r="W97" s="246"/>
      <c r="X97" s="246"/>
      <c r="Y97" s="246"/>
      <c r="Z97" s="246"/>
    </row>
    <row r="98">
      <c r="A98" s="263"/>
      <c r="B98" s="265" t="str">
        <f>IFERROR(__xludf.DUMMYFUNCTION("""COMPUTED_VALUE"""),"Castling")</f>
        <v>Castling</v>
      </c>
      <c r="C98" s="263"/>
      <c r="D98" s="263" t="str">
        <f>IFERROR(__xludf.DUMMYFUNCTION("""COMPUTED_VALUE"""),"Teleport")</f>
        <v>Teleport</v>
      </c>
      <c r="E98" s="264" t="str">
        <f>IFERROR(__xludf.DUMMYFUNCTION("""COMPUTED_VALUE"""),"40ft")</f>
        <v>40ft</v>
      </c>
      <c r="F98" s="266" t="str">
        <f>IFERROR(__xludf.DUMMYFUNCTION("""COMPUTED_VALUE"""),"You swap positions with a Rook puppet piece you control.")</f>
        <v>You swap positions with a Rook puppet piece you control.</v>
      </c>
      <c r="G98" s="263" t="str">
        <f>IFERROR(__xludf.DUMMYFUNCTION("""COMPUTED_VALUE"""),"")</f>
        <v/>
      </c>
      <c r="H98" s="265" t="str">
        <f>IFERROR(__xludf.DUMMYFUNCTION("""COMPUTED_VALUE"""),"1 MP, 0 RP")</f>
        <v>1 MP, 0 RP</v>
      </c>
      <c r="I98" s="264" t="str">
        <f>IFERROR(__xludf.DUMMYFUNCTION("""COMPUTED_VALUE"""),"")</f>
        <v/>
      </c>
      <c r="J98" s="263" t="str">
        <f>IFERROR(__xludf.DUMMYFUNCTION("""COMPUTED_VALUE"""),"1 MP")</f>
        <v>1 MP</v>
      </c>
      <c r="K98" s="263" t="str">
        <f>IFERROR(__xludf.DUMMYFUNCTION("""COMPUTED_VALUE"""),"0 RP")</f>
        <v>0 RP</v>
      </c>
      <c r="L98" s="263" t="str">
        <f>IFERROR(__xludf.DUMMYFUNCTION("""COMPUTED_VALUE"""),"")</f>
        <v/>
      </c>
      <c r="M98" s="263"/>
      <c r="N98" s="263"/>
      <c r="O98" s="263"/>
      <c r="P98" s="263"/>
      <c r="Q98" s="263"/>
      <c r="R98" s="263"/>
      <c r="S98" s="263"/>
      <c r="T98" s="263"/>
      <c r="U98" s="246"/>
      <c r="V98" s="246"/>
      <c r="W98" s="246"/>
      <c r="X98" s="246"/>
      <c r="Y98" s="246"/>
      <c r="Z98" s="246"/>
    </row>
    <row r="99">
      <c r="A99" s="263"/>
      <c r="B99" s="265" t="str">
        <f>IFERROR(__xludf.DUMMYFUNCTION("""COMPUTED_VALUE"""),"Cat Form")</f>
        <v>Cat Form</v>
      </c>
      <c r="C99" s="263"/>
      <c r="D99" s="264" t="str">
        <f>IFERROR(__xludf.DUMMYFUNCTION("""COMPUTED_VALUE"""),"Transformation")</f>
        <v>Transformation</v>
      </c>
      <c r="E99" s="264" t="str">
        <f>IFERROR(__xludf.DUMMYFUNCTION("""COMPUTED_VALUE"""),"")</f>
        <v/>
      </c>
      <c r="F99" s="266" t="str">
        <f>IFERROR(__xludf.DUMMYFUNCTION("""COMPUTED_VALUE"""),"You transform into cat form, reducing your Guard to 0 but increasing your Evasion by +3 and Dodge by +6.  Your size is tiny and you are able to occupy the same square as an ally.  While in Cat form the only attack you can make is Light Melee Attack.  If y"&amp;"ou take damage in Cat Form, you immediately return to your normal form.  You can dispel this form for 0 AP or 1 RP.")</f>
        <v>You transform into cat form, reducing your Guard to 0 but increasing your Evasion by +3 and Dodge by +6.  Your size is tiny and you are able to occupy the same square as an ally.  While in Cat form the only attack you can make is Light Melee Attack.  If you take damage in Cat Form, you immediately return to your normal form.  You can dispel this form for 0 AP or 1 RP.</v>
      </c>
      <c r="G99" s="263" t="str">
        <f>IFERROR(__xludf.DUMMYFUNCTION("""COMPUTED_VALUE"""),"")</f>
        <v/>
      </c>
      <c r="H99" s="267" t="str">
        <f>IFERROR(__xludf.DUMMYFUNCTION("""COMPUTED_VALUE"""),"1 RP")</f>
        <v>1 RP</v>
      </c>
      <c r="I99" s="263" t="str">
        <f>IFERROR(__xludf.DUMMYFUNCTION("""COMPUTED_VALUE"""),"")</f>
        <v/>
      </c>
      <c r="J99" s="263" t="str">
        <f>IFERROR(__xludf.DUMMYFUNCTION("""COMPUTED_VALUE"""),"")</f>
        <v/>
      </c>
      <c r="K99" s="263" t="str">
        <f>IFERROR(__xludf.DUMMYFUNCTION("""COMPUTED_VALUE"""),"1 RP")</f>
        <v>1 RP</v>
      </c>
      <c r="L99" s="263" t="str">
        <f>IFERROR(__xludf.DUMMYFUNCTION("""COMPUTED_VALUE"""),"")</f>
        <v/>
      </c>
      <c r="M99" s="263"/>
      <c r="N99" s="263"/>
      <c r="O99" s="263"/>
      <c r="P99" s="263"/>
      <c r="Q99" s="263"/>
      <c r="R99" s="263"/>
      <c r="S99" s="263"/>
      <c r="T99" s="263"/>
      <c r="U99" s="246"/>
      <c r="V99" s="246"/>
      <c r="W99" s="246"/>
      <c r="X99" s="246"/>
      <c r="Y99" s="246"/>
      <c r="Z99" s="246"/>
    </row>
    <row r="100">
      <c r="A100" s="263"/>
      <c r="B100" s="265" t="str">
        <f>IFERROR(__xludf.DUMMYFUNCTION("""COMPUTED_VALUE"""),"Catalyze")</f>
        <v>Catalyze</v>
      </c>
      <c r="C100" s="263"/>
      <c r="D100" s="264" t="str">
        <f>IFERROR(__xludf.DUMMYFUNCTION("""COMPUTED_VALUE"""),"Poison, Circuit, Stagger, Sunder")</f>
        <v>Poison, Circuit, Stagger, Sunder</v>
      </c>
      <c r="E100" s="264" t="str">
        <f>IFERROR(__xludf.DUMMYFUNCTION("""COMPUTED_VALUE"""),"40ft")</f>
        <v>40ft</v>
      </c>
      <c r="F100" s="266" t="str">
        <f>IFERROR(__xludf.DUMMYFUNCTION("""COMPUTED_VALUE"""),"The target must succeed at a Save. On failure, you inflict Stagger II or Sunder II until the end of your next turn.")</f>
        <v>The target must succeed at a Save. On failure, you inflict Stagger II or Sunder II until the end of your next turn.</v>
      </c>
      <c r="G100" s="264" t="str">
        <f>IFERROR(__xludf.DUMMYFUNCTION("""COMPUTED_VALUE"""),"Target is afflicted with your Toxic.")</f>
        <v>Target is afflicted with your Toxic.</v>
      </c>
      <c r="H100" s="265" t="str">
        <f>IFERROR(__xludf.DUMMYFUNCTION("""COMPUTED_VALUE"""),"1 AP, 1 MP")</f>
        <v>1 AP, 1 MP</v>
      </c>
      <c r="I100" s="264" t="str">
        <f>IFERROR(__xludf.DUMMYFUNCTION("""COMPUTED_VALUE"""),"1 AP")</f>
        <v>1 AP</v>
      </c>
      <c r="J100" s="263" t="str">
        <f>IFERROR(__xludf.DUMMYFUNCTION("""COMPUTED_VALUE"""),"1 MP")</f>
        <v>1 MP</v>
      </c>
      <c r="K100" s="263" t="str">
        <f>IFERROR(__xludf.DUMMYFUNCTION("""COMPUTED_VALUE"""),"")</f>
        <v/>
      </c>
      <c r="L100" s="263" t="str">
        <f>IFERROR(__xludf.DUMMYFUNCTION("""COMPUTED_VALUE"""),"")</f>
        <v/>
      </c>
      <c r="M100" s="263"/>
      <c r="N100" s="263"/>
      <c r="O100" s="263"/>
      <c r="P100" s="263"/>
      <c r="Q100" s="263"/>
      <c r="R100" s="263"/>
      <c r="S100" s="263"/>
      <c r="T100" s="263"/>
      <c r="U100" s="246"/>
      <c r="V100" s="246"/>
      <c r="W100" s="246"/>
      <c r="X100" s="246"/>
      <c r="Y100" s="246"/>
      <c r="Z100" s="246"/>
    </row>
    <row r="101">
      <c r="A101" s="263"/>
      <c r="B101" s="265" t="str">
        <f>IFERROR(__xludf.DUMMYFUNCTION("""COMPUTED_VALUE"""),"Cavalry Charge")</f>
        <v>Cavalry Charge</v>
      </c>
      <c r="C101" s="263"/>
      <c r="D101" s="264" t="str">
        <f>IFERROR(__xludf.DUMMYFUNCTION("""COMPUTED_VALUE"""),"")</f>
        <v/>
      </c>
      <c r="E101" s="264" t="str">
        <f>IFERROR(__xludf.DUMMYFUNCTION("""COMPUTED_VALUE"""),"Self")</f>
        <v>Self</v>
      </c>
      <c r="F101" s="266" t="str">
        <f>IFERROR(__xludf.DUMMYFUNCTION("""COMPUTED_VALUE"""),"You may spend up to 4 AP on this ability and move as though you had spent that AP on movement. You automatically gain the Trample effect as like the Trample ability once you have moved 20ft.
For every 10ft moved, the attack you make as part of the Trample"&amp;" effect gains +1 bonus damage, up to a maximum of +10.")</f>
        <v>You may spend up to 4 AP on this ability and move as though you had spent that AP on movement. You automatically gain the Trample effect as like the Trample ability once you have moved 20ft.
For every 10ft moved, the attack you make as part of the Trample effect gains +1 bonus damage, up to a maximum of +10.</v>
      </c>
      <c r="G101" s="263" t="str">
        <f>IFERROR(__xludf.DUMMYFUNCTION("""COMPUTED_VALUE"""),"Must be mounted.")</f>
        <v>Must be mounted.</v>
      </c>
      <c r="H101" s="265" t="str">
        <f>IFERROR(__xludf.DUMMYFUNCTION("""COMPUTED_VALUE"""),"X AP")</f>
        <v>X AP</v>
      </c>
      <c r="I101" s="263" t="str">
        <f>IFERROR(__xludf.DUMMYFUNCTION("""COMPUTED_VALUE"""),"X AP")</f>
        <v>X AP</v>
      </c>
      <c r="J101" s="263" t="str">
        <f>IFERROR(__xludf.DUMMYFUNCTION("""COMPUTED_VALUE"""),"")</f>
        <v/>
      </c>
      <c r="K101" s="264" t="str">
        <f>IFERROR(__xludf.DUMMYFUNCTION("""COMPUTED_VALUE"""),"")</f>
        <v/>
      </c>
      <c r="L101" s="263" t="str">
        <f>IFERROR(__xludf.DUMMYFUNCTION("""COMPUTED_VALUE"""),"")</f>
        <v/>
      </c>
      <c r="M101" s="263"/>
      <c r="N101" s="263"/>
      <c r="O101" s="263"/>
      <c r="P101" s="263"/>
      <c r="Q101" s="263"/>
      <c r="R101" s="263"/>
      <c r="S101" s="263"/>
      <c r="T101" s="263"/>
      <c r="U101" s="246"/>
      <c r="V101" s="246"/>
      <c r="W101" s="246"/>
      <c r="X101" s="246"/>
      <c r="Y101" s="246"/>
      <c r="Z101" s="246"/>
    </row>
    <row r="102">
      <c r="A102" s="263"/>
      <c r="B102" s="265" t="str">
        <f>IFERROR(__xludf.DUMMYFUNCTION("""COMPUTED_VALUE"""),"Cavalry Heal")</f>
        <v>Cavalry Heal</v>
      </c>
      <c r="C102" s="263"/>
      <c r="D102" s="264" t="str">
        <f>IFERROR(__xludf.DUMMYFUNCTION("""COMPUTED_VALUE"""),"Spell, Healing")</f>
        <v>Spell, Healing</v>
      </c>
      <c r="E102" s="264" t="str">
        <f>IFERROR(__xludf.DUMMYFUNCTION("""COMPUTED_VALUE"""),"Touch")</f>
        <v>Touch</v>
      </c>
      <c r="F102" s="266" t="str">
        <f>IFERROR(__xludf.DUMMYFUNCTION("""COMPUTED_VALUE"""),"You heal the target for 11 + (Power x 2). If the target is mounted, their mount gets healed for the same amount.")</f>
        <v>You heal the target for 11 + (Power x 2). If the target is mounted, their mount gets healed for the same amount.</v>
      </c>
      <c r="G102" s="263" t="str">
        <f>IFERROR(__xludf.DUMMYFUNCTION("""COMPUTED_VALUE"""),"")</f>
        <v/>
      </c>
      <c r="H102" s="265" t="str">
        <f>IFERROR(__xludf.DUMMYFUNCTION("""COMPUTED_VALUE"""),"2 AP, 3 MP")</f>
        <v>2 AP, 3 MP</v>
      </c>
      <c r="I102" s="264" t="str">
        <f>IFERROR(__xludf.DUMMYFUNCTION("""COMPUTED_VALUE"""),"2 AP")</f>
        <v>2 AP</v>
      </c>
      <c r="J102" s="264" t="str">
        <f>IFERROR(__xludf.DUMMYFUNCTION("""COMPUTED_VALUE"""),"3 MP")</f>
        <v>3 MP</v>
      </c>
      <c r="K102" s="263" t="str">
        <f>IFERROR(__xludf.DUMMYFUNCTION("""COMPUTED_VALUE"""),"")</f>
        <v/>
      </c>
      <c r="L102" s="263" t="str">
        <f>IFERROR(__xludf.DUMMYFUNCTION("""COMPUTED_VALUE"""),"")</f>
        <v/>
      </c>
      <c r="M102" s="263"/>
      <c r="N102" s="263"/>
      <c r="O102" s="263"/>
      <c r="P102" s="263"/>
      <c r="Q102" s="263"/>
      <c r="R102" s="263"/>
      <c r="S102" s="263"/>
      <c r="T102" s="263"/>
      <c r="U102" s="246"/>
      <c r="V102" s="246"/>
      <c r="W102" s="246"/>
      <c r="X102" s="246"/>
      <c r="Y102" s="246"/>
      <c r="Z102" s="246"/>
    </row>
    <row r="103">
      <c r="A103" s="263"/>
      <c r="B103" s="265" t="str">
        <f>IFERROR(__xludf.DUMMYFUNCTION("""COMPUTED_VALUE"""),"Cave Raider")</f>
        <v>Cave Raider</v>
      </c>
      <c r="C103" s="263"/>
      <c r="D103" s="264" t="str">
        <f>IFERROR(__xludf.DUMMYFUNCTION("""COMPUTED_VALUE"""),"Circuit")</f>
        <v>Circuit</v>
      </c>
      <c r="E103" s="264" t="str">
        <f>IFERROR(__xludf.DUMMYFUNCTION("""COMPUTED_VALUE"""),"Self")</f>
        <v>Self</v>
      </c>
      <c r="F103" s="266" t="str">
        <f>IFERROR(__xludf.DUMMYFUNCTION("""COMPUTED_VALUE"""),"Until the start of your next turn, you gain the ability to climb your speed.  In addition if you have rope, you can tie it to a secure object and you can rappel down a cliffside up to 50ft at the cost of 5ft of movement.")</f>
        <v>Until the start of your next turn, you gain the ability to climb your speed.  In addition if you have rope, you can tie it to a secure object and you can rappel down a cliffside up to 50ft at the cost of 5ft of movement.</v>
      </c>
      <c r="G103" s="264" t="str">
        <f>IFERROR(__xludf.DUMMYFUNCTION("""COMPUTED_VALUE"""),"")</f>
        <v/>
      </c>
      <c r="H103" s="265" t="str">
        <f>IFERROR(__xludf.DUMMYFUNCTION("""COMPUTED_VALUE"""),"0 AP, 1 MP")</f>
        <v>0 AP, 1 MP</v>
      </c>
      <c r="I103" s="264" t="str">
        <f>IFERROR(__xludf.DUMMYFUNCTION("""COMPUTED_VALUE"""),"0 AP")</f>
        <v>0 AP</v>
      </c>
      <c r="J103" s="264" t="str">
        <f>IFERROR(__xludf.DUMMYFUNCTION("""COMPUTED_VALUE"""),"1 MP")</f>
        <v>1 MP</v>
      </c>
      <c r="K103" s="263" t="str">
        <f>IFERROR(__xludf.DUMMYFUNCTION("""COMPUTED_VALUE"""),"")</f>
        <v/>
      </c>
      <c r="L103" s="263" t="str">
        <f>IFERROR(__xludf.DUMMYFUNCTION("""COMPUTED_VALUE"""),"")</f>
        <v/>
      </c>
      <c r="M103" s="263"/>
      <c r="N103" s="263"/>
      <c r="O103" s="263"/>
      <c r="P103" s="263"/>
      <c r="Q103" s="263"/>
      <c r="R103" s="263"/>
      <c r="S103" s="263"/>
      <c r="T103" s="263"/>
      <c r="U103" s="246"/>
      <c r="V103" s="246"/>
      <c r="W103" s="246"/>
      <c r="X103" s="246"/>
      <c r="Y103" s="246"/>
      <c r="Z103" s="246"/>
    </row>
    <row r="104">
      <c r="A104" s="263"/>
      <c r="B104" s="265" t="str">
        <f>IFERROR(__xludf.DUMMYFUNCTION("""COMPUTED_VALUE"""),"Chain Lightning")</f>
        <v>Chain Lightning</v>
      </c>
      <c r="C104" s="263"/>
      <c r="D104" s="263" t="str">
        <f>IFERROR(__xludf.DUMMYFUNCTION("""COMPUTED_VALUE"""),"Lightning, Spell")</f>
        <v>Lightning, Spell</v>
      </c>
      <c r="E104" s="264" t="str">
        <f>IFERROR(__xludf.DUMMYFUNCTION("""COMPUTED_VALUE"""),"60ft")</f>
        <v>60ft</v>
      </c>
      <c r="F104" s="266" t="str">
        <f>IFERROR(__xludf.DUMMYFUNCTION("""COMPUTED_VALUE"""),"You may make a Heavy Attack against the target dealing Lightning Damage and inflicting Static X where X equals your Focus x 3. On damage, you may repeat this attack against another target within 30ft of the target without paying additional costs. This att"&amp;"ack may repeat multiple times like this.
You cannot target the same creature more than once per use of this ability.")</f>
        <v>You may make a Heavy Attack against the target dealing Lightning Damage and inflicting Static X where X equals your Focus x 3. On damage, you may repeat this attack against another target within 30ft of the target without paying additional costs. This attack may repeat multiple times like this.
You cannot target the same creature more than once per use of this ability.</v>
      </c>
      <c r="G104" s="263" t="str">
        <f>IFERROR(__xludf.DUMMYFUNCTION("""COMPUTED_VALUE"""),"")</f>
        <v/>
      </c>
      <c r="H104" s="265" t="str">
        <f>IFERROR(__xludf.DUMMYFUNCTION("""COMPUTED_VALUE"""),"2 AP, 2 MP")</f>
        <v>2 AP, 2 MP</v>
      </c>
      <c r="I104" s="263" t="str">
        <f>IFERROR(__xludf.DUMMYFUNCTION("""COMPUTED_VALUE"""),"2 AP")</f>
        <v>2 AP</v>
      </c>
      <c r="J104" s="263" t="str">
        <f>IFERROR(__xludf.DUMMYFUNCTION("""COMPUTED_VALUE"""),"2 MP")</f>
        <v>2 MP</v>
      </c>
      <c r="K104" s="264" t="str">
        <f>IFERROR(__xludf.DUMMYFUNCTION("""COMPUTED_VALUE"""),"")</f>
        <v/>
      </c>
      <c r="L104" s="263" t="str">
        <f>IFERROR(__xludf.DUMMYFUNCTION("""COMPUTED_VALUE"""),"")</f>
        <v/>
      </c>
      <c r="M104" s="263"/>
      <c r="N104" s="263"/>
      <c r="O104" s="263"/>
      <c r="P104" s="263"/>
      <c r="Q104" s="263"/>
      <c r="R104" s="263"/>
      <c r="S104" s="263"/>
      <c r="T104" s="263"/>
      <c r="U104" s="246"/>
      <c r="V104" s="246"/>
      <c r="W104" s="246"/>
      <c r="X104" s="246"/>
      <c r="Y104" s="246"/>
      <c r="Z104" s="246"/>
    </row>
    <row r="105">
      <c r="A105" s="263"/>
      <c r="B105" s="265" t="str">
        <f>IFERROR(__xludf.DUMMYFUNCTION("""COMPUTED_VALUE"""),"Chair Grab")</f>
        <v>Chair Grab</v>
      </c>
      <c r="C105" s="263"/>
      <c r="D105" s="264" t="str">
        <f>IFERROR(__xludf.DUMMYFUNCTION("""COMPUTED_VALUE"""),"Quick")</f>
        <v>Quick</v>
      </c>
      <c r="E105" s="264" t="str">
        <f>IFERROR(__xludf.DUMMYFUNCTION("""COMPUTED_VALUE"""),"5ft")</f>
        <v>5ft</v>
      </c>
      <c r="F105" s="266" t="str">
        <f>IFERROR(__xludf.DUMMYFUNCTION("""COMPUTED_VALUE"""),"You grab a nearby unattended object and are able to use it as an improvised weapon.")</f>
        <v>You grab a nearby unattended object and are able to use it as an improvised weapon.</v>
      </c>
      <c r="G105" s="263" t="str">
        <f>IFERROR(__xludf.DUMMYFUNCTION("""COMPUTED_VALUE"""),"")</f>
        <v/>
      </c>
      <c r="H105" s="265" t="str">
        <f>IFERROR(__xludf.DUMMYFUNCTION("""COMPUTED_VALUE"""),"0 AP")</f>
        <v>0 AP</v>
      </c>
      <c r="I105" s="264" t="str">
        <f>IFERROR(__xludf.DUMMYFUNCTION("""COMPUTED_VALUE"""),"0 AP")</f>
        <v>0 AP</v>
      </c>
      <c r="J105" s="263" t="str">
        <f>IFERROR(__xludf.DUMMYFUNCTION("""COMPUTED_VALUE"""),"")</f>
        <v/>
      </c>
      <c r="K105" s="263" t="str">
        <f>IFERROR(__xludf.DUMMYFUNCTION("""COMPUTED_VALUE"""),"")</f>
        <v/>
      </c>
      <c r="L105" s="263" t="str">
        <f>IFERROR(__xludf.DUMMYFUNCTION("""COMPUTED_VALUE"""),"")</f>
        <v/>
      </c>
      <c r="M105" s="263"/>
      <c r="N105" s="263"/>
      <c r="O105" s="263"/>
      <c r="P105" s="263"/>
      <c r="Q105" s="263"/>
      <c r="R105" s="263"/>
      <c r="S105" s="263"/>
      <c r="T105" s="263"/>
      <c r="U105" s="246"/>
      <c r="V105" s="246"/>
      <c r="W105" s="246"/>
      <c r="X105" s="246"/>
      <c r="Y105" s="246"/>
      <c r="Z105" s="246"/>
    </row>
    <row r="106">
      <c r="A106" s="263"/>
      <c r="B106" s="265" t="str">
        <f>IFERROR(__xludf.DUMMYFUNCTION("""COMPUTED_VALUE"""),"Channel Eidolon")</f>
        <v>Channel Eidolon</v>
      </c>
      <c r="C106" s="263"/>
      <c r="D106" s="264" t="str">
        <f>IFERROR(__xludf.DUMMYFUNCTION("""COMPUTED_VALUE"""),"")</f>
        <v/>
      </c>
      <c r="E106" s="264" t="str">
        <f>IFERROR(__xludf.DUMMYFUNCTION("""COMPUTED_VALUE"""),"")</f>
        <v/>
      </c>
      <c r="F106" s="266" t="str">
        <f>IFERROR(__xludf.DUMMYFUNCTION("""COMPUTED_VALUE"""),"You use the ability granted by your attuned Eidolon. All costs and effects are determined by your attunement.")</f>
        <v>You use the ability granted by your attuned Eidolon. All costs and effects are determined by your attunement.</v>
      </c>
      <c r="G106" s="263" t="str">
        <f>IFERROR(__xludf.DUMMYFUNCTION("""COMPUTED_VALUE"""),"")</f>
        <v/>
      </c>
      <c r="H106" s="265" t="str">
        <f>IFERROR(__xludf.DUMMYFUNCTION("""COMPUTED_VALUE"""),"")</f>
        <v/>
      </c>
      <c r="I106" s="264" t="str">
        <f>IFERROR(__xludf.DUMMYFUNCTION("""COMPUTED_VALUE"""),"")</f>
        <v/>
      </c>
      <c r="J106" s="264" t="str">
        <f>IFERROR(__xludf.DUMMYFUNCTION("""COMPUTED_VALUE"""),"")</f>
        <v/>
      </c>
      <c r="K106" s="263" t="str">
        <f>IFERROR(__xludf.DUMMYFUNCTION("""COMPUTED_VALUE"""),"")</f>
        <v/>
      </c>
      <c r="L106" s="263" t="str">
        <f>IFERROR(__xludf.DUMMYFUNCTION("""COMPUTED_VALUE"""),"")</f>
        <v/>
      </c>
      <c r="M106" s="263"/>
      <c r="N106" s="263"/>
      <c r="O106" s="263"/>
      <c r="P106" s="263"/>
      <c r="Q106" s="263"/>
      <c r="R106" s="263"/>
      <c r="S106" s="263"/>
      <c r="T106" s="263"/>
      <c r="U106" s="246"/>
      <c r="V106" s="246"/>
      <c r="W106" s="246"/>
      <c r="X106" s="246"/>
      <c r="Y106" s="246"/>
      <c r="Z106" s="246"/>
    </row>
    <row r="107">
      <c r="A107" s="263"/>
      <c r="B107" s="265" t="str">
        <f>IFERROR(__xludf.DUMMYFUNCTION("""COMPUTED_VALUE"""),"Channel Eidolon: Distracting Swarm")</f>
        <v>Channel Eidolon: Distracting Swarm</v>
      </c>
      <c r="C107" s="263"/>
      <c r="D107" s="263" t="str">
        <f>IFERROR(__xludf.DUMMYFUNCTION("""COMPUTED_VALUE"""),"")</f>
        <v/>
      </c>
      <c r="E107" s="264" t="str">
        <f>IFERROR(__xludf.DUMMYFUNCTION("""COMPUTED_VALUE"""),"60ft")</f>
        <v>60ft</v>
      </c>
      <c r="F107" s="266" t="str">
        <f>IFERROR(__xludf.DUMMYFUNCTION("""COMPUTED_VALUE"""),"You summon a distracting swarm around a target. The target immediately loses any Concentration effects and suffers -5 penalty to Perception checks unless they spend 1 RP to sidestep out of the effect. If they did not move, they also cannot use any abiliti"&amp;"es with the Concentration keyword until they move.
You can only have 1 Distracting Swarm active at the same time.")</f>
        <v>You summon a distracting swarm around a target. The target immediately loses any Concentration effects and suffers -5 penalty to Perception checks unless they spend 1 RP to sidestep out of the effect. If they did not move, they also cannot use any abilities with the Concentration keyword until they move.
You can only have 1 Distracting Swarm active at the same time.</v>
      </c>
      <c r="G107" s="264" t="str">
        <f>IFERROR(__xludf.DUMMYFUNCTION("""COMPUTED_VALUE"""),"Ixilune attunement.")</f>
        <v>Ixilune attunement.</v>
      </c>
      <c r="H107" s="265" t="str">
        <f>IFERROR(__xludf.DUMMYFUNCTION("""COMPUTED_VALUE"""),"1 AP, 1 MP")</f>
        <v>1 AP, 1 MP</v>
      </c>
      <c r="I107" s="263" t="str">
        <f>IFERROR(__xludf.DUMMYFUNCTION("""COMPUTED_VALUE"""),"1 AP")</f>
        <v>1 AP</v>
      </c>
      <c r="J107" s="263" t="str">
        <f>IFERROR(__xludf.DUMMYFUNCTION("""COMPUTED_VALUE"""),"1 MP")</f>
        <v>1 MP</v>
      </c>
      <c r="K107" s="264" t="str">
        <f>IFERROR(__xludf.DUMMYFUNCTION("""COMPUTED_VALUE"""),"")</f>
        <v/>
      </c>
      <c r="L107" s="263" t="str">
        <f>IFERROR(__xludf.DUMMYFUNCTION("""COMPUTED_VALUE"""),"")</f>
        <v/>
      </c>
      <c r="M107" s="263"/>
      <c r="N107" s="263"/>
      <c r="O107" s="263"/>
      <c r="P107" s="263"/>
      <c r="Q107" s="263"/>
      <c r="R107" s="263"/>
      <c r="S107" s="263"/>
      <c r="T107" s="263"/>
      <c r="U107" s="246"/>
      <c r="V107" s="246"/>
      <c r="W107" s="246"/>
      <c r="X107" s="246"/>
      <c r="Y107" s="246"/>
      <c r="Z107" s="246"/>
    </row>
    <row r="108">
      <c r="A108" s="263"/>
      <c r="B108" s="265" t="str">
        <f>IFERROR(__xludf.DUMMYFUNCTION("""COMPUTED_VALUE"""),"Channel Eidolon: Draw Luck")</f>
        <v>Channel Eidolon: Draw Luck</v>
      </c>
      <c r="C108" s="263"/>
      <c r="D108" s="263" t="str">
        <f>IFERROR(__xludf.DUMMYFUNCTION("""COMPUTED_VALUE"""),"")</f>
        <v/>
      </c>
      <c r="E108" s="263" t="str">
        <f>IFERROR(__xludf.DUMMYFUNCTION("""COMPUTED_VALUE"""),"Self")</f>
        <v>Self</v>
      </c>
      <c r="F108" s="266" t="str">
        <f>IFERROR(__xludf.DUMMYFUNCTION("""COMPUTED_VALUE"""),"You draw on your luck, manipulating the circumstances around you to the best possible state. If you are the target of an attack, that attack becomes a 1. If you made a roll, that roll becomes a 20 (despite the pact cost).
May also be used in situations th"&amp;"at don’t have you making a roll, such as flipping a coin, but the act that you’re influencing cannot take more than 5 seconds to complete.
After using this ability, you become temporarily afflicted with bad luck. The GM decides what exactly happens and wh"&amp;"at triggers it, but it could turn your roll into a 1, make an enemy roll a 20 against you or something related to the environment. After a bad luck action happens, the bad luck is removed.
You cannot use this ability again until after the bad luck has bee"&amp;"n removed.")</f>
        <v>You draw on your luck, manipulating the circumstances around you to the best possible state. If you are the target of an attack, that attack becomes a 1. If you made a roll, that roll becomes a 20 (despite the pact cost).
May also be used in situations that don’t have you making a roll, such as flipping a coin, but the act that you’re influencing cannot take more than 5 seconds to complete.
After using this ability, you become temporarily afflicted with bad luck. The GM decides what exactly happens and what triggers it, but it could turn your roll into a 1, make an enemy roll a 20 against you or something related to the environment. After a bad luck action happens, the bad luck is removed.
You cannot use this ability again until after the bad luck has been removed.</v>
      </c>
      <c r="G108" s="263" t="str">
        <f>IFERROR(__xludf.DUMMYFUNCTION("""COMPUTED_VALUE"""),"")</f>
        <v/>
      </c>
      <c r="H108" s="267" t="str">
        <f>IFERROR(__xludf.DUMMYFUNCTION("""COMPUTED_VALUE"""),"0 RP")</f>
        <v>0 RP</v>
      </c>
      <c r="I108" s="263" t="str">
        <f>IFERROR(__xludf.DUMMYFUNCTION("""COMPUTED_VALUE"""),"")</f>
        <v/>
      </c>
      <c r="J108" s="263" t="str">
        <f>IFERROR(__xludf.DUMMYFUNCTION("""COMPUTED_VALUE"""),"")</f>
        <v/>
      </c>
      <c r="K108" s="263" t="str">
        <f>IFERROR(__xludf.DUMMYFUNCTION("""COMPUTED_VALUE"""),"0 RP")</f>
        <v>0 RP</v>
      </c>
      <c r="L108" s="263" t="str">
        <f>IFERROR(__xludf.DUMMYFUNCTION("""COMPUTED_VALUE"""),"")</f>
        <v/>
      </c>
      <c r="M108" s="263"/>
      <c r="N108" s="263"/>
      <c r="O108" s="263"/>
      <c r="P108" s="263"/>
      <c r="Q108" s="263"/>
      <c r="R108" s="263"/>
      <c r="S108" s="263"/>
      <c r="T108" s="263"/>
      <c r="U108" s="246"/>
      <c r="V108" s="246"/>
      <c r="W108" s="246"/>
      <c r="X108" s="246"/>
      <c r="Y108" s="246"/>
      <c r="Z108" s="246"/>
    </row>
    <row r="109">
      <c r="A109" s="263"/>
      <c r="B109" s="265" t="str">
        <f>IFERROR(__xludf.DUMMYFUNCTION("""COMPUTED_VALUE"""),"Channel Eidolon: Vine Wall Cover")</f>
        <v>Channel Eidolon: Vine Wall Cover</v>
      </c>
      <c r="C109" s="263"/>
      <c r="D109" s="263" t="str">
        <f>IFERROR(__xludf.DUMMYFUNCTION("""COMPUTED_VALUE"""),"Spell")</f>
        <v>Spell</v>
      </c>
      <c r="E109" s="264" t="str">
        <f>IFERROR(__xludf.DUMMYFUNCTION("""COMPUTED_VALUE"""),"5ft")</f>
        <v>5ft</v>
      </c>
      <c r="F109" s="266" t="str">
        <f>IFERROR(__xludf.DUMMYFUNCTION("""COMPUTED_VALUE"""),"Thick vines sprout from the ground or natural wall as you create a 5x5 wall of vines that is 10ft high. The wall of vines counts as full cover (unless you peek from it) and has HP equal to your Toughness x6. The vines are sturdy enough to stand on.
Lasts "&amp;"for up to 5 minutes and you can only have 5 instances of Vine Wall Cover at one time.")</f>
        <v>Thick vines sprout from the ground or natural wall as you create a 5x5 wall of vines that is 10ft high. The wall of vines counts as full cover (unless you peek from it) and has HP equal to your Toughness x6. The vines are sturdy enough to stand on.
Lasts for up to 5 minutes and you can only have 5 instances of Vine Wall Cover at one time.</v>
      </c>
      <c r="G109" s="263" t="str">
        <f>IFERROR(__xludf.DUMMYFUNCTION("""COMPUTED_VALUE"""),"Pipoltr attunement.")</f>
        <v>Pipoltr attunement.</v>
      </c>
      <c r="H109" s="265" t="str">
        <f>IFERROR(__xludf.DUMMYFUNCTION("""COMPUTED_VALUE"""),"1 AP")</f>
        <v>1 AP</v>
      </c>
      <c r="I109" s="264" t="str">
        <f>IFERROR(__xludf.DUMMYFUNCTION("""COMPUTED_VALUE"""),"1 AP")</f>
        <v>1 AP</v>
      </c>
      <c r="J109" s="263" t="str">
        <f>IFERROR(__xludf.DUMMYFUNCTION("""COMPUTED_VALUE"""),"")</f>
        <v/>
      </c>
      <c r="K109" s="263" t="str">
        <f>IFERROR(__xludf.DUMMYFUNCTION("""COMPUTED_VALUE"""),"")</f>
        <v/>
      </c>
      <c r="L109" s="263" t="str">
        <f>IFERROR(__xludf.DUMMYFUNCTION("""COMPUTED_VALUE"""),"")</f>
        <v/>
      </c>
      <c r="M109" s="263"/>
      <c r="N109" s="263"/>
      <c r="O109" s="263"/>
      <c r="P109" s="263"/>
      <c r="Q109" s="263"/>
      <c r="R109" s="263"/>
      <c r="S109" s="263"/>
      <c r="T109" s="263"/>
      <c r="U109" s="246"/>
      <c r="V109" s="246"/>
      <c r="W109" s="246"/>
      <c r="X109" s="246"/>
      <c r="Y109" s="246"/>
      <c r="Z109" s="246"/>
    </row>
    <row r="110">
      <c r="A110" s="263"/>
      <c r="B110" s="265" t="str">
        <f>IFERROR(__xludf.DUMMYFUNCTION("""COMPUTED_VALUE"""),"Charge")</f>
        <v>Charge</v>
      </c>
      <c r="C110" s="263"/>
      <c r="D110" s="264" t="str">
        <f>IFERROR(__xludf.DUMMYFUNCTION("""COMPUTED_VALUE"""),"")</f>
        <v/>
      </c>
      <c r="E110" s="264" t="str">
        <f>IFERROR(__xludf.DUMMYFUNCTION("""COMPUTED_VALUE"""),"Self")</f>
        <v>Self</v>
      </c>
      <c r="F110" s="266" t="str">
        <f>IFERROR(__xludf.DUMMYFUNCTION("""COMPUTED_VALUE"""),"You may spend 2 or 4 AP on this ability and move as though you had spent that AP on movement.
After you finish moving, you may spend half of the AP you used on this ability on Light, Heavy or Precise Melee Attacks.")</f>
        <v>You may spend 2 or 4 AP on this ability and move as though you had spent that AP on movement.
After you finish moving, you may spend half of the AP you used on this ability on Light, Heavy or Precise Melee Attacks.</v>
      </c>
      <c r="G110" s="263" t="str">
        <f>IFERROR(__xludf.DUMMYFUNCTION("""COMPUTED_VALUE"""),"")</f>
        <v/>
      </c>
      <c r="H110" s="267" t="str">
        <f>IFERROR(__xludf.DUMMYFUNCTION("""COMPUTED_VALUE"""),"2 AP")</f>
        <v>2 AP</v>
      </c>
      <c r="I110" s="263" t="str">
        <f>IFERROR(__xludf.DUMMYFUNCTION("""COMPUTED_VALUE"""),"2 AP")</f>
        <v>2 AP</v>
      </c>
      <c r="J110" s="263" t="str">
        <f>IFERROR(__xludf.DUMMYFUNCTION("""COMPUTED_VALUE"""),"")</f>
        <v/>
      </c>
      <c r="K110" s="263" t="str">
        <f>IFERROR(__xludf.DUMMYFUNCTION("""COMPUTED_VALUE"""),"")</f>
        <v/>
      </c>
      <c r="L110" s="263" t="str">
        <f>IFERROR(__xludf.DUMMYFUNCTION("""COMPUTED_VALUE"""),"")</f>
        <v/>
      </c>
      <c r="M110" s="263"/>
      <c r="N110" s="263"/>
      <c r="O110" s="263"/>
      <c r="P110" s="263"/>
      <c r="Q110" s="263"/>
      <c r="R110" s="263"/>
      <c r="S110" s="263"/>
      <c r="T110" s="263"/>
      <c r="U110" s="246"/>
      <c r="V110" s="246"/>
      <c r="W110" s="246"/>
      <c r="X110" s="246"/>
      <c r="Y110" s="246"/>
      <c r="Z110" s="246"/>
    </row>
    <row r="111">
      <c r="A111" s="263"/>
      <c r="B111" s="265" t="str">
        <f>IFERROR(__xludf.DUMMYFUNCTION("""COMPUTED_VALUE"""),"Charm")</f>
        <v>Charm</v>
      </c>
      <c r="C111" s="263"/>
      <c r="D111" s="264" t="str">
        <f>IFERROR(__xludf.DUMMYFUNCTION("""COMPUTED_VALUE"""),"Mystic Eye, Charm, Mind Affecting")</f>
        <v>Mystic Eye, Charm, Mind Affecting</v>
      </c>
      <c r="E111" s="264" t="str">
        <f>IFERROR(__xludf.DUMMYFUNCTION("""COMPUTED_VALUE"""),"120ft")</f>
        <v>120ft</v>
      </c>
      <c r="F111" s="266" t="str">
        <f>IFERROR(__xludf.DUMMYFUNCTION("""COMPUTED_VALUE"""),"The target must make a Save or be charmed by you until the end of the encounter.")</f>
        <v>The target must make a Save or be charmed by you until the end of the encounter.</v>
      </c>
      <c r="G111" s="264" t="str">
        <f>IFERROR(__xludf.DUMMYFUNCTION("""COMPUTED_VALUE"""),"")</f>
        <v/>
      </c>
      <c r="H111" s="265" t="str">
        <f>IFERROR(__xludf.DUMMYFUNCTION("""COMPUTED_VALUE"""),"1 AP, 1 MP")</f>
        <v>1 AP, 1 MP</v>
      </c>
      <c r="I111" s="263" t="str">
        <f>IFERROR(__xludf.DUMMYFUNCTION("""COMPUTED_VALUE"""),"1 AP")</f>
        <v>1 AP</v>
      </c>
      <c r="J111" s="263" t="str">
        <f>IFERROR(__xludf.DUMMYFUNCTION("""COMPUTED_VALUE"""),"1 MP")</f>
        <v>1 MP</v>
      </c>
      <c r="K111" s="264" t="str">
        <f>IFERROR(__xludf.DUMMYFUNCTION("""COMPUTED_VALUE"""),"")</f>
        <v/>
      </c>
      <c r="L111" s="263" t="str">
        <f>IFERROR(__xludf.DUMMYFUNCTION("""COMPUTED_VALUE"""),"")</f>
        <v/>
      </c>
      <c r="M111" s="263"/>
      <c r="N111" s="263"/>
      <c r="O111" s="263"/>
      <c r="P111" s="263"/>
      <c r="Q111" s="263"/>
      <c r="R111" s="263"/>
      <c r="S111" s="263"/>
      <c r="T111" s="263"/>
      <c r="U111" s="246"/>
      <c r="V111" s="246"/>
      <c r="W111" s="246"/>
      <c r="X111" s="246"/>
      <c r="Y111" s="246"/>
      <c r="Z111" s="246"/>
    </row>
    <row r="112">
      <c r="A112" s="263"/>
      <c r="B112" s="265" t="str">
        <f>IFERROR(__xludf.DUMMYFUNCTION("""COMPUTED_VALUE"""),"Check")</f>
        <v>Check</v>
      </c>
      <c r="C112" s="263"/>
      <c r="D112" s="264" t="str">
        <f>IFERROR(__xludf.DUMMYFUNCTION("""COMPUTED_VALUE"""),"")</f>
        <v/>
      </c>
      <c r="E112" s="264" t="str">
        <f>IFERROR(__xludf.DUMMYFUNCTION("""COMPUTED_VALUE"""),"60ft")</f>
        <v>60ft</v>
      </c>
      <c r="F112" s="266" t="str">
        <f>IFERROR(__xludf.DUMMYFUNCTION("""COMPUTED_VALUE"""),"You move a puppet piece in such a way (following Move Piece rules) that it can attack an enemy if it moves again. It cannot attack with this movement.
At the start of your next turn, you may move that piece as if you used Move Piece without spending AP/Ma"&amp;"na or it counting as an ability use.")</f>
        <v>You move a puppet piece in such a way (following Move Piece rules) that it can attack an enemy if it moves again. It cannot attack with this movement.
At the start of your next turn, you may move that piece as if you used Move Piece without spending AP/Mana or it counting as an ability use.</v>
      </c>
      <c r="G112" s="264" t="str">
        <f>IFERROR(__xludf.DUMMYFUNCTION("""COMPUTED_VALUE"""),"")</f>
        <v/>
      </c>
      <c r="H112" s="265" t="str">
        <f>IFERROR(__xludf.DUMMYFUNCTION("""COMPUTED_VALUE"""),"1 AP")</f>
        <v>1 AP</v>
      </c>
      <c r="I112" s="263" t="str">
        <f>IFERROR(__xludf.DUMMYFUNCTION("""COMPUTED_VALUE"""),"1 AP")</f>
        <v>1 AP</v>
      </c>
      <c r="J112" s="263" t="str">
        <f>IFERROR(__xludf.DUMMYFUNCTION("""COMPUTED_VALUE"""),"")</f>
        <v/>
      </c>
      <c r="K112" s="264" t="str">
        <f>IFERROR(__xludf.DUMMYFUNCTION("""COMPUTED_VALUE"""),"")</f>
        <v/>
      </c>
      <c r="L112" s="263" t="str">
        <f>IFERROR(__xludf.DUMMYFUNCTION("""COMPUTED_VALUE"""),"")</f>
        <v/>
      </c>
      <c r="M112" s="263"/>
      <c r="N112" s="263"/>
      <c r="O112" s="263"/>
      <c r="P112" s="263"/>
      <c r="Q112" s="263"/>
      <c r="R112" s="263"/>
      <c r="S112" s="263"/>
      <c r="T112" s="263"/>
      <c r="U112" s="246"/>
      <c r="V112" s="246"/>
      <c r="W112" s="246"/>
      <c r="X112" s="246"/>
      <c r="Y112" s="246"/>
      <c r="Z112" s="246"/>
    </row>
    <row r="113">
      <c r="A113" s="263"/>
      <c r="B113" s="265" t="str">
        <f>IFERROR(__xludf.DUMMYFUNCTION("""COMPUTED_VALUE"""),"Chemical Explosive")</f>
        <v>Chemical Explosive</v>
      </c>
      <c r="C113" s="263"/>
      <c r="D113" s="264" t="str">
        <f>IFERROR(__xludf.DUMMYFUNCTION("""COMPUTED_VALUE"""),"Sure Hit")</f>
        <v>Sure Hit</v>
      </c>
      <c r="E113" s="264" t="str">
        <f>IFERROR(__xludf.DUMMYFUNCTION("""COMPUTED_VALUE"""),"5ft")</f>
        <v>5ft</v>
      </c>
      <c r="F113" s="266" t="str">
        <f>IFERROR(__xludf.DUMMYFUNCTION("""COMPUTED_VALUE"""),"You place a Chemical Explosive package that detonates after one minute. The explosion has a 15 ft radius and deals Double Heavy damage. The package makes an obvious noise after it has been planted that can be heard within the radius. The explosive charge "&amp;"deals 5x damage against inanimate objects. You can create a Chemical Explosive during an interlude phase for free, but can only carry one at a time. The check to disable a Chemical Explosive is equal to 20 + 2 x Power of the creator.")</f>
        <v>You place a Chemical Explosive package that detonates after one minute. The explosion has a 15 ft radius and deals Double Heavy damage. The package makes an obvious noise after it has been planted that can be heard within the radius. The explosive charge deals 5x damage against inanimate objects. You can create a Chemical Explosive during an interlude phase for free, but can only carry one at a time. The check to disable a Chemical Explosive is equal to 20 + 2 x Power of the creator.</v>
      </c>
      <c r="G113" s="263" t="str">
        <f>IFERROR(__xludf.DUMMYFUNCTION("""COMPUTED_VALUE"""),"")</f>
        <v/>
      </c>
      <c r="H113" s="265" t="str">
        <f>IFERROR(__xludf.DUMMYFUNCTION("""COMPUTED_VALUE"""),"4 AP")</f>
        <v>4 AP</v>
      </c>
      <c r="I113" s="264" t="str">
        <f>IFERROR(__xludf.DUMMYFUNCTION("""COMPUTED_VALUE"""),"4 AP")</f>
        <v>4 AP</v>
      </c>
      <c r="J113" s="264" t="str">
        <f>IFERROR(__xludf.DUMMYFUNCTION("""COMPUTED_VALUE"""),"")</f>
        <v/>
      </c>
      <c r="K113" s="263" t="str">
        <f>IFERROR(__xludf.DUMMYFUNCTION("""COMPUTED_VALUE"""),"")</f>
        <v/>
      </c>
      <c r="L113" s="263" t="str">
        <f>IFERROR(__xludf.DUMMYFUNCTION("""COMPUTED_VALUE"""),"")</f>
        <v/>
      </c>
      <c r="M113" s="263"/>
      <c r="N113" s="263"/>
      <c r="O113" s="263"/>
      <c r="P113" s="263"/>
      <c r="Q113" s="263"/>
      <c r="R113" s="263"/>
      <c r="S113" s="263"/>
      <c r="T113" s="263"/>
      <c r="U113" s="246"/>
      <c r="V113" s="246"/>
      <c r="W113" s="246"/>
      <c r="X113" s="246"/>
      <c r="Y113" s="246"/>
      <c r="Z113" s="246"/>
    </row>
    <row r="114">
      <c r="A114" s="263"/>
      <c r="B114" s="265" t="str">
        <f>IFERROR(__xludf.DUMMYFUNCTION("""COMPUTED_VALUE"""),"Chiburi Noto")</f>
        <v>Chiburi Noto</v>
      </c>
      <c r="C114" s="263"/>
      <c r="D114" s="264" t="str">
        <f>IFERROR(__xludf.DUMMYFUNCTION("""COMPUTED_VALUE"""),"Encounter Conclusion")</f>
        <v>Encounter Conclusion</v>
      </c>
      <c r="E114" s="264" t="str">
        <f>IFERROR(__xludf.DUMMYFUNCTION("""COMPUTED_VALUE"""),"Self (Weapon)")</f>
        <v>Self (Weapon)</v>
      </c>
      <c r="F114" s="266" t="str">
        <f>IFERROR(__xludf.DUMMYFUNCTION("""COMPUTED_VALUE"""),"You clean the blood off your katana and sheath the blade. If your next Iai strike with this weapon during this arc is a hit, its Roll Damage is maximized.")</f>
        <v>You clean the blood off your katana and sheath the blade. If your next Iai strike with this weapon during this arc is a hit, its Roll Damage is maximized.</v>
      </c>
      <c r="G114" s="264" t="str">
        <f>IFERROR(__xludf.DUMMYFUNCTION("""COMPUTED_VALUE"""),"Must have used an ability with the Iaijutsu keyword with the chosen weapon this encounter.")</f>
        <v>Must have used an ability with the Iaijutsu keyword with the chosen weapon this encounter.</v>
      </c>
      <c r="H114" s="265" t="str">
        <f>IFERROR(__xludf.DUMMYFUNCTION("""COMPUTED_VALUE"""),"")</f>
        <v/>
      </c>
      <c r="I114" s="264" t="str">
        <f>IFERROR(__xludf.DUMMYFUNCTION("""COMPUTED_VALUE"""),"")</f>
        <v/>
      </c>
      <c r="J114" s="264" t="str">
        <f>IFERROR(__xludf.DUMMYFUNCTION("""COMPUTED_VALUE"""),"")</f>
        <v/>
      </c>
      <c r="K114" s="263" t="str">
        <f>IFERROR(__xludf.DUMMYFUNCTION("""COMPUTED_VALUE"""),"")</f>
        <v/>
      </c>
      <c r="L114" s="263" t="str">
        <f>IFERROR(__xludf.DUMMYFUNCTION("""COMPUTED_VALUE"""),"")</f>
        <v/>
      </c>
      <c r="M114" s="263"/>
      <c r="N114" s="263"/>
      <c r="O114" s="263"/>
      <c r="P114" s="263"/>
      <c r="Q114" s="263"/>
      <c r="R114" s="263"/>
      <c r="S114" s="263"/>
      <c r="T114" s="263"/>
      <c r="U114" s="246"/>
      <c r="V114" s="246"/>
      <c r="W114" s="246"/>
      <c r="X114" s="246"/>
      <c r="Y114" s="246"/>
      <c r="Z114" s="246"/>
    </row>
    <row r="115">
      <c r="A115" s="263"/>
      <c r="B115" s="265" t="str">
        <f>IFERROR(__xludf.DUMMYFUNCTION("""COMPUTED_VALUE"""),"Chiburi Noto II")</f>
        <v>Chiburi Noto II</v>
      </c>
      <c r="C115" s="263"/>
      <c r="D115" s="264" t="str">
        <f>IFERROR(__xludf.DUMMYFUNCTION("""COMPUTED_VALUE"""),"Encounter Conclusion")</f>
        <v>Encounter Conclusion</v>
      </c>
      <c r="E115" s="264" t="str">
        <f>IFERROR(__xludf.DUMMYFUNCTION("""COMPUTED_VALUE"""),"Self (Weapon)")</f>
        <v>Self (Weapon)</v>
      </c>
      <c r="F115" s="266" t="str">
        <f>IFERROR(__xludf.DUMMYFUNCTION("""COMPUTED_VALUE"""),"You clean the blood off your katana and sheath the blade. If your next Iai strike with this weapon during this arc is a hit, its Roll Damage is maximized and it gains Full Pierce.")</f>
        <v>You clean the blood off your katana and sheath the blade. If your next Iai strike with this weapon during this arc is a hit, its Roll Damage is maximized and it gains Full Pierce.</v>
      </c>
      <c r="G115" s="264" t="str">
        <f>IFERROR(__xludf.DUMMYFUNCTION("""COMPUTED_VALUE"""),"Must have used an ability with the Iaijutsu keyword with the chosen weapon this encounter.")</f>
        <v>Must have used an ability with the Iaijutsu keyword with the chosen weapon this encounter.</v>
      </c>
      <c r="H115" s="265" t="str">
        <f>IFERROR(__xludf.DUMMYFUNCTION("""COMPUTED_VALUE"""),"")</f>
        <v/>
      </c>
      <c r="I115" s="264" t="str">
        <f>IFERROR(__xludf.DUMMYFUNCTION("""COMPUTED_VALUE"""),"")</f>
        <v/>
      </c>
      <c r="J115" s="263" t="str">
        <f>IFERROR(__xludf.DUMMYFUNCTION("""COMPUTED_VALUE"""),"")</f>
        <v/>
      </c>
      <c r="K115" s="263" t="str">
        <f>IFERROR(__xludf.DUMMYFUNCTION("""COMPUTED_VALUE"""),"")</f>
        <v/>
      </c>
      <c r="L115" s="263" t="str">
        <f>IFERROR(__xludf.DUMMYFUNCTION("""COMPUTED_VALUE"""),"")</f>
        <v/>
      </c>
      <c r="M115" s="263"/>
      <c r="N115" s="263"/>
      <c r="O115" s="263"/>
      <c r="P115" s="263"/>
      <c r="Q115" s="263"/>
      <c r="R115" s="263"/>
      <c r="S115" s="263"/>
      <c r="T115" s="263"/>
      <c r="U115" s="246"/>
      <c r="V115" s="246"/>
      <c r="W115" s="246"/>
      <c r="X115" s="246"/>
      <c r="Y115" s="246"/>
      <c r="Z115" s="246"/>
    </row>
    <row r="116">
      <c r="A116" s="263"/>
      <c r="B116" s="265" t="str">
        <f>IFERROR(__xludf.DUMMYFUNCTION("""COMPUTED_VALUE"""),"Chilling Cold")</f>
        <v>Chilling Cold</v>
      </c>
      <c r="C116" s="263"/>
      <c r="D116" s="263" t="str">
        <f>IFERROR(__xludf.DUMMYFUNCTION("""COMPUTED_VALUE"""),"")</f>
        <v/>
      </c>
      <c r="E116" s="264" t="str">
        <f>IFERROR(__xludf.DUMMYFUNCTION("""COMPUTED_VALUE"""),"")</f>
        <v/>
      </c>
      <c r="F116" s="266" t="str">
        <f>IFERROR(__xludf.DUMMYFUNCTION("""COMPUTED_VALUE"""),"You can emit a cooling wind within 30ft that counters the effects of most hot weather. You can enable or disable this every 1 second. In addition you gain Elemental Mastery: Frost.")</f>
        <v>You can emit a cooling wind within 30ft that counters the effects of most hot weather. You can enable or disable this every 1 second. In addition you gain Elemental Mastery: Frost.</v>
      </c>
      <c r="G116" s="264" t="str">
        <f>IFERROR(__xludf.DUMMYFUNCTION("""COMPUTED_VALUE"""),"")</f>
        <v/>
      </c>
      <c r="H116" s="265" t="str">
        <f>IFERROR(__xludf.DUMMYFUNCTION("""COMPUTED_VALUE"""),"")</f>
        <v/>
      </c>
      <c r="I116" s="264" t="str">
        <f>IFERROR(__xludf.DUMMYFUNCTION("""COMPUTED_VALUE"""),"")</f>
        <v/>
      </c>
      <c r="J116" s="263" t="str">
        <f>IFERROR(__xludf.DUMMYFUNCTION("""COMPUTED_VALUE"""),"")</f>
        <v/>
      </c>
      <c r="K116" s="263" t="str">
        <f>IFERROR(__xludf.DUMMYFUNCTION("""COMPUTED_VALUE"""),"")</f>
        <v/>
      </c>
      <c r="L116" s="263" t="str">
        <f>IFERROR(__xludf.DUMMYFUNCTION("""COMPUTED_VALUE"""),"")</f>
        <v/>
      </c>
      <c r="M116" s="263"/>
      <c r="N116" s="263"/>
      <c r="O116" s="263"/>
      <c r="P116" s="263"/>
      <c r="Q116" s="263"/>
      <c r="R116" s="263"/>
      <c r="S116" s="263"/>
      <c r="T116" s="263"/>
      <c r="U116" s="246"/>
      <c r="V116" s="246"/>
      <c r="W116" s="246"/>
      <c r="X116" s="246"/>
      <c r="Y116" s="246"/>
      <c r="Z116" s="246"/>
    </row>
    <row r="117">
      <c r="A117" s="263"/>
      <c r="B117" s="265" t="str">
        <f>IFERROR(__xludf.DUMMYFUNCTION("""COMPUTED_VALUE"""),"Circle Swing")</f>
        <v>Circle Swing</v>
      </c>
      <c r="C117" s="263"/>
      <c r="D117" s="264" t="str">
        <f>IFERROR(__xludf.DUMMYFUNCTION("""COMPUTED_VALUE"""),"")</f>
        <v/>
      </c>
      <c r="E117" s="264" t="str">
        <f>IFERROR(__xludf.DUMMYFUNCTION("""COMPUTED_VALUE"""),"Melee Weapon Range")</f>
        <v>Melee Weapon Range</v>
      </c>
      <c r="F117" s="266" t="str">
        <f>IFERROR(__xludf.DUMMYFUNCTION("""COMPUTED_VALUE"""),"You make a Light Attack against the target. On damage, you may move the target to anywhere in your weapon range (Max 10ft) , then push it 5ft. The target must remain at the same height it was before this ability was used. Your next Spell or Channeling Wea"&amp;"pon attack this turn costs 1 less AP (Min 0).")</f>
        <v>You make a Light Attack against the target. On damage, you may move the target to anywhere in your weapon range (Max 10ft) , then push it 5ft. The target must remain at the same height it was before this ability was used. Your next Spell or Channeling Weapon attack this turn costs 1 less AP (Min 0).</v>
      </c>
      <c r="G117" s="263" t="str">
        <f>IFERROR(__xludf.DUMMYFUNCTION("""COMPUTED_VALUE"""),"")</f>
        <v/>
      </c>
      <c r="H117" s="265" t="str">
        <f>IFERROR(__xludf.DUMMYFUNCTION("""COMPUTED_VALUE"""),"2 AP")</f>
        <v>2 AP</v>
      </c>
      <c r="I117" s="264" t="str">
        <f>IFERROR(__xludf.DUMMYFUNCTION("""COMPUTED_VALUE"""),"2 AP")</f>
        <v>2 AP</v>
      </c>
      <c r="J117" s="263" t="str">
        <f>IFERROR(__xludf.DUMMYFUNCTION("""COMPUTED_VALUE"""),"")</f>
        <v/>
      </c>
      <c r="K117" s="263" t="str">
        <f>IFERROR(__xludf.DUMMYFUNCTION("""COMPUTED_VALUE"""),"")</f>
        <v/>
      </c>
      <c r="L117" s="263" t="str">
        <f>IFERROR(__xludf.DUMMYFUNCTION("""COMPUTED_VALUE"""),"")</f>
        <v/>
      </c>
      <c r="M117" s="263"/>
      <c r="N117" s="263"/>
      <c r="O117" s="263"/>
      <c r="P117" s="263"/>
      <c r="Q117" s="263"/>
      <c r="R117" s="263"/>
      <c r="S117" s="263"/>
      <c r="T117" s="263"/>
      <c r="U117" s="246"/>
      <c r="V117" s="246"/>
      <c r="W117" s="246"/>
      <c r="X117" s="246"/>
      <c r="Y117" s="246"/>
      <c r="Z117" s="246"/>
    </row>
    <row r="118">
      <c r="A118" s="263"/>
      <c r="B118" s="265" t="str">
        <f>IFERROR(__xludf.DUMMYFUNCTION("""COMPUTED_VALUE"""),"Circuit Reset")</f>
        <v>Circuit Reset</v>
      </c>
      <c r="C118" s="263"/>
      <c r="D118" s="263" t="str">
        <f>IFERROR(__xludf.DUMMYFUNCTION("""COMPUTED_VALUE"""),"")</f>
        <v/>
      </c>
      <c r="E118" s="264" t="str">
        <f>IFERROR(__xludf.DUMMYFUNCTION("""COMPUTED_VALUE"""),"Self")</f>
        <v>Self</v>
      </c>
      <c r="F118" s="266" t="str">
        <f>IFERROR(__xludf.DUMMYFUNCTION("""COMPUTED_VALUE"""),"You reset your circuits, allowing you to once again benefit from the Circuit effect.")</f>
        <v>You reset your circuits, allowing you to once again benefit from the Circuit effect.</v>
      </c>
      <c r="G118" s="263" t="str">
        <f>IFERROR(__xludf.DUMMYFUNCTION("""COMPUTED_VALUE"""),"")</f>
        <v/>
      </c>
      <c r="H118" s="265" t="str">
        <f>IFERROR(__xludf.DUMMYFUNCTION("""COMPUTED_VALUE"""),"1 AP")</f>
        <v>1 AP</v>
      </c>
      <c r="I118" s="263" t="str">
        <f>IFERROR(__xludf.DUMMYFUNCTION("""COMPUTED_VALUE"""),"1 AP")</f>
        <v>1 AP</v>
      </c>
      <c r="J118" s="263" t="str">
        <f>IFERROR(__xludf.DUMMYFUNCTION("""COMPUTED_VALUE"""),"")</f>
        <v/>
      </c>
      <c r="K118" s="264" t="str">
        <f>IFERROR(__xludf.DUMMYFUNCTION("""COMPUTED_VALUE"""),"")</f>
        <v/>
      </c>
      <c r="L118" s="263" t="str">
        <f>IFERROR(__xludf.DUMMYFUNCTION("""COMPUTED_VALUE"""),"")</f>
        <v/>
      </c>
      <c r="M118" s="263"/>
      <c r="N118" s="263"/>
      <c r="O118" s="263"/>
      <c r="P118" s="263"/>
      <c r="Q118" s="263"/>
      <c r="R118" s="263"/>
      <c r="S118" s="263"/>
      <c r="T118" s="263"/>
      <c r="U118" s="246"/>
      <c r="V118" s="246"/>
      <c r="W118" s="246"/>
      <c r="X118" s="246"/>
      <c r="Y118" s="246"/>
      <c r="Z118" s="246"/>
    </row>
    <row r="119">
      <c r="A119" s="263"/>
      <c r="B119" s="265" t="str">
        <f>IFERROR(__xludf.DUMMYFUNCTION("""COMPUTED_VALUE"""),"Clearcasting")</f>
        <v>Clearcasting</v>
      </c>
      <c r="C119" s="263"/>
      <c r="D119" s="263" t="str">
        <f>IFERROR(__xludf.DUMMYFUNCTION("""COMPUTED_VALUE"""),"Encounter Start")</f>
        <v>Encounter Start</v>
      </c>
      <c r="E119" s="264" t="str">
        <f>IFERROR(__xludf.DUMMYFUNCTION("""COMPUTED_VALUE"""),"Self")</f>
        <v>Self</v>
      </c>
      <c r="F119" s="266" t="str">
        <f>IFERROR(__xludf.DUMMYFUNCTION("""COMPUTED_VALUE"""),"The next Spell you cast this encounter has its mana cost reduced by 2. This cannot reduce the mana cost below 0.")</f>
        <v>The next Spell you cast this encounter has its mana cost reduced by 2. This cannot reduce the mana cost below 0.</v>
      </c>
      <c r="G119" s="264" t="str">
        <f>IFERROR(__xludf.DUMMYFUNCTION("""COMPUTED_VALUE"""),"")</f>
        <v/>
      </c>
      <c r="H119" s="265" t="str">
        <f>IFERROR(__xludf.DUMMYFUNCTION("""COMPUTED_VALUE"""),"")</f>
        <v/>
      </c>
      <c r="I119" s="263" t="str">
        <f>IFERROR(__xludf.DUMMYFUNCTION("""COMPUTED_VALUE"""),"")</f>
        <v/>
      </c>
      <c r="J119" s="263" t="str">
        <f>IFERROR(__xludf.DUMMYFUNCTION("""COMPUTED_VALUE"""),"")</f>
        <v/>
      </c>
      <c r="K119" s="264" t="str">
        <f>IFERROR(__xludf.DUMMYFUNCTION("""COMPUTED_VALUE"""),"")</f>
        <v/>
      </c>
      <c r="L119" s="263" t="str">
        <f>IFERROR(__xludf.DUMMYFUNCTION("""COMPUTED_VALUE"""),"")</f>
        <v/>
      </c>
      <c r="M119" s="263"/>
      <c r="N119" s="263"/>
      <c r="O119" s="263"/>
      <c r="P119" s="263"/>
      <c r="Q119" s="263"/>
      <c r="R119" s="263"/>
      <c r="S119" s="263"/>
      <c r="T119" s="263"/>
      <c r="U119" s="246"/>
      <c r="V119" s="246"/>
      <c r="W119" s="246"/>
      <c r="X119" s="246"/>
      <c r="Y119" s="246"/>
      <c r="Z119" s="246"/>
    </row>
    <row r="120">
      <c r="A120" s="263"/>
      <c r="B120" s="265" t="str">
        <f>IFERROR(__xludf.DUMMYFUNCTION("""COMPUTED_VALUE"""),"Cleave")</f>
        <v>Cleave</v>
      </c>
      <c r="C120" s="263"/>
      <c r="D120" s="264" t="str">
        <f>IFERROR(__xludf.DUMMYFUNCTION("""COMPUTED_VALUE"""),"Half Pierce")</f>
        <v>Half Pierce</v>
      </c>
      <c r="E120" s="264" t="str">
        <f>IFERROR(__xludf.DUMMYFUNCTION("""COMPUTED_VALUE"""),"Melee Weapon Range")</f>
        <v>Melee Weapon Range</v>
      </c>
      <c r="F120" s="266" t="str">
        <f>IFERROR(__xludf.DUMMYFUNCTION("""COMPUTED_VALUE"""),"You make a Heavy attack against the target. On damage, you deal Half Pierce Physical damage equal to your Power to all other enemies within 5ft of the target.
If you miss the attack and use Aftershock in reaction to this missing, Aftershock mana cost is r"&amp;"educed by 1 for that use.")</f>
        <v>You make a Heavy attack against the target. On damage, you deal Half Pierce Physical damage equal to your Power to all other enemies within 5ft of the target.
If you miss the attack and use Aftershock in reaction to this missing, Aftershock mana cost is reduced by 1 for that use.</v>
      </c>
      <c r="G120" s="264" t="str">
        <f>IFERROR(__xludf.DUMMYFUNCTION("""COMPUTED_VALUE"""),"Two-Handed weapon only.")</f>
        <v>Two-Handed weapon only.</v>
      </c>
      <c r="H120" s="265" t="str">
        <f>IFERROR(__xludf.DUMMYFUNCTION("""COMPUTED_VALUE"""),"2 AP, 1 MP")</f>
        <v>2 AP, 1 MP</v>
      </c>
      <c r="I120" s="263" t="str">
        <f>IFERROR(__xludf.DUMMYFUNCTION("""COMPUTED_VALUE"""),"2 AP")</f>
        <v>2 AP</v>
      </c>
      <c r="J120" s="263" t="str">
        <f>IFERROR(__xludf.DUMMYFUNCTION("""COMPUTED_VALUE"""),"1 MP")</f>
        <v>1 MP</v>
      </c>
      <c r="K120" s="264" t="str">
        <f>IFERROR(__xludf.DUMMYFUNCTION("""COMPUTED_VALUE"""),"")</f>
        <v/>
      </c>
      <c r="L120" s="263" t="str">
        <f>IFERROR(__xludf.DUMMYFUNCTION("""COMPUTED_VALUE"""),"")</f>
        <v/>
      </c>
      <c r="M120" s="263"/>
      <c r="N120" s="263"/>
      <c r="O120" s="263"/>
      <c r="P120" s="263"/>
      <c r="Q120" s="263"/>
      <c r="R120" s="263"/>
      <c r="S120" s="263"/>
      <c r="T120" s="263"/>
      <c r="U120" s="246"/>
      <c r="V120" s="246"/>
      <c r="W120" s="246"/>
      <c r="X120" s="246"/>
      <c r="Y120" s="246"/>
      <c r="Z120" s="246"/>
    </row>
    <row r="121">
      <c r="A121" s="263"/>
      <c r="B121" s="265" t="str">
        <f>IFERROR(__xludf.DUMMYFUNCTION("""COMPUTED_VALUE"""),"Cloak of Bats")</f>
        <v>Cloak of Bats</v>
      </c>
      <c r="C121" s="263"/>
      <c r="D121" s="263" t="str">
        <f>IFERROR(__xludf.DUMMYFUNCTION("""COMPUTED_VALUE"""),"Teleport")</f>
        <v>Teleport</v>
      </c>
      <c r="E121" s="264" t="str">
        <f>IFERROR(__xludf.DUMMYFUNCTION("""COMPUTED_VALUE"""),"40ft")</f>
        <v>40ft</v>
      </c>
      <c r="F121" s="266" t="str">
        <f>IFERROR(__xludf.DUMMYFUNCTION("""COMPUTED_VALUE"""),"You vanish into a swarm of bats and reappear somewhere else within range. If this was used in reaction to an attack, that attack automatically misses you.")</f>
        <v>You vanish into a swarm of bats and reappear somewhere else within range. If this was used in reaction to an attack, that attack automatically misses you.</v>
      </c>
      <c r="G121" s="263" t="str">
        <f>IFERROR(__xludf.DUMMYFUNCTION("""COMPUTED_VALUE"""),"")</f>
        <v/>
      </c>
      <c r="H121" s="267" t="str">
        <f>IFERROR(__xludf.DUMMYFUNCTION("""COMPUTED_VALUE"""),"2 RP")</f>
        <v>2 RP</v>
      </c>
      <c r="I121" s="263" t="str">
        <f>IFERROR(__xludf.DUMMYFUNCTION("""COMPUTED_VALUE"""),"")</f>
        <v/>
      </c>
      <c r="J121" s="263" t="str">
        <f>IFERROR(__xludf.DUMMYFUNCTION("""COMPUTED_VALUE"""),"")</f>
        <v/>
      </c>
      <c r="K121" s="263" t="str">
        <f>IFERROR(__xludf.DUMMYFUNCTION("""COMPUTED_VALUE"""),"2 RP")</f>
        <v>2 RP</v>
      </c>
      <c r="L121" s="263" t="str">
        <f>IFERROR(__xludf.DUMMYFUNCTION("""COMPUTED_VALUE"""),"")</f>
        <v/>
      </c>
      <c r="M121" s="263"/>
      <c r="N121" s="263"/>
      <c r="O121" s="263"/>
      <c r="P121" s="263"/>
      <c r="Q121" s="263"/>
      <c r="R121" s="263"/>
      <c r="S121" s="263"/>
      <c r="T121" s="263"/>
      <c r="U121" s="246"/>
      <c r="V121" s="246"/>
      <c r="W121" s="246"/>
      <c r="X121" s="246"/>
      <c r="Y121" s="246"/>
      <c r="Z121" s="246"/>
    </row>
    <row r="122">
      <c r="A122" s="263"/>
      <c r="B122" s="265" t="str">
        <f>IFERROR(__xludf.DUMMYFUNCTION("""COMPUTED_VALUE"""),"Cloud Piercing Claw")</f>
        <v>Cloud Piercing Claw</v>
      </c>
      <c r="C122" s="263"/>
      <c r="D122" s="264" t="str">
        <f>IFERROR(__xludf.DUMMYFUNCTION("""COMPUTED_VALUE"""),"Unarmed Strike, Sidestep, Combo")</f>
        <v>Unarmed Strike, Sidestep, Combo</v>
      </c>
      <c r="E122" s="263" t="str">
        <f>IFERROR(__xludf.DUMMYFUNCTION("""COMPUTED_VALUE"""),"Melee Weapon Range")</f>
        <v>Melee Weapon Range</v>
      </c>
      <c r="F122" s="266" t="str">
        <f>IFERROR(__xludf.DUMMYFUNCTION("""COMPUTED_VALUE"""),"You make a Light attack against the target. On damage, they are knocked airborne 20ft until the end of your turn (if this attack is made outside of your turn, they drop immediately). They are NOT knocked prone from this, but do take fall damage like norma"&amp;"l.
You may Sidestep up to 25ft into the air after making this attack, regardless of if you did damage with it.
Combo: If used after entering Boundless Wind Stance, the mana cost of this ability is reduced by 1.")</f>
        <v>You make a Light attack against the target. On damage, they are knocked airborne 20ft until the end of your turn (if this attack is made outside of your turn, they drop immediately). They are NOT knocked prone from this, but do take fall damage like normal.
You may Sidestep up to 25ft into the air after making this attack, regardless of if you did damage with it.
Combo: If used after entering Boundless Wind Stance, the mana cost of this ability is reduced by 1.</v>
      </c>
      <c r="G122" s="263" t="str">
        <f>IFERROR(__xludf.DUMMYFUNCTION("""COMPUTED_VALUE"""),"")</f>
        <v/>
      </c>
      <c r="H122" s="267" t="str">
        <f>IFERROR(__xludf.DUMMYFUNCTION("""COMPUTED_VALUE"""),"1 AP, 2 MP")</f>
        <v>1 AP, 2 MP</v>
      </c>
      <c r="I122" s="263" t="str">
        <f>IFERROR(__xludf.DUMMYFUNCTION("""COMPUTED_VALUE"""),"1 AP")</f>
        <v>1 AP</v>
      </c>
      <c r="J122" s="263" t="str">
        <f>IFERROR(__xludf.DUMMYFUNCTION("""COMPUTED_VALUE"""),"2 MP")</f>
        <v>2 MP</v>
      </c>
      <c r="K122" s="263" t="str">
        <f>IFERROR(__xludf.DUMMYFUNCTION("""COMPUTED_VALUE"""),"")</f>
        <v/>
      </c>
      <c r="L122" s="263" t="str">
        <f>IFERROR(__xludf.DUMMYFUNCTION("""COMPUTED_VALUE"""),"")</f>
        <v/>
      </c>
      <c r="M122" s="263"/>
      <c r="N122" s="263"/>
      <c r="O122" s="263"/>
      <c r="P122" s="263"/>
      <c r="Q122" s="263"/>
      <c r="R122" s="263"/>
      <c r="S122" s="263"/>
      <c r="T122" s="263"/>
      <c r="U122" s="246"/>
      <c r="V122" s="246"/>
      <c r="W122" s="246"/>
      <c r="X122" s="246"/>
      <c r="Y122" s="246"/>
      <c r="Z122" s="246"/>
    </row>
    <row r="123">
      <c r="A123" s="263"/>
      <c r="B123" s="265" t="str">
        <f>IFERROR(__xludf.DUMMYFUNCTION("""COMPUTED_VALUE"""),"Cloudstep")</f>
        <v>Cloudstep</v>
      </c>
      <c r="C123" s="263"/>
      <c r="D123" s="264" t="str">
        <f>IFERROR(__xludf.DUMMYFUNCTION("""COMPUTED_VALUE"""),"Sidestep")</f>
        <v>Sidestep</v>
      </c>
      <c r="E123" s="264" t="str">
        <f>IFERROR(__xludf.DUMMYFUNCTION("""COMPUTED_VALUE"""),"Self")</f>
        <v>Self</v>
      </c>
      <c r="F123" s="266" t="str">
        <f>IFERROR(__xludf.DUMMYFUNCTION("""COMPUTED_VALUE"""),"You may Sidestep up to half your speed. This movement ignores difficult terrain.")</f>
        <v>You may Sidestep up to half your speed. This movement ignores difficult terrain.</v>
      </c>
      <c r="G123" s="263" t="str">
        <f>IFERROR(__xludf.DUMMYFUNCTION("""COMPUTED_VALUE"""),"Must be the first movement action in your turn.")</f>
        <v>Must be the first movement action in your turn.</v>
      </c>
      <c r="H123" s="265" t="str">
        <f>IFERROR(__xludf.DUMMYFUNCTION("""COMPUTED_VALUE"""),"0 AP, 1 MP")</f>
        <v>0 AP, 1 MP</v>
      </c>
      <c r="I123" s="264" t="str">
        <f>IFERROR(__xludf.DUMMYFUNCTION("""COMPUTED_VALUE"""),"0 AP")</f>
        <v>0 AP</v>
      </c>
      <c r="J123" s="263" t="str">
        <f>IFERROR(__xludf.DUMMYFUNCTION("""COMPUTED_VALUE"""),"1 MP")</f>
        <v>1 MP</v>
      </c>
      <c r="K123" s="264" t="str">
        <f>IFERROR(__xludf.DUMMYFUNCTION("""COMPUTED_VALUE"""),"")</f>
        <v/>
      </c>
      <c r="L123" s="263" t="str">
        <f>IFERROR(__xludf.DUMMYFUNCTION("""COMPUTED_VALUE"""),"")</f>
        <v/>
      </c>
      <c r="M123" s="263"/>
      <c r="N123" s="263"/>
      <c r="O123" s="263"/>
      <c r="P123" s="263"/>
      <c r="Q123" s="263"/>
      <c r="R123" s="263"/>
      <c r="S123" s="263"/>
      <c r="T123" s="263"/>
      <c r="U123" s="246"/>
      <c r="V123" s="246"/>
      <c r="W123" s="246"/>
      <c r="X123" s="246"/>
      <c r="Y123" s="246"/>
      <c r="Z123" s="246"/>
    </row>
    <row r="124">
      <c r="A124" s="263"/>
      <c r="B124" s="265" t="str">
        <f>IFERROR(__xludf.DUMMYFUNCTION("""COMPUTED_VALUE"""),"Code Blue")</f>
        <v>Code Blue</v>
      </c>
      <c r="C124" s="263"/>
      <c r="D124" s="263" t="str">
        <f>IFERROR(__xludf.DUMMYFUNCTION("""COMPUTED_VALUE"""),"Sidestep")</f>
        <v>Sidestep</v>
      </c>
      <c r="E124" s="264" t="str">
        <f>IFERROR(__xludf.DUMMYFUNCTION("""COMPUTED_VALUE"""),"Self")</f>
        <v>Self</v>
      </c>
      <c r="F124" s="266" t="str">
        <f>IFERROR(__xludf.DUMMYFUNCTION("""COMPUTED_VALUE"""),"You may sidestep up to your speed towards an ally and must end this movement within 5ft of them.
Your next Painkiller Injection or the AP spending of First Aid used this turn has its AP cost reduced by 1.")</f>
        <v>You may sidestep up to your speed towards an ally and must end this movement within 5ft of them.
Your next Painkiller Injection or the AP spending of First Aid used this turn has its AP cost reduced by 1.</v>
      </c>
      <c r="G124" s="263" t="str">
        <f>IFERROR(__xludf.DUMMYFUNCTION("""COMPUTED_VALUE"""),"")</f>
        <v/>
      </c>
      <c r="H124" s="267" t="str">
        <f>IFERROR(__xludf.DUMMYFUNCTION("""COMPUTED_VALUE"""),"1 AP, 1 MP")</f>
        <v>1 AP, 1 MP</v>
      </c>
      <c r="I124" s="263" t="str">
        <f>IFERROR(__xludf.DUMMYFUNCTION("""COMPUTED_VALUE"""),"1 AP")</f>
        <v>1 AP</v>
      </c>
      <c r="J124" s="263" t="str">
        <f>IFERROR(__xludf.DUMMYFUNCTION("""COMPUTED_VALUE"""),"1 MP")</f>
        <v>1 MP</v>
      </c>
      <c r="K124" s="263" t="str">
        <f>IFERROR(__xludf.DUMMYFUNCTION("""COMPUTED_VALUE"""),"")</f>
        <v/>
      </c>
      <c r="L124" s="263" t="str">
        <f>IFERROR(__xludf.DUMMYFUNCTION("""COMPUTED_VALUE"""),"")</f>
        <v/>
      </c>
      <c r="M124" s="263"/>
      <c r="N124" s="263"/>
      <c r="O124" s="263"/>
      <c r="P124" s="263"/>
      <c r="Q124" s="263"/>
      <c r="R124" s="263"/>
      <c r="S124" s="263"/>
      <c r="T124" s="263"/>
      <c r="U124" s="246"/>
      <c r="V124" s="246"/>
      <c r="W124" s="246"/>
      <c r="X124" s="246"/>
      <c r="Y124" s="246"/>
      <c r="Z124" s="246"/>
    </row>
    <row r="125">
      <c r="A125" s="263"/>
      <c r="B125" s="265" t="str">
        <f>IFERROR(__xludf.DUMMYFUNCTION("""COMPUTED_VALUE"""),"Combat Chemistry")</f>
        <v>Combat Chemistry</v>
      </c>
      <c r="C125" s="263"/>
      <c r="D125" s="264" t="str">
        <f>IFERROR(__xludf.DUMMYFUNCTION("""COMPUTED_VALUE"""),"")</f>
        <v/>
      </c>
      <c r="E125" s="264" t="str">
        <f>IFERROR(__xludf.DUMMYFUNCTION("""COMPUTED_VALUE"""),"Self")</f>
        <v>Self</v>
      </c>
      <c r="F125" s="266" t="str">
        <f>IFERROR(__xludf.DUMMYFUNCTION("""COMPUTED_VALUE"""),"Can only be used once per encounter.
Using your knowledge of alchemy, you jury-rig a special item that has the effect of an an elixir, poison, flask or potion with a cost of 300c or lower.
You can only make the base version of the item with no mods. The i"&amp;"tem doesn't take up burden, but must be used before the start of your next turn or it is lost. This item can only be used by you.")</f>
        <v>Can only be used once per encounter.
Using your knowledge of alchemy, you jury-rig a special item that has the effect of an an elixir, poison, flask or potion with a cost of 300c or lower.
You can only make the base version of the item with no mods. The item doesn't take up burden, but must be used before the start of your next turn or it is lost. This item can only be used by you.</v>
      </c>
      <c r="G125" s="264" t="str">
        <f>IFERROR(__xludf.DUMMYFUNCTION("""COMPUTED_VALUE"""),"")</f>
        <v/>
      </c>
      <c r="H125" s="265" t="str">
        <f>IFERROR(__xludf.DUMMYFUNCTION("""COMPUTED_VALUE"""),"0 RP")</f>
        <v>0 RP</v>
      </c>
      <c r="I125" s="264" t="str">
        <f>IFERROR(__xludf.DUMMYFUNCTION("""COMPUTED_VALUE"""),"")</f>
        <v/>
      </c>
      <c r="J125" s="263" t="str">
        <f>IFERROR(__xludf.DUMMYFUNCTION("""COMPUTED_VALUE"""),"")</f>
        <v/>
      </c>
      <c r="K125" s="263" t="str">
        <f>IFERROR(__xludf.DUMMYFUNCTION("""COMPUTED_VALUE"""),"0 RP")</f>
        <v>0 RP</v>
      </c>
      <c r="L125" s="263" t="str">
        <f>IFERROR(__xludf.DUMMYFUNCTION("""COMPUTED_VALUE"""),"")</f>
        <v/>
      </c>
      <c r="M125" s="263"/>
      <c r="N125" s="263"/>
      <c r="O125" s="263"/>
      <c r="P125" s="263"/>
      <c r="Q125" s="263"/>
      <c r="R125" s="263"/>
      <c r="S125" s="263"/>
      <c r="T125" s="263"/>
      <c r="U125" s="246"/>
      <c r="V125" s="246"/>
      <c r="W125" s="246"/>
      <c r="X125" s="246"/>
      <c r="Y125" s="246"/>
      <c r="Z125" s="246"/>
    </row>
    <row r="126">
      <c r="A126" s="263"/>
      <c r="B126" s="265" t="str">
        <f>IFERROR(__xludf.DUMMYFUNCTION("""COMPUTED_VALUE"""),"Comet")</f>
        <v>Comet</v>
      </c>
      <c r="C126" s="263"/>
      <c r="D126" s="263" t="str">
        <f>IFERROR(__xludf.DUMMYFUNCTION("""COMPUTED_VALUE"""),"Spell, Celestial")</f>
        <v>Spell, Celestial</v>
      </c>
      <c r="E126" s="263" t="str">
        <f>IFERROR(__xludf.DUMMYFUNCTION("""COMPUTED_VALUE"""),"240ft")</f>
        <v>240ft</v>
      </c>
      <c r="F126" s="266" t="str">
        <f>IFERROR(__xludf.DUMMYFUNCTION("""COMPUTED_VALUE"""),"You make a Light (1 AP) or Heavy (2 AP) attack against the target that deals Arcane damage.")</f>
        <v>You make a Light (1 AP) or Heavy (2 AP) attack against the target that deals Arcane damage.</v>
      </c>
      <c r="G126" s="263" t="str">
        <f>IFERROR(__xludf.DUMMYFUNCTION("""COMPUTED_VALUE"""),"")</f>
        <v/>
      </c>
      <c r="H126" s="267" t="str">
        <f>IFERROR(__xludf.DUMMYFUNCTION("""COMPUTED_VALUE"""),"1 AP")</f>
        <v>1 AP</v>
      </c>
      <c r="I126" s="263" t="str">
        <f>IFERROR(__xludf.DUMMYFUNCTION("""COMPUTED_VALUE"""),"1 AP")</f>
        <v>1 AP</v>
      </c>
      <c r="J126" s="263" t="str">
        <f>IFERROR(__xludf.DUMMYFUNCTION("""COMPUTED_VALUE"""),"")</f>
        <v/>
      </c>
      <c r="K126" s="263" t="str">
        <f>IFERROR(__xludf.DUMMYFUNCTION("""COMPUTED_VALUE"""),"")</f>
        <v/>
      </c>
      <c r="L126" s="263" t="str">
        <f>IFERROR(__xludf.DUMMYFUNCTION("""COMPUTED_VALUE"""),"")</f>
        <v/>
      </c>
      <c r="M126" s="263"/>
      <c r="N126" s="263"/>
      <c r="O126" s="263"/>
      <c r="P126" s="263"/>
      <c r="Q126" s="263"/>
      <c r="R126" s="263"/>
      <c r="S126" s="263"/>
      <c r="T126" s="263"/>
      <c r="U126" s="246"/>
      <c r="V126" s="246"/>
      <c r="W126" s="246"/>
      <c r="X126" s="246"/>
      <c r="Y126" s="246"/>
      <c r="Z126" s="246"/>
    </row>
    <row r="127">
      <c r="A127" s="263"/>
      <c r="B127" s="265" t="str">
        <f>IFERROR(__xludf.DUMMYFUNCTION("""COMPUTED_VALUE"""),"Command Undead")</f>
        <v>Command Undead</v>
      </c>
      <c r="C127" s="263"/>
      <c r="D127" s="264" t="str">
        <f>IFERROR(__xludf.DUMMYFUNCTION("""COMPUTED_VALUE"""),"")</f>
        <v/>
      </c>
      <c r="E127" s="264" t="str">
        <f>IFERROR(__xludf.DUMMYFUNCTION("""COMPUTED_VALUE"""),"Self")</f>
        <v>Self</v>
      </c>
      <c r="F127" s="266" t="str">
        <f>IFERROR(__xludf.DUMMYFUNCTION("""COMPUTED_VALUE"""),"You may have one of your Necromancer summons act as if they had spent 1 AP.")</f>
        <v>You may have one of your Necromancer summons act as if they had spent 1 AP.</v>
      </c>
      <c r="G127" s="263" t="str">
        <f>IFERROR(__xludf.DUMMYFUNCTION("""COMPUTED_VALUE"""),"")</f>
        <v/>
      </c>
      <c r="H127" s="265" t="str">
        <f>IFERROR(__xludf.DUMMYFUNCTION("""COMPUTED_VALUE"""),"1 AP")</f>
        <v>1 AP</v>
      </c>
      <c r="I127" s="264" t="str">
        <f>IFERROR(__xludf.DUMMYFUNCTION("""COMPUTED_VALUE"""),"1 AP")</f>
        <v>1 AP</v>
      </c>
      <c r="J127" s="264" t="str">
        <f>IFERROR(__xludf.DUMMYFUNCTION("""COMPUTED_VALUE"""),"")</f>
        <v/>
      </c>
      <c r="K127" s="263" t="str">
        <f>IFERROR(__xludf.DUMMYFUNCTION("""COMPUTED_VALUE"""),"")</f>
        <v/>
      </c>
      <c r="L127" s="263" t="str">
        <f>IFERROR(__xludf.DUMMYFUNCTION("""COMPUTED_VALUE"""),"")</f>
        <v/>
      </c>
      <c r="M127" s="263"/>
      <c r="N127" s="263"/>
      <c r="O127" s="263"/>
      <c r="P127" s="263"/>
      <c r="Q127" s="263"/>
      <c r="R127" s="263"/>
      <c r="S127" s="263"/>
      <c r="T127" s="263"/>
      <c r="U127" s="246"/>
      <c r="V127" s="246"/>
      <c r="W127" s="246"/>
      <c r="X127" s="246"/>
      <c r="Y127" s="246"/>
      <c r="Z127" s="246"/>
    </row>
    <row r="128">
      <c r="A128" s="263"/>
      <c r="B128" s="265" t="str">
        <f>IFERROR(__xludf.DUMMYFUNCTION("""COMPUTED_VALUE"""),"Compression")</f>
        <v>Compression</v>
      </c>
      <c r="C128" s="263"/>
      <c r="D128" s="264" t="str">
        <f>IFERROR(__xludf.DUMMYFUNCTION("""COMPUTED_VALUE"""),"Spell, Gravity")</f>
        <v>Spell, Gravity</v>
      </c>
      <c r="E128" s="264" t="str">
        <f>IFERROR(__xludf.DUMMYFUNCTION("""COMPUTED_VALUE"""),"60ft")</f>
        <v>60ft</v>
      </c>
      <c r="F128" s="266" t="str">
        <f>IFERROR(__xludf.DUMMYFUNCTION("""COMPUTED_VALUE"""),"You make a Heavy attack against the target that deals Physical (Crushing) damage.
If the target is Large Size or bigger, the mana cost of this is reduced by 1.")</f>
        <v>You make a Heavy attack against the target that deals Physical (Crushing) damage.
If the target is Large Size or bigger, the mana cost of this is reduced by 1.</v>
      </c>
      <c r="G128" s="263" t="str">
        <f>IFERROR(__xludf.DUMMYFUNCTION("""COMPUTED_VALUE"""),"")</f>
        <v/>
      </c>
      <c r="H128" s="265" t="str">
        <f>IFERROR(__xludf.DUMMYFUNCTION("""COMPUTED_VALUE"""),"1 AP, 2 MP")</f>
        <v>1 AP, 2 MP</v>
      </c>
      <c r="I128" s="264" t="str">
        <f>IFERROR(__xludf.DUMMYFUNCTION("""COMPUTED_VALUE"""),"1 AP")</f>
        <v>1 AP</v>
      </c>
      <c r="J128" s="264" t="str">
        <f>IFERROR(__xludf.DUMMYFUNCTION("""COMPUTED_VALUE"""),"2 MP")</f>
        <v>2 MP</v>
      </c>
      <c r="K128" s="263" t="str">
        <f>IFERROR(__xludf.DUMMYFUNCTION("""COMPUTED_VALUE"""),"")</f>
        <v/>
      </c>
      <c r="L128" s="263" t="str">
        <f>IFERROR(__xludf.DUMMYFUNCTION("""COMPUTED_VALUE"""),"")</f>
        <v/>
      </c>
      <c r="M128" s="263"/>
      <c r="N128" s="263"/>
      <c r="O128" s="263"/>
      <c r="P128" s="263"/>
      <c r="Q128" s="263"/>
      <c r="R128" s="263"/>
      <c r="S128" s="263"/>
      <c r="T128" s="263"/>
      <c r="U128" s="246"/>
      <c r="V128" s="246"/>
      <c r="W128" s="246"/>
      <c r="X128" s="246"/>
      <c r="Y128" s="246"/>
      <c r="Z128" s="246"/>
    </row>
    <row r="129">
      <c r="A129" s="263"/>
      <c r="B129" s="265" t="str">
        <f>IFERROR(__xludf.DUMMYFUNCTION("""COMPUTED_VALUE"""),"Concealed Shot")</f>
        <v>Concealed Shot</v>
      </c>
      <c r="C129" s="263"/>
      <c r="D129" s="264" t="str">
        <f>IFERROR(__xludf.DUMMYFUNCTION("""COMPUTED_VALUE"""),"")</f>
        <v/>
      </c>
      <c r="E129" s="264" t="str">
        <f>IFERROR(__xludf.DUMMYFUNCTION("""COMPUTED_VALUE"""),"Self")</f>
        <v>Self</v>
      </c>
      <c r="F129" s="266" t="str">
        <f>IFERROR(__xludf.DUMMYFUNCTION("""COMPUTED_VALUE"""),"You immediately make a new stealth check and remain hidden if enemies fail their perception check.")</f>
        <v>You immediately make a new stealth check and remain hidden if enemies fail their perception check.</v>
      </c>
      <c r="G129" s="264" t="str">
        <f>IFERROR(__xludf.DUMMYFUNCTION("""COMPUTED_VALUE"""),"Only usable after attacking with a Sniper Rifle while stealthed.")</f>
        <v>Only usable after attacking with a Sniper Rifle while stealthed.</v>
      </c>
      <c r="H129" s="265" t="str">
        <f>IFERROR(__xludf.DUMMYFUNCTION("""COMPUTED_VALUE"""),"1 RP")</f>
        <v>1 RP</v>
      </c>
      <c r="I129" s="264" t="str">
        <f>IFERROR(__xludf.DUMMYFUNCTION("""COMPUTED_VALUE"""),"")</f>
        <v/>
      </c>
      <c r="J129" s="264" t="str">
        <f>IFERROR(__xludf.DUMMYFUNCTION("""COMPUTED_VALUE"""),"")</f>
        <v/>
      </c>
      <c r="K129" s="263" t="str">
        <f>IFERROR(__xludf.DUMMYFUNCTION("""COMPUTED_VALUE"""),"1 RP")</f>
        <v>1 RP</v>
      </c>
      <c r="L129" s="263" t="str">
        <f>IFERROR(__xludf.DUMMYFUNCTION("""COMPUTED_VALUE"""),"")</f>
        <v/>
      </c>
      <c r="M129" s="263"/>
      <c r="N129" s="263"/>
      <c r="O129" s="263"/>
      <c r="P129" s="263"/>
      <c r="Q129" s="263"/>
      <c r="R129" s="263"/>
      <c r="S129" s="263"/>
      <c r="T129" s="263"/>
      <c r="U129" s="246"/>
      <c r="V129" s="246"/>
      <c r="W129" s="246"/>
      <c r="X129" s="246"/>
      <c r="Y129" s="246"/>
      <c r="Z129" s="246"/>
    </row>
    <row r="130">
      <c r="A130" s="263"/>
      <c r="B130" s="265" t="str">
        <f>IFERROR(__xludf.DUMMYFUNCTION("""COMPUTED_VALUE"""),"Conduit")</f>
        <v>Conduit</v>
      </c>
      <c r="C130" s="263"/>
      <c r="D130" s="263" t="str">
        <f>IFERROR(__xludf.DUMMYFUNCTION("""COMPUTED_VALUE"""),"")</f>
        <v/>
      </c>
      <c r="E130" s="263" t="str">
        <f>IFERROR(__xludf.DUMMYFUNCTION("""COMPUTED_VALUE"""),"")</f>
        <v/>
      </c>
      <c r="F130" s="266" t="str">
        <f>IFERROR(__xludf.DUMMYFUNCTION("""COMPUTED_VALUE"""),"When Mind Connection is active, you can channel some abilities through others with Mind Connection. You cannot use conduit with abilities that require a physical object to be present, such as a Mystic Eye power or a specific weapon or abilities that requi"&amp;"re you to interact with a physical object, such as Snatch. Abilities that require your physical body to make an attack, such as Double Punch also don't work.
You still must pay the costs to use the abilities, and your Mind Connection source becomes the or"&amp;"igin point of the spell for purposes of range. Abilities with a range of Self cannot be used through Conduit.
Any ability used through Conduit that isn't an Aetherie ability costs +1 AP (or RP) to use.")</f>
        <v>When Mind Connection is active, you can channel some abilities through others with Mind Connection. You cannot use conduit with abilities that require a physical object to be present, such as a Mystic Eye power or a specific weapon or abilities that require you to interact with a physical object, such as Snatch. Abilities that require your physical body to make an attack, such as Double Punch also don't work.
You still must pay the costs to use the abilities, and your Mind Connection source becomes the origin point of the spell for purposes of range. Abilities with a range of Self cannot be used through Conduit.
Any ability used through Conduit that isn't an Aetherie ability costs +1 AP (or RP) to use.</v>
      </c>
      <c r="G130" s="263" t="str">
        <f>IFERROR(__xludf.DUMMYFUNCTION("""COMPUTED_VALUE"""),"")</f>
        <v/>
      </c>
      <c r="H130" s="267" t="str">
        <f>IFERROR(__xludf.DUMMYFUNCTION("""COMPUTED_VALUE"""),"")</f>
        <v/>
      </c>
      <c r="I130" s="263" t="str">
        <f>IFERROR(__xludf.DUMMYFUNCTION("""COMPUTED_VALUE"""),"")</f>
        <v/>
      </c>
      <c r="J130" s="263" t="str">
        <f>IFERROR(__xludf.DUMMYFUNCTION("""COMPUTED_VALUE"""),"")</f>
        <v/>
      </c>
      <c r="K130" s="263" t="str">
        <f>IFERROR(__xludf.DUMMYFUNCTION("""COMPUTED_VALUE"""),"")</f>
        <v/>
      </c>
      <c r="L130" s="263" t="str">
        <f>IFERROR(__xludf.DUMMYFUNCTION("""COMPUTED_VALUE"""),"")</f>
        <v/>
      </c>
      <c r="M130" s="263"/>
      <c r="N130" s="263"/>
      <c r="O130" s="263"/>
      <c r="P130" s="263"/>
      <c r="Q130" s="263"/>
      <c r="R130" s="263"/>
      <c r="S130" s="263"/>
      <c r="T130" s="263"/>
      <c r="U130" s="246"/>
      <c r="V130" s="246"/>
      <c r="W130" s="246"/>
      <c r="X130" s="246"/>
      <c r="Y130" s="246"/>
      <c r="Z130" s="246"/>
    </row>
    <row r="131">
      <c r="A131" s="263"/>
      <c r="B131" s="265" t="str">
        <f>IFERROR(__xludf.DUMMYFUNCTION("""COMPUTED_VALUE"""),"Consecrating Bolt")</f>
        <v>Consecrating Bolt</v>
      </c>
      <c r="C131" s="263"/>
      <c r="D131" s="264" t="str">
        <f>IFERROR(__xludf.DUMMYFUNCTION("""COMPUTED_VALUE"""),"Spell, Sanctify")</f>
        <v>Spell, Sanctify</v>
      </c>
      <c r="E131" s="264" t="str">
        <f>IFERROR(__xludf.DUMMYFUNCTION("""COMPUTED_VALUE"""),"60ft")</f>
        <v>60ft</v>
      </c>
      <c r="F131" s="266" t="str">
        <f>IFERROR(__xludf.DUMMYFUNCTION("""COMPUTED_VALUE"""),"You make a Light attack against the target that deals Holy damage. On damage, you inflict Sanctify 1")</f>
        <v>You make a Light attack against the target that deals Holy damage. On damage, you inflict Sanctify 1</v>
      </c>
      <c r="G131" s="263" t="str">
        <f>IFERROR(__xludf.DUMMYFUNCTION("""COMPUTED_VALUE"""),"")</f>
        <v/>
      </c>
      <c r="H131" s="265" t="str">
        <f>IFERROR(__xludf.DUMMYFUNCTION("""COMPUTED_VALUE"""),"1 AP, 1 MP")</f>
        <v>1 AP, 1 MP</v>
      </c>
      <c r="I131" s="264" t="str">
        <f>IFERROR(__xludf.DUMMYFUNCTION("""COMPUTED_VALUE"""),"1 AP")</f>
        <v>1 AP</v>
      </c>
      <c r="J131" s="264" t="str">
        <f>IFERROR(__xludf.DUMMYFUNCTION("""COMPUTED_VALUE"""),"1 MP")</f>
        <v>1 MP</v>
      </c>
      <c r="K131" s="263" t="str">
        <f>IFERROR(__xludf.DUMMYFUNCTION("""COMPUTED_VALUE"""),"")</f>
        <v/>
      </c>
      <c r="L131" s="263" t="str">
        <f>IFERROR(__xludf.DUMMYFUNCTION("""COMPUTED_VALUE"""),"")</f>
        <v/>
      </c>
      <c r="M131" s="263"/>
      <c r="N131" s="263"/>
      <c r="O131" s="263"/>
      <c r="P131" s="263"/>
      <c r="Q131" s="263"/>
      <c r="R131" s="263"/>
      <c r="S131" s="263"/>
      <c r="T131" s="263"/>
      <c r="U131" s="246"/>
      <c r="V131" s="246"/>
      <c r="W131" s="246"/>
      <c r="X131" s="246"/>
      <c r="Y131" s="246"/>
      <c r="Z131" s="246"/>
    </row>
    <row r="132">
      <c r="A132" s="263"/>
      <c r="B132" s="265" t="str">
        <f>IFERROR(__xludf.DUMMYFUNCTION("""COMPUTED_VALUE"""),"Consistent Shot")</f>
        <v>Consistent Shot</v>
      </c>
      <c r="C132" s="263"/>
      <c r="D132" s="264" t="str">
        <f>IFERROR(__xludf.DUMMYFUNCTION("""COMPUTED_VALUE"""),"")</f>
        <v/>
      </c>
      <c r="E132" s="264" t="str">
        <f>IFERROR(__xludf.DUMMYFUNCTION("""COMPUTED_VALUE"""),"Ranged Weapon Range")</f>
        <v>Ranged Weapon Range</v>
      </c>
      <c r="F132" s="266" t="str">
        <f>IFERROR(__xludf.DUMMYFUNCTION("""COMPUTED_VALUE"""),"You may make a Precise Attack against the target. This attack deals Heavy Damage instead.
This attack does not gain Pinpoint.")</f>
        <v>You may make a Precise Attack against the target. This attack deals Heavy Damage instead.
This attack does not gain Pinpoint.</v>
      </c>
      <c r="G132" s="263" t="str">
        <f>IFERROR(__xludf.DUMMYFUNCTION("""COMPUTED_VALUE"""),"")</f>
        <v/>
      </c>
      <c r="H132" s="265" t="str">
        <f>IFERROR(__xludf.DUMMYFUNCTION("""COMPUTED_VALUE"""),"3 AP")</f>
        <v>3 AP</v>
      </c>
      <c r="I132" s="264" t="str">
        <f>IFERROR(__xludf.DUMMYFUNCTION("""COMPUTED_VALUE"""),"3 AP")</f>
        <v>3 AP</v>
      </c>
      <c r="J132" s="264" t="str">
        <f>IFERROR(__xludf.DUMMYFUNCTION("""COMPUTED_VALUE"""),"")</f>
        <v/>
      </c>
      <c r="K132" s="263" t="str">
        <f>IFERROR(__xludf.DUMMYFUNCTION("""COMPUTED_VALUE"""),"")</f>
        <v/>
      </c>
      <c r="L132" s="263" t="str">
        <f>IFERROR(__xludf.DUMMYFUNCTION("""COMPUTED_VALUE"""),"")</f>
        <v/>
      </c>
      <c r="M132" s="263"/>
      <c r="N132" s="263"/>
      <c r="O132" s="263"/>
      <c r="P132" s="263"/>
      <c r="Q132" s="263"/>
      <c r="R132" s="263"/>
      <c r="S132" s="263"/>
      <c r="T132" s="263"/>
      <c r="U132" s="246"/>
      <c r="V132" s="246"/>
      <c r="W132" s="246"/>
      <c r="X132" s="246"/>
      <c r="Y132" s="246"/>
      <c r="Z132" s="246"/>
    </row>
    <row r="133">
      <c r="A133" s="263"/>
      <c r="B133" s="265" t="str">
        <f>IFERROR(__xludf.DUMMYFUNCTION("""COMPUTED_VALUE"""),"Consume Enemy")</f>
        <v>Consume Enemy</v>
      </c>
      <c r="C133" s="263"/>
      <c r="D133" s="264" t="str">
        <f>IFERROR(__xludf.DUMMYFUNCTION("""COMPUTED_VALUE"""),"Encounter Conclusion")</f>
        <v>Encounter Conclusion</v>
      </c>
      <c r="E133" s="264" t="str">
        <f>IFERROR(__xludf.DUMMYFUNCTION("""COMPUTED_VALUE"""),"One dead enemy")</f>
        <v>One dead enemy</v>
      </c>
      <c r="F133" s="266" t="str">
        <f>IFERROR(__xludf.DUMMYFUNCTION("""COMPUTED_VALUE"""),"You eat the body of a deceased enemy, healing you for your Toughness x 2, regaining 1 mana and preventing a single injury.")</f>
        <v>You eat the body of a deceased enemy, healing you for your Toughness x 2, regaining 1 mana and preventing a single injury.</v>
      </c>
      <c r="G133" s="263" t="str">
        <f>IFERROR(__xludf.DUMMYFUNCTION("""COMPUTED_VALUE"""),"")</f>
        <v/>
      </c>
      <c r="H133" s="265" t="str">
        <f>IFERROR(__xludf.DUMMYFUNCTION("""COMPUTED_VALUE"""),"")</f>
        <v/>
      </c>
      <c r="I133" s="264" t="str">
        <f>IFERROR(__xludf.DUMMYFUNCTION("""COMPUTED_VALUE"""),"")</f>
        <v/>
      </c>
      <c r="J133" s="264" t="str">
        <f>IFERROR(__xludf.DUMMYFUNCTION("""COMPUTED_VALUE"""),"")</f>
        <v/>
      </c>
      <c r="K133" s="264" t="str">
        <f>IFERROR(__xludf.DUMMYFUNCTION("""COMPUTED_VALUE"""),"")</f>
        <v/>
      </c>
      <c r="L133" s="263" t="str">
        <f>IFERROR(__xludf.DUMMYFUNCTION("""COMPUTED_VALUE"""),"")</f>
        <v/>
      </c>
      <c r="M133" s="263"/>
      <c r="N133" s="263"/>
      <c r="O133" s="263"/>
      <c r="P133" s="263"/>
      <c r="Q133" s="263"/>
      <c r="R133" s="263"/>
      <c r="S133" s="263"/>
      <c r="T133" s="263"/>
      <c r="U133" s="246"/>
      <c r="V133" s="246"/>
      <c r="W133" s="246"/>
      <c r="X133" s="246"/>
      <c r="Y133" s="246"/>
      <c r="Z133" s="246"/>
    </row>
    <row r="134">
      <c r="A134" s="263"/>
      <c r="B134" s="265" t="str">
        <f>IFERROR(__xludf.DUMMYFUNCTION("""COMPUTED_VALUE"""),"Consume Fire")</f>
        <v>Consume Fire</v>
      </c>
      <c r="C134" s="263"/>
      <c r="D134" s="264" t="str">
        <f>IFERROR(__xludf.DUMMYFUNCTION("""COMPUTED_VALUE"""),"Fire")</f>
        <v>Fire</v>
      </c>
      <c r="E134" s="264" t="str">
        <f>IFERROR(__xludf.DUMMYFUNCTION("""COMPUTED_VALUE"""),"Self")</f>
        <v>Self</v>
      </c>
      <c r="F134" s="266" t="str">
        <f>IFERROR(__xludf.DUMMYFUNCTION("""COMPUTED_VALUE"""),"You gain Consume Fire, which gives you Damage Reduction 100 Fire against the triggering damage. If the attacker is not yourself or from an effect caused by you, you can then spend 2 Mana to heal for the original damage amount, up to 100 HP.
Any on hit eff"&amp;"ects from the damage do not apply if you took 0 damage from it because of your DR.")</f>
        <v>You gain Consume Fire, which gives you Damage Reduction 100 Fire against the triggering damage. If the attacker is not yourself or from an effect caused by you, you can then spend 2 Mana to heal for the original damage amount, up to 100 HP.
Any on hit effects from the damage do not apply if you took 0 damage from it because of your DR.</v>
      </c>
      <c r="G134" s="263" t="str">
        <f>IFERROR(__xludf.DUMMYFUNCTION("""COMPUTED_VALUE"""),"You're about to take Fire Damage.")</f>
        <v>You're about to take Fire Damage.</v>
      </c>
      <c r="H134" s="265" t="str">
        <f>IFERROR(__xludf.DUMMYFUNCTION("""COMPUTED_VALUE"""),"1 RP")</f>
        <v>1 RP</v>
      </c>
      <c r="I134" s="264" t="str">
        <f>IFERROR(__xludf.DUMMYFUNCTION("""COMPUTED_VALUE"""),"")</f>
        <v/>
      </c>
      <c r="J134" s="264" t="str">
        <f>IFERROR(__xludf.DUMMYFUNCTION("""COMPUTED_VALUE"""),"")</f>
        <v/>
      </c>
      <c r="K134" s="263" t="str">
        <f>IFERROR(__xludf.DUMMYFUNCTION("""COMPUTED_VALUE"""),"1 RP")</f>
        <v>1 RP</v>
      </c>
      <c r="L134" s="263" t="str">
        <f>IFERROR(__xludf.DUMMYFUNCTION("""COMPUTED_VALUE"""),"")</f>
        <v/>
      </c>
      <c r="M134" s="263"/>
      <c r="N134" s="263"/>
      <c r="O134" s="263"/>
      <c r="P134" s="263"/>
      <c r="Q134" s="263"/>
      <c r="R134" s="263"/>
      <c r="S134" s="263"/>
      <c r="T134" s="263"/>
      <c r="U134" s="246"/>
      <c r="V134" s="246"/>
      <c r="W134" s="246"/>
      <c r="X134" s="246"/>
      <c r="Y134" s="246"/>
      <c r="Z134" s="246"/>
    </row>
    <row r="135">
      <c r="A135" s="263"/>
      <c r="B135" s="265" t="str">
        <f>IFERROR(__xludf.DUMMYFUNCTION("""COMPUTED_VALUE"""),"Consume Lightning")</f>
        <v>Consume Lightning</v>
      </c>
      <c r="C135" s="263"/>
      <c r="D135" s="263" t="str">
        <f>IFERROR(__xludf.DUMMYFUNCTION("""COMPUTED_VALUE"""),"Rapid")</f>
        <v>Rapid</v>
      </c>
      <c r="E135" s="264" t="str">
        <f>IFERROR(__xludf.DUMMYFUNCTION("""COMPUTED_VALUE"""),"Self")</f>
        <v>Self</v>
      </c>
      <c r="F135" s="266" t="str">
        <f>IFERROR(__xludf.DUMMYFUNCTION("""COMPUTED_VALUE"""),"You gain Consume Lightning, which gives you Damage Reduction 100 Lightning for the triggering damage. If you reduce damage in any way from this ability and the cause of this damage is not you or from an effect caused by you, you gain Lightning Boost. Ligh"&amp;"tning Boost grants a damage bonus on your next Lightning Elemental Attack equal to the attacker’s power. This damage bonus is doubled on heavy attacks.
Any on hit effects from the damage do not apply if you took 0 damage from it because of your DR.")</f>
        <v>You gain Consume Lightning, which gives you Damage Reduction 100 Lightning for the triggering damage. If you reduce damage in any way from this ability and the cause of this damage is not you or from an effect caused by you, you gain Lightning Boost. Lightning Boost grants a damage bonus on your next Lightning Elemental Attack equal to the attacker’s power. This damage bonus is doubled on heavy attacks.
Any on hit effects from the damage do not apply if you took 0 damage from it because of your DR.</v>
      </c>
      <c r="G135" s="264" t="str">
        <f>IFERROR(__xludf.DUMMYFUNCTION("""COMPUTED_VALUE"""),"You are about to take Lightning damage")</f>
        <v>You are about to take Lightning damage</v>
      </c>
      <c r="H135" s="265" t="str">
        <f>IFERROR(__xludf.DUMMYFUNCTION("""COMPUTED_VALUE"""),"1 RP")</f>
        <v>1 RP</v>
      </c>
      <c r="I135" s="263" t="str">
        <f>IFERROR(__xludf.DUMMYFUNCTION("""COMPUTED_VALUE"""),"")</f>
        <v/>
      </c>
      <c r="J135" s="263" t="str">
        <f>IFERROR(__xludf.DUMMYFUNCTION("""COMPUTED_VALUE"""),"")</f>
        <v/>
      </c>
      <c r="K135" s="264" t="str">
        <f>IFERROR(__xludf.DUMMYFUNCTION("""COMPUTED_VALUE"""),"1 RP")</f>
        <v>1 RP</v>
      </c>
      <c r="L135" s="263" t="str">
        <f>IFERROR(__xludf.DUMMYFUNCTION("""COMPUTED_VALUE"""),"")</f>
        <v/>
      </c>
      <c r="M135" s="263"/>
      <c r="N135" s="263"/>
      <c r="O135" s="263"/>
      <c r="P135" s="263"/>
      <c r="Q135" s="263"/>
      <c r="R135" s="263"/>
      <c r="S135" s="263"/>
      <c r="T135" s="263"/>
      <c r="U135" s="246"/>
      <c r="V135" s="246"/>
      <c r="W135" s="246"/>
      <c r="X135" s="246"/>
      <c r="Y135" s="246"/>
      <c r="Z135" s="246"/>
    </row>
    <row r="136">
      <c r="A136" s="263"/>
      <c r="B136" s="265" t="str">
        <f>IFERROR(__xludf.DUMMYFUNCTION("""COMPUTED_VALUE"""),"Consume Wind")</f>
        <v>Consume Wind</v>
      </c>
      <c r="C136" s="263"/>
      <c r="D136" s="264" t="str">
        <f>IFERROR(__xludf.DUMMYFUNCTION("""COMPUTED_VALUE"""),"Rapid")</f>
        <v>Rapid</v>
      </c>
      <c r="E136" s="264" t="str">
        <f>IFERROR(__xludf.DUMMYFUNCTION("""COMPUTED_VALUE"""),"Self")</f>
        <v>Self</v>
      </c>
      <c r="F136" s="266" t="str">
        <f>IFERROR(__xludf.DUMMYFUNCTION("""COMPUTED_VALUE"""),"You gain Consume Wind, which gives you Damage Reduction 100 Wind for the triggering damage. If you reduce damage in any way from this ability and the cause of this damage is not you or from an effect caused by you, you gain Wind Boost. Wind Boost gives yo"&amp;"u an increase to your movement speed for the next turn equal to the damage reduced by this ability, rounded down to the nearest multiple of 5.
Any on hit effects from the damage do not apply if you took 0 damage from it because of your DR.")</f>
        <v>You gain Consume Wind, which gives you Damage Reduction 100 Wind for the triggering damage. If you reduce damage in any way from this ability and the cause of this damage is not you or from an effect caused by you, you gain Wind Boost. Wind Boost gives you an increase to your movement speed for the next turn equal to the damage reduced by this ability, rounded down to the nearest multiple of 5.
Any on hit effects from the damage do not apply if you took 0 damage from it because of your DR.</v>
      </c>
      <c r="G136" s="263" t="str">
        <f>IFERROR(__xludf.DUMMYFUNCTION("""COMPUTED_VALUE"""),"You are about to take Wind damage.")</f>
        <v>You are about to take Wind damage.</v>
      </c>
      <c r="H136" s="265" t="str">
        <f>IFERROR(__xludf.DUMMYFUNCTION("""COMPUTED_VALUE"""),"1 RP")</f>
        <v>1 RP</v>
      </c>
      <c r="I136" s="264" t="str">
        <f>IFERROR(__xludf.DUMMYFUNCTION("""COMPUTED_VALUE"""),"")</f>
        <v/>
      </c>
      <c r="J136" s="263" t="str">
        <f>IFERROR(__xludf.DUMMYFUNCTION("""COMPUTED_VALUE"""),"")</f>
        <v/>
      </c>
      <c r="K136" s="263" t="str">
        <f>IFERROR(__xludf.DUMMYFUNCTION("""COMPUTED_VALUE"""),"1 RP")</f>
        <v>1 RP</v>
      </c>
      <c r="L136" s="263" t="str">
        <f>IFERROR(__xludf.DUMMYFUNCTION("""COMPUTED_VALUE"""),"")</f>
        <v/>
      </c>
      <c r="M136" s="263"/>
      <c r="N136" s="263"/>
      <c r="O136" s="263"/>
      <c r="P136" s="263"/>
      <c r="Q136" s="263"/>
      <c r="R136" s="263"/>
      <c r="S136" s="263"/>
      <c r="T136" s="263"/>
      <c r="U136" s="246"/>
      <c r="V136" s="246"/>
      <c r="W136" s="246"/>
      <c r="X136" s="246"/>
      <c r="Y136" s="246"/>
      <c r="Z136" s="246"/>
    </row>
    <row r="137">
      <c r="A137" s="263"/>
      <c r="B137" s="265" t="str">
        <f>IFERROR(__xludf.DUMMYFUNCTION("""COMPUTED_VALUE"""),"Corona Burst")</f>
        <v>Corona Burst</v>
      </c>
      <c r="C137" s="263"/>
      <c r="D137" s="264" t="str">
        <f>IFERROR(__xludf.DUMMYFUNCTION("""COMPUTED_VALUE"""),"Spell, Celestial")</f>
        <v>Spell, Celestial</v>
      </c>
      <c r="E137" s="264" t="str">
        <f>IFERROR(__xludf.DUMMYFUNCTION("""COMPUTED_VALUE"""),"240ft")</f>
        <v>240ft</v>
      </c>
      <c r="F137" s="266" t="str">
        <f>IFERROR(__xludf.DUMMYFUNCTION("""COMPUTED_VALUE"""),"You make a Heavy attack against the target that deals Fire damage. For every 20ft of distance the target is away from you, this deals +1 damage. (Up to a maximum of +12)")</f>
        <v>You make a Heavy attack against the target that deals Fire damage. For every 20ft of distance the target is away from you, this deals +1 damage. (Up to a maximum of +12)</v>
      </c>
      <c r="G137" s="263" t="str">
        <f>IFERROR(__xludf.DUMMYFUNCTION("""COMPUTED_VALUE"""),"")</f>
        <v/>
      </c>
      <c r="H137" s="265" t="str">
        <f>IFERROR(__xludf.DUMMYFUNCTION("""COMPUTED_VALUE"""),"2 AP, 1 MP")</f>
        <v>2 AP, 1 MP</v>
      </c>
      <c r="I137" s="264" t="str">
        <f>IFERROR(__xludf.DUMMYFUNCTION("""COMPUTED_VALUE"""),"2 AP")</f>
        <v>2 AP</v>
      </c>
      <c r="J137" s="263" t="str">
        <f>IFERROR(__xludf.DUMMYFUNCTION("""COMPUTED_VALUE"""),"1 MP")</f>
        <v>1 MP</v>
      </c>
      <c r="K137" s="263" t="str">
        <f>IFERROR(__xludf.DUMMYFUNCTION("""COMPUTED_VALUE"""),"")</f>
        <v/>
      </c>
      <c r="L137" s="263" t="str">
        <f>IFERROR(__xludf.DUMMYFUNCTION("""COMPUTED_VALUE"""),"")</f>
        <v/>
      </c>
      <c r="M137" s="263"/>
      <c r="N137" s="263"/>
      <c r="O137" s="263"/>
      <c r="P137" s="263"/>
      <c r="Q137" s="263"/>
      <c r="R137" s="263"/>
      <c r="S137" s="263"/>
      <c r="T137" s="263"/>
      <c r="U137" s="246"/>
      <c r="V137" s="246"/>
      <c r="W137" s="246"/>
      <c r="X137" s="246"/>
      <c r="Y137" s="246"/>
      <c r="Z137" s="246"/>
    </row>
    <row r="138">
      <c r="A138" s="263"/>
      <c r="B138" s="265" t="str">
        <f>IFERROR(__xludf.DUMMYFUNCTION("""COMPUTED_VALUE"""),"Corpse Domination")</f>
        <v>Corpse Domination</v>
      </c>
      <c r="C138" s="263"/>
      <c r="D138" s="264" t="str">
        <f>IFERROR(__xludf.DUMMYFUNCTION("""COMPUTED_VALUE"""),"Summon")</f>
        <v>Summon</v>
      </c>
      <c r="E138" s="264" t="str">
        <f>IFERROR(__xludf.DUMMYFUNCTION("""COMPUTED_VALUE"""),"30ft")</f>
        <v>30ft</v>
      </c>
      <c r="F138" s="266" t="str">
        <f>IFERROR(__xludf.DUMMYFUNCTION("""COMPUTED_VALUE"""),"You raise the target under your command. A target raised in this way is treated as a non-heroic unit that takes its own actions, however it will try to act in a way that is most helpful to you in the fight. The raised target keeps all of its stats and abi"&amp;"lities it had in life, though it only starts with half its maximum health (before any reductions) and whatever mana it had left over when it died. This summon lasts until the end of the encounter or until its HP reaches 0, upon which it immediately dies a"&amp;"gain and cannot be raised again in any way.")</f>
        <v>You raise the target under your command. A target raised in this way is treated as a non-heroic unit that takes its own actions, however it will try to act in a way that is most helpful to you in the fight. The raised target keeps all of its stats and abilities it had in life, though it only starts with half its maximum health (before any reductions) and whatever mana it had left over when it died. This summon lasts until the end of the encounter or until its HP reaches 0, upon which it immediately dies again and cannot be raised again in any way.</v>
      </c>
      <c r="G138" s="263" t="str">
        <f>IFERROR(__xludf.DUMMYFUNCTION("""COMPUTED_VALUE"""),"Target must be a dead humanoid.")</f>
        <v>Target must be a dead humanoid.</v>
      </c>
      <c r="H138" s="265" t="str">
        <f>IFERROR(__xludf.DUMMYFUNCTION("""COMPUTED_VALUE"""),"3 AP, 4 MP")</f>
        <v>3 AP, 4 MP</v>
      </c>
      <c r="I138" s="264" t="str">
        <f>IFERROR(__xludf.DUMMYFUNCTION("""COMPUTED_VALUE"""),"3 AP")</f>
        <v>3 AP</v>
      </c>
      <c r="J138" s="264" t="str">
        <f>IFERROR(__xludf.DUMMYFUNCTION("""COMPUTED_VALUE"""),"4 MP")</f>
        <v>4 MP</v>
      </c>
      <c r="K138" s="263" t="str">
        <f>IFERROR(__xludf.DUMMYFUNCTION("""COMPUTED_VALUE"""),"")</f>
        <v/>
      </c>
      <c r="L138" s="263" t="str">
        <f>IFERROR(__xludf.DUMMYFUNCTION("""COMPUTED_VALUE"""),"")</f>
        <v/>
      </c>
      <c r="M138" s="263"/>
      <c r="N138" s="263"/>
      <c r="O138" s="263"/>
      <c r="P138" s="263"/>
      <c r="Q138" s="263"/>
      <c r="R138" s="263"/>
      <c r="S138" s="263"/>
      <c r="T138" s="263"/>
      <c r="U138" s="246"/>
      <c r="V138" s="246"/>
      <c r="W138" s="246"/>
      <c r="X138" s="246"/>
      <c r="Y138" s="246"/>
      <c r="Z138" s="246"/>
    </row>
    <row r="139">
      <c r="A139" s="263"/>
      <c r="B139" s="265" t="str">
        <f>IFERROR(__xludf.DUMMYFUNCTION("""COMPUTED_VALUE"""),"Corpse Explosion")</f>
        <v>Corpse Explosion</v>
      </c>
      <c r="C139" s="263"/>
      <c r="D139" s="264" t="str">
        <f>IFERROR(__xludf.DUMMYFUNCTION("""COMPUTED_VALUE"""),"Scatter")</f>
        <v>Scatter</v>
      </c>
      <c r="E139" s="264" t="str">
        <f>IFERROR(__xludf.DUMMYFUNCTION("""COMPUTED_VALUE"""),"15x15ft area circled on your zombie")</f>
        <v>15x15ft area circled on your zombie</v>
      </c>
      <c r="F139" s="266" t="str">
        <f>IFERROR(__xludf.DUMMYFUNCTION("""COMPUTED_VALUE"""),"You detonate 1 of your zombies, making a Light Attack that deals Dark damage against all creatures in range but killing the zombie. You may detonate additional zombies when using this ability to increase the damage this deals by 2 for each additional zomb"&amp;"ie.")</f>
        <v>You detonate 1 of your zombies, making a Light Attack that deals Dark damage against all creatures in range but killing the zombie. You may detonate additional zombies when using this ability to increase the damage this deals by 2 for each additional zombie.</v>
      </c>
      <c r="G139" s="263" t="str">
        <f>IFERROR(__xludf.DUMMYFUNCTION("""COMPUTED_VALUE"""),"Must have an active zombie from Raise Undead.")</f>
        <v>Must have an active zombie from Raise Undead.</v>
      </c>
      <c r="H139" s="265" t="str">
        <f>IFERROR(__xludf.DUMMYFUNCTION("""COMPUTED_VALUE"""),"1 AP")</f>
        <v>1 AP</v>
      </c>
      <c r="I139" s="264" t="str">
        <f>IFERROR(__xludf.DUMMYFUNCTION("""COMPUTED_VALUE"""),"1 AP")</f>
        <v>1 AP</v>
      </c>
      <c r="J139" s="264" t="str">
        <f>IFERROR(__xludf.DUMMYFUNCTION("""COMPUTED_VALUE"""),"")</f>
        <v/>
      </c>
      <c r="K139" s="263" t="str">
        <f>IFERROR(__xludf.DUMMYFUNCTION("""COMPUTED_VALUE"""),"")</f>
        <v/>
      </c>
      <c r="L139" s="263" t="str">
        <f>IFERROR(__xludf.DUMMYFUNCTION("""COMPUTED_VALUE"""),"")</f>
        <v/>
      </c>
      <c r="M139" s="263"/>
      <c r="N139" s="263"/>
      <c r="O139" s="263"/>
      <c r="P139" s="263"/>
      <c r="Q139" s="263"/>
      <c r="R139" s="263"/>
      <c r="S139" s="263"/>
      <c r="T139" s="263"/>
      <c r="U139" s="246"/>
      <c r="V139" s="246"/>
      <c r="W139" s="246"/>
      <c r="X139" s="246"/>
      <c r="Y139" s="246"/>
      <c r="Z139" s="246"/>
    </row>
    <row r="140">
      <c r="A140" s="263"/>
      <c r="B140" s="265" t="str">
        <f>IFERROR(__xludf.DUMMYFUNCTION("""COMPUTED_VALUE"""),"Corpse Puppetry")</f>
        <v>Corpse Puppetry</v>
      </c>
      <c r="C140" s="263"/>
      <c r="D140" s="264" t="str">
        <f>IFERROR(__xludf.DUMMYFUNCTION("""COMPUTED_VALUE"""),"")</f>
        <v/>
      </c>
      <c r="E140" s="264" t="str">
        <f>IFERROR(__xludf.DUMMYFUNCTION("""COMPUTED_VALUE"""),"60ft")</f>
        <v>60ft</v>
      </c>
      <c r="F140" s="266" t="str">
        <f>IFERROR(__xludf.DUMMYFUNCTION("""COMPUTED_VALUE"""),"You may control a corpse less than a week old within 30ft of you to perform simple actions, such as moving or talking.
A corpse used this way has no combat stats and cannot attack.")</f>
        <v>You may control a corpse less than a week old within 30ft of you to perform simple actions, such as moving or talking.
A corpse used this way has no combat stats and cannot attack.</v>
      </c>
      <c r="G140" s="263" t="str">
        <f>IFERROR(__xludf.DUMMYFUNCTION("""COMPUTED_VALUE"""),"Target must be dead.")</f>
        <v>Target must be dead.</v>
      </c>
      <c r="H140" s="265" t="str">
        <f>IFERROR(__xludf.DUMMYFUNCTION("""COMPUTED_VALUE"""),"4 AP")</f>
        <v>4 AP</v>
      </c>
      <c r="I140" s="264" t="str">
        <f>IFERROR(__xludf.DUMMYFUNCTION("""COMPUTED_VALUE"""),"4 AP")</f>
        <v>4 AP</v>
      </c>
      <c r="J140" s="263" t="str">
        <f>IFERROR(__xludf.DUMMYFUNCTION("""COMPUTED_VALUE"""),"")</f>
        <v/>
      </c>
      <c r="K140" s="263" t="str">
        <f>IFERROR(__xludf.DUMMYFUNCTION("""COMPUTED_VALUE"""),"")</f>
        <v/>
      </c>
      <c r="L140" s="263" t="str">
        <f>IFERROR(__xludf.DUMMYFUNCTION("""COMPUTED_VALUE"""),"")</f>
        <v/>
      </c>
      <c r="M140" s="263"/>
      <c r="N140" s="263"/>
      <c r="O140" s="263"/>
      <c r="P140" s="263"/>
      <c r="Q140" s="263"/>
      <c r="R140" s="263"/>
      <c r="S140" s="263"/>
      <c r="T140" s="263"/>
      <c r="U140" s="246"/>
      <c r="V140" s="246"/>
      <c r="W140" s="246"/>
      <c r="X140" s="246"/>
      <c r="Y140" s="246"/>
      <c r="Z140" s="246"/>
    </row>
    <row r="141">
      <c r="A141" s="263"/>
      <c r="B141" s="265" t="str">
        <f>IFERROR(__xludf.DUMMYFUNCTION("""COMPUTED_VALUE"""),"Counter Stance")</f>
        <v>Counter Stance</v>
      </c>
      <c r="C141" s="263"/>
      <c r="D141" s="264" t="str">
        <f>IFERROR(__xludf.DUMMYFUNCTION("""COMPUTED_VALUE"""),"Counter, Stance, Unarmed Strike")</f>
        <v>Counter, Stance, Unarmed Strike</v>
      </c>
      <c r="E141" s="264" t="str">
        <f>IFERROR(__xludf.DUMMYFUNCTION("""COMPUTED_VALUE"""),"Self")</f>
        <v>Self</v>
      </c>
      <c r="F141" s="266" t="str">
        <f>IFERROR(__xludf.DUMMYFUNCTION("""COMPUTED_VALUE"""),"You enter a stance in which you freely counterattack against enemies that attack you. After an attack against you has resolved, you may make a Melee Attack of Opportunity against that target. While in this stance, you cannot use the Dodge or Block reactio"&amp;"ns.
You may spend 0 AP or 1 RP to cancel this stance. It otherwise lasts until you enter another stance.")</f>
        <v>You enter a stance in which you freely counterattack against enemies that attack you. After an attack against you has resolved, you may make a Melee Attack of Opportunity against that target. While in this stance, you cannot use the Dodge or Block reactions.
You may spend 0 AP or 1 RP to cancel this stance. It otherwise lasts until you enter another stance.</v>
      </c>
      <c r="G141" s="263" t="str">
        <f>IFERROR(__xludf.DUMMYFUNCTION("""COMPUTED_VALUE"""),"")</f>
        <v/>
      </c>
      <c r="H141" s="265" t="str">
        <f>IFERROR(__xludf.DUMMYFUNCTION("""COMPUTED_VALUE"""),"1 AP")</f>
        <v>1 AP</v>
      </c>
      <c r="I141" s="264" t="str">
        <f>IFERROR(__xludf.DUMMYFUNCTION("""COMPUTED_VALUE"""),"1 AP")</f>
        <v>1 AP</v>
      </c>
      <c r="J141" s="264" t="str">
        <f>IFERROR(__xludf.DUMMYFUNCTION("""COMPUTED_VALUE"""),"")</f>
        <v/>
      </c>
      <c r="K141" s="263" t="str">
        <f>IFERROR(__xludf.DUMMYFUNCTION("""COMPUTED_VALUE"""),"")</f>
        <v/>
      </c>
      <c r="L141" s="263" t="str">
        <f>IFERROR(__xludf.DUMMYFUNCTION("""COMPUTED_VALUE"""),"")</f>
        <v/>
      </c>
      <c r="M141" s="263"/>
      <c r="N141" s="263"/>
      <c r="O141" s="263"/>
      <c r="P141" s="263"/>
      <c r="Q141" s="263"/>
      <c r="R141" s="263"/>
      <c r="S141" s="263"/>
      <c r="T141" s="263"/>
      <c r="U141" s="246"/>
      <c r="V141" s="246"/>
      <c r="W141" s="246"/>
      <c r="X141" s="246"/>
      <c r="Y141" s="246"/>
      <c r="Z141" s="246"/>
    </row>
    <row r="142">
      <c r="A142" s="263"/>
      <c r="B142" s="265" t="str">
        <f>IFERROR(__xludf.DUMMYFUNCTION("""COMPUTED_VALUE"""),"Counter-Potion")</f>
        <v>Counter-Potion</v>
      </c>
      <c r="C142" s="263"/>
      <c r="D142" s="264" t="str">
        <f>IFERROR(__xludf.DUMMYFUNCTION("""COMPUTED_VALUE"""),"")</f>
        <v/>
      </c>
      <c r="E142" s="264" t="str">
        <f>IFERROR(__xludf.DUMMYFUNCTION("""COMPUTED_VALUE"""),"Self")</f>
        <v>Self</v>
      </c>
      <c r="F142" s="266" t="str">
        <f>IFERROR(__xludf.DUMMYFUNCTION("""COMPUTED_VALUE"""),"You may immediately use a Potion, Elixir, Salve, Poison or Flask that is held in your hand.  X is equal to the AP cost of the action.")</f>
        <v>You may immediately use a Potion, Elixir, Salve, Poison or Flask that is held in your hand.  X is equal to the AP cost of the action.</v>
      </c>
      <c r="G142" s="263" t="str">
        <f>IFERROR(__xludf.DUMMYFUNCTION("""COMPUTED_VALUE"""),"")</f>
        <v/>
      </c>
      <c r="H142" s="265" t="str">
        <f>IFERROR(__xludf.DUMMYFUNCTION("""COMPUTED_VALUE"""),"X RP")</f>
        <v>X RP</v>
      </c>
      <c r="I142" s="264" t="str">
        <f>IFERROR(__xludf.DUMMYFUNCTION("""COMPUTED_VALUE"""),"")</f>
        <v/>
      </c>
      <c r="J142" s="263" t="str">
        <f>IFERROR(__xludf.DUMMYFUNCTION("""COMPUTED_VALUE"""),"")</f>
        <v/>
      </c>
      <c r="K142" s="263" t="str">
        <f>IFERROR(__xludf.DUMMYFUNCTION("""COMPUTED_VALUE"""),"X RP")</f>
        <v>X RP</v>
      </c>
      <c r="L142" s="263" t="str">
        <f>IFERROR(__xludf.DUMMYFUNCTION("""COMPUTED_VALUE"""),"")</f>
        <v/>
      </c>
      <c r="M142" s="263"/>
      <c r="N142" s="263"/>
      <c r="O142" s="263"/>
      <c r="P142" s="263"/>
      <c r="Q142" s="263"/>
      <c r="R142" s="263"/>
      <c r="S142" s="263"/>
      <c r="T142" s="263"/>
      <c r="U142" s="246"/>
      <c r="V142" s="246"/>
      <c r="W142" s="246"/>
      <c r="X142" s="246"/>
      <c r="Y142" s="246"/>
      <c r="Z142" s="246"/>
    </row>
    <row r="143">
      <c r="A143" s="263"/>
      <c r="B143" s="265" t="str">
        <f>IFERROR(__xludf.DUMMYFUNCTION("""COMPUTED_VALUE"""),"Countershot")</f>
        <v>Countershot</v>
      </c>
      <c r="C143" s="263"/>
      <c r="D143" s="263" t="str">
        <f>IFERROR(__xludf.DUMMYFUNCTION("""COMPUTED_VALUE"""),"")</f>
        <v/>
      </c>
      <c r="E143" s="263" t="str">
        <f>IFERROR(__xludf.DUMMYFUNCTION("""COMPUTED_VALUE"""),"Ranged Weapon Range")</f>
        <v>Ranged Weapon Range</v>
      </c>
      <c r="F143" s="266" t="str">
        <f>IFERROR(__xludf.DUMMYFUNCTION("""COMPUTED_VALUE"""),"You may make a Precise Attack against the incoming attack. If your accuracy check matches or beats the enemy’s accuracy check, you shoot down the incoming arrow and the attack is negated.")</f>
        <v>You may make a Precise Attack against the incoming attack. If your accuracy check matches or beats the enemy’s accuracy check, you shoot down the incoming arrow and the attack is negated.</v>
      </c>
      <c r="G143" s="263" t="str">
        <f>IFERROR(__xludf.DUMMYFUNCTION("""COMPUTED_VALUE"""),"You or an ally are targeted by a ranged weapon attack.")</f>
        <v>You or an ally are targeted by a ranged weapon attack.</v>
      </c>
      <c r="H143" s="267" t="str">
        <f>IFERROR(__xludf.DUMMYFUNCTION("""COMPUTED_VALUE"""),"1 RP")</f>
        <v>1 RP</v>
      </c>
      <c r="I143" s="263" t="str">
        <f>IFERROR(__xludf.DUMMYFUNCTION("""COMPUTED_VALUE"""),"")</f>
        <v/>
      </c>
      <c r="J143" s="263" t="str">
        <f>IFERROR(__xludf.DUMMYFUNCTION("""COMPUTED_VALUE"""),"")</f>
        <v/>
      </c>
      <c r="K143" s="263" t="str">
        <f>IFERROR(__xludf.DUMMYFUNCTION("""COMPUTED_VALUE"""),"1 RP")</f>
        <v>1 RP</v>
      </c>
      <c r="L143" s="263" t="str">
        <f>IFERROR(__xludf.DUMMYFUNCTION("""COMPUTED_VALUE"""),"")</f>
        <v/>
      </c>
      <c r="M143" s="263"/>
      <c r="N143" s="263"/>
      <c r="O143" s="263"/>
      <c r="P143" s="263"/>
      <c r="Q143" s="263"/>
      <c r="R143" s="263"/>
      <c r="S143" s="263"/>
      <c r="T143" s="263"/>
      <c r="U143" s="246"/>
      <c r="V143" s="246"/>
      <c r="W143" s="246"/>
      <c r="X143" s="246"/>
      <c r="Y143" s="246"/>
      <c r="Z143" s="246"/>
    </row>
    <row r="144">
      <c r="A144" s="263"/>
      <c r="B144" s="265" t="str">
        <f>IFERROR(__xludf.DUMMYFUNCTION("""COMPUTED_VALUE"""),"Counterspell")</f>
        <v>Counterspell</v>
      </c>
      <c r="C144" s="263"/>
      <c r="D144" s="264" t="str">
        <f>IFERROR(__xludf.DUMMYFUNCTION("""COMPUTED_VALUE"""),"Arcane, Counter, Spell")</f>
        <v>Arcane, Counter, Spell</v>
      </c>
      <c r="E144" s="264" t="str">
        <f>IFERROR(__xludf.DUMMYFUNCTION("""COMPUTED_VALUE"""),"60ft")</f>
        <v>60ft</v>
      </c>
      <c r="F144" s="266" t="str">
        <f>IFERROR(__xludf.DUMMYFUNCTION("""COMPUTED_VALUE"""),"You pay RP equal to half the AP spent on the triggering Spell (rounded up) or equal to the RP spent on the triggering spell and Counter it, canceling its effect without refunding the AP. If the AP cost is higher than your RP, you cannot Counterspell it.
I"&amp;"f used against a non-Grunt target, you must pay 1 mana for each point of Focus that the target has more than you (minimum 0).
This Spell does not provoke attacks of opportunity, but cannot be used to Counter Spells that have an AP and RP cost of 0.")</f>
        <v>You pay RP equal to half the AP spent on the triggering Spell (rounded up) or equal to the RP spent on the triggering spell and Counter it, canceling its effect without refunding the AP. If the AP cost is higher than your RP, you cannot Counterspell it.
If used against a non-Grunt target, you must pay 1 mana for each point of Focus that the target has more than you (minimum 0).
This Spell does not provoke attacks of opportunity, but cannot be used to Counter Spells that have an AP and RP cost of 0.</v>
      </c>
      <c r="G144" s="264" t="str">
        <f>IFERROR(__xludf.DUMMYFUNCTION("""COMPUTED_VALUE"""),"An enemy casts a spell within range")</f>
        <v>An enemy casts a spell within range</v>
      </c>
      <c r="H144" s="267" t="str">
        <f>IFERROR(__xludf.DUMMYFUNCTION("""COMPUTED_VALUE"""),"NaN RP")</f>
        <v>NaN RP</v>
      </c>
      <c r="I144" s="263" t="str">
        <f>IFERROR(__xludf.DUMMYFUNCTION("""COMPUTED_VALUE"""),"")</f>
        <v/>
      </c>
      <c r="J144" s="263" t="str">
        <f>IFERROR(__xludf.DUMMYFUNCTION("""COMPUTED_VALUE"""),"")</f>
        <v/>
      </c>
      <c r="K144" s="263" t="str">
        <f>IFERROR(__xludf.DUMMYFUNCTION("""COMPUTED_VALUE"""),"NaN RP")</f>
        <v>NaN RP</v>
      </c>
      <c r="L144" s="263" t="str">
        <f>IFERROR(__xludf.DUMMYFUNCTION("""COMPUTED_VALUE"""),"")</f>
        <v/>
      </c>
      <c r="M144" s="263"/>
      <c r="N144" s="263"/>
      <c r="O144" s="263"/>
      <c r="P144" s="263"/>
      <c r="Q144" s="263"/>
      <c r="R144" s="263"/>
      <c r="S144" s="263"/>
      <c r="T144" s="263"/>
      <c r="U144" s="246"/>
      <c r="V144" s="246"/>
      <c r="W144" s="246"/>
      <c r="X144" s="246"/>
      <c r="Y144" s="246"/>
      <c r="Z144" s="246"/>
    </row>
    <row r="145">
      <c r="A145" s="263"/>
      <c r="B145" s="265" t="str">
        <f>IFERROR(__xludf.DUMMYFUNCTION("""COMPUTED_VALUE"""),"Craft Artificer's Glove")</f>
        <v>Craft Artificer's Glove</v>
      </c>
      <c r="C145" s="263"/>
      <c r="D145" s="264" t="str">
        <f>IFERROR(__xludf.DUMMYFUNCTION("""COMPUTED_VALUE"""),"")</f>
        <v/>
      </c>
      <c r="E145" s="264" t="str">
        <f>IFERROR(__xludf.DUMMYFUNCTION("""COMPUTED_VALUE"""),"Self")</f>
        <v>Self</v>
      </c>
      <c r="F145" s="266" t="str">
        <f>IFERROR(__xludf.DUMMYFUNCTION("""COMPUTED_VALUE"""),"You create a personalized Artificer’s Glove that only you have proficiency with.  Choose a glove type with properties of your choosing at the time of creation.  You can modify this glove for an errand action to change the property, but you can only have o"&amp;"ne property at a time and only one Artificer’s glove at a time.
Gamma Glove (Hacker): Artifice Jamming. For 1 RP you can Jam a small shell artifice within 120ft causing it to malfunction and be unusable until the user spends 1 AP to clear the jam.
Sigma G"&amp;"love (Combat Artificer): Heat Sink.  0 RP, 1 mana.  Your glove emits frost energy that saps heat from an artifice, allowing it to bypass the once per turn limit a single time. Overcharge: 1 RP, the mana cost becomes 0.
Delta Glove (Specialist):  The glove"&amp;" is specialized for an expertise skill granting you +10 in that skill.  For instance, it might fire an arcane blast to propel you, granting you +10 to jumping. May not choose artisan or gathering skils.")</f>
        <v>You create a personalized Artificer’s Glove that only you have proficiency with.  Choose a glove type with properties of your choosing at the time of creation.  You can modify this glove for an errand action to change the property, but you can only have one property at a time and only one Artificer’s glove at a time.
Gamma Glove (Hacker): Artifice Jamming. For 1 RP you can Jam a small shell artifice within 120ft causing it to malfunction and be unusable until the user spends 1 AP to clear the jam.
Sigma Glove (Combat Artificer): Heat Sink.  0 RP, 1 mana.  Your glove emits frost energy that saps heat from an artifice, allowing it to bypass the once per turn limit a single time. Overcharge: 1 RP, the mana cost becomes 0.
Delta Glove (Specialist):  The glove is specialized for an expertise skill granting you +10 in that skill.  For instance, it might fire an arcane blast to propel you, granting you +10 to jumping. May not choose artisan or gathering skils.</v>
      </c>
      <c r="G145" s="263" t="str">
        <f>IFERROR(__xludf.DUMMYFUNCTION("""COMPUTED_VALUE"""),"")</f>
        <v/>
      </c>
      <c r="H145" s="265" t="str">
        <f>IFERROR(__xludf.DUMMYFUNCTION("""COMPUTED_VALUE"""),"1 IP")</f>
        <v>1 IP</v>
      </c>
      <c r="I145" s="264" t="str">
        <f>IFERROR(__xludf.DUMMYFUNCTION("""COMPUTED_VALUE"""),"")</f>
        <v/>
      </c>
      <c r="J145" s="264" t="str">
        <f>IFERROR(__xludf.DUMMYFUNCTION("""COMPUTED_VALUE"""),"")</f>
        <v/>
      </c>
      <c r="K145" s="263" t="str">
        <f>IFERROR(__xludf.DUMMYFUNCTION("""COMPUTED_VALUE"""),"")</f>
        <v/>
      </c>
      <c r="L145" s="263" t="str">
        <f>IFERROR(__xludf.DUMMYFUNCTION("""COMPUTED_VALUE"""),"")</f>
        <v/>
      </c>
      <c r="M145" s="263"/>
      <c r="N145" s="263"/>
      <c r="O145" s="263"/>
      <c r="P145" s="263"/>
      <c r="Q145" s="263"/>
      <c r="R145" s="263"/>
      <c r="S145" s="263"/>
      <c r="T145" s="263"/>
      <c r="U145" s="246"/>
      <c r="V145" s="246"/>
      <c r="W145" s="246"/>
      <c r="X145" s="246"/>
      <c r="Y145" s="246"/>
      <c r="Z145" s="246"/>
    </row>
    <row r="146">
      <c r="A146" s="263"/>
      <c r="B146" s="265" t="str">
        <f>IFERROR(__xludf.DUMMYFUNCTION("""COMPUTED_VALUE"""),"Craft Pemmican")</f>
        <v>Craft Pemmican</v>
      </c>
      <c r="C146" s="263"/>
      <c r="D146" s="264" t="str">
        <f>IFERROR(__xludf.DUMMYFUNCTION("""COMPUTED_VALUE"""),"Errand")</f>
        <v>Errand</v>
      </c>
      <c r="E146" s="264" t="str">
        <f>IFERROR(__xludf.DUMMYFUNCTION("""COMPUTED_VALUE"""),"")</f>
        <v/>
      </c>
      <c r="F146" s="266" t="str">
        <f>IFERROR(__xludf.DUMMYFUNCTION("""COMPUTED_VALUE"""),"Errand. You turn up to 1000u of food into 25 Pemmican Bars (40u of food per bar), which are incredibly shelf stable and easy to eat.  They perform about the same as Military Rations but they are wrapped by special leaves that deter pests—useful and consis"&amp;"tent adventure food.
You may also use this as an IP action to convert up to 2000u of food into 50 Pemmican bars.")</f>
        <v>Errand. You turn up to 1000u of food into 25 Pemmican Bars (40u of food per bar), which are incredibly shelf stable and easy to eat.  They perform about the same as Military Rations but they are wrapped by special leaves that deter pests—useful and consistent adventure food.
You may also use this as an IP action to convert up to 2000u of food into 50 Pemmican bars.</v>
      </c>
      <c r="G146" s="263" t="str">
        <f>IFERROR(__xludf.DUMMYFUNCTION("""COMPUTED_VALUE"""),"")</f>
        <v/>
      </c>
      <c r="H146" s="265" t="str">
        <f>IFERROR(__xludf.DUMMYFUNCTION("""COMPUTED_VALUE"""),"")</f>
        <v/>
      </c>
      <c r="I146" s="264" t="str">
        <f>IFERROR(__xludf.DUMMYFUNCTION("""COMPUTED_VALUE"""),"")</f>
        <v/>
      </c>
      <c r="J146" s="263" t="str">
        <f>IFERROR(__xludf.DUMMYFUNCTION("""COMPUTED_VALUE"""),"")</f>
        <v/>
      </c>
      <c r="K146" s="263" t="str">
        <f>IFERROR(__xludf.DUMMYFUNCTION("""COMPUTED_VALUE"""),"")</f>
        <v/>
      </c>
      <c r="L146" s="263" t="str">
        <f>IFERROR(__xludf.DUMMYFUNCTION("""COMPUTED_VALUE"""),"")</f>
        <v/>
      </c>
      <c r="M146" s="263"/>
      <c r="N146" s="263"/>
      <c r="O146" s="263"/>
      <c r="P146" s="263"/>
      <c r="Q146" s="263"/>
      <c r="R146" s="263"/>
      <c r="S146" s="263"/>
      <c r="T146" s="263"/>
      <c r="U146" s="246"/>
      <c r="V146" s="246"/>
      <c r="W146" s="246"/>
      <c r="X146" s="246"/>
      <c r="Y146" s="246"/>
      <c r="Z146" s="246"/>
    </row>
    <row r="147">
      <c r="A147" s="263"/>
      <c r="B147" s="265" t="str">
        <f>IFERROR(__xludf.DUMMYFUNCTION("""COMPUTED_VALUE"""),"Crashing Foam Wave")</f>
        <v>Crashing Foam Wave</v>
      </c>
      <c r="C147" s="263"/>
      <c r="D147" s="264" t="str">
        <f>IFERROR(__xludf.DUMMYFUNCTION("""COMPUTED_VALUE"""),"Active, Water")</f>
        <v>Active, Water</v>
      </c>
      <c r="E147" s="264" t="str">
        <f>IFERROR(__xludf.DUMMYFUNCTION("""COMPUTED_VALUE"""),"30 ft")</f>
        <v>30 ft</v>
      </c>
      <c r="F147" s="266" t="str">
        <f>IFERROR(__xludf.DUMMYFUNCTION("""COMPUTED_VALUE"""),"Creates a wave of water originating from a point of water within range.  Shoves an adjacent target of size large or smaller 10ft away from the point of origin.  If the target is on top of the water, you can choose to shove the target in any direction.  Yo"&amp;"u can use either AP or RP for the cost of this ability.")</f>
        <v>Creates a wave of water originating from a point of water within range.  Shoves an adjacent target of size large or smaller 10ft away from the point of origin.  If the target is on top of the water, you can choose to shove the target in any direction.  You can use either AP or RP for the cost of this ability.</v>
      </c>
      <c r="G147" s="264" t="str">
        <f>IFERROR(__xludf.DUMMYFUNCTION("""COMPUTED_VALUE"""),"")</f>
        <v/>
      </c>
      <c r="H147" s="265" t="str">
        <f>IFERROR(__xludf.DUMMYFUNCTION("""COMPUTED_VALUE"""),"1 AP, 1 RP")</f>
        <v>1 AP, 1 RP</v>
      </c>
      <c r="I147" s="264" t="str">
        <f>IFERROR(__xludf.DUMMYFUNCTION("""COMPUTED_VALUE"""),"1 AP")</f>
        <v>1 AP</v>
      </c>
      <c r="J147" s="264" t="str">
        <f>IFERROR(__xludf.DUMMYFUNCTION("""COMPUTED_VALUE"""),"")</f>
        <v/>
      </c>
      <c r="K147" s="263" t="str">
        <f>IFERROR(__xludf.DUMMYFUNCTION("""COMPUTED_VALUE"""),"1 RP")</f>
        <v>1 RP</v>
      </c>
      <c r="L147" s="263" t="str">
        <f>IFERROR(__xludf.DUMMYFUNCTION("""COMPUTED_VALUE"""),"")</f>
        <v/>
      </c>
      <c r="M147" s="263"/>
      <c r="N147" s="263"/>
      <c r="O147" s="263"/>
      <c r="P147" s="263"/>
      <c r="Q147" s="263"/>
      <c r="R147" s="263"/>
      <c r="S147" s="263"/>
      <c r="T147" s="263"/>
      <c r="U147" s="246"/>
      <c r="V147" s="246"/>
      <c r="W147" s="246"/>
      <c r="X147" s="246"/>
      <c r="Y147" s="246"/>
      <c r="Z147" s="246"/>
    </row>
    <row r="148">
      <c r="A148" s="263"/>
      <c r="B148" s="265" t="str">
        <f>IFERROR(__xludf.DUMMYFUNCTION("""COMPUTED_VALUE"""),"Create Talisman")</f>
        <v>Create Talisman</v>
      </c>
      <c r="C148" s="263"/>
      <c r="D148" s="264" t="str">
        <f>IFERROR(__xludf.DUMMYFUNCTION("""COMPUTED_VALUE"""),"")</f>
        <v/>
      </c>
      <c r="E148" s="263" t="str">
        <f>IFERROR(__xludf.DUMMYFUNCTION("""COMPUTED_VALUE"""),"'-")</f>
        <v>'-</v>
      </c>
      <c r="F148" s="266" t="str">
        <f>IFERROR(__xludf.DUMMYFUNCTION("""COMPUTED_VALUE"""),"You may create a talisman or scroll by spending an interlude point. Choose an Spell that you know or choose a specialized talisman, such as a Sealing Talisman. You inscribe that Spell onto a piece of paper. A talisman of a Spell allows you to use the Spel"&amp;"l at a different time. When you use it, it is consumed. A Spell talisman costs as much AP and mana to use as the original Spell does.
You may craft up to 5 talismans per interlude point. A secret art talisman takes up 3 of these slots. When crafting, you "&amp;"may make no more than 2 of the same spell. A crafted talisman costs 1 burden to carry with you. A Secret Art talisman costs 2 burden and can only be used through the Secret Talisman ability.
Crafting a talisman costs 100 calligraphy units per AP and Mana "&amp;"of the spell. A spell with no AP or Mana costs 50 units. If the spell has an RP cost and no AP cost, it costs 200u per RP. If the spell has a casting time longer than 4 AP (ie 10 minutes), then treat the spell as having a cost of 4 AP.
Some spells, such a"&amp;"s Summon Lesser Eidolon and Summon Eidolon may be unavailable.")</f>
        <v>You may create a talisman or scroll by spending an interlude point. Choose an Spell that you know or choose a specialized talisman, such as a Sealing Talisman. You inscribe that Spell onto a piece of paper. A talisman of a Spell allows you to use the Spell at a different time. When you use it, it is consumed. A Spell talisman costs as much AP and mana to use as the original Spell does.
You may craft up to 5 talismans per interlude point. A secret art talisman takes up 3 of these slots. When crafting, you may make no more than 2 of the same spell. A crafted talisman costs 1 burden to carry with you. A Secret Art talisman costs 2 burden and can only be used through the Secret Talisman ability.
Crafting a talisman costs 100 calligraphy units per AP and Mana of the spell. A spell with no AP or Mana costs 50 units. If the spell has an RP cost and no AP cost, it costs 200u per RP. If the spell has a casting time longer than 4 AP (ie 10 minutes), then treat the spell as having a cost of 4 AP.
Some spells, such as Summon Lesser Eidolon and Summon Eidolon may be unavailable.</v>
      </c>
      <c r="G148" s="263" t="str">
        <f>IFERROR(__xludf.DUMMYFUNCTION("""COMPUTED_VALUE"""),"")</f>
        <v/>
      </c>
      <c r="H148" s="267" t="str">
        <f>IFERROR(__xludf.DUMMYFUNCTION("""COMPUTED_VALUE"""),"")</f>
        <v/>
      </c>
      <c r="I148" s="263" t="str">
        <f>IFERROR(__xludf.DUMMYFUNCTION("""COMPUTED_VALUE"""),"")</f>
        <v/>
      </c>
      <c r="J148" s="263" t="str">
        <f>IFERROR(__xludf.DUMMYFUNCTION("""COMPUTED_VALUE"""),"")</f>
        <v/>
      </c>
      <c r="K148" s="263" t="str">
        <f>IFERROR(__xludf.DUMMYFUNCTION("""COMPUTED_VALUE"""),"")</f>
        <v/>
      </c>
      <c r="L148" s="263" t="str">
        <f>IFERROR(__xludf.DUMMYFUNCTION("""COMPUTED_VALUE"""),"")</f>
        <v/>
      </c>
      <c r="M148" s="263"/>
      <c r="N148" s="263"/>
      <c r="O148" s="263"/>
      <c r="P148" s="263"/>
      <c r="Q148" s="263"/>
      <c r="R148" s="263"/>
      <c r="S148" s="263"/>
      <c r="T148" s="263"/>
      <c r="U148" s="246"/>
      <c r="V148" s="246"/>
      <c r="W148" s="246"/>
      <c r="X148" s="246"/>
      <c r="Y148" s="246"/>
      <c r="Z148" s="246"/>
    </row>
    <row r="149">
      <c r="A149" s="263"/>
      <c r="B149" s="265" t="str">
        <f>IFERROR(__xludf.DUMMYFUNCTION("""COMPUTED_VALUE"""),"Crescent Sweep")</f>
        <v>Crescent Sweep</v>
      </c>
      <c r="C149" s="263"/>
      <c r="D149" s="264" t="str">
        <f>IFERROR(__xludf.DUMMYFUNCTION("""COMPUTED_VALUE"""),"Blanketing")</f>
        <v>Blanketing</v>
      </c>
      <c r="E149" s="264" t="str">
        <f>IFERROR(__xludf.DUMMYFUNCTION("""COMPUTED_VALUE"""),"Melee Weapon Range")</f>
        <v>Melee Weapon Range</v>
      </c>
      <c r="F149" s="266" t="str">
        <f>IFERROR(__xludf.DUMMYFUNCTION("""COMPUTED_VALUE"""),"You make a Light Attack against all enemies in range. On damage, a target falls Prone.")</f>
        <v>You make a Light Attack against all enemies in range. On damage, a target falls Prone.</v>
      </c>
      <c r="G149" s="264" t="str">
        <f>IFERROR(__xludf.DUMMYFUNCTION("""COMPUTED_VALUE"""),"Polearm only")</f>
        <v>Polearm only</v>
      </c>
      <c r="H149" s="265" t="str">
        <f>IFERROR(__xludf.DUMMYFUNCTION("""COMPUTED_VALUE"""),"3 AP")</f>
        <v>3 AP</v>
      </c>
      <c r="I149" s="263" t="str">
        <f>IFERROR(__xludf.DUMMYFUNCTION("""COMPUTED_VALUE"""),"3 AP")</f>
        <v>3 AP</v>
      </c>
      <c r="J149" s="264" t="str">
        <f>IFERROR(__xludf.DUMMYFUNCTION("""COMPUTED_VALUE"""),"")</f>
        <v/>
      </c>
      <c r="K149" s="264" t="str">
        <f>IFERROR(__xludf.DUMMYFUNCTION("""COMPUTED_VALUE"""),"")</f>
        <v/>
      </c>
      <c r="L149" s="263" t="str">
        <f>IFERROR(__xludf.DUMMYFUNCTION("""COMPUTED_VALUE"""),"")</f>
        <v/>
      </c>
      <c r="M149" s="263"/>
      <c r="N149" s="263"/>
      <c r="O149" s="263"/>
      <c r="P149" s="263"/>
      <c r="Q149" s="263"/>
      <c r="R149" s="263"/>
      <c r="S149" s="263"/>
      <c r="T149" s="263"/>
      <c r="U149" s="246"/>
      <c r="V149" s="246"/>
      <c r="W149" s="246"/>
      <c r="X149" s="246"/>
      <c r="Y149" s="246"/>
      <c r="Z149" s="246"/>
    </row>
    <row r="150">
      <c r="A150" s="263"/>
      <c r="B150" s="265" t="str">
        <f>IFERROR(__xludf.DUMMYFUNCTION("""COMPUTED_VALUE"""),"Crimson Enmity")</f>
        <v>Crimson Enmity</v>
      </c>
      <c r="C150" s="263"/>
      <c r="D150" s="264" t="str">
        <f>IFERROR(__xludf.DUMMYFUNCTION("""COMPUTED_VALUE"""),"")</f>
        <v/>
      </c>
      <c r="E150" s="264" t="str">
        <f>IFERROR(__xludf.DUMMYFUNCTION("""COMPUTED_VALUE"""),"")</f>
        <v/>
      </c>
      <c r="F150" s="266" t="str">
        <f>IFERROR(__xludf.DUMMYFUNCTION("""COMPUTED_VALUE"""),"When your HP is at or below 50% of your max HP, you gain Crimson Enmity. When you would heal an ally or yourself with an ability from this class (Bloodbinder), you heal for 1.5x that amount.")</f>
        <v>When your HP is at or below 50% of your max HP, you gain Crimson Enmity. When you would heal an ally or yourself with an ability from this class (Bloodbinder), you heal for 1.5x that amount.</v>
      </c>
      <c r="G150" s="263" t="str">
        <f>IFERROR(__xludf.DUMMYFUNCTION("""COMPUTED_VALUE"""),"")</f>
        <v/>
      </c>
      <c r="H150" s="265" t="str">
        <f>IFERROR(__xludf.DUMMYFUNCTION("""COMPUTED_VALUE"""),"")</f>
        <v/>
      </c>
      <c r="I150" s="263" t="str">
        <f>IFERROR(__xludf.DUMMYFUNCTION("""COMPUTED_VALUE"""),"")</f>
        <v/>
      </c>
      <c r="J150" s="264" t="str">
        <f>IFERROR(__xludf.DUMMYFUNCTION("""COMPUTED_VALUE"""),"")</f>
        <v/>
      </c>
      <c r="K150" s="264" t="str">
        <f>IFERROR(__xludf.DUMMYFUNCTION("""COMPUTED_VALUE"""),"")</f>
        <v/>
      </c>
      <c r="L150" s="263" t="str">
        <f>IFERROR(__xludf.DUMMYFUNCTION("""COMPUTED_VALUE"""),"")</f>
        <v/>
      </c>
      <c r="M150" s="263"/>
      <c r="N150" s="263"/>
      <c r="O150" s="263"/>
      <c r="P150" s="263"/>
      <c r="Q150" s="263"/>
      <c r="R150" s="263"/>
      <c r="S150" s="263"/>
      <c r="T150" s="263"/>
      <c r="U150" s="246"/>
      <c r="V150" s="246"/>
      <c r="W150" s="246"/>
      <c r="X150" s="246"/>
      <c r="Y150" s="246"/>
      <c r="Z150" s="246"/>
    </row>
    <row r="151">
      <c r="A151" s="263"/>
      <c r="B151" s="265" t="str">
        <f>IFERROR(__xludf.DUMMYFUNCTION("""COMPUTED_VALUE"""),"Crippling Attack")</f>
        <v>Crippling Attack</v>
      </c>
      <c r="C151" s="263"/>
      <c r="D151" s="263" t="str">
        <f>IFERROR(__xludf.DUMMYFUNCTION("""COMPUTED_VALUE"""),"Slow")</f>
        <v>Slow</v>
      </c>
      <c r="E151" s="264" t="str">
        <f>IFERROR(__xludf.DUMMYFUNCTION("""COMPUTED_VALUE"""),"Weapon Range")</f>
        <v>Weapon Range</v>
      </c>
      <c r="F151" s="266" t="str">
        <f>IFERROR(__xludf.DUMMYFUNCTION("""COMPUTED_VALUE"""),"You make a Light Attack against the target. On damage the target is Slowed until the end of their next turn.")</f>
        <v>You make a Light Attack against the target. On damage the target is Slowed until the end of their next turn.</v>
      </c>
      <c r="G151" s="263" t="str">
        <f>IFERROR(__xludf.DUMMYFUNCTION("""COMPUTED_VALUE"""),"")</f>
        <v/>
      </c>
      <c r="H151" s="265" t="str">
        <f>IFERROR(__xludf.DUMMYFUNCTION("""COMPUTED_VALUE"""),"1 AP, 1 MP")</f>
        <v>1 AP, 1 MP</v>
      </c>
      <c r="I151" s="264" t="str">
        <f>IFERROR(__xludf.DUMMYFUNCTION("""COMPUTED_VALUE"""),"1 AP")</f>
        <v>1 AP</v>
      </c>
      <c r="J151" s="263" t="str">
        <f>IFERROR(__xludf.DUMMYFUNCTION("""COMPUTED_VALUE"""),"1 MP")</f>
        <v>1 MP</v>
      </c>
      <c r="K151" s="263" t="str">
        <f>IFERROR(__xludf.DUMMYFUNCTION("""COMPUTED_VALUE"""),"")</f>
        <v/>
      </c>
      <c r="L151" s="263" t="str">
        <f>IFERROR(__xludf.DUMMYFUNCTION("""COMPUTED_VALUE"""),"")</f>
        <v/>
      </c>
      <c r="M151" s="263"/>
      <c r="N151" s="263"/>
      <c r="O151" s="263"/>
      <c r="P151" s="263"/>
      <c r="Q151" s="263"/>
      <c r="R151" s="263"/>
      <c r="S151" s="263"/>
      <c r="T151" s="263"/>
      <c r="U151" s="246"/>
      <c r="V151" s="246"/>
      <c r="W151" s="246"/>
      <c r="X151" s="246"/>
      <c r="Y151" s="246"/>
      <c r="Z151" s="246"/>
    </row>
    <row r="152">
      <c r="A152" s="263"/>
      <c r="B152" s="265" t="str">
        <f>IFERROR(__xludf.DUMMYFUNCTION("""COMPUTED_VALUE"""),"Crippling Poison")</f>
        <v>Crippling Poison</v>
      </c>
      <c r="C152" s="263"/>
      <c r="D152" s="263" t="str">
        <f>IFERROR(__xludf.DUMMYFUNCTION("""COMPUTED_VALUE"""),"Poison, Slow")</f>
        <v>Poison, Slow</v>
      </c>
      <c r="E152" s="263" t="str">
        <f>IFERROR(__xludf.DUMMYFUNCTION("""COMPUTED_VALUE"""),"40ft")</f>
        <v>40ft</v>
      </c>
      <c r="F152" s="266" t="str">
        <f>IFERROR(__xludf.DUMMYFUNCTION("""COMPUTED_VALUE"""),"You slow the target for their movement.
Overcharge: You may spend 1 additional mana to make it affect a movement not reliant on movement speed, something that moves a fixed distance. The distance moved with that is halved. If that movement had an attack a"&amp;"ttached that now cannot be made, the ability is NOT refunded.")</f>
        <v>You slow the target for their movement.
Overcharge: You may spend 1 additional mana to make it affect a movement not reliant on movement speed, something that moves a fixed distance. The distance moved with that is halved. If that movement had an attack attached that now cannot be made, the ability is NOT refunded.</v>
      </c>
      <c r="G152" s="263" t="str">
        <f>IFERROR(__xludf.DUMMYFUNCTION("""COMPUTED_VALUE"""),"Target suffering from your Toxic takes a movement action.")</f>
        <v>Target suffering from your Toxic takes a movement action.</v>
      </c>
      <c r="H152" s="267" t="str">
        <f>IFERROR(__xludf.DUMMYFUNCTION("""COMPUTED_VALUE"""),"1 MP, 0 RP")</f>
        <v>1 MP, 0 RP</v>
      </c>
      <c r="I152" s="263" t="str">
        <f>IFERROR(__xludf.DUMMYFUNCTION("""COMPUTED_VALUE"""),"")</f>
        <v/>
      </c>
      <c r="J152" s="263" t="str">
        <f>IFERROR(__xludf.DUMMYFUNCTION("""COMPUTED_VALUE"""),"1 MP")</f>
        <v>1 MP</v>
      </c>
      <c r="K152" s="263" t="str">
        <f>IFERROR(__xludf.DUMMYFUNCTION("""COMPUTED_VALUE"""),"0 RP")</f>
        <v>0 RP</v>
      </c>
      <c r="L152" s="263" t="str">
        <f>IFERROR(__xludf.DUMMYFUNCTION("""COMPUTED_VALUE"""),"")</f>
        <v/>
      </c>
      <c r="M152" s="263"/>
      <c r="N152" s="263"/>
      <c r="O152" s="263"/>
      <c r="P152" s="263"/>
      <c r="Q152" s="263"/>
      <c r="R152" s="263"/>
      <c r="S152" s="263"/>
      <c r="T152" s="263"/>
      <c r="U152" s="246"/>
      <c r="V152" s="246"/>
      <c r="W152" s="246"/>
      <c r="X152" s="246"/>
      <c r="Y152" s="246"/>
      <c r="Z152" s="246"/>
    </row>
    <row r="153">
      <c r="A153" s="263"/>
      <c r="B153" s="265" t="str">
        <f>IFERROR(__xludf.DUMMYFUNCTION("""COMPUTED_VALUE"""),"Crucified by Radiance")</f>
        <v>Crucified by Radiance</v>
      </c>
      <c r="C153" s="263"/>
      <c r="D153" s="263" t="str">
        <f>IFERROR(__xludf.DUMMYFUNCTION("""COMPUTED_VALUE"""),"Spell, Light, Illumination, Scatter")</f>
        <v>Spell, Light, Illumination, Scatter</v>
      </c>
      <c r="E153" s="263" t="str">
        <f>IFERROR(__xludf.DUMMYFUNCTION("""COMPUTED_VALUE"""),"60ft")</f>
        <v>60ft</v>
      </c>
      <c r="F153" s="266" t="str">
        <f>IFERROR(__xludf.DUMMYFUNCTION("""COMPUTED_VALUE"""),"You make a light attack that deals Holy(Light) to any targets in a 5ft wide line. At any point of the line you can draw a second 55ft long perpendicular line centered on that point of the initial line. You make another Light attack against all caught on t"&amp;"his second line and on damage you inflict Illumination X where X is your Focus / 2 (Rounded Down) until the end of your next turn.
If a target gets hit by both lines, the second line deals Heavy damage and inflicts your full Focus in Illumination instead.")</f>
        <v>You make a light attack that deals Holy(Light) to any targets in a 5ft wide line. At any point of the line you can draw a second 55ft long perpendicular line centered on that point of the initial line. You make another Light attack against all caught on this second line and on damage you inflict Illumination X where X is your Focus / 2 (Rounded Down) until the end of your next turn.
If a target gets hit by both lines, the second line deals Heavy damage and inflicts your full Focus in Illumination instead.</v>
      </c>
      <c r="G153" s="263" t="str">
        <f>IFERROR(__xludf.DUMMYFUNCTION("""COMPUTED_VALUE"""),"")</f>
        <v/>
      </c>
      <c r="H153" s="267" t="str">
        <f>IFERROR(__xludf.DUMMYFUNCTION("""COMPUTED_VALUE"""),"3 AP, 2 MP")</f>
        <v>3 AP, 2 MP</v>
      </c>
      <c r="I153" s="263" t="str">
        <f>IFERROR(__xludf.DUMMYFUNCTION("""COMPUTED_VALUE"""),"3 AP")</f>
        <v>3 AP</v>
      </c>
      <c r="J153" s="263" t="str">
        <f>IFERROR(__xludf.DUMMYFUNCTION("""COMPUTED_VALUE"""),"2 MP")</f>
        <v>2 MP</v>
      </c>
      <c r="K153" s="263" t="str">
        <f>IFERROR(__xludf.DUMMYFUNCTION("""COMPUTED_VALUE"""),"")</f>
        <v/>
      </c>
      <c r="L153" s="263" t="str">
        <f>IFERROR(__xludf.DUMMYFUNCTION("""COMPUTED_VALUE"""),"")</f>
        <v/>
      </c>
      <c r="M153" s="263"/>
      <c r="N153" s="263"/>
      <c r="O153" s="263"/>
      <c r="P153" s="263"/>
      <c r="Q153" s="263"/>
      <c r="R153" s="263"/>
      <c r="S153" s="263"/>
      <c r="T153" s="263"/>
      <c r="U153" s="246"/>
      <c r="V153" s="246"/>
      <c r="W153" s="246"/>
      <c r="X153" s="246"/>
      <c r="Y153" s="246"/>
      <c r="Z153" s="246"/>
    </row>
    <row r="154">
      <c r="A154" s="263"/>
      <c r="B154" s="265" t="str">
        <f>IFERROR(__xludf.DUMMYFUNCTION("""COMPUTED_VALUE"""),"Crusader's Advance")</f>
        <v>Crusader's Advance</v>
      </c>
      <c r="C154" s="263"/>
      <c r="D154" s="263" t="str">
        <f>IFERROR(__xludf.DUMMYFUNCTION("""COMPUTED_VALUE"""),"Teleport")</f>
        <v>Teleport</v>
      </c>
      <c r="E154" s="264" t="str">
        <f>IFERROR(__xludf.DUMMYFUNCTION("""COMPUTED_VALUE"""),"60ft")</f>
        <v>60ft</v>
      </c>
      <c r="F154" s="266" t="str">
        <f>IFERROR(__xludf.DUMMYFUNCTION("""COMPUTED_VALUE"""),"You teleport to an empty square next to an enemy you marked with the Mark of Justice.")</f>
        <v>You teleport to an empty square next to an enemy you marked with the Mark of Justice.</v>
      </c>
      <c r="G154" s="263" t="str">
        <f>IFERROR(__xludf.DUMMYFUNCTION("""COMPUTED_VALUE"""),"Target has your Mark of Justice on them.")</f>
        <v>Target has your Mark of Justice on them.</v>
      </c>
      <c r="H154" s="265" t="str">
        <f>IFERROR(__xludf.DUMMYFUNCTION("""COMPUTED_VALUE"""),"1 AP, 1 MP")</f>
        <v>1 AP, 1 MP</v>
      </c>
      <c r="I154" s="263" t="str">
        <f>IFERROR(__xludf.DUMMYFUNCTION("""COMPUTED_VALUE"""),"1 AP")</f>
        <v>1 AP</v>
      </c>
      <c r="J154" s="264" t="str">
        <f>IFERROR(__xludf.DUMMYFUNCTION("""COMPUTED_VALUE"""),"1 MP")</f>
        <v>1 MP</v>
      </c>
      <c r="K154" s="264" t="str">
        <f>IFERROR(__xludf.DUMMYFUNCTION("""COMPUTED_VALUE"""),"")</f>
        <v/>
      </c>
      <c r="L154" s="263" t="str">
        <f>IFERROR(__xludf.DUMMYFUNCTION("""COMPUTED_VALUE"""),"")</f>
        <v/>
      </c>
      <c r="M154" s="263"/>
      <c r="N154" s="263"/>
      <c r="O154" s="263"/>
      <c r="P154" s="263"/>
      <c r="Q154" s="263"/>
      <c r="R154" s="263"/>
      <c r="S154" s="263"/>
      <c r="T154" s="263"/>
      <c r="U154" s="246"/>
      <c r="V154" s="246"/>
      <c r="W154" s="246"/>
      <c r="X154" s="246"/>
      <c r="Y154" s="246"/>
      <c r="Z154" s="246"/>
    </row>
    <row r="155">
      <c r="A155" s="263"/>
      <c r="B155" s="265" t="str">
        <f>IFERROR(__xludf.DUMMYFUNCTION("""COMPUTED_VALUE"""),"Culinary Basics")</f>
        <v>Culinary Basics</v>
      </c>
      <c r="C155" s="263"/>
      <c r="D155" s="264" t="str">
        <f>IFERROR(__xludf.DUMMYFUNCTION("""COMPUTED_VALUE"""),"")</f>
        <v/>
      </c>
      <c r="E155" s="264" t="str">
        <f>IFERROR(__xludf.DUMMYFUNCTION("""COMPUTED_VALUE"""),"")</f>
        <v/>
      </c>
      <c r="F155" s="266" t="str">
        <f>IFERROR(__xludf.DUMMYFUNCTION("""COMPUTED_VALUE"""),"Mushroom Stock
Cost: 15 Crafting Points
Description:
Turns a Gourmet Base Stock into a Mushroom Stock (does not stack with other stocks), which when added to a cooked meal gives a +1 Focus Food Bonus that lasts for 24 hours. Requires 1 Box of Fresh Mushro"&amp;"oms.
Meaty Stock
Cost: 15 Crafting Points
Description:
Turns a Gourmet Base Stock into a Meaty Stock (does not stack with other stocks), which when added to a cooked meal gives a +1 Power Food Bonus that lasts for 24 hours.  Requires 1 Box of Fresh Meat.
"&amp;"Fish Stock
Cost: 15 Crafting Points
Description:
Turns a Gourmet Base Stock into a Fish Stock (does not stack with other stocks), which when added to a cooked meal gives a +1 Toughness Food Bonus that lasts for 24 hours.  Requires 1 Box of Fresh Fish.
Veg"&amp;"etable Stock
Cost: 15 Crafting Points
Description:
Turns a Gourmet Base Stock into a Vegetable Stock (does not stack with other stocks), which when added to a cooked meal gives a +1 Agility Food Bonus that lasts for 24 hours.  Requires 1 Box of Fresh Vege"&amp;"tables.
Spicy Stock
Cost: 30 Crafting Points
Description:
Turns a Gourmet Base Stock into a Spicy Stock (does not stack with other stocks), which when added to a cooked meal gives a +1 Crafting Food Bonus that lasts for 24 hours.  Requires 1 bundle of Spi"&amp;"cy Peppers.
Herbal Stock
Cost: 30 Crafting Points
Description:
Turns a Gourmet Base Stock into a Herbal Stock (does not stack with other stocks), which when added to a cooked meal gives a +1 Gathering Food Bonus that lasts for 24 hours. Requires 1 bundle "&amp;"of Fresh Cooking Herbs. When gathering from a node with a bonus from this stock, you keep the benefit for that entire node unless you go a day without harvesting from that node.
Stir Layered Flavors
Cost: 30 Crafting Points
Description:
Allows you to add "&amp;"another flavor, allowing you to add a second different flavor.  Choose from Mushroom, Meaty, Fish, Vegetable, Spicy or Herbal—then add the corresponding ingredient.  For example:  A Mushroom stock + Meaty stock becomes a Mushroom-Meaty stock that grants +"&amp;"1 Power / +1 Focus Food Bonus.
Use Every Last Drop
Cost: 15 Crafting Points
Description:
Increases the stock yield by 2.
Secret Ingredient
Cost: X Crafting Points
Description:
You mix a special material into the stock.  Each material has its own crafting "&amp;"point cost.
Create Box or Bundle of Food
Cost: Errand.
Description:
You create a perfect mix of ingredients that would be worthy of a stock with 500u of matching material.  Example:  500u of Meat can make 1 Box of Fresh Meat.  You can make 5 boxes of any "&amp;"kind for one errand action.")</f>
        <v>Mushroom Stock
Cost: 15 Crafting Points
Description:
Turns a Gourmet Base Stock into a Mushroom Stock (does not stack with other stocks), which when added to a cooked meal gives a +1 Focus Food Bonus that lasts for 24 hours. Requires 1 Box of Fresh Mushrooms.
Meaty Stock
Cost: 15 Crafting Points
Description:
Turns a Gourmet Base Stock into a Meaty Stock (does not stack with other stocks), which when added to a cooked meal gives a +1 Power Food Bonus that lasts for 24 hours.  Requires 1 Box of Fresh Meat.
Fish Stock
Cost: 15 Crafting Points
Description:
Turns a Gourmet Base Stock into a Fish Stock (does not stack with other stocks), which when added to a cooked meal gives a +1 Toughness Food Bonus that lasts for 24 hours.  Requires 1 Box of Fresh Fish.
Vegetable Stock
Cost: 15 Crafting Points
Description:
Turns a Gourmet Base Stock into a Vegetable Stock (does not stack with other stocks), which when added to a cooked meal gives a +1 Agility Food Bonus that lasts for 24 hours.  Requires 1 Box of Fresh Vegetables.
Spicy Stock
Cost: 30 Crafting Points
Description:
Turns a Gourmet Base Stock into a Spicy Stock (does not stack with other stocks), which when added to a cooked meal gives a +1 Crafting Food Bonus that lasts for 24 hours.  Requires 1 bundle of Spicy Peppers.
Herbal Stock
Cost: 30 Crafting Points
Description:
Turns a Gourmet Base Stock into a Herbal Stock (does not stack with other stocks), which when added to a cooked meal gives a +1 Gathering Food Bonus that lasts for 24 hours. Requires 1 bundle of Fresh Cooking Herbs. When gathering from a node with a bonus from this stock, you keep the benefit for that entire node unless you go a day without harvesting from that node.
Stir Layered Flavors
Cost: 30 Crafting Points
Description:
Allows you to add another flavor, allowing you to add a second different flavor.  Choose from Mushroom, Meaty, Fish, Vegetable, Spicy or Herbal—then add the corresponding ingredient.  For example:  A Mushroom stock + Meaty stock becomes a Mushroom-Meaty stock that grants +1 Power / +1 Focus Food Bonus.
Use Every Last Drop
Cost: 15 Crafting Points
Description:
Increases the stock yield by 2.
Secret Ingredient
Cost: X Crafting Points
Description:
You mix a special material into the stock.  Each material has its own crafting point cost.
Create Box or Bundle of Food
Cost: Errand.
Description:
You create a perfect mix of ingredients that would be worthy of a stock with 500u of matching material.  Example:  500u of Meat can make 1 Box of Fresh Meat.  You can make 5 boxes of any kind for one errand action.</v>
      </c>
      <c r="G155" s="263" t="str">
        <f>IFERROR(__xludf.DUMMYFUNCTION("""COMPUTED_VALUE"""),"")</f>
        <v/>
      </c>
      <c r="H155" s="265" t="str">
        <f>IFERROR(__xludf.DUMMYFUNCTION("""COMPUTED_VALUE"""),"")</f>
        <v/>
      </c>
      <c r="I155" s="264" t="str">
        <f>IFERROR(__xludf.DUMMYFUNCTION("""COMPUTED_VALUE"""),"")</f>
        <v/>
      </c>
      <c r="J155" s="263" t="str">
        <f>IFERROR(__xludf.DUMMYFUNCTION("""COMPUTED_VALUE"""),"")</f>
        <v/>
      </c>
      <c r="K155" s="263" t="str">
        <f>IFERROR(__xludf.DUMMYFUNCTION("""COMPUTED_VALUE"""),"")</f>
        <v/>
      </c>
      <c r="L155" s="263" t="str">
        <f>IFERROR(__xludf.DUMMYFUNCTION("""COMPUTED_VALUE"""),"")</f>
        <v/>
      </c>
      <c r="M155" s="263"/>
      <c r="N155" s="263"/>
      <c r="O155" s="263"/>
      <c r="P155" s="263"/>
      <c r="Q155" s="263"/>
      <c r="R155" s="263"/>
      <c r="S155" s="263"/>
      <c r="T155" s="263"/>
      <c r="U155" s="246"/>
      <c r="V155" s="246"/>
      <c r="W155" s="246"/>
      <c r="X155" s="246"/>
      <c r="Y155" s="246"/>
      <c r="Z155" s="246"/>
    </row>
    <row r="156">
      <c r="A156" s="263"/>
      <c r="B156" s="265" t="str">
        <f>IFERROR(__xludf.DUMMYFUNCTION("""COMPUTED_VALUE"""),"Cure Touch")</f>
        <v>Cure Touch</v>
      </c>
      <c r="C156" s="263"/>
      <c r="D156" s="264" t="str">
        <f>IFERROR(__xludf.DUMMYFUNCTION("""COMPUTED_VALUE"""),"Healing, Spell")</f>
        <v>Healing, Spell</v>
      </c>
      <c r="E156" s="264" t="str">
        <f>IFERROR(__xludf.DUMMYFUNCTION("""COMPUTED_VALUE"""),"Touch")</f>
        <v>Touch</v>
      </c>
      <c r="F156" s="266" t="str">
        <f>IFERROR(__xludf.DUMMYFUNCTION("""COMPUTED_VALUE"""),"You heal the target for 11 + Power x 2")</f>
        <v>You heal the target for 11 + Power x 2</v>
      </c>
      <c r="G156" s="264" t="str">
        <f>IFERROR(__xludf.DUMMYFUNCTION("""COMPUTED_VALUE"""),"")</f>
        <v/>
      </c>
      <c r="H156" s="265" t="str">
        <f>IFERROR(__xludf.DUMMYFUNCTION("""COMPUTED_VALUE"""),"2 AP, 3 MP")</f>
        <v>2 AP, 3 MP</v>
      </c>
      <c r="I156" s="264" t="str">
        <f>IFERROR(__xludf.DUMMYFUNCTION("""COMPUTED_VALUE"""),"2 AP")</f>
        <v>2 AP</v>
      </c>
      <c r="J156" s="263" t="str">
        <f>IFERROR(__xludf.DUMMYFUNCTION("""COMPUTED_VALUE"""),"3 MP")</f>
        <v>3 MP</v>
      </c>
      <c r="K156" s="263" t="str">
        <f>IFERROR(__xludf.DUMMYFUNCTION("""COMPUTED_VALUE"""),"")</f>
        <v/>
      </c>
      <c r="L156" s="263" t="str">
        <f>IFERROR(__xludf.DUMMYFUNCTION("""COMPUTED_VALUE"""),"")</f>
        <v/>
      </c>
      <c r="M156" s="263"/>
      <c r="N156" s="263"/>
      <c r="O156" s="263"/>
      <c r="P156" s="263"/>
      <c r="Q156" s="263"/>
      <c r="R156" s="263"/>
      <c r="S156" s="263"/>
      <c r="T156" s="263"/>
      <c r="U156" s="246"/>
      <c r="V156" s="246"/>
      <c r="W156" s="246"/>
      <c r="X156" s="246"/>
      <c r="Y156" s="246"/>
      <c r="Z156" s="246"/>
    </row>
    <row r="157">
      <c r="A157" s="263"/>
      <c r="B157" s="265" t="str">
        <f>IFERROR(__xludf.DUMMYFUNCTION("""COMPUTED_VALUE"""),"Cure Touch II")</f>
        <v>Cure Touch II</v>
      </c>
      <c r="C157" s="263"/>
      <c r="D157" s="263" t="str">
        <f>IFERROR(__xludf.DUMMYFUNCTION("""COMPUTED_VALUE"""),"Healing, Spell")</f>
        <v>Healing, Spell</v>
      </c>
      <c r="E157" s="264" t="str">
        <f>IFERROR(__xludf.DUMMYFUNCTION("""COMPUTED_VALUE"""),"Touch")</f>
        <v>Touch</v>
      </c>
      <c r="F157" s="266" t="str">
        <f>IFERROR(__xludf.DUMMYFUNCTION("""COMPUTED_VALUE"""),"You Heal the target for 22 + (4 x Power)")</f>
        <v>You Heal the target for 22 + (4 x Power)</v>
      </c>
      <c r="G157" s="263" t="str">
        <f>IFERROR(__xludf.DUMMYFUNCTION("""COMPUTED_VALUE"""),"")</f>
        <v/>
      </c>
      <c r="H157" s="265" t="str">
        <f>IFERROR(__xludf.DUMMYFUNCTION("""COMPUTED_VALUE"""),"2 AP, 5 MP")</f>
        <v>2 AP, 5 MP</v>
      </c>
      <c r="I157" s="264" t="str">
        <f>IFERROR(__xludf.DUMMYFUNCTION("""COMPUTED_VALUE"""),"2 AP")</f>
        <v>2 AP</v>
      </c>
      <c r="J157" s="264" t="str">
        <f>IFERROR(__xludf.DUMMYFUNCTION("""COMPUTED_VALUE"""),"5 MP")</f>
        <v>5 MP</v>
      </c>
      <c r="K157" s="263" t="str">
        <f>IFERROR(__xludf.DUMMYFUNCTION("""COMPUTED_VALUE"""),"")</f>
        <v/>
      </c>
      <c r="L157" s="263" t="str">
        <f>IFERROR(__xludf.DUMMYFUNCTION("""COMPUTED_VALUE"""),"")</f>
        <v/>
      </c>
      <c r="M157" s="263"/>
      <c r="N157" s="263"/>
      <c r="O157" s="263"/>
      <c r="P157" s="263"/>
      <c r="Q157" s="263"/>
      <c r="R157" s="263"/>
      <c r="S157" s="263"/>
      <c r="T157" s="263"/>
      <c r="U157" s="246"/>
      <c r="V157" s="246"/>
      <c r="W157" s="246"/>
      <c r="X157" s="246"/>
      <c r="Y157" s="246"/>
      <c r="Z157" s="246"/>
    </row>
    <row r="158">
      <c r="A158" s="263"/>
      <c r="B158" s="265" t="str">
        <f>IFERROR(__xludf.DUMMYFUNCTION("""COMPUTED_VALUE"""),"Cure Water")</f>
        <v>Cure Water</v>
      </c>
      <c r="C158" s="263"/>
      <c r="D158" s="264" t="str">
        <f>IFERROR(__xludf.DUMMYFUNCTION("""COMPUTED_VALUE"""),"Healing, Spell, Water")</f>
        <v>Healing, Spell, Water</v>
      </c>
      <c r="E158" s="264" t="str">
        <f>IFERROR(__xludf.DUMMYFUNCTION("""COMPUTED_VALUE"""),"15 ft")</f>
        <v>15 ft</v>
      </c>
      <c r="F158" s="266" t="str">
        <f>IFERROR(__xludf.DUMMYFUNCTION("""COMPUTED_VALUE"""),"You cast this ability on water within range, healing a target within 30ft for 11 + Power x 2. You can use either AP or RP for the cost of this ability.")</f>
        <v>You cast this ability on water within range, healing a target within 30ft for 11 + Power x 2. You can use either AP or RP for the cost of this ability.</v>
      </c>
      <c r="G158" s="263" t="str">
        <f>IFERROR(__xludf.DUMMYFUNCTION("""COMPUTED_VALUE"""),"")</f>
        <v/>
      </c>
      <c r="H158" s="265" t="str">
        <f>IFERROR(__xludf.DUMMYFUNCTION("""COMPUTED_VALUE"""),"2 AP, 3 MP, 1 RP")</f>
        <v>2 AP, 3 MP, 1 RP</v>
      </c>
      <c r="I158" s="264" t="str">
        <f>IFERROR(__xludf.DUMMYFUNCTION("""COMPUTED_VALUE"""),"2 AP")</f>
        <v>2 AP</v>
      </c>
      <c r="J158" s="264" t="str">
        <f>IFERROR(__xludf.DUMMYFUNCTION("""COMPUTED_VALUE"""),"3 MP")</f>
        <v>3 MP</v>
      </c>
      <c r="K158" s="263" t="str">
        <f>IFERROR(__xludf.DUMMYFUNCTION("""COMPUTED_VALUE"""),"1 RP")</f>
        <v>1 RP</v>
      </c>
      <c r="L158" s="263" t="str">
        <f>IFERROR(__xludf.DUMMYFUNCTION("""COMPUTED_VALUE"""),"")</f>
        <v/>
      </c>
      <c r="M158" s="263"/>
      <c r="N158" s="263"/>
      <c r="O158" s="263"/>
      <c r="P158" s="263"/>
      <c r="Q158" s="263"/>
      <c r="R158" s="263"/>
      <c r="S158" s="263"/>
      <c r="T158" s="263"/>
      <c r="U158" s="246"/>
      <c r="V158" s="246"/>
      <c r="W158" s="246"/>
      <c r="X158" s="246"/>
      <c r="Y158" s="246"/>
      <c r="Z158" s="246"/>
    </row>
    <row r="159">
      <c r="A159" s="263"/>
      <c r="B159" s="265" t="str">
        <f>IFERROR(__xludf.DUMMYFUNCTION("""COMPUTED_VALUE"""),"Cursed Evil Eye")</f>
        <v>Cursed Evil Eye</v>
      </c>
      <c r="C159" s="263"/>
      <c r="D159" s="263" t="str">
        <f>IFERROR(__xludf.DUMMYFUNCTION("""COMPUTED_VALUE"""),"Mystic Eye, Upkeep, Blanketing")</f>
        <v>Mystic Eye, Upkeep, Blanketing</v>
      </c>
      <c r="E159" s="263" t="str">
        <f>IFERROR(__xludf.DUMMYFUNCTION("""COMPUTED_VALUE"""),"60ft")</f>
        <v>60ft</v>
      </c>
      <c r="F159" s="266" t="str">
        <f>IFERROR(__xludf.DUMMYFUNCTION("""COMPUTED_VALUE"""),"You open your Cursed Mystic Eye that curses everything in sight.
All targets in a 90 degree cone up to range must make a save against your Potency or take Light Dark(Curse) damage.
Upkeep: 1 AP. When you pay the upkeep cost, you may repeat this attack.")</f>
        <v>You open your Cursed Mystic Eye that curses everything in sight.
All targets in a 90 degree cone up to range must make a save against your Potency or take Light Dark(Curse) damage.
Upkeep: 1 AP. When you pay the upkeep cost, you may repeat this attack.</v>
      </c>
      <c r="G159" s="264" t="str">
        <f>IFERROR(__xludf.DUMMYFUNCTION("""COMPUTED_VALUE"""),"")</f>
        <v/>
      </c>
      <c r="H159" s="267" t="str">
        <f>IFERROR(__xludf.DUMMYFUNCTION("""COMPUTED_VALUE"""),"1 AP, 1 MP")</f>
        <v>1 AP, 1 MP</v>
      </c>
      <c r="I159" s="263" t="str">
        <f>IFERROR(__xludf.DUMMYFUNCTION("""COMPUTED_VALUE"""),"1 AP")</f>
        <v>1 AP</v>
      </c>
      <c r="J159" s="263" t="str">
        <f>IFERROR(__xludf.DUMMYFUNCTION("""COMPUTED_VALUE"""),"1 MP")</f>
        <v>1 MP</v>
      </c>
      <c r="K159" s="263" t="str">
        <f>IFERROR(__xludf.DUMMYFUNCTION("""COMPUTED_VALUE"""),"")</f>
        <v/>
      </c>
      <c r="L159" s="263" t="str">
        <f>IFERROR(__xludf.DUMMYFUNCTION("""COMPUTED_VALUE"""),"")</f>
        <v/>
      </c>
      <c r="M159" s="263"/>
      <c r="N159" s="263"/>
      <c r="O159" s="263"/>
      <c r="P159" s="263"/>
      <c r="Q159" s="263"/>
      <c r="R159" s="263"/>
      <c r="S159" s="263"/>
      <c r="T159" s="263"/>
      <c r="U159" s="246"/>
      <c r="V159" s="246"/>
      <c r="W159" s="246"/>
      <c r="X159" s="246"/>
      <c r="Y159" s="246"/>
      <c r="Z159" s="246"/>
    </row>
    <row r="160">
      <c r="A160" s="263"/>
      <c r="B160" s="265" t="str">
        <f>IFERROR(__xludf.DUMMYFUNCTION("""COMPUTED_VALUE"""),"Cut Away")</f>
        <v>Cut Away</v>
      </c>
      <c r="C160" s="263"/>
      <c r="D160" s="263" t="str">
        <f>IFERROR(__xludf.DUMMYFUNCTION("""COMPUTED_VALUE"""),"")</f>
        <v/>
      </c>
      <c r="E160" s="264" t="str">
        <f>IFERROR(__xludf.DUMMYFUNCTION("""COMPUTED_VALUE"""),"Self")</f>
        <v>Self</v>
      </c>
      <c r="F160" s="266" t="str">
        <f>IFERROR(__xludf.DUMMYFUNCTION("""COMPUTED_VALUE"""),"Instead of rolling a save normally, you may make a Precise Attack against the Potency of the ability instead. If your accuracy roll beats the Potency, you are treated as having passed the save.")</f>
        <v>Instead of rolling a save normally, you may make a Precise Attack against the Potency of the ability instead. If your accuracy roll beats the Potency, you are treated as having passed the save.</v>
      </c>
      <c r="G160" s="264" t="str">
        <f>IFERROR(__xludf.DUMMYFUNCTION("""COMPUTED_VALUE"""),"You are the target of an ability that forces you to make a save.")</f>
        <v>You are the target of an ability that forces you to make a save.</v>
      </c>
      <c r="H160" s="265" t="str">
        <f>IFERROR(__xludf.DUMMYFUNCTION("""COMPUTED_VALUE"""),"1 RP")</f>
        <v>1 RP</v>
      </c>
      <c r="I160" s="263" t="str">
        <f>IFERROR(__xludf.DUMMYFUNCTION("""COMPUTED_VALUE"""),"")</f>
        <v/>
      </c>
      <c r="J160" s="263" t="str">
        <f>IFERROR(__xludf.DUMMYFUNCTION("""COMPUTED_VALUE"""),"")</f>
        <v/>
      </c>
      <c r="K160" s="264" t="str">
        <f>IFERROR(__xludf.DUMMYFUNCTION("""COMPUTED_VALUE"""),"1 RP")</f>
        <v>1 RP</v>
      </c>
      <c r="L160" s="263" t="str">
        <f>IFERROR(__xludf.DUMMYFUNCTION("""COMPUTED_VALUE"""),"")</f>
        <v/>
      </c>
      <c r="M160" s="263"/>
      <c r="N160" s="263"/>
      <c r="O160" s="263"/>
      <c r="P160" s="263"/>
      <c r="Q160" s="263"/>
      <c r="R160" s="263"/>
      <c r="S160" s="263"/>
      <c r="T160" s="263"/>
      <c r="U160" s="246"/>
      <c r="V160" s="246"/>
      <c r="W160" s="246"/>
      <c r="X160" s="246"/>
      <c r="Y160" s="246"/>
      <c r="Z160" s="246"/>
    </row>
    <row r="161">
      <c r="A161" s="263"/>
      <c r="B161" s="265" t="str">
        <f>IFERROR(__xludf.DUMMYFUNCTION("""COMPUTED_VALUE"""),"Cut Magic")</f>
        <v>Cut Magic</v>
      </c>
      <c r="C161" s="263"/>
      <c r="D161" s="264" t="str">
        <f>IFERROR(__xludf.DUMMYFUNCTION("""COMPUTED_VALUE"""),"Overcharge")</f>
        <v>Overcharge</v>
      </c>
      <c r="E161" s="264" t="str">
        <f>IFERROR(__xludf.DUMMYFUNCTION("""COMPUTED_VALUE"""),"Melee Weapon Range")</f>
        <v>Melee Weapon Range</v>
      </c>
      <c r="F161" s="266" t="str">
        <f>IFERROR(__xludf.DUMMYFUNCTION("""COMPUTED_VALUE"""),"You make a Heavy Attack against a temporary magic effect. If your accuracy roll is equal or higher than the Potency of the effect, the effect is removed.
Overcharge: You may spend 1 additional AP to turn the Heavy attack into a Precise attack instead.")</f>
        <v>You make a Heavy Attack against a temporary magic effect. If your accuracy roll is equal or higher than the Potency of the effect, the effect is removed.
Overcharge: You may spend 1 additional AP to turn the Heavy attack into a Precise attack instead.</v>
      </c>
      <c r="G161" s="264" t="str">
        <f>IFERROR(__xludf.DUMMYFUNCTION("""COMPUTED_VALUE"""),"")</f>
        <v/>
      </c>
      <c r="H161" s="265" t="str">
        <f>IFERROR(__xludf.DUMMYFUNCTION("""COMPUTED_VALUE"""),"1 AP")</f>
        <v>1 AP</v>
      </c>
      <c r="I161" s="264" t="str">
        <f>IFERROR(__xludf.DUMMYFUNCTION("""COMPUTED_VALUE"""),"1 AP")</f>
        <v>1 AP</v>
      </c>
      <c r="J161" s="263" t="str">
        <f>IFERROR(__xludf.DUMMYFUNCTION("""COMPUTED_VALUE"""),"")</f>
        <v/>
      </c>
      <c r="K161" s="263" t="str">
        <f>IFERROR(__xludf.DUMMYFUNCTION("""COMPUTED_VALUE"""),"")</f>
        <v/>
      </c>
      <c r="L161" s="263" t="str">
        <f>IFERROR(__xludf.DUMMYFUNCTION("""COMPUTED_VALUE"""),"")</f>
        <v/>
      </c>
      <c r="M161" s="263"/>
      <c r="N161" s="263"/>
      <c r="O161" s="263"/>
      <c r="P161" s="263"/>
      <c r="Q161" s="263"/>
      <c r="R161" s="263"/>
      <c r="S161" s="263"/>
      <c r="T161" s="263"/>
      <c r="U161" s="246"/>
      <c r="V161" s="246"/>
      <c r="W161" s="246"/>
      <c r="X161" s="246"/>
      <c r="Y161" s="246"/>
      <c r="Z161" s="246"/>
    </row>
    <row r="162">
      <c r="A162" s="263"/>
      <c r="B162" s="265" t="str">
        <f>IFERROR(__xludf.DUMMYFUNCTION("""COMPUTED_VALUE"""),"Cyclone")</f>
        <v>Cyclone</v>
      </c>
      <c r="C162" s="263"/>
      <c r="D162" s="264" t="str">
        <f>IFERROR(__xludf.DUMMYFUNCTION("""COMPUTED_VALUE"""),"Spell, Wind")</f>
        <v>Spell, Wind</v>
      </c>
      <c r="E162" s="264" t="str">
        <f>IFERROR(__xludf.DUMMYFUNCTION("""COMPUTED_VALUE"""),"60ft")</f>
        <v>60ft</v>
      </c>
      <c r="F162" s="266" t="str">
        <f>IFERROR(__xludf.DUMMYFUNCTION("""COMPUTED_VALUE"""),"All targets in a 15x15 ft area must make a save against your Potency or be knocked airborne for 10ft, falling Prone once they land.")</f>
        <v>All targets in a 15x15 ft area must make a save against your Potency or be knocked airborne for 10ft, falling Prone once they land.</v>
      </c>
      <c r="G162" s="264" t="str">
        <f>IFERROR(__xludf.DUMMYFUNCTION("""COMPUTED_VALUE"""),"")</f>
        <v/>
      </c>
      <c r="H162" s="265" t="str">
        <f>IFERROR(__xludf.DUMMYFUNCTION("""COMPUTED_VALUE"""),"2 AP")</f>
        <v>2 AP</v>
      </c>
      <c r="I162" s="264" t="str">
        <f>IFERROR(__xludf.DUMMYFUNCTION("""COMPUTED_VALUE"""),"2 AP")</f>
        <v>2 AP</v>
      </c>
      <c r="J162" s="263" t="str">
        <f>IFERROR(__xludf.DUMMYFUNCTION("""COMPUTED_VALUE"""),"")</f>
        <v/>
      </c>
      <c r="K162" s="263" t="str">
        <f>IFERROR(__xludf.DUMMYFUNCTION("""COMPUTED_VALUE"""),"")</f>
        <v/>
      </c>
      <c r="L162" s="263" t="str">
        <f>IFERROR(__xludf.DUMMYFUNCTION("""COMPUTED_VALUE"""),"")</f>
        <v/>
      </c>
      <c r="M162" s="263"/>
      <c r="N162" s="263"/>
      <c r="O162" s="263"/>
      <c r="P162" s="263"/>
      <c r="Q162" s="263"/>
      <c r="R162" s="263"/>
      <c r="S162" s="263"/>
      <c r="T162" s="263"/>
      <c r="U162" s="246"/>
      <c r="V162" s="246"/>
      <c r="W162" s="246"/>
      <c r="X162" s="246"/>
      <c r="Y162" s="246"/>
      <c r="Z162" s="246"/>
    </row>
    <row r="163">
      <c r="A163" s="263"/>
      <c r="B163" s="265" t="str">
        <f>IFERROR(__xludf.DUMMYFUNCTION("""COMPUTED_VALUE"""),"Dark Barrier")</f>
        <v>Dark Barrier</v>
      </c>
      <c r="C163" s="263"/>
      <c r="D163" s="264" t="str">
        <f>IFERROR(__xludf.DUMMYFUNCTION("""COMPUTED_VALUE"""),"Spell, Dark, Full Pierce, Shield")</f>
        <v>Spell, Dark, Full Pierce, Shield</v>
      </c>
      <c r="E163" s="264" t="str">
        <f>IFERROR(__xludf.DUMMYFUNCTION("""COMPUTED_VALUE"""),"40ft")</f>
        <v>40ft</v>
      </c>
      <c r="F163" s="266" t="str">
        <f>IFERROR(__xludf.DUMMYFUNCTION("""COMPUTED_VALUE"""),"You and up to 4 other willing allies within range take Light Dark damage. Afterwards they gain temporary HP until end of encounter equal to double the damage taken.
You may choose to ignore Dark resistance or damage reduction on your allies for this abili"&amp;"ty.")</f>
        <v>You and up to 4 other willing allies within range take Light Dark damage. Afterwards they gain temporary HP until end of encounter equal to double the damage taken.
You may choose to ignore Dark resistance or damage reduction on your allies for this ability.</v>
      </c>
      <c r="G163" s="264" t="str">
        <f>IFERROR(__xludf.DUMMYFUNCTION("""COMPUTED_VALUE"""),"")</f>
        <v/>
      </c>
      <c r="H163" s="265" t="str">
        <f>IFERROR(__xludf.DUMMYFUNCTION("""COMPUTED_VALUE"""),"2 AP, 3 MP")</f>
        <v>2 AP, 3 MP</v>
      </c>
      <c r="I163" s="264" t="str">
        <f>IFERROR(__xludf.DUMMYFUNCTION("""COMPUTED_VALUE"""),"2 AP")</f>
        <v>2 AP</v>
      </c>
      <c r="J163" s="263" t="str">
        <f>IFERROR(__xludf.DUMMYFUNCTION("""COMPUTED_VALUE"""),"3 MP")</f>
        <v>3 MP</v>
      </c>
      <c r="K163" s="263" t="str">
        <f>IFERROR(__xludf.DUMMYFUNCTION("""COMPUTED_VALUE"""),"")</f>
        <v/>
      </c>
      <c r="L163" s="263" t="str">
        <f>IFERROR(__xludf.DUMMYFUNCTION("""COMPUTED_VALUE"""),"")</f>
        <v/>
      </c>
      <c r="M163" s="263"/>
      <c r="N163" s="263"/>
      <c r="O163" s="263"/>
      <c r="P163" s="263"/>
      <c r="Q163" s="263"/>
      <c r="R163" s="263"/>
      <c r="S163" s="263"/>
      <c r="T163" s="263"/>
      <c r="U163" s="246"/>
      <c r="V163" s="246"/>
      <c r="W163" s="246"/>
      <c r="X163" s="246"/>
      <c r="Y163" s="246"/>
      <c r="Z163" s="246"/>
    </row>
    <row r="164">
      <c r="A164" s="263"/>
      <c r="B164" s="265" t="str">
        <f>IFERROR(__xludf.DUMMYFUNCTION("""COMPUTED_VALUE"""),"Dark Bolt")</f>
        <v>Dark Bolt</v>
      </c>
      <c r="C164" s="263"/>
      <c r="D164" s="264" t="str">
        <f>IFERROR(__xludf.DUMMYFUNCTION("""COMPUTED_VALUE"""),"Spell, Dark, Half Pierce, Full Pierce")</f>
        <v>Spell, Dark, Half Pierce, Full Pierce</v>
      </c>
      <c r="E164" s="264" t="str">
        <f>IFERROR(__xludf.DUMMYFUNCTION("""COMPUTED_VALUE"""),"60ft")</f>
        <v>60ft</v>
      </c>
      <c r="F164" s="266" t="str">
        <f>IFERROR(__xludf.DUMMYFUNCTION("""COMPUTED_VALUE"""),"You fire a bolt of darkness at a target, making a Light Attack that deals Dark Damage. You may take true damage equal to your Power + 3 to give this ability Full Pierce.")</f>
        <v>You fire a bolt of darkness at a target, making a Light Attack that deals Dark Damage. You may take true damage equal to your Power + 3 to give this ability Full Pierce.</v>
      </c>
      <c r="G164" s="263" t="str">
        <f>IFERROR(__xludf.DUMMYFUNCTION("""COMPUTED_VALUE"""),"")</f>
        <v/>
      </c>
      <c r="H164" s="265" t="str">
        <f>IFERROR(__xludf.DUMMYFUNCTION("""COMPUTED_VALUE"""),"1 AP, 1 MP")</f>
        <v>1 AP, 1 MP</v>
      </c>
      <c r="I164" s="264" t="str">
        <f>IFERROR(__xludf.DUMMYFUNCTION("""COMPUTED_VALUE"""),"1 AP")</f>
        <v>1 AP</v>
      </c>
      <c r="J164" s="264" t="str">
        <f>IFERROR(__xludf.DUMMYFUNCTION("""COMPUTED_VALUE"""),"1 MP")</f>
        <v>1 MP</v>
      </c>
      <c r="K164" s="263" t="str">
        <f>IFERROR(__xludf.DUMMYFUNCTION("""COMPUTED_VALUE"""),"")</f>
        <v/>
      </c>
      <c r="L164" s="263" t="str">
        <f>IFERROR(__xludf.DUMMYFUNCTION("""COMPUTED_VALUE"""),"")</f>
        <v/>
      </c>
      <c r="M164" s="263"/>
      <c r="N164" s="263"/>
      <c r="O164" s="263"/>
      <c r="P164" s="263"/>
      <c r="Q164" s="263"/>
      <c r="R164" s="263"/>
      <c r="S164" s="263"/>
      <c r="T164" s="263"/>
      <c r="U164" s="246"/>
      <c r="V164" s="246"/>
      <c r="W164" s="246"/>
      <c r="X164" s="246"/>
      <c r="Y164" s="246"/>
      <c r="Z164" s="246"/>
    </row>
    <row r="165">
      <c r="A165" s="263"/>
      <c r="B165" s="265" t="str">
        <f>IFERROR(__xludf.DUMMYFUNCTION("""COMPUTED_VALUE"""),"Dark Healing")</f>
        <v>Dark Healing</v>
      </c>
      <c r="C165" s="263"/>
      <c r="D165" s="263" t="str">
        <f>IFERROR(__xludf.DUMMYFUNCTION("""COMPUTED_VALUE"""),"Spell, Dark, Full Pierce, Healing")</f>
        <v>Spell, Dark, Full Pierce, Healing</v>
      </c>
      <c r="E165" s="264" t="str">
        <f>IFERROR(__xludf.DUMMYFUNCTION("""COMPUTED_VALUE"""),"60ft")</f>
        <v>60ft</v>
      </c>
      <c r="F165" s="266" t="str">
        <f>IFERROR(__xludf.DUMMYFUNCTION("""COMPUTED_VALUE"""),"You take Light (1 AP) or Heavy damage (2 AP), then heal a target within range an amount equal to damage taken.
You may choose to ignore Dark resistance or damage reduction on yourself for this damage.")</f>
        <v>You take Light (1 AP) or Heavy damage (2 AP), then heal a target within range an amount equal to damage taken.
You may choose to ignore Dark resistance or damage reduction on yourself for this damage.</v>
      </c>
      <c r="G165" s="264" t="str">
        <f>IFERROR(__xludf.DUMMYFUNCTION("""COMPUTED_VALUE"""),"")</f>
        <v/>
      </c>
      <c r="H165" s="265" t="str">
        <f>IFERROR(__xludf.DUMMYFUNCTION("""COMPUTED_VALUE"""),"1 AP")</f>
        <v>1 AP</v>
      </c>
      <c r="I165" s="263" t="str">
        <f>IFERROR(__xludf.DUMMYFUNCTION("""COMPUTED_VALUE"""),"1 AP")</f>
        <v>1 AP</v>
      </c>
      <c r="J165" s="264" t="str">
        <f>IFERROR(__xludf.DUMMYFUNCTION("""COMPUTED_VALUE"""),"")</f>
        <v/>
      </c>
      <c r="K165" s="264" t="str">
        <f>IFERROR(__xludf.DUMMYFUNCTION("""COMPUTED_VALUE"""),"")</f>
        <v/>
      </c>
      <c r="L165" s="263" t="str">
        <f>IFERROR(__xludf.DUMMYFUNCTION("""COMPUTED_VALUE"""),"")</f>
        <v/>
      </c>
      <c r="M165" s="263"/>
      <c r="N165" s="263"/>
      <c r="O165" s="263"/>
      <c r="P165" s="263"/>
      <c r="Q165" s="263"/>
      <c r="R165" s="263"/>
      <c r="S165" s="263"/>
      <c r="T165" s="263"/>
      <c r="U165" s="246"/>
      <c r="V165" s="246"/>
      <c r="W165" s="246"/>
      <c r="X165" s="246"/>
      <c r="Y165" s="246"/>
      <c r="Z165" s="246"/>
    </row>
    <row r="166">
      <c r="A166" s="263"/>
      <c r="B166" s="265" t="str">
        <f>IFERROR(__xludf.DUMMYFUNCTION("""COMPUTED_VALUE"""),"Darkness")</f>
        <v>Darkness</v>
      </c>
      <c r="C166" s="263"/>
      <c r="D166" s="264" t="str">
        <f>IFERROR(__xludf.DUMMYFUNCTION("""COMPUTED_VALUE"""),"Concentration, Spell, Stealth, Blinded")</f>
        <v>Concentration, Spell, Stealth, Blinded</v>
      </c>
      <c r="E166" s="264" t="str">
        <f>IFERROR(__xludf.DUMMYFUNCTION("""COMPUTED_VALUE"""),"40ft")</f>
        <v>40ft</v>
      </c>
      <c r="F166" s="266" t="str">
        <f>IFERROR(__xludf.DUMMYFUNCTION("""COMPUTED_VALUE"""),"You conjure a 15x15ft area of pure darkness within range. The darkness blocks line of sight. Targets inside of or within 5ft of the Darkness can only see up to 5ft into or out of Darkness. In addition, any targets within the Darkness that do not have Dark"&amp;"vision or a similar ability that lets them see in darkness are considered Blinded 2 (nightvision does not apply).
This lasts for up to 10 minutes and you may end this effect for 0 AP.
The mana cost of this ability is reduced by 2 during the night.")</f>
        <v>You conjure a 15x15ft area of pure darkness within range. The darkness blocks line of sight. Targets inside of or within 5ft of the Darkness can only see up to 5ft into or out of Darkness. In addition, any targets within the Darkness that do not have Darkvision or a similar ability that lets them see in darkness are considered Blinded 2 (nightvision does not apply).
This lasts for up to 10 minutes and you may end this effect for 0 AP.
The mana cost of this ability is reduced by 2 during the night.</v>
      </c>
      <c r="G166" s="264" t="str">
        <f>IFERROR(__xludf.DUMMYFUNCTION("""COMPUTED_VALUE"""),"")</f>
        <v/>
      </c>
      <c r="H166" s="265" t="str">
        <f>IFERROR(__xludf.DUMMYFUNCTION("""COMPUTED_VALUE"""),"2 AP, 3 MP")</f>
        <v>2 AP, 3 MP</v>
      </c>
      <c r="I166" s="264" t="str">
        <f>IFERROR(__xludf.DUMMYFUNCTION("""COMPUTED_VALUE"""),"2 AP")</f>
        <v>2 AP</v>
      </c>
      <c r="J166" s="263" t="str">
        <f>IFERROR(__xludf.DUMMYFUNCTION("""COMPUTED_VALUE"""),"3 MP")</f>
        <v>3 MP</v>
      </c>
      <c r="K166" s="263" t="str">
        <f>IFERROR(__xludf.DUMMYFUNCTION("""COMPUTED_VALUE"""),"")</f>
        <v/>
      </c>
      <c r="L166" s="263" t="str">
        <f>IFERROR(__xludf.DUMMYFUNCTION("""COMPUTED_VALUE"""),"")</f>
        <v/>
      </c>
      <c r="M166" s="263"/>
      <c r="N166" s="263"/>
      <c r="O166" s="263"/>
      <c r="P166" s="263"/>
      <c r="Q166" s="263"/>
      <c r="R166" s="263"/>
      <c r="S166" s="263"/>
      <c r="T166" s="263"/>
      <c r="U166" s="246"/>
      <c r="V166" s="246"/>
      <c r="W166" s="246"/>
      <c r="X166" s="246"/>
      <c r="Y166" s="246"/>
      <c r="Z166" s="246"/>
    </row>
    <row r="167">
      <c r="A167" s="263"/>
      <c r="B167" s="265" t="str">
        <f>IFERROR(__xludf.DUMMYFUNCTION("""COMPUTED_VALUE"""),"Darkvision")</f>
        <v>Darkvision</v>
      </c>
      <c r="C167" s="263"/>
      <c r="D167" s="263" t="str">
        <f>IFERROR(__xludf.DUMMYFUNCTION("""COMPUTED_VALUE"""),"Stealth")</f>
        <v>Stealth</v>
      </c>
      <c r="E167" s="263" t="str">
        <f>IFERROR(__xludf.DUMMYFUNCTION("""COMPUTED_VALUE"""),"Touch")</f>
        <v>Touch</v>
      </c>
      <c r="F167" s="266" t="str">
        <f>IFERROR(__xludf.DUMMYFUNCTION("""COMPUTED_VALUE"""),"You touch an ally and share your Darkvision with them until the end of the encounter, letting them see up 60ft in the darkness.")</f>
        <v>You touch an ally and share your Darkvision with them until the end of the encounter, letting them see up 60ft in the darkness.</v>
      </c>
      <c r="G167" s="263" t="str">
        <f>IFERROR(__xludf.DUMMYFUNCTION("""COMPUTED_VALUE"""),"")</f>
        <v/>
      </c>
      <c r="H167" s="267" t="str">
        <f>IFERROR(__xludf.DUMMYFUNCTION("""COMPUTED_VALUE"""),"1 AP")</f>
        <v>1 AP</v>
      </c>
      <c r="I167" s="263" t="str">
        <f>IFERROR(__xludf.DUMMYFUNCTION("""COMPUTED_VALUE"""),"1 AP")</f>
        <v>1 AP</v>
      </c>
      <c r="J167" s="263" t="str">
        <f>IFERROR(__xludf.DUMMYFUNCTION("""COMPUTED_VALUE"""),"")</f>
        <v/>
      </c>
      <c r="K167" s="263" t="str">
        <f>IFERROR(__xludf.DUMMYFUNCTION("""COMPUTED_VALUE"""),"")</f>
        <v/>
      </c>
      <c r="L167" s="263" t="str">
        <f>IFERROR(__xludf.DUMMYFUNCTION("""COMPUTED_VALUE"""),"")</f>
        <v/>
      </c>
      <c r="M167" s="263"/>
      <c r="N167" s="263"/>
      <c r="O167" s="263"/>
      <c r="P167" s="263"/>
      <c r="Q167" s="263"/>
      <c r="R167" s="263"/>
      <c r="S167" s="263"/>
      <c r="T167" s="263"/>
      <c r="U167" s="246"/>
      <c r="V167" s="246"/>
      <c r="W167" s="246"/>
      <c r="X167" s="246"/>
      <c r="Y167" s="246"/>
      <c r="Z167" s="246"/>
    </row>
    <row r="168">
      <c r="A168" s="263"/>
      <c r="B168" s="265" t="str">
        <f>IFERROR(__xludf.DUMMYFUNCTION("""COMPUTED_VALUE"""),"Darkvision (passive)")</f>
        <v>Darkvision (passive)</v>
      </c>
      <c r="C168" s="263"/>
      <c r="D168" s="264" t="str">
        <f>IFERROR(__xludf.DUMMYFUNCTION("""COMPUTED_VALUE"""),"")</f>
        <v/>
      </c>
      <c r="E168" s="264" t="str">
        <f>IFERROR(__xludf.DUMMYFUNCTION("""COMPUTED_VALUE"""),"")</f>
        <v/>
      </c>
      <c r="F168" s="266" t="str">
        <f>IFERROR(__xludf.DUMMYFUNCTION("""COMPUTED_VALUE"""),"You gain 60ft darkvision, allowing you to see perfectly in the dark even without a source of light.")</f>
        <v>You gain 60ft darkvision, allowing you to see perfectly in the dark even without a source of light.</v>
      </c>
      <c r="G168" s="263" t="str">
        <f>IFERROR(__xludf.DUMMYFUNCTION("""COMPUTED_VALUE"""),"")</f>
        <v/>
      </c>
      <c r="H168" s="265" t="str">
        <f>IFERROR(__xludf.DUMMYFUNCTION("""COMPUTED_VALUE"""),"")</f>
        <v/>
      </c>
      <c r="I168" s="264" t="str">
        <f>IFERROR(__xludf.DUMMYFUNCTION("""COMPUTED_VALUE"""),"")</f>
        <v/>
      </c>
      <c r="J168" s="263" t="str">
        <f>IFERROR(__xludf.DUMMYFUNCTION("""COMPUTED_VALUE"""),"")</f>
        <v/>
      </c>
      <c r="K168" s="263" t="str">
        <f>IFERROR(__xludf.DUMMYFUNCTION("""COMPUTED_VALUE"""),"")</f>
        <v/>
      </c>
      <c r="L168" s="263" t="str">
        <f>IFERROR(__xludf.DUMMYFUNCTION("""COMPUTED_VALUE"""),"")</f>
        <v/>
      </c>
      <c r="M168" s="263"/>
      <c r="N168" s="263"/>
      <c r="O168" s="263"/>
      <c r="P168" s="263"/>
      <c r="Q168" s="263"/>
      <c r="R168" s="263"/>
      <c r="S168" s="263"/>
      <c r="T168" s="263"/>
      <c r="U168" s="246"/>
      <c r="V168" s="246"/>
      <c r="W168" s="246"/>
      <c r="X168" s="246"/>
      <c r="Y168" s="246"/>
      <c r="Z168" s="246"/>
    </row>
    <row r="169">
      <c r="A169" s="263"/>
      <c r="B169" s="265" t="str">
        <f>IFERROR(__xludf.DUMMYFUNCTION("""COMPUTED_VALUE"""),"Deadly Venom")</f>
        <v>Deadly Venom</v>
      </c>
      <c r="C169" s="263"/>
      <c r="D169" s="264" t="str">
        <f>IFERROR(__xludf.DUMMYFUNCTION("""COMPUTED_VALUE"""),"Poison, Toxic")</f>
        <v>Poison, Toxic</v>
      </c>
      <c r="E169" s="264" t="str">
        <f>IFERROR(__xludf.DUMMYFUNCTION("""COMPUTED_VALUE"""),"Weapon Range")</f>
        <v>Weapon Range</v>
      </c>
      <c r="F169" s="266" t="str">
        <f>IFERROR(__xludf.DUMMYFUNCTION("""COMPUTED_VALUE"""),"You make a Light attack against the target. On damage, you worsen the target’s Toxic, letting it stack and adding +1 stack to it. Stacks a maximum of 3 times.
A Toxic with more than 1 stack deals damage at the end of the target’s turn rather than the star"&amp;"t.")</f>
        <v>You make a Light attack against the target. On damage, you worsen the target’s Toxic, letting it stack and adding +1 stack to it. Stacks a maximum of 3 times.
A Toxic with more than 1 stack deals damage at the end of the target’s turn rather than the start.</v>
      </c>
      <c r="G169" s="263" t="str">
        <f>IFERROR(__xludf.DUMMYFUNCTION("""COMPUTED_VALUE"""),"Must be made with a melee weapon or with a Set of Missiles, Throwing Weapon or Thrown attack with small weapon only.")</f>
        <v>Must be made with a melee weapon or with a Set of Missiles, Throwing Weapon or Thrown attack with small weapon only.</v>
      </c>
      <c r="H169" s="265" t="str">
        <f>IFERROR(__xludf.DUMMYFUNCTION("""COMPUTED_VALUE"""),"2 AP")</f>
        <v>2 AP</v>
      </c>
      <c r="I169" s="264" t="str">
        <f>IFERROR(__xludf.DUMMYFUNCTION("""COMPUTED_VALUE"""),"2 AP")</f>
        <v>2 AP</v>
      </c>
      <c r="J169" s="264" t="str">
        <f>IFERROR(__xludf.DUMMYFUNCTION("""COMPUTED_VALUE"""),"")</f>
        <v/>
      </c>
      <c r="K169" s="263" t="str">
        <f>IFERROR(__xludf.DUMMYFUNCTION("""COMPUTED_VALUE"""),"")</f>
        <v/>
      </c>
      <c r="L169" s="263" t="str">
        <f>IFERROR(__xludf.DUMMYFUNCTION("""COMPUTED_VALUE"""),"")</f>
        <v/>
      </c>
      <c r="M169" s="263"/>
      <c r="N169" s="263"/>
      <c r="O169" s="263"/>
      <c r="P169" s="263"/>
      <c r="Q169" s="263"/>
      <c r="R169" s="263"/>
      <c r="S169" s="263"/>
      <c r="T169" s="263"/>
      <c r="U169" s="246"/>
      <c r="V169" s="246"/>
      <c r="W169" s="246"/>
      <c r="X169" s="246"/>
      <c r="Y169" s="246"/>
      <c r="Z169" s="246"/>
    </row>
    <row r="170">
      <c r="A170" s="263"/>
      <c r="B170" s="265" t="str">
        <f>IFERROR(__xludf.DUMMYFUNCTION("""COMPUTED_VALUE"""),"Death Mark")</f>
        <v>Death Mark</v>
      </c>
      <c r="C170" s="263"/>
      <c r="D170" s="264" t="str">
        <f>IFERROR(__xludf.DUMMYFUNCTION("""COMPUTED_VALUE"""),"Encounter Start")</f>
        <v>Encounter Start</v>
      </c>
      <c r="E170" s="264" t="str">
        <f>IFERROR(__xludf.DUMMYFUNCTION("""COMPUTED_VALUE"""),"Sight")</f>
        <v>Sight</v>
      </c>
      <c r="F170" s="266" t="str">
        <f>IFERROR(__xludf.DUMMYFUNCTION("""COMPUTED_VALUE"""),"You mentally mark a target for death by applying Death Mark, opening them up to your Assassin abilities. When you reduce a character marked by Death Mark to 0 HP or lower, you may move up to your Speed and take the Hide action for 0 RP. This movement does"&amp;" not provoke attacks of opportunity.")</f>
        <v>You mentally mark a target for death by applying Death Mark, opening them up to your Assassin abilities. When you reduce a character marked by Death Mark to 0 HP or lower, you may move up to your Speed and take the Hide action for 0 RP. This movement does not provoke attacks of opportunity.</v>
      </c>
      <c r="G170" s="263" t="str">
        <f>IFERROR(__xludf.DUMMYFUNCTION("""COMPUTED_VALUE"""),"Enemy is surprised.")</f>
        <v>Enemy is surprised.</v>
      </c>
      <c r="H170" s="265" t="str">
        <f>IFERROR(__xludf.DUMMYFUNCTION("""COMPUTED_VALUE"""),"")</f>
        <v/>
      </c>
      <c r="I170" s="264" t="str">
        <f>IFERROR(__xludf.DUMMYFUNCTION("""COMPUTED_VALUE"""),"")</f>
        <v/>
      </c>
      <c r="J170" s="264" t="str">
        <f>IFERROR(__xludf.DUMMYFUNCTION("""COMPUTED_VALUE"""),"")</f>
        <v/>
      </c>
      <c r="K170" s="263" t="str">
        <f>IFERROR(__xludf.DUMMYFUNCTION("""COMPUTED_VALUE"""),"")</f>
        <v/>
      </c>
      <c r="L170" s="263" t="str">
        <f>IFERROR(__xludf.DUMMYFUNCTION("""COMPUTED_VALUE"""),"")</f>
        <v/>
      </c>
      <c r="M170" s="263"/>
      <c r="N170" s="263"/>
      <c r="O170" s="263"/>
      <c r="P170" s="263"/>
      <c r="Q170" s="263"/>
      <c r="R170" s="263"/>
      <c r="S170" s="263"/>
      <c r="T170" s="263"/>
      <c r="U170" s="246"/>
      <c r="V170" s="246"/>
      <c r="W170" s="246"/>
      <c r="X170" s="246"/>
      <c r="Y170" s="246"/>
      <c r="Z170" s="246"/>
    </row>
    <row r="171">
      <c r="A171" s="263"/>
      <c r="B171" s="265" t="str">
        <f>IFERROR(__xludf.DUMMYFUNCTION("""COMPUTED_VALUE"""),"Death Perception")</f>
        <v>Death Perception</v>
      </c>
      <c r="C171" s="263"/>
      <c r="D171" s="264" t="str">
        <f>IFERROR(__xludf.DUMMYFUNCTION("""COMPUTED_VALUE"""),"Mystic Eye")</f>
        <v>Mystic Eye</v>
      </c>
      <c r="E171" s="264" t="str">
        <f>IFERROR(__xludf.DUMMYFUNCTION("""COMPUTED_VALUE"""),"Sight")</f>
        <v>Sight</v>
      </c>
      <c r="F171" s="266" t="str">
        <f>IFERROR(__xludf.DUMMYFUNCTION("""COMPUTED_VALUE"""),"You can assess the approximate HP percentage of all living units within range until the end of combat. (The DM should enable health bars for the unit). Only affects unit in your line of sight when you use this ability, if more enemies join the fight later"&amp;" they are not affected until you use this ability again.")</f>
        <v>You can assess the approximate HP percentage of all living units within range until the end of combat. (The DM should enable health bars for the unit). Only affects unit in your line of sight when you use this ability, if more enemies join the fight later they are not affected until you use this ability again.</v>
      </c>
      <c r="G171" s="263" t="str">
        <f>IFERROR(__xludf.DUMMYFUNCTION("""COMPUTED_VALUE"""),"")</f>
        <v/>
      </c>
      <c r="H171" s="265" t="str">
        <f>IFERROR(__xludf.DUMMYFUNCTION("""COMPUTED_VALUE"""),"0 AP, 1 MP")</f>
        <v>0 AP, 1 MP</v>
      </c>
      <c r="I171" s="264" t="str">
        <f>IFERROR(__xludf.DUMMYFUNCTION("""COMPUTED_VALUE"""),"0 AP")</f>
        <v>0 AP</v>
      </c>
      <c r="J171" s="263" t="str">
        <f>IFERROR(__xludf.DUMMYFUNCTION("""COMPUTED_VALUE"""),"1 MP")</f>
        <v>1 MP</v>
      </c>
      <c r="K171" s="263" t="str">
        <f>IFERROR(__xludf.DUMMYFUNCTION("""COMPUTED_VALUE"""),"")</f>
        <v/>
      </c>
      <c r="L171" s="263" t="str">
        <f>IFERROR(__xludf.DUMMYFUNCTION("""COMPUTED_VALUE"""),"")</f>
        <v/>
      </c>
      <c r="M171" s="263"/>
      <c r="N171" s="263"/>
      <c r="O171" s="263"/>
      <c r="P171" s="263"/>
      <c r="Q171" s="263"/>
      <c r="R171" s="263"/>
      <c r="S171" s="263"/>
      <c r="T171" s="263"/>
      <c r="U171" s="246"/>
      <c r="V171" s="246"/>
      <c r="W171" s="246"/>
      <c r="X171" s="246"/>
      <c r="Y171" s="246"/>
      <c r="Z171" s="246"/>
    </row>
    <row r="172">
      <c r="A172" s="263"/>
      <c r="B172" s="265" t="str">
        <f>IFERROR(__xludf.DUMMYFUNCTION("""COMPUTED_VALUE"""),"Decipher Magic")</f>
        <v>Decipher Magic</v>
      </c>
      <c r="C172" s="263"/>
      <c r="D172" s="263" t="str">
        <f>IFERROR(__xludf.DUMMYFUNCTION("""COMPUTED_VALUE"""),"Hacking")</f>
        <v>Hacking</v>
      </c>
      <c r="E172" s="264" t="str">
        <f>IFERROR(__xludf.DUMMYFUNCTION("""COMPUTED_VALUE"""),"Sight")</f>
        <v>Sight</v>
      </c>
      <c r="F172" s="266" t="str">
        <f>IFERROR(__xludf.DUMMYFUNCTION("""COMPUTED_VALUE"""),"You may start a skill challenge against a magic effect you can see in an attempt to understand it.
You are able to disable tier 1 bounded fields with this ability.")</f>
        <v>You may start a skill challenge against a magic effect you can see in an attempt to understand it.
You are able to disable tier 1 bounded fields with this ability.</v>
      </c>
      <c r="G172" s="264" t="str">
        <f>IFERROR(__xludf.DUMMYFUNCTION("""COMPUTED_VALUE"""),"")</f>
        <v/>
      </c>
      <c r="H172" s="265" t="str">
        <f>IFERROR(__xludf.DUMMYFUNCTION("""COMPUTED_VALUE"""),"1 AP")</f>
        <v>1 AP</v>
      </c>
      <c r="I172" s="264" t="str">
        <f>IFERROR(__xludf.DUMMYFUNCTION("""COMPUTED_VALUE"""),"1 AP")</f>
        <v>1 AP</v>
      </c>
      <c r="J172" s="263" t="str">
        <f>IFERROR(__xludf.DUMMYFUNCTION("""COMPUTED_VALUE"""),"")</f>
        <v/>
      </c>
      <c r="K172" s="263" t="str">
        <f>IFERROR(__xludf.DUMMYFUNCTION("""COMPUTED_VALUE"""),"")</f>
        <v/>
      </c>
      <c r="L172" s="263" t="str">
        <f>IFERROR(__xludf.DUMMYFUNCTION("""COMPUTED_VALUE"""),"")</f>
        <v/>
      </c>
      <c r="M172" s="263"/>
      <c r="N172" s="263"/>
      <c r="O172" s="263"/>
      <c r="P172" s="263"/>
      <c r="Q172" s="263"/>
      <c r="R172" s="263"/>
      <c r="S172" s="263"/>
      <c r="T172" s="263"/>
      <c r="U172" s="246"/>
      <c r="V172" s="246"/>
      <c r="W172" s="246"/>
      <c r="X172" s="246"/>
      <c r="Y172" s="246"/>
      <c r="Z172" s="246"/>
    </row>
    <row r="173">
      <c r="A173" s="263"/>
      <c r="B173" s="265" t="str">
        <f>IFERROR(__xludf.DUMMYFUNCTION("""COMPUTED_VALUE"""),"Deckbreaker")</f>
        <v>Deckbreaker</v>
      </c>
      <c r="C173" s="263"/>
      <c r="D173" s="264" t="str">
        <f>IFERROR(__xludf.DUMMYFUNCTION("""COMPUTED_VALUE"""),"Offstep, Lock On")</f>
        <v>Offstep, Lock On</v>
      </c>
      <c r="E173" s="264" t="str">
        <f>IFERROR(__xludf.DUMMYFUNCTION("""COMPUTED_VALUE"""),"Melee Weapon Range")</f>
        <v>Melee Weapon Range</v>
      </c>
      <c r="F173" s="266" t="str">
        <f>IFERROR(__xludf.DUMMYFUNCTION("""COMPUTED_VALUE"""),"You make a Light attack against the target. On damage, you inflict Offstep on the target for the next attack against it.
If the target is inflicted with Stagger, the mana cost of this is reduced by 1.
If you're under the effects of Exposing Edge, this att"&amp;"ack gains Lock On.")</f>
        <v>You make a Light attack against the target. On damage, you inflict Offstep on the target for the next attack against it.
If the target is inflicted with Stagger, the mana cost of this is reduced by 1.
If you're under the effects of Exposing Edge, this attack gains Lock On.</v>
      </c>
      <c r="G173" s="263" t="str">
        <f>IFERROR(__xludf.DUMMYFUNCTION("""COMPUTED_VALUE"""),"One-Handed weapons only.")</f>
        <v>One-Handed weapons only.</v>
      </c>
      <c r="H173" s="265" t="str">
        <f>IFERROR(__xludf.DUMMYFUNCTION("""COMPUTED_VALUE"""),"1 AP, 2 MP")</f>
        <v>1 AP, 2 MP</v>
      </c>
      <c r="I173" s="264" t="str">
        <f>IFERROR(__xludf.DUMMYFUNCTION("""COMPUTED_VALUE"""),"1 AP")</f>
        <v>1 AP</v>
      </c>
      <c r="J173" s="264" t="str">
        <f>IFERROR(__xludf.DUMMYFUNCTION("""COMPUTED_VALUE"""),"2 MP")</f>
        <v>2 MP</v>
      </c>
      <c r="K173" s="263" t="str">
        <f>IFERROR(__xludf.DUMMYFUNCTION("""COMPUTED_VALUE"""),"")</f>
        <v/>
      </c>
      <c r="L173" s="263" t="str">
        <f>IFERROR(__xludf.DUMMYFUNCTION("""COMPUTED_VALUE"""),"")</f>
        <v/>
      </c>
      <c r="M173" s="263"/>
      <c r="N173" s="263"/>
      <c r="O173" s="263"/>
      <c r="P173" s="263"/>
      <c r="Q173" s="263"/>
      <c r="R173" s="263"/>
      <c r="S173" s="263"/>
      <c r="T173" s="263"/>
      <c r="U173" s="246"/>
      <c r="V173" s="246"/>
      <c r="W173" s="246"/>
      <c r="X173" s="246"/>
      <c r="Y173" s="246"/>
      <c r="Z173" s="246"/>
    </row>
    <row r="174">
      <c r="A174" s="263"/>
      <c r="B174" s="265" t="str">
        <f>IFERROR(__xludf.DUMMYFUNCTION("""COMPUTED_VALUE"""),"Deconstruction")</f>
        <v>Deconstruction</v>
      </c>
      <c r="C174" s="263"/>
      <c r="D174" s="264" t="str">
        <f>IFERROR(__xludf.DUMMYFUNCTION("""COMPUTED_VALUE"""),"Errand")</f>
        <v>Errand</v>
      </c>
      <c r="E174" s="264" t="str">
        <f>IFERROR(__xludf.DUMMYFUNCTION("""COMPUTED_VALUE"""),"")</f>
        <v/>
      </c>
      <c r="F174" s="266" t="str">
        <f>IFERROR(__xludf.DUMMYFUNCTION("""COMPUTED_VALUE"""),"By spending an Interlude Point, you deconstruct a basic item into materials. You gain 500 matching crafting material per ingot or block used in the item. If the item does not use ingots, you instead get 1 matching crafting material per clim value of the i"&amp;"tem.
Regardless of the material used in the item, you will only gain the base price amount even if using upgraded materials and all alloys and upgrades are lost.  You can deconstruct up to 5 basic items for 1 interlude point.
Alternatively instead of 1 ba"&amp;"sic item, you can transmute up to 1000u of random junk into up to 250u of usable basic (ie: Iron, Pine etc) Blacksmithing Materials, Armorsmithing Materials, Carpentry Materials, Calligraphy Material, Magical Fuel Materials or Medical Materials units at a"&amp;" 4:1 ratio.
You can also use Deconstruction as an Errand Action, but the deconstruction limit is reduced to 1 basic item instead of 5 basic items.")</f>
        <v>By spending an Interlude Point, you deconstruct a basic item into materials. You gain 500 matching crafting material per ingot or block used in the item. If the item does not use ingots, you instead get 1 matching crafting material per clim value of the item.
Regardless of the material used in the item, you will only gain the base price amount even if using upgraded materials and all alloys and upgrades are lost.  You can deconstruct up to 5 basic items for 1 interlude point.
Alternatively instead of 1 basic item, you can transmute up to 1000u of random junk into up to 250u of usable basic (ie: Iron, Pine etc) Blacksmithing Materials, Armorsmithing Materials, Carpentry Materials, Calligraphy Material, Magical Fuel Materials or Medical Materials units at a 4:1 ratio.
You can also use Deconstruction as an Errand Action, but the deconstruction limit is reduced to 1 basic item instead of 5 basic items.</v>
      </c>
      <c r="G174" s="263" t="str">
        <f>IFERROR(__xludf.DUMMYFUNCTION("""COMPUTED_VALUE"""),"")</f>
        <v/>
      </c>
      <c r="H174" s="265" t="str">
        <f>IFERROR(__xludf.DUMMYFUNCTION("""COMPUTED_VALUE"""),"")</f>
        <v/>
      </c>
      <c r="I174" s="264" t="str">
        <f>IFERROR(__xludf.DUMMYFUNCTION("""COMPUTED_VALUE"""),"")</f>
        <v/>
      </c>
      <c r="J174" s="263" t="str">
        <f>IFERROR(__xludf.DUMMYFUNCTION("""COMPUTED_VALUE"""),"")</f>
        <v/>
      </c>
      <c r="K174" s="263" t="str">
        <f>IFERROR(__xludf.DUMMYFUNCTION("""COMPUTED_VALUE"""),"")</f>
        <v/>
      </c>
      <c r="L174" s="263" t="str">
        <f>IFERROR(__xludf.DUMMYFUNCTION("""COMPUTED_VALUE"""),"")</f>
        <v/>
      </c>
      <c r="M174" s="263"/>
      <c r="N174" s="263"/>
      <c r="O174" s="263"/>
      <c r="P174" s="263"/>
      <c r="Q174" s="263"/>
      <c r="R174" s="263"/>
      <c r="S174" s="263"/>
      <c r="T174" s="263"/>
      <c r="U174" s="246"/>
      <c r="V174" s="246"/>
      <c r="W174" s="246"/>
      <c r="X174" s="246"/>
      <c r="Y174" s="246"/>
      <c r="Z174" s="246"/>
    </row>
    <row r="175">
      <c r="A175" s="263"/>
      <c r="B175" s="265" t="str">
        <f>IFERROR(__xludf.DUMMYFUNCTION("""COMPUTED_VALUE"""),"Decree")</f>
        <v>Decree</v>
      </c>
      <c r="C175" s="263"/>
      <c r="D175" s="263" t="str">
        <f>IFERROR(__xludf.DUMMYFUNCTION("""COMPUTED_VALUE"""),"Mystic Eye, Mind Affecting")</f>
        <v>Mystic Eye, Mind Affecting</v>
      </c>
      <c r="E175" s="264" t="str">
        <f>IFERROR(__xludf.DUMMYFUNCTION("""COMPUTED_VALUE"""),"60ft")</f>
        <v>60ft</v>
      </c>
      <c r="F175" s="266" t="str">
        <f>IFERROR(__xludf.DUMMYFUNCTION("""COMPUTED_VALUE"""),"You command the target to Approach or Flee.
The target must make a Save or be forced to obey your chosen command, immediately moving up to their speed towards you (if you chose approach) or away from you (if you chose flee).")</f>
        <v>You command the target to Approach or Flee.
The target must make a Save or be forced to obey your chosen command, immediately moving up to their speed towards you (if you chose approach) or away from you (if you chose flee).</v>
      </c>
      <c r="G175" s="263" t="str">
        <f>IFERROR(__xludf.DUMMYFUNCTION("""COMPUTED_VALUE"""),"")</f>
        <v/>
      </c>
      <c r="H175" s="265" t="str">
        <f>IFERROR(__xludf.DUMMYFUNCTION("""COMPUTED_VALUE"""),"1 AP, 1 MP")</f>
        <v>1 AP, 1 MP</v>
      </c>
      <c r="I175" s="264" t="str">
        <f>IFERROR(__xludf.DUMMYFUNCTION("""COMPUTED_VALUE"""),"1 AP")</f>
        <v>1 AP</v>
      </c>
      <c r="J175" s="264" t="str">
        <f>IFERROR(__xludf.DUMMYFUNCTION("""COMPUTED_VALUE"""),"1 MP")</f>
        <v>1 MP</v>
      </c>
      <c r="K175" s="263" t="str">
        <f>IFERROR(__xludf.DUMMYFUNCTION("""COMPUTED_VALUE"""),"")</f>
        <v/>
      </c>
      <c r="L175" s="263" t="str">
        <f>IFERROR(__xludf.DUMMYFUNCTION("""COMPUTED_VALUE"""),"")</f>
        <v/>
      </c>
      <c r="M175" s="263"/>
      <c r="N175" s="263"/>
      <c r="O175" s="263"/>
      <c r="P175" s="263"/>
      <c r="Q175" s="263"/>
      <c r="R175" s="263"/>
      <c r="S175" s="263"/>
      <c r="T175" s="263"/>
      <c r="U175" s="246"/>
      <c r="V175" s="246"/>
      <c r="W175" s="246"/>
      <c r="X175" s="246"/>
      <c r="Y175" s="246"/>
      <c r="Z175" s="246"/>
    </row>
    <row r="176">
      <c r="A176" s="263"/>
      <c r="B176" s="265" t="str">
        <f>IFERROR(__xludf.DUMMYFUNCTION("""COMPUTED_VALUE"""),"Defensive Flexibility")</f>
        <v>Defensive Flexibility</v>
      </c>
      <c r="C176" s="263"/>
      <c r="D176" s="263" t="str">
        <f>IFERROR(__xludf.DUMMYFUNCTION("""COMPUTED_VALUE"""),"Circuit")</f>
        <v>Circuit</v>
      </c>
      <c r="E176" s="264" t="str">
        <f>IFERROR(__xludf.DUMMYFUNCTION("""COMPUTED_VALUE"""),"Self")</f>
        <v>Self</v>
      </c>
      <c r="F176" s="266" t="str">
        <f>IFERROR(__xludf.DUMMYFUNCTION("""COMPUTED_VALUE"""),"You react to the triggering attack with the opposite reaction you used to meet the requirement of this ability. (IE if you used Dodge as your last reaction, you use the Block reaction for this).
The first time each encounter your RP goes below half your m"&amp;"aximum RP, you regain the Circuit benefit on this.")</f>
        <v>You react to the triggering attack with the opposite reaction you used to meet the requirement of this ability. (IE if you used Dodge as your last reaction, you use the Block reaction for this).
The first time each encounter your RP goes below half your maximum RP, you regain the Circuit benefit on this.</v>
      </c>
      <c r="G176" s="264" t="str">
        <f>IFERROR(__xludf.DUMMYFUNCTION("""COMPUTED_VALUE"""),"Must be the target of an attack and must have reacted to the previous attack against you with the Dodge or Block action.")</f>
        <v>Must be the target of an attack and must have reacted to the previous attack against you with the Dodge or Block action.</v>
      </c>
      <c r="H176" s="265" t="str">
        <f>IFERROR(__xludf.DUMMYFUNCTION("""COMPUTED_VALUE"""),"2 MP, 0 RP")</f>
        <v>2 MP, 0 RP</v>
      </c>
      <c r="I176" s="263" t="str">
        <f>IFERROR(__xludf.DUMMYFUNCTION("""COMPUTED_VALUE"""),"")</f>
        <v/>
      </c>
      <c r="J176" s="263" t="str">
        <f>IFERROR(__xludf.DUMMYFUNCTION("""COMPUTED_VALUE"""),"2 MP")</f>
        <v>2 MP</v>
      </c>
      <c r="K176" s="264" t="str">
        <f>IFERROR(__xludf.DUMMYFUNCTION("""COMPUTED_VALUE"""),"0 RP")</f>
        <v>0 RP</v>
      </c>
      <c r="L176" s="263" t="str">
        <f>IFERROR(__xludf.DUMMYFUNCTION("""COMPUTED_VALUE"""),"")</f>
        <v/>
      </c>
      <c r="M176" s="263"/>
      <c r="N176" s="263"/>
      <c r="O176" s="263"/>
      <c r="P176" s="263"/>
      <c r="Q176" s="263"/>
      <c r="R176" s="263"/>
      <c r="S176" s="263"/>
      <c r="T176" s="263"/>
      <c r="U176" s="246"/>
      <c r="V176" s="246"/>
      <c r="W176" s="246"/>
      <c r="X176" s="246"/>
      <c r="Y176" s="246"/>
      <c r="Z176" s="246"/>
    </row>
    <row r="177">
      <c r="A177" s="263"/>
      <c r="B177" s="265" t="str">
        <f>IFERROR(__xludf.DUMMYFUNCTION("""COMPUTED_VALUE"""),"Delay Time")</f>
        <v>Delay Time</v>
      </c>
      <c r="C177" s="263"/>
      <c r="D177" s="263" t="str">
        <f>IFERROR(__xludf.DUMMYFUNCTION("""COMPUTED_VALUE"""),"Stealth")</f>
        <v>Stealth</v>
      </c>
      <c r="E177" s="264" t="str">
        <f>IFERROR(__xludf.DUMMYFUNCTION("""COMPUTED_VALUE"""),"40ft")</f>
        <v>40ft</v>
      </c>
      <c r="F177" s="266" t="str">
        <f>IFERROR(__xludf.DUMMYFUNCTION("""COMPUTED_VALUE"""),"You choose one or more negative effects on the target that would trigger at the start or end of their turn. They trigger on the turn after the turn they would normally trigger instead.
You may only delay an effect once, but you are able to delay Stasis ev"&amp;"en though the target is normally immune to all abilities.
Start of turn effects still trigger at the start of the turn and end of turn effects still trigger at the end of the turn.")</f>
        <v>You choose one or more negative effects on the target that would trigger at the start or end of their turn. They trigger on the turn after the turn they would normally trigger instead.
You may only delay an effect once, but you are able to delay Stasis even though the target is normally immune to all abilities.
Start of turn effects still trigger at the start of the turn and end of turn effects still trigger at the end of the turn.</v>
      </c>
      <c r="G177" s="264" t="str">
        <f>IFERROR(__xludf.DUMMYFUNCTION("""COMPUTED_VALUE"""),"")</f>
        <v/>
      </c>
      <c r="H177" s="265" t="str">
        <f>IFERROR(__xludf.DUMMYFUNCTION("""COMPUTED_VALUE"""),"1 MP, 0 RP")</f>
        <v>1 MP, 0 RP</v>
      </c>
      <c r="I177" s="264" t="str">
        <f>IFERROR(__xludf.DUMMYFUNCTION("""COMPUTED_VALUE"""),"")</f>
        <v/>
      </c>
      <c r="J177" s="263" t="str">
        <f>IFERROR(__xludf.DUMMYFUNCTION("""COMPUTED_VALUE"""),"1 MP")</f>
        <v>1 MP</v>
      </c>
      <c r="K177" s="263" t="str">
        <f>IFERROR(__xludf.DUMMYFUNCTION("""COMPUTED_VALUE"""),"0 RP")</f>
        <v>0 RP</v>
      </c>
      <c r="L177" s="263" t="str">
        <f>IFERROR(__xludf.DUMMYFUNCTION("""COMPUTED_VALUE"""),"")</f>
        <v/>
      </c>
      <c r="M177" s="263"/>
      <c r="N177" s="263"/>
      <c r="O177" s="263"/>
      <c r="P177" s="263"/>
      <c r="Q177" s="263"/>
      <c r="R177" s="263"/>
      <c r="S177" s="263"/>
      <c r="T177" s="263"/>
      <c r="U177" s="246"/>
      <c r="V177" s="246"/>
      <c r="W177" s="246"/>
      <c r="X177" s="246"/>
      <c r="Y177" s="246"/>
      <c r="Z177" s="246"/>
    </row>
    <row r="178">
      <c r="A178" s="263"/>
      <c r="B178" s="265" t="str">
        <f>IFERROR(__xludf.DUMMYFUNCTION("""COMPUTED_VALUE"""),"Delayed Hit")</f>
        <v>Delayed Hit</v>
      </c>
      <c r="C178" s="263"/>
      <c r="D178" s="264" t="str">
        <f>IFERROR(__xludf.DUMMYFUNCTION("""COMPUTED_VALUE"""),"")</f>
        <v/>
      </c>
      <c r="E178" s="264" t="str">
        <f>IFERROR(__xludf.DUMMYFUNCTION("""COMPUTED_VALUE"""),"Melee Weapon Range")</f>
        <v>Melee Weapon Range</v>
      </c>
      <c r="F178" s="266" t="str">
        <f>IFERROR(__xludf.DUMMYFUNCTION("""COMPUTED_VALUE"""),"You make a Heavy Attack against the target, but don’t deal damage. On hit, even if it was guarded, the target takes Heavy Damage at the start of your next turn. (This delayed damage is calculated of the target’s Guard at the time it’s applied, not when th"&amp;"e attack hit)")</f>
        <v>You make a Heavy Attack against the target, but don’t deal damage. On hit, even if it was guarded, the target takes Heavy Damage at the start of your next turn. (This delayed damage is calculated of the target’s Guard at the time it’s applied, not when the attack hit)</v>
      </c>
      <c r="G178" s="263" t="str">
        <f>IFERROR(__xludf.DUMMYFUNCTION("""COMPUTED_VALUE"""),"")</f>
        <v/>
      </c>
      <c r="H178" s="265" t="str">
        <f>IFERROR(__xludf.DUMMYFUNCTION("""COMPUTED_VALUE"""),"2 AP")</f>
        <v>2 AP</v>
      </c>
      <c r="I178" s="263" t="str">
        <f>IFERROR(__xludf.DUMMYFUNCTION("""COMPUTED_VALUE"""),"2 AP")</f>
        <v>2 AP</v>
      </c>
      <c r="J178" s="263" t="str">
        <f>IFERROR(__xludf.DUMMYFUNCTION("""COMPUTED_VALUE"""),"")</f>
        <v/>
      </c>
      <c r="K178" s="264" t="str">
        <f>IFERROR(__xludf.DUMMYFUNCTION("""COMPUTED_VALUE"""),"")</f>
        <v/>
      </c>
      <c r="L178" s="263" t="str">
        <f>IFERROR(__xludf.DUMMYFUNCTION("""COMPUTED_VALUE"""),"")</f>
        <v/>
      </c>
      <c r="M178" s="263"/>
      <c r="N178" s="263"/>
      <c r="O178" s="263"/>
      <c r="P178" s="263"/>
      <c r="Q178" s="263"/>
      <c r="R178" s="263"/>
      <c r="S178" s="263"/>
      <c r="T178" s="263"/>
      <c r="U178" s="246"/>
      <c r="V178" s="246"/>
      <c r="W178" s="246"/>
      <c r="X178" s="246"/>
      <c r="Y178" s="246"/>
      <c r="Z178" s="246"/>
    </row>
    <row r="179">
      <c r="A179" s="263"/>
      <c r="B179" s="265" t="str">
        <f>IFERROR(__xludf.DUMMYFUNCTION("""COMPUTED_VALUE"""),"Demonblood Regeneration")</f>
        <v>Demonblood Regeneration</v>
      </c>
      <c r="C179" s="263"/>
      <c r="D179" s="264" t="str">
        <f>IFERROR(__xludf.DUMMYFUNCTION("""COMPUTED_VALUE"""),"")</f>
        <v/>
      </c>
      <c r="E179" s="264" t="str">
        <f>IFERROR(__xludf.DUMMYFUNCTION("""COMPUTED_VALUE"""),"")</f>
        <v/>
      </c>
      <c r="F179" s="266" t="str">
        <f>IFERROR(__xludf.DUMMYFUNCTION("""COMPUTED_VALUE"""),"You heal faster than those of other races. You gain the following benefits:
When using Grit, you heal for 6 HP instead.
When using Second Wind, you heal for an additional 3 HP.")</f>
        <v>You heal faster than those of other races. You gain the following benefits:
When using Grit, you heal for 6 HP instead.
When using Second Wind, you heal for an additional 3 HP.</v>
      </c>
      <c r="G179" s="263" t="str">
        <f>IFERROR(__xludf.DUMMYFUNCTION("""COMPUTED_VALUE"""),"")</f>
        <v/>
      </c>
      <c r="H179" s="265" t="str">
        <f>IFERROR(__xludf.DUMMYFUNCTION("""COMPUTED_VALUE"""),"")</f>
        <v/>
      </c>
      <c r="I179" s="264" t="str">
        <f>IFERROR(__xludf.DUMMYFUNCTION("""COMPUTED_VALUE"""),"")</f>
        <v/>
      </c>
      <c r="J179" s="263" t="str">
        <f>IFERROR(__xludf.DUMMYFUNCTION("""COMPUTED_VALUE"""),"")</f>
        <v/>
      </c>
      <c r="K179" s="263" t="str">
        <f>IFERROR(__xludf.DUMMYFUNCTION("""COMPUTED_VALUE"""),"")</f>
        <v/>
      </c>
      <c r="L179" s="263" t="str">
        <f>IFERROR(__xludf.DUMMYFUNCTION("""COMPUTED_VALUE"""),"")</f>
        <v/>
      </c>
      <c r="M179" s="263"/>
      <c r="N179" s="263"/>
      <c r="O179" s="263"/>
      <c r="P179" s="263"/>
      <c r="Q179" s="263"/>
      <c r="R179" s="263"/>
      <c r="S179" s="263"/>
      <c r="T179" s="263"/>
      <c r="U179" s="246"/>
      <c r="V179" s="246"/>
      <c r="W179" s="246"/>
      <c r="X179" s="246"/>
      <c r="Y179" s="246"/>
      <c r="Z179" s="246"/>
    </row>
    <row r="180">
      <c r="A180" s="263"/>
      <c r="B180" s="265" t="str">
        <f>IFERROR(__xludf.DUMMYFUNCTION("""COMPUTED_VALUE"""),"Dense Frame")</f>
        <v>Dense Frame</v>
      </c>
      <c r="C180" s="263"/>
      <c r="D180" s="264" t="str">
        <f>IFERROR(__xludf.DUMMYFUNCTION("""COMPUTED_VALUE"""),"")</f>
        <v/>
      </c>
      <c r="E180" s="264" t="str">
        <f>IFERROR(__xludf.DUMMYFUNCTION("""COMPUTED_VALUE"""),"")</f>
        <v/>
      </c>
      <c r="F180" s="266" t="str">
        <f>IFERROR(__xludf.DUMMYFUNCTION("""COMPUTED_VALUE"""),"When you would be pushed back by an effect, you are shoved for 5ft less.")</f>
        <v>When you would be pushed back by an effect, you are shoved for 5ft less.</v>
      </c>
      <c r="G180" s="264" t="str">
        <f>IFERROR(__xludf.DUMMYFUNCTION("""COMPUTED_VALUE"""),"")</f>
        <v/>
      </c>
      <c r="H180" s="265" t="str">
        <f>IFERROR(__xludf.DUMMYFUNCTION("""COMPUTED_VALUE"""),"")</f>
        <v/>
      </c>
      <c r="I180" s="264" t="str">
        <f>IFERROR(__xludf.DUMMYFUNCTION("""COMPUTED_VALUE"""),"")</f>
        <v/>
      </c>
      <c r="J180" s="264" t="str">
        <f>IFERROR(__xludf.DUMMYFUNCTION("""COMPUTED_VALUE"""),"")</f>
        <v/>
      </c>
      <c r="K180" s="263" t="str">
        <f>IFERROR(__xludf.DUMMYFUNCTION("""COMPUTED_VALUE"""),"")</f>
        <v/>
      </c>
      <c r="L180" s="263" t="str">
        <f>IFERROR(__xludf.DUMMYFUNCTION("""COMPUTED_VALUE"""),"")</f>
        <v/>
      </c>
      <c r="M180" s="263"/>
      <c r="N180" s="263"/>
      <c r="O180" s="263"/>
      <c r="P180" s="263"/>
      <c r="Q180" s="263"/>
      <c r="R180" s="263"/>
      <c r="S180" s="263"/>
      <c r="T180" s="263"/>
      <c r="U180" s="246"/>
      <c r="V180" s="246"/>
      <c r="W180" s="246"/>
      <c r="X180" s="246"/>
      <c r="Y180" s="246"/>
      <c r="Z180" s="246"/>
    </row>
    <row r="181">
      <c r="A181" s="263"/>
      <c r="B181" s="265" t="str">
        <f>IFERROR(__xludf.DUMMYFUNCTION("""COMPUTED_VALUE"""),"Dense Mana")</f>
        <v>Dense Mana</v>
      </c>
      <c r="C181" s="263"/>
      <c r="D181" s="263" t="str">
        <f>IFERROR(__xludf.DUMMYFUNCTION("""COMPUTED_VALUE"""),"")</f>
        <v/>
      </c>
      <c r="E181" s="264" t="str">
        <f>IFERROR(__xludf.DUMMYFUNCTION("""COMPUTED_VALUE"""),"Self")</f>
        <v>Self</v>
      </c>
      <c r="F181" s="266" t="str">
        <f>IFERROR(__xludf.DUMMYFUNCTION("""COMPUTED_VALUE"""),"You augment your next ability, increasing the Potency of your next ability by 2.")</f>
        <v>You augment your next ability, increasing the Potency of your next ability by 2.</v>
      </c>
      <c r="G181" s="263" t="str">
        <f>IFERROR(__xludf.DUMMYFUNCTION("""COMPUTED_VALUE"""),"")</f>
        <v/>
      </c>
      <c r="H181" s="265" t="str">
        <f>IFERROR(__xludf.DUMMYFUNCTION("""COMPUTED_VALUE"""),"1 MP, 0 RP")</f>
        <v>1 MP, 0 RP</v>
      </c>
      <c r="I181" s="264" t="str">
        <f>IFERROR(__xludf.DUMMYFUNCTION("""COMPUTED_VALUE"""),"")</f>
        <v/>
      </c>
      <c r="J181" s="264" t="str">
        <f>IFERROR(__xludf.DUMMYFUNCTION("""COMPUTED_VALUE"""),"1 MP")</f>
        <v>1 MP</v>
      </c>
      <c r="K181" s="263" t="str">
        <f>IFERROR(__xludf.DUMMYFUNCTION("""COMPUTED_VALUE"""),"0 RP")</f>
        <v>0 RP</v>
      </c>
      <c r="L181" s="263" t="str">
        <f>IFERROR(__xludf.DUMMYFUNCTION("""COMPUTED_VALUE"""),"")</f>
        <v/>
      </c>
      <c r="M181" s="263"/>
      <c r="N181" s="263"/>
      <c r="O181" s="263"/>
      <c r="P181" s="263"/>
      <c r="Q181" s="263"/>
      <c r="R181" s="263"/>
      <c r="S181" s="263"/>
      <c r="T181" s="263"/>
      <c r="U181" s="246"/>
      <c r="V181" s="246"/>
      <c r="W181" s="246"/>
      <c r="X181" s="246"/>
      <c r="Y181" s="246"/>
      <c r="Z181" s="246"/>
    </row>
    <row r="182">
      <c r="A182" s="263"/>
      <c r="B182" s="265" t="str">
        <f>IFERROR(__xludf.DUMMYFUNCTION("""COMPUTED_VALUE"""),"Density Break")</f>
        <v>Density Break</v>
      </c>
      <c r="C182" s="263"/>
      <c r="D182" s="264" t="str">
        <f>IFERROR(__xludf.DUMMYFUNCTION("""COMPUTED_VALUE"""),"Spell, Gravity, Full Pierce")</f>
        <v>Spell, Gravity, Full Pierce</v>
      </c>
      <c r="E182" s="264" t="str">
        <f>IFERROR(__xludf.DUMMYFUNCTION("""COMPUTED_VALUE"""),"60ft")</f>
        <v>60ft</v>
      </c>
      <c r="F182" s="266" t="str">
        <f>IFERROR(__xludf.DUMMYFUNCTION("""COMPUTED_VALUE"""),"You make a Precise attack that deals damage equal to the target’s Toughness.")</f>
        <v>You make a Precise attack that deals damage equal to the target’s Toughness.</v>
      </c>
      <c r="G182" s="264" t="str">
        <f>IFERROR(__xludf.DUMMYFUNCTION("""COMPUTED_VALUE"""),"")</f>
        <v/>
      </c>
      <c r="H182" s="265" t="str">
        <f>IFERROR(__xludf.DUMMYFUNCTION("""COMPUTED_VALUE"""),"1 AP")</f>
        <v>1 AP</v>
      </c>
      <c r="I182" s="264" t="str">
        <f>IFERROR(__xludf.DUMMYFUNCTION("""COMPUTED_VALUE"""),"1 AP")</f>
        <v>1 AP</v>
      </c>
      <c r="J182" s="264" t="str">
        <f>IFERROR(__xludf.DUMMYFUNCTION("""COMPUTED_VALUE"""),"")</f>
        <v/>
      </c>
      <c r="K182" s="263" t="str">
        <f>IFERROR(__xludf.DUMMYFUNCTION("""COMPUTED_VALUE"""),"")</f>
        <v/>
      </c>
      <c r="L182" s="263" t="str">
        <f>IFERROR(__xludf.DUMMYFUNCTION("""COMPUTED_VALUE"""),"")</f>
        <v/>
      </c>
      <c r="M182" s="263"/>
      <c r="N182" s="263"/>
      <c r="O182" s="263"/>
      <c r="P182" s="263"/>
      <c r="Q182" s="263"/>
      <c r="R182" s="263"/>
      <c r="S182" s="263"/>
      <c r="T182" s="263"/>
      <c r="U182" s="246"/>
      <c r="V182" s="246"/>
      <c r="W182" s="246"/>
      <c r="X182" s="246"/>
      <c r="Y182" s="246"/>
      <c r="Z182" s="246"/>
    </row>
    <row r="183">
      <c r="A183" s="263"/>
      <c r="B183" s="265" t="str">
        <f>IFERROR(__xludf.DUMMYFUNCTION("""COMPUTED_VALUE"""),"Despair of Isolation")</f>
        <v>Despair of Isolation</v>
      </c>
      <c r="C183" s="263"/>
      <c r="D183" s="263" t="str">
        <f>IFERROR(__xludf.DUMMYFUNCTION("""COMPUTED_VALUE"""),"Song, Mind Affecting, Sound")</f>
        <v>Song, Mind Affecting, Sound</v>
      </c>
      <c r="E183" s="263" t="str">
        <f>IFERROR(__xludf.DUMMYFUNCTION("""COMPUTED_VALUE"""),"Self")</f>
        <v>Self</v>
      </c>
      <c r="F183" s="266" t="str">
        <f>IFERROR(__xludf.DUMMYFUNCTION("""COMPUTED_VALUE"""),"Everyone within your Mist of the Vale becomes Slowed until the end of their next turn. They must also make a Save or become Dazed until the end of their next turn. On failure, they also cannot target allies with friendly effects while in the mist until th"&amp;"e end of their next turn.
You may spend 1 Mana to exclude allies from this attack.")</f>
        <v>Everyone within your Mist of the Vale becomes Slowed until the end of their next turn. They must also make a Save or become Dazed until the end of their next turn. On failure, they also cannot target allies with friendly effects while in the mist until the end of their next turn.
You may spend 1 Mana to exclude allies from this attack.</v>
      </c>
      <c r="G183" s="264" t="str">
        <f>IFERROR(__xludf.DUMMYFUNCTION("""COMPUTED_VALUE"""),"Mist of the Vale must be active.")</f>
        <v>Mist of the Vale must be active.</v>
      </c>
      <c r="H183" s="267" t="str">
        <f>IFERROR(__xludf.DUMMYFUNCTION("""COMPUTED_VALUE"""),"1 AP")</f>
        <v>1 AP</v>
      </c>
      <c r="I183" s="263" t="str">
        <f>IFERROR(__xludf.DUMMYFUNCTION("""COMPUTED_VALUE"""),"1 AP")</f>
        <v>1 AP</v>
      </c>
      <c r="J183" s="263" t="str">
        <f>IFERROR(__xludf.DUMMYFUNCTION("""COMPUTED_VALUE"""),"")</f>
        <v/>
      </c>
      <c r="K183" s="263" t="str">
        <f>IFERROR(__xludf.DUMMYFUNCTION("""COMPUTED_VALUE"""),"")</f>
        <v/>
      </c>
      <c r="L183" s="263" t="str">
        <f>IFERROR(__xludf.DUMMYFUNCTION("""COMPUTED_VALUE"""),"")</f>
        <v/>
      </c>
      <c r="M183" s="263"/>
      <c r="N183" s="263"/>
      <c r="O183" s="263"/>
      <c r="P183" s="263"/>
      <c r="Q183" s="263"/>
      <c r="R183" s="263"/>
      <c r="S183" s="263"/>
      <c r="T183" s="263"/>
      <c r="U183" s="246"/>
      <c r="V183" s="246"/>
      <c r="W183" s="246"/>
      <c r="X183" s="246"/>
      <c r="Y183" s="246"/>
      <c r="Z183" s="246"/>
    </row>
    <row r="184">
      <c r="A184" s="263"/>
      <c r="B184" s="265" t="str">
        <f>IFERROR(__xludf.DUMMYFUNCTION("""COMPUTED_VALUE"""),"Destroy")</f>
        <v>Destroy</v>
      </c>
      <c r="C184" s="263"/>
      <c r="D184" s="264" t="str">
        <f>IFERROR(__xludf.DUMMYFUNCTION("""COMPUTED_VALUE"""),"Mystic Eye, Circuit")</f>
        <v>Mystic Eye, Circuit</v>
      </c>
      <c r="E184" s="264" t="str">
        <f>IFERROR(__xludf.DUMMYFUNCTION("""COMPUTED_VALUE"""),"60ft")</f>
        <v>60ft</v>
      </c>
      <c r="F184" s="266" t="str">
        <f>IFERROR(__xludf.DUMMYFUNCTION("""COMPUTED_VALUE"""),"The target must make a Save or take Heavy Dark(Curse) damage.")</f>
        <v>The target must make a Save or take Heavy Dark(Curse) damage.</v>
      </c>
      <c r="G184" s="263" t="str">
        <f>IFERROR(__xludf.DUMMYFUNCTION("""COMPUTED_VALUE"""),"")</f>
        <v/>
      </c>
      <c r="H184" s="267" t="str">
        <f>IFERROR(__xludf.DUMMYFUNCTION("""COMPUTED_VALUE"""),"2 AP, 3 MP")</f>
        <v>2 AP, 3 MP</v>
      </c>
      <c r="I184" s="263" t="str">
        <f>IFERROR(__xludf.DUMMYFUNCTION("""COMPUTED_VALUE"""),"2 AP")</f>
        <v>2 AP</v>
      </c>
      <c r="J184" s="263" t="str">
        <f>IFERROR(__xludf.DUMMYFUNCTION("""COMPUTED_VALUE"""),"3 MP")</f>
        <v>3 MP</v>
      </c>
      <c r="K184" s="263" t="str">
        <f>IFERROR(__xludf.DUMMYFUNCTION("""COMPUTED_VALUE"""),"")</f>
        <v/>
      </c>
      <c r="L184" s="263" t="str">
        <f>IFERROR(__xludf.DUMMYFUNCTION("""COMPUTED_VALUE"""),"")</f>
        <v/>
      </c>
      <c r="M184" s="263"/>
      <c r="N184" s="263"/>
      <c r="O184" s="263"/>
      <c r="P184" s="263"/>
      <c r="Q184" s="263"/>
      <c r="R184" s="263"/>
      <c r="S184" s="263"/>
      <c r="T184" s="263"/>
      <c r="U184" s="246"/>
      <c r="V184" s="246"/>
      <c r="W184" s="246"/>
      <c r="X184" s="246"/>
      <c r="Y184" s="246"/>
      <c r="Z184" s="246"/>
    </row>
    <row r="185">
      <c r="A185" s="263"/>
      <c r="B185" s="265" t="str">
        <f>IFERROR(__xludf.DUMMYFUNCTION("""COMPUTED_VALUE"""),"Destroy Ground")</f>
        <v>Destroy Ground</v>
      </c>
      <c r="C185" s="263"/>
      <c r="D185" s="264" t="str">
        <f>IFERROR(__xludf.DUMMYFUNCTION("""COMPUTED_VALUE"""),"")</f>
        <v/>
      </c>
      <c r="E185" s="264" t="str">
        <f>IFERROR(__xludf.DUMMYFUNCTION("""COMPUTED_VALUE"""),"5ft")</f>
        <v>5ft</v>
      </c>
      <c r="F185" s="266" t="str">
        <f>IFERROR(__xludf.DUMMYFUNCTION("""COMPUTED_VALUE"""),"You destroy natural earth with magical speed, creating up to a 10ft x 10ft x 10ft hole in most natural earth. Those caught in the effect may spend 1 RP to Sidestep 5ft out of the effect. All caught in the effect fall down 10ft into the hole and take falli"&amp;"ng damage as normal.
The spell requires natural ground to be below the touching surface to function. It may work on the bottom floor of a house, but will fail if used higher up or in some dungeons")</f>
        <v>You destroy natural earth with magical speed, creating up to a 10ft x 10ft x 10ft hole in most natural earth. Those caught in the effect may spend 1 RP to Sidestep 5ft out of the effect. All caught in the effect fall down 10ft into the hole and take falling damage as normal.
The spell requires natural ground to be below the touching surface to function. It may work on the bottom floor of a house, but will fail if used higher up or in some dungeons</v>
      </c>
      <c r="G185" s="263" t="str">
        <f>IFERROR(__xludf.DUMMYFUNCTION("""COMPUTED_VALUE"""),"")</f>
        <v/>
      </c>
      <c r="H185" s="265" t="str">
        <f>IFERROR(__xludf.DUMMYFUNCTION("""COMPUTED_VALUE"""),"2 AP, 1 MP")</f>
        <v>2 AP, 1 MP</v>
      </c>
      <c r="I185" s="263" t="str">
        <f>IFERROR(__xludf.DUMMYFUNCTION("""COMPUTED_VALUE"""),"2 AP")</f>
        <v>2 AP</v>
      </c>
      <c r="J185" s="263" t="str">
        <f>IFERROR(__xludf.DUMMYFUNCTION("""COMPUTED_VALUE"""),"1 MP")</f>
        <v>1 MP</v>
      </c>
      <c r="K185" s="264" t="str">
        <f>IFERROR(__xludf.DUMMYFUNCTION("""COMPUTED_VALUE"""),"")</f>
        <v/>
      </c>
      <c r="L185" s="263" t="str">
        <f>IFERROR(__xludf.DUMMYFUNCTION("""COMPUTED_VALUE"""),"")</f>
        <v/>
      </c>
      <c r="M185" s="263"/>
      <c r="N185" s="263"/>
      <c r="O185" s="263"/>
      <c r="P185" s="263"/>
      <c r="Q185" s="263"/>
      <c r="R185" s="263"/>
      <c r="S185" s="263"/>
      <c r="T185" s="263"/>
      <c r="U185" s="246"/>
      <c r="V185" s="246"/>
      <c r="W185" s="246"/>
      <c r="X185" s="246"/>
      <c r="Y185" s="246"/>
      <c r="Z185" s="246"/>
    </row>
    <row r="186">
      <c r="A186" s="263"/>
      <c r="B186" s="265" t="str">
        <f>IFERROR(__xludf.DUMMYFUNCTION("""COMPUTED_VALUE"""),"Destroying Angel")</f>
        <v>Destroying Angel</v>
      </c>
      <c r="C186" s="263"/>
      <c r="D186" s="264" t="str">
        <f>IFERROR(__xludf.DUMMYFUNCTION("""COMPUTED_VALUE"""),"Poison, Spell, Healing")</f>
        <v>Poison, Spell, Healing</v>
      </c>
      <c r="E186" s="264" t="str">
        <f>IFERROR(__xludf.DUMMYFUNCTION("""COMPUTED_VALUE"""),"60ft")</f>
        <v>60ft</v>
      </c>
      <c r="F186" s="266" t="str">
        <f>IFERROR(__xludf.DUMMYFUNCTION("""COMPUTED_VALUE"""),"You make a Precise Attack against an enemy unit within range, dealing Poison Damage. On damage, if the enemy is a Grunt, they are immediately reduced to negative their Max HP and die. On Killing Blow, the current host of Spore Symbiote is healed for 5 + P"&amp;"ower x 2.")</f>
        <v>You make a Precise Attack against an enemy unit within range, dealing Poison Damage. On damage, if the enemy is a Grunt, they are immediately reduced to negative their Max HP and die. On Killing Blow, the current host of Spore Symbiote is healed for 5 + Power x 2.</v>
      </c>
      <c r="G186" s="263" t="str">
        <f>IFERROR(__xludf.DUMMYFUNCTION("""COMPUTED_VALUE"""),"")</f>
        <v/>
      </c>
      <c r="H186" s="265" t="str">
        <f>IFERROR(__xludf.DUMMYFUNCTION("""COMPUTED_VALUE"""),"4 AP, 2 MP")</f>
        <v>4 AP, 2 MP</v>
      </c>
      <c r="I186" s="264" t="str">
        <f>IFERROR(__xludf.DUMMYFUNCTION("""COMPUTED_VALUE"""),"4 AP")</f>
        <v>4 AP</v>
      </c>
      <c r="J186" s="263" t="str">
        <f>IFERROR(__xludf.DUMMYFUNCTION("""COMPUTED_VALUE"""),"2 MP")</f>
        <v>2 MP</v>
      </c>
      <c r="K186" s="263" t="str">
        <f>IFERROR(__xludf.DUMMYFUNCTION("""COMPUTED_VALUE"""),"")</f>
        <v/>
      </c>
      <c r="L186" s="263" t="str">
        <f>IFERROR(__xludf.DUMMYFUNCTION("""COMPUTED_VALUE"""),"")</f>
        <v/>
      </c>
      <c r="M186" s="263"/>
      <c r="N186" s="263"/>
      <c r="O186" s="263"/>
      <c r="P186" s="263"/>
      <c r="Q186" s="263"/>
      <c r="R186" s="263"/>
      <c r="S186" s="263"/>
      <c r="T186" s="263"/>
      <c r="U186" s="246"/>
      <c r="V186" s="246"/>
      <c r="W186" s="246"/>
      <c r="X186" s="246"/>
      <c r="Y186" s="246"/>
      <c r="Z186" s="246"/>
    </row>
    <row r="187">
      <c r="A187" s="263"/>
      <c r="B187" s="265" t="str">
        <f>IFERROR(__xludf.DUMMYFUNCTION("""COMPUTED_VALUE"""),"Detailed Finish")</f>
        <v>Detailed Finish</v>
      </c>
      <c r="C187" s="263"/>
      <c r="D187" s="264" t="str">
        <f>IFERROR(__xludf.DUMMYFUNCTION("""COMPUTED_VALUE"""),"")</f>
        <v/>
      </c>
      <c r="E187" s="264" t="str">
        <f>IFERROR(__xludf.DUMMYFUNCTION("""COMPUTED_VALUE"""),"")</f>
        <v/>
      </c>
      <c r="F187" s="266" t="str">
        <f>IFERROR(__xludf.DUMMYFUNCTION("""COMPUTED_VALUE"""),"Make a crafting check. Upgrade the dice to 2d8.")</f>
        <v>Make a crafting check. Upgrade the dice to 2d8.</v>
      </c>
      <c r="G187" s="263" t="str">
        <f>IFERROR(__xludf.DUMMYFUNCTION("""COMPUTED_VALUE"""),"This is your last crafting dice. Costs 1 Crafting Dice.")</f>
        <v>This is your last crafting dice. Costs 1 Crafting Dice.</v>
      </c>
      <c r="H187" s="265" t="str">
        <f>IFERROR(__xludf.DUMMYFUNCTION("""COMPUTED_VALUE"""),"")</f>
        <v/>
      </c>
      <c r="I187" s="264" t="str">
        <f>IFERROR(__xludf.DUMMYFUNCTION("""COMPUTED_VALUE"""),"")</f>
        <v/>
      </c>
      <c r="J187" s="263" t="str">
        <f>IFERROR(__xludf.DUMMYFUNCTION("""COMPUTED_VALUE"""),"")</f>
        <v/>
      </c>
      <c r="K187" s="263" t="str">
        <f>IFERROR(__xludf.DUMMYFUNCTION("""COMPUTED_VALUE"""),"")</f>
        <v/>
      </c>
      <c r="L187" s="263" t="str">
        <f>IFERROR(__xludf.DUMMYFUNCTION("""COMPUTED_VALUE"""),"")</f>
        <v/>
      </c>
      <c r="M187" s="263"/>
      <c r="N187" s="263"/>
      <c r="O187" s="263"/>
      <c r="P187" s="263"/>
      <c r="Q187" s="263"/>
      <c r="R187" s="263"/>
      <c r="S187" s="263"/>
      <c r="T187" s="263"/>
      <c r="U187" s="246"/>
      <c r="V187" s="246"/>
      <c r="W187" s="246"/>
      <c r="X187" s="246"/>
      <c r="Y187" s="246"/>
      <c r="Z187" s="246"/>
    </row>
    <row r="188">
      <c r="A188" s="263"/>
      <c r="B188" s="265" t="str">
        <f>IFERROR(__xludf.DUMMYFUNCTION("""COMPUTED_VALUE"""),"Deus Vult")</f>
        <v>Deus Vult</v>
      </c>
      <c r="C188" s="263"/>
      <c r="D188" s="264" t="str">
        <f>IFERROR(__xludf.DUMMYFUNCTION("""COMPUTED_VALUE"""),"Augment")</f>
        <v>Augment</v>
      </c>
      <c r="E188" s="264" t="str">
        <f>IFERROR(__xludf.DUMMYFUNCTION("""COMPUTED_VALUE"""),"Self")</f>
        <v>Self</v>
      </c>
      <c r="F188" s="266" t="str">
        <f>IFERROR(__xludf.DUMMYFUNCTION("""COMPUTED_VALUE"""),"Can use with active Holy Orders. Your next basic attack or Ave Maria against your Holy Order gains the Lock On and Shieldbreaker keywords against your Holy Order.
Must be used before you make an attack and cannot be used in reaction to an ongoing attack.")</f>
        <v>Can use with active Holy Orders. Your next basic attack or Ave Maria against your Holy Order gains the Lock On and Shieldbreaker keywords against your Holy Order.
Must be used before you make an attack and cannot be used in reaction to an ongoing attack.</v>
      </c>
      <c r="G188" s="264" t="str">
        <f>IFERROR(__xludf.DUMMYFUNCTION("""COMPUTED_VALUE"""),"A target of your Holy Order.")</f>
        <v>A target of your Holy Order.</v>
      </c>
      <c r="H188" s="265" t="str">
        <f>IFERROR(__xludf.DUMMYFUNCTION("""COMPUTED_VALUE"""),"1 RP")</f>
        <v>1 RP</v>
      </c>
      <c r="I188" s="264" t="str">
        <f>IFERROR(__xludf.DUMMYFUNCTION("""COMPUTED_VALUE"""),"")</f>
        <v/>
      </c>
      <c r="J188" s="263" t="str">
        <f>IFERROR(__xludf.DUMMYFUNCTION("""COMPUTED_VALUE"""),"")</f>
        <v/>
      </c>
      <c r="K188" s="263" t="str">
        <f>IFERROR(__xludf.DUMMYFUNCTION("""COMPUTED_VALUE"""),"1 RP")</f>
        <v>1 RP</v>
      </c>
      <c r="L188" s="263" t="str">
        <f>IFERROR(__xludf.DUMMYFUNCTION("""COMPUTED_VALUE"""),"")</f>
        <v/>
      </c>
      <c r="M188" s="263"/>
      <c r="N188" s="263"/>
      <c r="O188" s="263"/>
      <c r="P188" s="263"/>
      <c r="Q188" s="263"/>
      <c r="R188" s="263"/>
      <c r="S188" s="263"/>
      <c r="T188" s="263"/>
      <c r="U188" s="246"/>
      <c r="V188" s="246"/>
      <c r="W188" s="246"/>
      <c r="X188" s="246"/>
      <c r="Y188" s="246"/>
      <c r="Z188" s="246"/>
    </row>
    <row r="189">
      <c r="A189" s="263"/>
      <c r="B189" s="265" t="str">
        <f>IFERROR(__xludf.DUMMYFUNCTION("""COMPUTED_VALUE"""),"Devastating Strike")</f>
        <v>Devastating Strike</v>
      </c>
      <c r="C189" s="263"/>
      <c r="D189" s="264" t="str">
        <f>IFERROR(__xludf.DUMMYFUNCTION("""COMPUTED_VALUE"""),"Full Pierce, Sure Hit")</f>
        <v>Full Pierce, Sure Hit</v>
      </c>
      <c r="E189" s="264" t="str">
        <f>IFERROR(__xludf.DUMMYFUNCTION("""COMPUTED_VALUE"""),"Melee Weapon Range")</f>
        <v>Melee Weapon Range</v>
      </c>
      <c r="F189" s="266" t="str">
        <f>IFERROR(__xludf.DUMMYFUNCTION("""COMPUTED_VALUE"""),"You make a Light attack against the target.")</f>
        <v>You make a Light attack against the target.</v>
      </c>
      <c r="G189" s="264" t="str">
        <f>IFERROR(__xludf.DUMMYFUNCTION("""COMPUTED_VALUE"""),"Target must have 0 RP remaining.")</f>
        <v>Target must have 0 RP remaining.</v>
      </c>
      <c r="H189" s="265" t="str">
        <f>IFERROR(__xludf.DUMMYFUNCTION("""COMPUTED_VALUE"""),"1 AP")</f>
        <v>1 AP</v>
      </c>
      <c r="I189" s="264" t="str">
        <f>IFERROR(__xludf.DUMMYFUNCTION("""COMPUTED_VALUE"""),"1 AP")</f>
        <v>1 AP</v>
      </c>
      <c r="J189" s="264" t="str">
        <f>IFERROR(__xludf.DUMMYFUNCTION("""COMPUTED_VALUE"""),"")</f>
        <v/>
      </c>
      <c r="K189" s="263" t="str">
        <f>IFERROR(__xludf.DUMMYFUNCTION("""COMPUTED_VALUE"""),"")</f>
        <v/>
      </c>
      <c r="L189" s="263" t="str">
        <f>IFERROR(__xludf.DUMMYFUNCTION("""COMPUTED_VALUE"""),"")</f>
        <v/>
      </c>
      <c r="M189" s="263"/>
      <c r="N189" s="263"/>
      <c r="O189" s="263"/>
      <c r="P189" s="263"/>
      <c r="Q189" s="263"/>
      <c r="R189" s="263"/>
      <c r="S189" s="263"/>
      <c r="T189" s="263"/>
      <c r="U189" s="246"/>
      <c r="V189" s="246"/>
      <c r="W189" s="246"/>
      <c r="X189" s="246"/>
      <c r="Y189" s="246"/>
      <c r="Z189" s="246"/>
    </row>
    <row r="190">
      <c r="A190" s="263"/>
      <c r="B190" s="265" t="str">
        <f>IFERROR(__xludf.DUMMYFUNCTION("""COMPUTED_VALUE"""),"Devastating Strike II")</f>
        <v>Devastating Strike II</v>
      </c>
      <c r="C190" s="263"/>
      <c r="D190" s="264" t="str">
        <f>IFERROR(__xludf.DUMMYFUNCTION("""COMPUTED_VALUE"""),"Sure Hit, Full Pierce")</f>
        <v>Sure Hit, Full Pierce</v>
      </c>
      <c r="E190" s="264" t="str">
        <f>IFERROR(__xludf.DUMMYFUNCTION("""COMPUTED_VALUE"""),"Melee Weapon Range")</f>
        <v>Melee Weapon Range</v>
      </c>
      <c r="F190" s="266" t="str">
        <f>IFERROR(__xludf.DUMMYFUNCTION("""COMPUTED_VALUE"""),"You make a Light attack against the target. The dice are maximized instead of rolling.")</f>
        <v>You make a Light attack against the target. The dice are maximized instead of rolling.</v>
      </c>
      <c r="G190" s="264" t="str">
        <f>IFERROR(__xludf.DUMMYFUNCTION("""COMPUTED_VALUE"""),"The target has no RP.")</f>
        <v>The target has no RP.</v>
      </c>
      <c r="H190" s="265" t="str">
        <f>IFERROR(__xludf.DUMMYFUNCTION("""COMPUTED_VALUE"""),"1 AP")</f>
        <v>1 AP</v>
      </c>
      <c r="I190" s="264" t="str">
        <f>IFERROR(__xludf.DUMMYFUNCTION("""COMPUTED_VALUE"""),"1 AP")</f>
        <v>1 AP</v>
      </c>
      <c r="J190" s="263" t="str">
        <f>IFERROR(__xludf.DUMMYFUNCTION("""COMPUTED_VALUE"""),"")</f>
        <v/>
      </c>
      <c r="K190" s="263" t="str">
        <f>IFERROR(__xludf.DUMMYFUNCTION("""COMPUTED_VALUE"""),"")</f>
        <v/>
      </c>
      <c r="L190" s="263" t="str">
        <f>IFERROR(__xludf.DUMMYFUNCTION("""COMPUTED_VALUE"""),"")</f>
        <v/>
      </c>
      <c r="M190" s="263"/>
      <c r="N190" s="263"/>
      <c r="O190" s="263"/>
      <c r="P190" s="263"/>
      <c r="Q190" s="263"/>
      <c r="R190" s="263"/>
      <c r="S190" s="263"/>
      <c r="T190" s="263"/>
      <c r="U190" s="246"/>
      <c r="V190" s="246"/>
      <c r="W190" s="246"/>
      <c r="X190" s="246"/>
      <c r="Y190" s="246"/>
      <c r="Z190" s="246"/>
    </row>
    <row r="191">
      <c r="A191" s="263"/>
      <c r="B191" s="265" t="str">
        <f>IFERROR(__xludf.DUMMYFUNCTION("""COMPUTED_VALUE"""),"Devastating Strike III")</f>
        <v>Devastating Strike III</v>
      </c>
      <c r="C191" s="263"/>
      <c r="D191" s="264" t="str">
        <f>IFERROR(__xludf.DUMMYFUNCTION("""COMPUTED_VALUE"""),"Full Pierce, Sure Hit")</f>
        <v>Full Pierce, Sure Hit</v>
      </c>
      <c r="E191" s="264" t="str">
        <f>IFERROR(__xludf.DUMMYFUNCTION("""COMPUTED_VALUE"""),"Melee Weapon Range")</f>
        <v>Melee Weapon Range</v>
      </c>
      <c r="F191" s="266" t="str">
        <f>IFERROR(__xludf.DUMMYFUNCTION("""COMPUTED_VALUE"""),"You make a Light (1 AP) or Heavy (2 AP) attack against the target.")</f>
        <v>You make a Light (1 AP) or Heavy (2 AP) attack against the target.</v>
      </c>
      <c r="G191" s="264" t="str">
        <f>IFERROR(__xludf.DUMMYFUNCTION("""COMPUTED_VALUE"""),"Target must have 0 RP remaining and must be marked by Death Mark. One-handed weapons only.")</f>
        <v>Target must have 0 RP remaining and must be marked by Death Mark. One-handed weapons only.</v>
      </c>
      <c r="H191" s="265" t="str">
        <f>IFERROR(__xludf.DUMMYFUNCTION("""COMPUTED_VALUE"""),"1 AP")</f>
        <v>1 AP</v>
      </c>
      <c r="I191" s="263" t="str">
        <f>IFERROR(__xludf.DUMMYFUNCTION("""COMPUTED_VALUE"""),"1 AP")</f>
        <v>1 AP</v>
      </c>
      <c r="J191" s="263" t="str">
        <f>IFERROR(__xludf.DUMMYFUNCTION("""COMPUTED_VALUE"""),"")</f>
        <v/>
      </c>
      <c r="K191" s="264" t="str">
        <f>IFERROR(__xludf.DUMMYFUNCTION("""COMPUTED_VALUE"""),"")</f>
        <v/>
      </c>
      <c r="L191" s="263" t="str">
        <f>IFERROR(__xludf.DUMMYFUNCTION("""COMPUTED_VALUE"""),"")</f>
        <v/>
      </c>
      <c r="M191" s="263"/>
      <c r="N191" s="263"/>
      <c r="O191" s="263"/>
      <c r="P191" s="263"/>
      <c r="Q191" s="263"/>
      <c r="R191" s="263"/>
      <c r="S191" s="263"/>
      <c r="T191" s="263"/>
      <c r="U191" s="246"/>
      <c r="V191" s="246"/>
      <c r="W191" s="246"/>
      <c r="X191" s="246"/>
      <c r="Y191" s="246"/>
      <c r="Z191" s="246"/>
    </row>
    <row r="192">
      <c r="A192" s="263"/>
      <c r="B192" s="265" t="str">
        <f>IFERROR(__xludf.DUMMYFUNCTION("""COMPUTED_VALUE"""),"Devil's Blow")</f>
        <v>Devil's Blow</v>
      </c>
      <c r="C192" s="263"/>
      <c r="D192" s="263" t="str">
        <f>IFERROR(__xludf.DUMMYFUNCTION("""COMPUTED_VALUE"""),"Full Pierce")</f>
        <v>Full Pierce</v>
      </c>
      <c r="E192" s="263" t="str">
        <f>IFERROR(__xludf.DUMMYFUNCTION("""COMPUTED_VALUE"""),"Melee Weapon Range")</f>
        <v>Melee Weapon Range</v>
      </c>
      <c r="F192" s="266" t="str">
        <f>IFERROR(__xludf.DUMMYFUNCTION("""COMPUTED_VALUE"""),"You make a Heavy attack against the target. This attack does NOT have Full Pierce.
If you roll a 1 on the accuracy check, you take full pierce damage of same the type as the attack equal to the damage roll of the attack. You also regain the mana spent on "&amp;"this.")</f>
        <v>You make a Heavy attack against the target. This attack does NOT have Full Pierce.
If you roll a 1 on the accuracy check, you take full pierce damage of same the type as the attack equal to the damage roll of the attack. You also regain the mana spent on this.</v>
      </c>
      <c r="G192" s="263" t="str">
        <f>IFERROR(__xludf.DUMMYFUNCTION("""COMPUTED_VALUE"""),"")</f>
        <v/>
      </c>
      <c r="H192" s="267" t="str">
        <f>IFERROR(__xludf.DUMMYFUNCTION("""COMPUTED_VALUE"""),"1 AP, 1 MP")</f>
        <v>1 AP, 1 MP</v>
      </c>
      <c r="I192" s="263" t="str">
        <f>IFERROR(__xludf.DUMMYFUNCTION("""COMPUTED_VALUE"""),"1 AP")</f>
        <v>1 AP</v>
      </c>
      <c r="J192" s="263" t="str">
        <f>IFERROR(__xludf.DUMMYFUNCTION("""COMPUTED_VALUE"""),"1 MP")</f>
        <v>1 MP</v>
      </c>
      <c r="K192" s="263" t="str">
        <f>IFERROR(__xludf.DUMMYFUNCTION("""COMPUTED_VALUE"""),"")</f>
        <v/>
      </c>
      <c r="L192" s="263" t="str">
        <f>IFERROR(__xludf.DUMMYFUNCTION("""COMPUTED_VALUE"""),"")</f>
        <v/>
      </c>
      <c r="M192" s="263"/>
      <c r="N192" s="263"/>
      <c r="O192" s="263"/>
      <c r="P192" s="263"/>
      <c r="Q192" s="263"/>
      <c r="R192" s="263"/>
      <c r="S192" s="263"/>
      <c r="T192" s="263"/>
      <c r="U192" s="246"/>
      <c r="V192" s="246"/>
      <c r="W192" s="246"/>
      <c r="X192" s="246"/>
      <c r="Y192" s="246"/>
      <c r="Z192" s="246"/>
    </row>
    <row r="193">
      <c r="A193" s="263"/>
      <c r="B193" s="265" t="str">
        <f>IFERROR(__xludf.DUMMYFUNCTION("""COMPUTED_VALUE"""),"Devil's Curse")</f>
        <v>Devil's Curse</v>
      </c>
      <c r="C193" s="263"/>
      <c r="D193" s="264" t="str">
        <f>IFERROR(__xludf.DUMMYFUNCTION("""COMPUTED_VALUE"""),"")</f>
        <v/>
      </c>
      <c r="E193" s="264" t="str">
        <f>IFERROR(__xludf.DUMMYFUNCTION("""COMPUTED_VALUE"""),"Self")</f>
        <v>Self</v>
      </c>
      <c r="F193" s="266" t="str">
        <f>IFERROR(__xludf.DUMMYFUNCTION("""COMPUTED_VALUE"""),"The attacker takes damage equal to the damage roll of the triggering attack. They cannot Dodge or Block this damage.
Does not work against Secret Arts, Climax Arts or similar level abilities.")</f>
        <v>The attacker takes damage equal to the damage roll of the triggering attack. They cannot Dodge or Block this damage.
Does not work against Secret Arts, Climax Arts or similar level abilities.</v>
      </c>
      <c r="G193" s="263" t="str">
        <f>IFERROR(__xludf.DUMMYFUNCTION("""COMPUTED_VALUE"""),"An enemy accuracy check against you rolls a 1.")</f>
        <v>An enemy accuracy check against you rolls a 1.</v>
      </c>
      <c r="H193" s="265" t="str">
        <f>IFERROR(__xludf.DUMMYFUNCTION("""COMPUTED_VALUE"""),"2 MP, 0 RP")</f>
        <v>2 MP, 0 RP</v>
      </c>
      <c r="I193" s="264" t="str">
        <f>IFERROR(__xludf.DUMMYFUNCTION("""COMPUTED_VALUE"""),"")</f>
        <v/>
      </c>
      <c r="J193" s="263" t="str">
        <f>IFERROR(__xludf.DUMMYFUNCTION("""COMPUTED_VALUE"""),"2 MP")</f>
        <v>2 MP</v>
      </c>
      <c r="K193" s="263" t="str">
        <f>IFERROR(__xludf.DUMMYFUNCTION("""COMPUTED_VALUE"""),"0 RP")</f>
        <v>0 RP</v>
      </c>
      <c r="L193" s="263" t="str">
        <f>IFERROR(__xludf.DUMMYFUNCTION("""COMPUTED_VALUE"""),"")</f>
        <v/>
      </c>
      <c r="M193" s="263"/>
      <c r="N193" s="263"/>
      <c r="O193" s="263"/>
      <c r="P193" s="263"/>
      <c r="Q193" s="263"/>
      <c r="R193" s="263"/>
      <c r="S193" s="263"/>
      <c r="T193" s="263"/>
      <c r="U193" s="246"/>
      <c r="V193" s="246"/>
      <c r="W193" s="246"/>
      <c r="X193" s="246"/>
      <c r="Y193" s="246"/>
      <c r="Z193" s="246"/>
    </row>
    <row r="194">
      <c r="A194" s="263"/>
      <c r="B194" s="265" t="str">
        <f>IFERROR(__xludf.DUMMYFUNCTION("""COMPUTED_VALUE"""),"Dharani: Blooming Conciousness")</f>
        <v>Dharani: Blooming Conciousness</v>
      </c>
      <c r="C194" s="263"/>
      <c r="D194" s="264" t="str">
        <f>IFERROR(__xludf.DUMMYFUNCTION("""COMPUTED_VALUE"""),"Secret Art, Healing")</f>
        <v>Secret Art, Healing</v>
      </c>
      <c r="E194" s="264" t="str">
        <f>IFERROR(__xludf.DUMMYFUNCTION("""COMPUTED_VALUE"""),"20ft")</f>
        <v>20ft</v>
      </c>
      <c r="F194" s="266" t="str">
        <f>IFERROR(__xludf.DUMMYFUNCTION("""COMPUTED_VALUE"""),"You release all gathered harmony as petals of radiant light that spiral outward from your body.
You consume all Harmony stacks and 1 mana per stack to heal all allies within range for (6 + Your focus) / 2 for each stack consumed.
If you do not have enough"&amp;" mana for all stacks, this ability instead consumes stacks equal to the mana you can spend.")</f>
        <v>You release all gathered harmony as petals of radiant light that spiral outward from your body.
You consume all Harmony stacks and 1 mana per stack to heal all allies within range for (6 + Your focus) / 2 for each stack consumed.
If you do not have enough mana for all stacks, this ability instead consumes stacks equal to the mana you can spend.</v>
      </c>
      <c r="G194" s="263" t="str">
        <f>IFERROR(__xludf.DUMMYFUNCTION("""COMPUTED_VALUE"""),"Must be in Luminous Form Stance and have 5 stacks of Harmony.")</f>
        <v>Must be in Luminous Form Stance and have 5 stacks of Harmony.</v>
      </c>
      <c r="H194" s="265" t="str">
        <f>IFERROR(__xludf.DUMMYFUNCTION("""COMPUTED_VALUE"""),"2 AP")</f>
        <v>2 AP</v>
      </c>
      <c r="I194" s="264" t="str">
        <f>IFERROR(__xludf.DUMMYFUNCTION("""COMPUTED_VALUE"""),"2 AP")</f>
        <v>2 AP</v>
      </c>
      <c r="J194" s="263" t="str">
        <f>IFERROR(__xludf.DUMMYFUNCTION("""COMPUTED_VALUE"""),"")</f>
        <v/>
      </c>
      <c r="K194" s="263" t="str">
        <f>IFERROR(__xludf.DUMMYFUNCTION("""COMPUTED_VALUE"""),"")</f>
        <v/>
      </c>
      <c r="L194" s="263" t="str">
        <f>IFERROR(__xludf.DUMMYFUNCTION("""COMPUTED_VALUE"""),"")</f>
        <v/>
      </c>
      <c r="M194" s="263"/>
      <c r="N194" s="263"/>
      <c r="O194" s="263"/>
      <c r="P194" s="263"/>
      <c r="Q194" s="263"/>
      <c r="R194" s="263"/>
      <c r="S194" s="263"/>
      <c r="T194" s="263"/>
      <c r="U194" s="246"/>
      <c r="V194" s="246"/>
      <c r="W194" s="246"/>
      <c r="X194" s="246"/>
      <c r="Y194" s="246"/>
      <c r="Z194" s="246"/>
    </row>
    <row r="195">
      <c r="A195" s="263"/>
      <c r="B195" s="265" t="str">
        <f>IFERROR(__xludf.DUMMYFUNCTION("""COMPUTED_VALUE"""),"Dimensional Armory Expansion")</f>
        <v>Dimensional Armory Expansion</v>
      </c>
      <c r="C195" s="263"/>
      <c r="D195" s="264" t="str">
        <f>IFERROR(__xludf.DUMMYFUNCTION("""COMPUTED_VALUE"""),"")</f>
        <v/>
      </c>
      <c r="E195" s="264" t="str">
        <f>IFERROR(__xludf.DUMMYFUNCTION("""COMPUTED_VALUE"""),"")</f>
        <v/>
      </c>
      <c r="F195" s="266" t="str">
        <f>IFERROR(__xludf.DUMMYFUNCTION("""COMPUTED_VALUE"""),"Your burden limit for your Dimensional Armory is increased by 4.  Ahead of time, you designate one armor, one cloak and one weapon/shield or two weapons or one two-handed weapon that are inside of your Dimensional Armory as a “dimensional set”, this proce"&amp;"ss takes 15 minutes of concentration.  You can only have one dimensional set at a time.")</f>
        <v>Your burden limit for your Dimensional Armory is increased by 4.  Ahead of time, you designate one armor, one cloak and one weapon/shield or two weapons or one two-handed weapon that are inside of your Dimensional Armory as a “dimensional set”, this process takes 15 minutes of concentration.  You can only have one dimensional set at a time.</v>
      </c>
      <c r="G195" s="264" t="str">
        <f>IFERROR(__xludf.DUMMYFUNCTION("""COMPUTED_VALUE"""),"")</f>
        <v/>
      </c>
      <c r="H195" s="265" t="str">
        <f>IFERROR(__xludf.DUMMYFUNCTION("""COMPUTED_VALUE"""),"")</f>
        <v/>
      </c>
      <c r="I195" s="264" t="str">
        <f>IFERROR(__xludf.DUMMYFUNCTION("""COMPUTED_VALUE"""),"")</f>
        <v/>
      </c>
      <c r="J195" s="264" t="str">
        <f>IFERROR(__xludf.DUMMYFUNCTION("""COMPUTED_VALUE"""),"")</f>
        <v/>
      </c>
      <c r="K195" s="263" t="str">
        <f>IFERROR(__xludf.DUMMYFUNCTION("""COMPUTED_VALUE"""),"")</f>
        <v/>
      </c>
      <c r="L195" s="263" t="str">
        <f>IFERROR(__xludf.DUMMYFUNCTION("""COMPUTED_VALUE"""),"")</f>
        <v/>
      </c>
      <c r="M195" s="263"/>
      <c r="N195" s="263"/>
      <c r="O195" s="263"/>
      <c r="P195" s="263"/>
      <c r="Q195" s="263"/>
      <c r="R195" s="263"/>
      <c r="S195" s="263"/>
      <c r="T195" s="263"/>
      <c r="U195" s="246"/>
      <c r="V195" s="246"/>
      <c r="W195" s="246"/>
      <c r="X195" s="246"/>
      <c r="Y195" s="246"/>
      <c r="Z195" s="246"/>
    </row>
    <row r="196">
      <c r="A196" s="263"/>
      <c r="B196" s="265" t="str">
        <f>IFERROR(__xludf.DUMMYFUNCTION("""COMPUTED_VALUE"""),"Dirge of Despair")</f>
        <v>Dirge of Despair</v>
      </c>
      <c r="C196" s="263"/>
      <c r="D196" s="263" t="str">
        <f>IFERROR(__xludf.DUMMYFUNCTION("""COMPUTED_VALUE"""),"Sound, Song, Upkeep, Mind Affecting")</f>
        <v>Sound, Song, Upkeep, Mind Affecting</v>
      </c>
      <c r="E196" s="264" t="str">
        <f>IFERROR(__xludf.DUMMYFUNCTION("""COMPUTED_VALUE"""),"30ft")</f>
        <v>30ft</v>
      </c>
      <c r="F196" s="266" t="str">
        <f>IFERROR(__xludf.DUMMYFUNCTION("""COMPUTED_VALUE"""),"All enemies within range must make a save against your Potency or become affected by this Song. While affected, you may subtract 1d4 from a single roll they make until the start of your next turn. You may choose to add this after seeing the roll.
Upkeep: "&amp;"At the start of your next turn and every turn thereafter, you may spend 1 AP to continue this performance. Enemies that successfully made their save, do not have to save again against this continued performance, but those who were affected continue to be "&amp;"affected.")</f>
        <v>All enemies within range must make a save against your Potency or become affected by this Song. While affected, you may subtract 1d4 from a single roll they make until the start of your next turn. You may choose to add this after seeing the roll.
Upkeep: At the start of your next turn and every turn thereafter, you may spend 1 AP to continue this performance. Enemies that successfully made their save, do not have to save again against this continued performance, but those who were affected continue to be affected.</v>
      </c>
      <c r="G196" s="263" t="str">
        <f>IFERROR(__xludf.DUMMYFUNCTION("""COMPUTED_VALUE"""),"")</f>
        <v/>
      </c>
      <c r="H196" s="265" t="str">
        <f>IFERROR(__xludf.DUMMYFUNCTION("""COMPUTED_VALUE"""),"2 AP")</f>
        <v>2 AP</v>
      </c>
      <c r="I196" s="264" t="str">
        <f>IFERROR(__xludf.DUMMYFUNCTION("""COMPUTED_VALUE"""),"2 AP")</f>
        <v>2 AP</v>
      </c>
      <c r="J196" s="264" t="str">
        <f>IFERROR(__xludf.DUMMYFUNCTION("""COMPUTED_VALUE"""),"")</f>
        <v/>
      </c>
      <c r="K196" s="263" t="str">
        <f>IFERROR(__xludf.DUMMYFUNCTION("""COMPUTED_VALUE"""),"")</f>
        <v/>
      </c>
      <c r="L196" s="263" t="str">
        <f>IFERROR(__xludf.DUMMYFUNCTION("""COMPUTED_VALUE"""),"")</f>
        <v/>
      </c>
      <c r="M196" s="263"/>
      <c r="N196" s="263"/>
      <c r="O196" s="263"/>
      <c r="P196" s="263"/>
      <c r="Q196" s="263"/>
      <c r="R196" s="263"/>
      <c r="S196" s="263"/>
      <c r="T196" s="263"/>
      <c r="U196" s="246"/>
      <c r="V196" s="246"/>
      <c r="W196" s="246"/>
      <c r="X196" s="246"/>
      <c r="Y196" s="246"/>
      <c r="Z196" s="246"/>
    </row>
    <row r="197">
      <c r="A197" s="263"/>
      <c r="B197" s="265" t="str">
        <f>IFERROR(__xludf.DUMMYFUNCTION("""COMPUTED_VALUE"""),"Disarming Attack")</f>
        <v>Disarming Attack</v>
      </c>
      <c r="C197" s="263"/>
      <c r="D197" s="264" t="str">
        <f>IFERROR(__xludf.DUMMYFUNCTION("""COMPUTED_VALUE"""),"Disarm")</f>
        <v>Disarm</v>
      </c>
      <c r="E197" s="264" t="str">
        <f>IFERROR(__xludf.DUMMYFUNCTION("""COMPUTED_VALUE"""),"Melee Weapon Range")</f>
        <v>Melee Weapon Range</v>
      </c>
      <c r="F197" s="266" t="str">
        <f>IFERROR(__xludf.DUMMYFUNCTION("""COMPUTED_VALUE"""),"You may make a Light Attack against the target. On damage, you Disarm the target until the start of your next turn.")</f>
        <v>You may make a Light Attack against the target. On damage, you Disarm the target until the start of your next turn.</v>
      </c>
      <c r="G197" s="263" t="str">
        <f>IFERROR(__xludf.DUMMYFUNCTION("""COMPUTED_VALUE"""),"")</f>
        <v/>
      </c>
      <c r="H197" s="265" t="str">
        <f>IFERROR(__xludf.DUMMYFUNCTION("""COMPUTED_VALUE"""),"2 AP, 2 MP")</f>
        <v>2 AP, 2 MP</v>
      </c>
      <c r="I197" s="264" t="str">
        <f>IFERROR(__xludf.DUMMYFUNCTION("""COMPUTED_VALUE"""),"2 AP")</f>
        <v>2 AP</v>
      </c>
      <c r="J197" s="263" t="str">
        <f>IFERROR(__xludf.DUMMYFUNCTION("""COMPUTED_VALUE"""),"2 MP")</f>
        <v>2 MP</v>
      </c>
      <c r="K197" s="263" t="str">
        <f>IFERROR(__xludf.DUMMYFUNCTION("""COMPUTED_VALUE"""),"")</f>
        <v/>
      </c>
      <c r="L197" s="263" t="str">
        <f>IFERROR(__xludf.DUMMYFUNCTION("""COMPUTED_VALUE"""),"")</f>
        <v/>
      </c>
      <c r="M197" s="263"/>
      <c r="N197" s="263"/>
      <c r="O197" s="263"/>
      <c r="P197" s="263"/>
      <c r="Q197" s="263"/>
      <c r="R197" s="263"/>
      <c r="S197" s="263"/>
      <c r="T197" s="263"/>
      <c r="U197" s="246"/>
      <c r="V197" s="246"/>
      <c r="W197" s="246"/>
      <c r="X197" s="246"/>
      <c r="Y197" s="246"/>
      <c r="Z197" s="246"/>
    </row>
    <row r="198">
      <c r="A198" s="263"/>
      <c r="B198" s="265" t="str">
        <f>IFERROR(__xludf.DUMMYFUNCTION("""COMPUTED_VALUE"""),"Disarming Shot")</f>
        <v>Disarming Shot</v>
      </c>
      <c r="C198" s="263"/>
      <c r="D198" s="264" t="str">
        <f>IFERROR(__xludf.DUMMYFUNCTION("""COMPUTED_VALUE"""),"Disarm")</f>
        <v>Disarm</v>
      </c>
      <c r="E198" s="264" t="str">
        <f>IFERROR(__xludf.DUMMYFUNCTION("""COMPUTED_VALUE"""),"Ranged Weapon Range")</f>
        <v>Ranged Weapon Range</v>
      </c>
      <c r="F198" s="266" t="str">
        <f>IFERROR(__xludf.DUMMYFUNCTION("""COMPUTED_VALUE"""),"You may make a Heavy Attack against the target. If the attack beat the passive evasion of the target (before Dodge bonuses), you Disarm the target until the start of your next turn. The target may spend 1 RP to avoid the disarm effect. This is in addition"&amp;" to any RP the target may spend to avoid the attack itself.")</f>
        <v>You may make a Heavy Attack against the target. If the attack beat the passive evasion of the target (before Dodge bonuses), you Disarm the target until the start of your next turn. The target may spend 1 RP to avoid the disarm effect. This is in addition to any RP the target may spend to avoid the attack itself.</v>
      </c>
      <c r="G198" s="264" t="str">
        <f>IFERROR(__xludf.DUMMYFUNCTION("""COMPUTED_VALUE"""),"")</f>
        <v/>
      </c>
      <c r="H198" s="265" t="str">
        <f>IFERROR(__xludf.DUMMYFUNCTION("""COMPUTED_VALUE"""),"2 AP, 2 MP")</f>
        <v>2 AP, 2 MP</v>
      </c>
      <c r="I198" s="264" t="str">
        <f>IFERROR(__xludf.DUMMYFUNCTION("""COMPUTED_VALUE"""),"2 AP")</f>
        <v>2 AP</v>
      </c>
      <c r="J198" s="263" t="str">
        <f>IFERROR(__xludf.DUMMYFUNCTION("""COMPUTED_VALUE"""),"2 MP")</f>
        <v>2 MP</v>
      </c>
      <c r="K198" s="263" t="str">
        <f>IFERROR(__xludf.DUMMYFUNCTION("""COMPUTED_VALUE"""),"")</f>
        <v/>
      </c>
      <c r="L198" s="263" t="str">
        <f>IFERROR(__xludf.DUMMYFUNCTION("""COMPUTED_VALUE"""),"")</f>
        <v/>
      </c>
      <c r="M198" s="263"/>
      <c r="N198" s="263"/>
      <c r="O198" s="263"/>
      <c r="P198" s="263"/>
      <c r="Q198" s="263"/>
      <c r="R198" s="263"/>
      <c r="S198" s="263"/>
      <c r="T198" s="263"/>
      <c r="U198" s="246"/>
      <c r="V198" s="246"/>
      <c r="W198" s="246"/>
      <c r="X198" s="246"/>
      <c r="Y198" s="246"/>
      <c r="Z198" s="246"/>
    </row>
    <row r="199">
      <c r="A199" s="263"/>
      <c r="B199" s="265" t="str">
        <f>IFERROR(__xludf.DUMMYFUNCTION("""COMPUTED_VALUE"""),"Discern Immunities")</f>
        <v>Discern Immunities</v>
      </c>
      <c r="C199" s="263"/>
      <c r="D199" s="263" t="str">
        <f>IFERROR(__xludf.DUMMYFUNCTION("""COMPUTED_VALUE"""),"Quick")</f>
        <v>Quick</v>
      </c>
      <c r="E199" s="264" t="str">
        <f>IFERROR(__xludf.DUMMYFUNCTION("""COMPUTED_VALUE"""),"Sight")</f>
        <v>Sight</v>
      </c>
      <c r="F199" s="266" t="str">
        <f>IFERROR(__xludf.DUMMYFUNCTION("""COMPUTED_VALUE"""),"You look at a single target and glean what its resistances are until the end of the encounter. When you are about to use an ability with a negative effect that would be passively negated by the target, you become aware of this and may cancel your action.
"&amp;"Does not apply if the target has an active ability that can remove it, such as a paladin’s Paragon of Virtue for example.")</f>
        <v>You look at a single target and glean what its resistances are until the end of the encounter. When you are about to use an ability with a negative effect that would be passively negated by the target, you become aware of this and may cancel your action.
Does not apply if the target has an active ability that can remove it, such as a paladin’s Paragon of Virtue for example.</v>
      </c>
      <c r="G199" s="263" t="str">
        <f>IFERROR(__xludf.DUMMYFUNCTION("""COMPUTED_VALUE"""),"")</f>
        <v/>
      </c>
      <c r="H199" s="265" t="str">
        <f>IFERROR(__xludf.DUMMYFUNCTION("""COMPUTED_VALUE"""),"0 AP")</f>
        <v>0 AP</v>
      </c>
      <c r="I199" s="263" t="str">
        <f>IFERROR(__xludf.DUMMYFUNCTION("""COMPUTED_VALUE"""),"0 AP")</f>
        <v>0 AP</v>
      </c>
      <c r="J199" s="263" t="str">
        <f>IFERROR(__xludf.DUMMYFUNCTION("""COMPUTED_VALUE"""),"")</f>
        <v/>
      </c>
      <c r="K199" s="264" t="str">
        <f>IFERROR(__xludf.DUMMYFUNCTION("""COMPUTED_VALUE"""),"")</f>
        <v/>
      </c>
      <c r="L199" s="263" t="str">
        <f>IFERROR(__xludf.DUMMYFUNCTION("""COMPUTED_VALUE"""),"")</f>
        <v/>
      </c>
      <c r="M199" s="263"/>
      <c r="N199" s="263"/>
      <c r="O199" s="263"/>
      <c r="P199" s="263"/>
      <c r="Q199" s="263"/>
      <c r="R199" s="263"/>
      <c r="S199" s="263"/>
      <c r="T199" s="263"/>
      <c r="U199" s="246"/>
      <c r="V199" s="246"/>
      <c r="W199" s="246"/>
      <c r="X199" s="246"/>
      <c r="Y199" s="246"/>
      <c r="Z199" s="246"/>
    </row>
    <row r="200">
      <c r="A200" s="263"/>
      <c r="B200" s="265" t="str">
        <f>IFERROR(__xludf.DUMMYFUNCTION("""COMPUTED_VALUE"""),"Discipline")</f>
        <v>Discipline</v>
      </c>
      <c r="C200" s="263"/>
      <c r="D200" s="264" t="str">
        <f>IFERROR(__xludf.DUMMYFUNCTION("""COMPUTED_VALUE"""),"")</f>
        <v/>
      </c>
      <c r="E200" s="264" t="str">
        <f>IFERROR(__xludf.DUMMYFUNCTION("""COMPUTED_VALUE"""),"Self")</f>
        <v>Self</v>
      </c>
      <c r="F200" s="266" t="str">
        <f>IFERROR(__xludf.DUMMYFUNCTION("""COMPUTED_VALUE"""),"Instead of rolling, you can choose instead to accept 10 as the dice value for a skill check.")</f>
        <v>Instead of rolling, you can choose instead to accept 10 as the dice value for a skill check.</v>
      </c>
      <c r="G200" s="264" t="str">
        <f>IFERROR(__xludf.DUMMYFUNCTION("""COMPUTED_VALUE"""),"You have at least 5 skill points in the called for skill. Use when you need to roll a skill check.")</f>
        <v>You have at least 5 skill points in the called for skill. Use when you need to roll a skill check.</v>
      </c>
      <c r="H200" s="267" t="str">
        <f>IFERROR(__xludf.DUMMYFUNCTION("""COMPUTED_VALUE"""),"0 AP")</f>
        <v>0 AP</v>
      </c>
      <c r="I200" s="263" t="str">
        <f>IFERROR(__xludf.DUMMYFUNCTION("""COMPUTED_VALUE"""),"0 AP")</f>
        <v>0 AP</v>
      </c>
      <c r="J200" s="263" t="str">
        <f>IFERROR(__xludf.DUMMYFUNCTION("""COMPUTED_VALUE"""),"")</f>
        <v/>
      </c>
      <c r="K200" s="263" t="str">
        <f>IFERROR(__xludf.DUMMYFUNCTION("""COMPUTED_VALUE"""),"")</f>
        <v/>
      </c>
      <c r="L200" s="263" t="str">
        <f>IFERROR(__xludf.DUMMYFUNCTION("""COMPUTED_VALUE"""),"")</f>
        <v/>
      </c>
      <c r="M200" s="263"/>
      <c r="N200" s="263"/>
      <c r="O200" s="263"/>
      <c r="P200" s="263"/>
      <c r="Q200" s="263"/>
      <c r="R200" s="263"/>
      <c r="S200" s="263"/>
      <c r="T200" s="263"/>
      <c r="U200" s="246"/>
      <c r="V200" s="246"/>
      <c r="W200" s="246"/>
      <c r="X200" s="246"/>
      <c r="Y200" s="246"/>
      <c r="Z200" s="246"/>
    </row>
    <row r="201">
      <c r="A201" s="263"/>
      <c r="B201" s="265" t="str">
        <f>IFERROR(__xludf.DUMMYFUNCTION("""COMPUTED_VALUE"""),"Dispel Magic")</f>
        <v>Dispel Magic</v>
      </c>
      <c r="C201" s="263"/>
      <c r="D201" s="264" t="str">
        <f>IFERROR(__xludf.DUMMYFUNCTION("""COMPUTED_VALUE"""),"Arcane, Dispel, Spell")</f>
        <v>Arcane, Dispel, Spell</v>
      </c>
      <c r="E201" s="264" t="str">
        <f>IFERROR(__xludf.DUMMYFUNCTION("""COMPUTED_VALUE"""),"60ft")</f>
        <v>60ft</v>
      </c>
      <c r="F201" s="266" t="str">
        <f>IFERROR(__xludf.DUMMYFUNCTION("""COMPUTED_VALUE"""),"You dispel a temporary magic effect from an area or target. All non-permanent effects within range that are created by an ability with the Spell or Enchantment keyword are affected. Spells that do not have a time limit listed or create a permanent effect "&amp;"such as a Geomancer's fissure are not affected. Bounded Fields and Secret Arts cannot be removed with Dispel Magic.")</f>
        <v>You dispel a temporary magic effect from an area or target. All non-permanent effects within range that are created by an ability with the Spell or Enchantment keyword are affected. Spells that do not have a time limit listed or create a permanent effect such as a Geomancer's fissure are not affected. Bounded Fields and Secret Arts cannot be removed with Dispel Magic.</v>
      </c>
      <c r="G201" s="264" t="str">
        <f>IFERROR(__xludf.DUMMYFUNCTION("""COMPUTED_VALUE"""),"")</f>
        <v/>
      </c>
      <c r="H201" s="265" t="str">
        <f>IFERROR(__xludf.DUMMYFUNCTION("""COMPUTED_VALUE"""),"2 AP, 3 MP")</f>
        <v>2 AP, 3 MP</v>
      </c>
      <c r="I201" s="264" t="str">
        <f>IFERROR(__xludf.DUMMYFUNCTION("""COMPUTED_VALUE"""),"2 AP")</f>
        <v>2 AP</v>
      </c>
      <c r="J201" s="264" t="str">
        <f>IFERROR(__xludf.DUMMYFUNCTION("""COMPUTED_VALUE"""),"3 MP")</f>
        <v>3 MP</v>
      </c>
      <c r="K201" s="263" t="str">
        <f>IFERROR(__xludf.DUMMYFUNCTION("""COMPUTED_VALUE"""),"")</f>
        <v/>
      </c>
      <c r="L201" s="263" t="str">
        <f>IFERROR(__xludf.DUMMYFUNCTION("""COMPUTED_VALUE"""),"")</f>
        <v/>
      </c>
      <c r="M201" s="263"/>
      <c r="N201" s="263"/>
      <c r="O201" s="263"/>
      <c r="P201" s="263"/>
      <c r="Q201" s="263"/>
      <c r="R201" s="263"/>
      <c r="S201" s="263"/>
      <c r="T201" s="263"/>
      <c r="U201" s="246"/>
      <c r="V201" s="246"/>
      <c r="W201" s="246"/>
      <c r="X201" s="246"/>
      <c r="Y201" s="246"/>
      <c r="Z201" s="246"/>
    </row>
    <row r="202">
      <c r="A202" s="263"/>
      <c r="B202" s="265" t="str">
        <f>IFERROR(__xludf.DUMMYFUNCTION("""COMPUTED_VALUE"""),"Disrupt Ki")</f>
        <v>Disrupt Ki</v>
      </c>
      <c r="C202" s="263"/>
      <c r="D202" s="263" t="str">
        <f>IFERROR(__xludf.DUMMYFUNCTION("""COMPUTED_VALUE"""),"Unarmed Strike, Mystic Eye")</f>
        <v>Unarmed Strike, Mystic Eye</v>
      </c>
      <c r="E202" s="264" t="str">
        <f>IFERROR(__xludf.DUMMYFUNCTION("""COMPUTED_VALUE"""),"Melee Weapon Range")</f>
        <v>Melee Weapon Range</v>
      </c>
      <c r="F202" s="266" t="str">
        <f>IFERROR(__xludf.DUMMYFUNCTION("""COMPUTED_VALUE"""),"You may make a Light Attack against the target. On damage, if they have any Concentration ability active, that ability immediately ends as if they had chosen to drop it.")</f>
        <v>You may make a Light Attack against the target. On damage, if they have any Concentration ability active, that ability immediately ends as if they had chosen to drop it.</v>
      </c>
      <c r="G202" s="263" t="str">
        <f>IFERROR(__xludf.DUMMYFUNCTION("""COMPUTED_VALUE"""),"")</f>
        <v/>
      </c>
      <c r="H202" s="265" t="str">
        <f>IFERROR(__xludf.DUMMYFUNCTION("""COMPUTED_VALUE"""),"2 AP")</f>
        <v>2 AP</v>
      </c>
      <c r="I202" s="264" t="str">
        <f>IFERROR(__xludf.DUMMYFUNCTION("""COMPUTED_VALUE"""),"2 AP")</f>
        <v>2 AP</v>
      </c>
      <c r="J202" s="264" t="str">
        <f>IFERROR(__xludf.DUMMYFUNCTION("""COMPUTED_VALUE"""),"")</f>
        <v/>
      </c>
      <c r="K202" s="263" t="str">
        <f>IFERROR(__xludf.DUMMYFUNCTION("""COMPUTED_VALUE"""),"")</f>
        <v/>
      </c>
      <c r="L202" s="263" t="str">
        <f>IFERROR(__xludf.DUMMYFUNCTION("""COMPUTED_VALUE"""),"")</f>
        <v/>
      </c>
      <c r="M202" s="263"/>
      <c r="N202" s="263"/>
      <c r="O202" s="263"/>
      <c r="P202" s="263"/>
      <c r="Q202" s="263"/>
      <c r="R202" s="263"/>
      <c r="S202" s="263"/>
      <c r="T202" s="263"/>
      <c r="U202" s="246"/>
      <c r="V202" s="246"/>
      <c r="W202" s="246"/>
      <c r="X202" s="246"/>
      <c r="Y202" s="246"/>
      <c r="Z202" s="246"/>
    </row>
    <row r="203">
      <c r="A203" s="263"/>
      <c r="B203" s="265" t="str">
        <f>IFERROR(__xludf.DUMMYFUNCTION("""COMPUTED_VALUE"""),"Divine Barrage")</f>
        <v>Divine Barrage</v>
      </c>
      <c r="C203" s="263"/>
      <c r="D203" s="263" t="str">
        <f>IFERROR(__xludf.DUMMYFUNCTION("""COMPUTED_VALUE"""),"")</f>
        <v/>
      </c>
      <c r="E203" s="264" t="str">
        <f>IFERROR(__xludf.DUMMYFUNCTION("""COMPUTED_VALUE"""),"Ranged Weapon Range")</f>
        <v>Ranged Weapon Range</v>
      </c>
      <c r="F203" s="266" t="str">
        <f>IFERROR(__xludf.DUMMYFUNCTION("""COMPUTED_VALUE"""),"You make a Light attack against the target and instruct others to follow your lead.
X allies other than you within 30ft of you may also make a Light attack against the same target.")</f>
        <v>You make a Light attack against the target and instruct others to follow your lead.
X allies other than you within 30ft of you may also make a Light attack against the same target.</v>
      </c>
      <c r="G203" s="263" t="str">
        <f>IFERROR(__xludf.DUMMYFUNCTION("""COMPUTED_VALUE"""),"")</f>
        <v/>
      </c>
      <c r="H203" s="265" t="str">
        <f>IFERROR(__xludf.DUMMYFUNCTION("""COMPUTED_VALUE"""),"2 AP, X MP")</f>
        <v>2 AP, X MP</v>
      </c>
      <c r="I203" s="264" t="str">
        <f>IFERROR(__xludf.DUMMYFUNCTION("""COMPUTED_VALUE"""),"2 AP")</f>
        <v>2 AP</v>
      </c>
      <c r="J203" s="263" t="str">
        <f>IFERROR(__xludf.DUMMYFUNCTION("""COMPUTED_VALUE"""),"X MP")</f>
        <v>X MP</v>
      </c>
      <c r="K203" s="263" t="str">
        <f>IFERROR(__xludf.DUMMYFUNCTION("""COMPUTED_VALUE"""),"")</f>
        <v/>
      </c>
      <c r="L203" s="263" t="str">
        <f>IFERROR(__xludf.DUMMYFUNCTION("""COMPUTED_VALUE"""),"")</f>
        <v/>
      </c>
      <c r="M203" s="263"/>
      <c r="N203" s="263"/>
      <c r="O203" s="263"/>
      <c r="P203" s="263"/>
      <c r="Q203" s="263"/>
      <c r="R203" s="263"/>
      <c r="S203" s="263"/>
      <c r="T203" s="263"/>
      <c r="U203" s="246"/>
      <c r="V203" s="246"/>
      <c r="W203" s="246"/>
      <c r="X203" s="246"/>
      <c r="Y203" s="246"/>
      <c r="Z203" s="246"/>
    </row>
    <row r="204">
      <c r="A204" s="263"/>
      <c r="B204" s="265" t="str">
        <f>IFERROR(__xludf.DUMMYFUNCTION("""COMPUTED_VALUE"""),"Divine Guard")</f>
        <v>Divine Guard</v>
      </c>
      <c r="C204" s="263"/>
      <c r="D204" s="264" t="str">
        <f>IFERROR(__xludf.DUMMYFUNCTION("""COMPUTED_VALUE"""),"")</f>
        <v/>
      </c>
      <c r="E204" s="264" t="str">
        <f>IFERROR(__xludf.DUMMYFUNCTION("""COMPUTED_VALUE"""),"Self")</f>
        <v>Self</v>
      </c>
      <c r="F204" s="266" t="str">
        <f>IFERROR(__xludf.DUMMYFUNCTION("""COMPUTED_VALUE"""),"You may immediately use the Block action to guard against the triggering attack with a +5 bonus to Guard.")</f>
        <v>You may immediately use the Block action to guard against the triggering attack with a +5 bonus to Guard.</v>
      </c>
      <c r="G204" s="264" t="str">
        <f>IFERROR(__xludf.DUMMYFUNCTION("""COMPUTED_VALUE"""),"Must be transformed by Divine Release and targeted by an attack.")</f>
        <v>Must be transformed by Divine Release and targeted by an attack.</v>
      </c>
      <c r="H204" s="265" t="str">
        <f>IFERROR(__xludf.DUMMYFUNCTION("""COMPUTED_VALUE"""),"1 RP")</f>
        <v>1 RP</v>
      </c>
      <c r="I204" s="263" t="str">
        <f>IFERROR(__xludf.DUMMYFUNCTION("""COMPUTED_VALUE"""),"")</f>
        <v/>
      </c>
      <c r="J204" s="264" t="str">
        <f>IFERROR(__xludf.DUMMYFUNCTION("""COMPUTED_VALUE"""),"")</f>
        <v/>
      </c>
      <c r="K204" s="264" t="str">
        <f>IFERROR(__xludf.DUMMYFUNCTION("""COMPUTED_VALUE"""),"1 RP")</f>
        <v>1 RP</v>
      </c>
      <c r="L204" s="263" t="str">
        <f>IFERROR(__xludf.DUMMYFUNCTION("""COMPUTED_VALUE"""),"")</f>
        <v/>
      </c>
      <c r="M204" s="263"/>
      <c r="N204" s="263"/>
      <c r="O204" s="263"/>
      <c r="P204" s="263"/>
      <c r="Q204" s="263"/>
      <c r="R204" s="263"/>
      <c r="S204" s="263"/>
      <c r="T204" s="263"/>
      <c r="U204" s="246"/>
      <c r="V204" s="246"/>
      <c r="W204" s="246"/>
      <c r="X204" s="246"/>
      <c r="Y204" s="246"/>
      <c r="Z204" s="246"/>
    </row>
    <row r="205">
      <c r="A205" s="263"/>
      <c r="B205" s="265" t="str">
        <f>IFERROR(__xludf.DUMMYFUNCTION("""COMPUTED_VALUE"""),"Divine Might")</f>
        <v>Divine Might</v>
      </c>
      <c r="C205" s="263"/>
      <c r="D205" s="264" t="str">
        <f>IFERROR(__xludf.DUMMYFUNCTION("""COMPUTED_VALUE"""),"")</f>
        <v/>
      </c>
      <c r="E205" s="264" t="str">
        <f>IFERROR(__xludf.DUMMYFUNCTION("""COMPUTED_VALUE"""),"Melee Weapon Range")</f>
        <v>Melee Weapon Range</v>
      </c>
      <c r="F205" s="266" t="str">
        <f>IFERROR(__xludf.DUMMYFUNCTION("""COMPUTED_VALUE"""),"You make a Light Attack against the target.")</f>
        <v>You make a Light Attack against the target.</v>
      </c>
      <c r="G205" s="264" t="str">
        <f>IFERROR(__xludf.DUMMYFUNCTION("""COMPUTED_VALUE"""),"Must be transformed by Divine Release.")</f>
        <v>Must be transformed by Divine Release.</v>
      </c>
      <c r="H205" s="265" t="str">
        <f>IFERROR(__xludf.DUMMYFUNCTION("""COMPUTED_VALUE"""),"0 AP")</f>
        <v>0 AP</v>
      </c>
      <c r="I205" s="263" t="str">
        <f>IFERROR(__xludf.DUMMYFUNCTION("""COMPUTED_VALUE"""),"0 AP")</f>
        <v>0 AP</v>
      </c>
      <c r="J205" s="264" t="str">
        <f>IFERROR(__xludf.DUMMYFUNCTION("""COMPUTED_VALUE"""),"")</f>
        <v/>
      </c>
      <c r="K205" s="264" t="str">
        <f>IFERROR(__xludf.DUMMYFUNCTION("""COMPUTED_VALUE"""),"")</f>
        <v/>
      </c>
      <c r="L205" s="263" t="str">
        <f>IFERROR(__xludf.DUMMYFUNCTION("""COMPUTED_VALUE"""),"")</f>
        <v/>
      </c>
      <c r="M205" s="263"/>
      <c r="N205" s="263"/>
      <c r="O205" s="263"/>
      <c r="P205" s="263"/>
      <c r="Q205" s="263"/>
      <c r="R205" s="263"/>
      <c r="S205" s="263"/>
      <c r="T205" s="263"/>
      <c r="U205" s="246"/>
      <c r="V205" s="246"/>
      <c r="W205" s="246"/>
      <c r="X205" s="246"/>
      <c r="Y205" s="246"/>
      <c r="Z205" s="246"/>
    </row>
    <row r="206">
      <c r="A206" s="263"/>
      <c r="B206" s="265" t="str">
        <f>IFERROR(__xludf.DUMMYFUNCTION("""COMPUTED_VALUE"""),"Divine Providence")</f>
        <v>Divine Providence</v>
      </c>
      <c r="C206" s="263"/>
      <c r="D206" s="264" t="str">
        <f>IFERROR(__xludf.DUMMYFUNCTION("""COMPUTED_VALUE"""),"Rage, Daze")</f>
        <v>Rage, Daze</v>
      </c>
      <c r="E206" s="264" t="str">
        <f>IFERROR(__xludf.DUMMYFUNCTION("""COMPUTED_VALUE"""),"Self")</f>
        <v>Self</v>
      </c>
      <c r="F206" s="266" t="str">
        <f>IFERROR(__xludf.DUMMYFUNCTION("""COMPUTED_VALUE"""),"When you use this ability you choose one of the following effects:
Divine Protection: You are protected from harm through divine protection, gaining 100 damage reduction against the next source of damage you take.
Fortune: When used for this effect, this "&amp;"ability becomes Instant. You may reroll your last d20 and take the new result.
Health: You heal someone (or yourself) within touching distance for 15 hp.
Light: You summon a bright light at your position that shines a bright light up to 30ft around you. Y"&amp;"ou may detonate this light by spending 0 AP to Daze all enemies within its range.
Once you use this ability, you may not use it again until after a rest.")</f>
        <v>When you use this ability you choose one of the following effects:
Divine Protection: You are protected from harm through divine protection, gaining 100 damage reduction against the next source of damage you take.
Fortune: When used for this effect, this ability becomes Instant. You may reroll your last d20 and take the new result.
Health: You heal someone (or yourself) within touching distance for 15 hp.
Light: You summon a bright light at your position that shines a bright light up to 30ft around you. You may detonate this light by spending 0 AP to Daze all enemies within its range.
Once you use this ability, you may not use it again until after a rest.</v>
      </c>
      <c r="G206" s="263" t="str">
        <f>IFERROR(__xludf.DUMMYFUNCTION("""COMPUTED_VALUE"""),"")</f>
        <v/>
      </c>
      <c r="H206" s="265" t="str">
        <f>IFERROR(__xludf.DUMMYFUNCTION("""COMPUTED_VALUE"""),"0 RP")</f>
        <v>0 RP</v>
      </c>
      <c r="I206" s="264" t="str">
        <f>IFERROR(__xludf.DUMMYFUNCTION("""COMPUTED_VALUE"""),"")</f>
        <v/>
      </c>
      <c r="J206" s="263" t="str">
        <f>IFERROR(__xludf.DUMMYFUNCTION("""COMPUTED_VALUE"""),"")</f>
        <v/>
      </c>
      <c r="K206" s="263" t="str">
        <f>IFERROR(__xludf.DUMMYFUNCTION("""COMPUTED_VALUE"""),"0 RP")</f>
        <v>0 RP</v>
      </c>
      <c r="L206" s="263" t="str">
        <f>IFERROR(__xludf.DUMMYFUNCTION("""COMPUTED_VALUE"""),"")</f>
        <v/>
      </c>
      <c r="M206" s="263"/>
      <c r="N206" s="263"/>
      <c r="O206" s="263"/>
      <c r="P206" s="263"/>
      <c r="Q206" s="263"/>
      <c r="R206" s="263"/>
      <c r="S206" s="263"/>
      <c r="T206" s="263"/>
      <c r="U206" s="246"/>
      <c r="V206" s="246"/>
      <c r="W206" s="246"/>
      <c r="X206" s="246"/>
      <c r="Y206" s="246"/>
      <c r="Z206" s="246"/>
    </row>
    <row r="207">
      <c r="A207" s="263"/>
      <c r="B207" s="265" t="str">
        <f>IFERROR(__xludf.DUMMYFUNCTION("""COMPUTED_VALUE"""),"Divine Release")</f>
        <v>Divine Release</v>
      </c>
      <c r="C207" s="263"/>
      <c r="D207" s="264" t="str">
        <f>IFERROR(__xludf.DUMMYFUNCTION("""COMPUTED_VALUE"""),"Transformation, Rage")</f>
        <v>Transformation, Rage</v>
      </c>
      <c r="E207" s="264" t="str">
        <f>IFERROR(__xludf.DUMMYFUNCTION("""COMPUTED_VALUE"""),"Self")</f>
        <v>Self</v>
      </c>
      <c r="F207" s="266" t="str">
        <f>IFERROR(__xludf.DUMMYFUNCTION("""COMPUTED_VALUE"""),"Demons can feed on their own lifeforce to release a brilliant display of divine powers. Horns can elongate, fangs might grow, eyes glow and even wings can sprout as the Demon realizes their Divine Roots.
Upkeep: 11 HP
You transform into your new form and "&amp;"take 11 true damage. You may end this form at any time by spending 0 RP. While the form lasts you gain the following benefits:
Fallen Guard: When you take the Block basic action, you gain an additional +5 to guard.
Fallen Alacrity: You gain +5 movement sp"&amp;"eed and the ability to fly.
Fallen Might: You gain +1 AP at the start of your turn.
Fallen Conviction: When you are reduced to 0 HP, you do not enter the downed state. You still receive the wounded status. While at or below 0 HP, the upkeep for this abili"&amp;"ty is increased to 16. If you end this ability while at or below 0 HP, you are immediately placed into the downed state. If your HP become equal to or lower than your negative maximum HP, you are immediately incapacitated and this ability ends.
Once you u"&amp;"se this ability, you cannot do so again until you finish an interlude rest phase.")</f>
        <v>Demons can feed on their own lifeforce to release a brilliant display of divine powers. Horns can elongate, fangs might grow, eyes glow and even wings can sprout as the Demon realizes their Divine Roots.
Upkeep: 11 HP
You transform into your new form and take 11 true damage. You may end this form at any time by spending 0 RP. While the form lasts you gain the following benefits:
Fallen Guard: When you take the Block basic action, you gain an additional +5 to guard.
Fallen Alacrity: You gain +5 movement speed and the ability to fly.
Fallen Might: You gain +1 AP at the start of your turn.
Fallen Conviction: When you are reduced to 0 HP, you do not enter the downed state. You still receive the wounded status. While at or below 0 HP, the upkeep for this ability is increased to 16. If you end this ability while at or below 0 HP, you are immediately placed into the downed state. If your HP become equal to or lower than your negative maximum HP, you are immediately incapacitated and this ability ends.
Once you use this ability, you cannot do so again until you finish an interlude rest phase.</v>
      </c>
      <c r="G207" s="263" t="str">
        <f>IFERROR(__xludf.DUMMYFUNCTION("""COMPUTED_VALUE"""),"")</f>
        <v/>
      </c>
      <c r="H207" s="265" t="str">
        <f>IFERROR(__xludf.DUMMYFUNCTION("""COMPUTED_VALUE"""),"0 AP")</f>
        <v>0 AP</v>
      </c>
      <c r="I207" s="264" t="str">
        <f>IFERROR(__xludf.DUMMYFUNCTION("""COMPUTED_VALUE"""),"0 AP")</f>
        <v>0 AP</v>
      </c>
      <c r="J207" s="263" t="str">
        <f>IFERROR(__xludf.DUMMYFUNCTION("""COMPUTED_VALUE"""),"")</f>
        <v/>
      </c>
      <c r="K207" s="263" t="str">
        <f>IFERROR(__xludf.DUMMYFUNCTION("""COMPUTED_VALUE"""),"")</f>
        <v/>
      </c>
      <c r="L207" s="263" t="str">
        <f>IFERROR(__xludf.DUMMYFUNCTION("""COMPUTED_VALUE"""),"")</f>
        <v/>
      </c>
      <c r="M207" s="263"/>
      <c r="N207" s="263"/>
      <c r="O207" s="263"/>
      <c r="P207" s="263"/>
      <c r="Q207" s="263"/>
      <c r="R207" s="263"/>
      <c r="S207" s="263"/>
      <c r="T207" s="263"/>
      <c r="U207" s="246"/>
      <c r="V207" s="246"/>
      <c r="W207" s="246"/>
      <c r="X207" s="246"/>
      <c r="Y207" s="246"/>
      <c r="Z207" s="246"/>
    </row>
    <row r="208">
      <c r="A208" s="263"/>
      <c r="B208" s="265" t="str">
        <f>IFERROR(__xludf.DUMMYFUNCTION("""COMPUTED_VALUE"""),"Divine Smite")</f>
        <v>Divine Smite</v>
      </c>
      <c r="C208" s="263"/>
      <c r="D208" s="264" t="str">
        <f>IFERROR(__xludf.DUMMYFUNCTION("""COMPUTED_VALUE"""),"Full Pierce")</f>
        <v>Full Pierce</v>
      </c>
      <c r="E208" s="264" t="str">
        <f>IFERROR(__xludf.DUMMYFUNCTION("""COMPUTED_VALUE"""),"Melee Weapon Range")</f>
        <v>Melee Weapon Range</v>
      </c>
      <c r="F208" s="266" t="str">
        <f>IFERROR(__xludf.DUMMYFUNCTION("""COMPUTED_VALUE"""),"You may make a Heavy Attack that deals Holy Damage against the target. If your target’s HP is lower than the max damage your attack would deal, this attack gains Full Pierce and does maximum damage instead of rolling.
This calculation only involves your b"&amp;"ase damage (Base weapon damage + the power). Any other effects added to the damage such as Heavy Blade's bonus damage, Anathema on target etc do not affect the calculation and aren't maximized.")</f>
        <v>You may make a Heavy Attack that deals Holy Damage against the target. If your target’s HP is lower than the max damage your attack would deal, this attack gains Full Pierce and does maximum damage instead of rolling.
This calculation only involves your base damage (Base weapon damage + the power). Any other effects added to the damage such as Heavy Blade's bonus damage, Anathema on target etc do not affect the calculation and aren't maximized.</v>
      </c>
      <c r="G208" s="263" t="str">
        <f>IFERROR(__xludf.DUMMYFUNCTION("""COMPUTED_VALUE"""),"Target has your Mark of Justice on them.")</f>
        <v>Target has your Mark of Justice on them.</v>
      </c>
      <c r="H208" s="265" t="str">
        <f>IFERROR(__xludf.DUMMYFUNCTION("""COMPUTED_VALUE"""),"2 AP, 2 MP")</f>
        <v>2 AP, 2 MP</v>
      </c>
      <c r="I208" s="264" t="str">
        <f>IFERROR(__xludf.DUMMYFUNCTION("""COMPUTED_VALUE"""),"2 AP")</f>
        <v>2 AP</v>
      </c>
      <c r="J208" s="263" t="str">
        <f>IFERROR(__xludf.DUMMYFUNCTION("""COMPUTED_VALUE"""),"2 MP")</f>
        <v>2 MP</v>
      </c>
      <c r="K208" s="263" t="str">
        <f>IFERROR(__xludf.DUMMYFUNCTION("""COMPUTED_VALUE"""),"")</f>
        <v/>
      </c>
      <c r="L208" s="263" t="str">
        <f>IFERROR(__xludf.DUMMYFUNCTION("""COMPUTED_VALUE"""),"")</f>
        <v/>
      </c>
      <c r="M208" s="263"/>
      <c r="N208" s="263"/>
      <c r="O208" s="263"/>
      <c r="P208" s="263"/>
      <c r="Q208" s="263"/>
      <c r="R208" s="263"/>
      <c r="S208" s="263"/>
      <c r="T208" s="263"/>
      <c r="U208" s="246"/>
      <c r="V208" s="246"/>
      <c r="W208" s="246"/>
      <c r="X208" s="246"/>
      <c r="Y208" s="246"/>
      <c r="Z208" s="246"/>
    </row>
    <row r="209">
      <c r="A209" s="263"/>
      <c r="B209" s="265" t="str">
        <f>IFERROR(__xludf.DUMMYFUNCTION("""COMPUTED_VALUE"""),"Divine Smite II")</f>
        <v>Divine Smite II</v>
      </c>
      <c r="C209" s="263"/>
      <c r="D209" s="264" t="str">
        <f>IFERROR(__xludf.DUMMYFUNCTION("""COMPUTED_VALUE"""),"")</f>
        <v/>
      </c>
      <c r="E209" s="264" t="str">
        <f>IFERROR(__xludf.DUMMYFUNCTION("""COMPUTED_VALUE"""),"Melee Weapon Range")</f>
        <v>Melee Weapon Range</v>
      </c>
      <c r="F209" s="266" t="str">
        <f>IFERROR(__xludf.DUMMYFUNCTION("""COMPUTED_VALUE"""),"You may make a Heavy Attack that deals Holy Damage against the target. On damage, you may give yourself or an ally within 30ft temporary HP equal your 5+Power until the end of the encounter.")</f>
        <v>You may make a Heavy Attack that deals Holy Damage against the target. On damage, you may give yourself or an ally within 30ft temporary HP equal your 5+Power until the end of the encounter.</v>
      </c>
      <c r="G209" s="264" t="str">
        <f>IFERROR(__xludf.DUMMYFUNCTION("""COMPUTED_VALUE"""),"")</f>
        <v/>
      </c>
      <c r="H209" s="265" t="str">
        <f>IFERROR(__xludf.DUMMYFUNCTION("""COMPUTED_VALUE"""),"2 AP, 1 MP")</f>
        <v>2 AP, 1 MP</v>
      </c>
      <c r="I209" s="263" t="str">
        <f>IFERROR(__xludf.DUMMYFUNCTION("""COMPUTED_VALUE"""),"2 AP")</f>
        <v>2 AP</v>
      </c>
      <c r="J209" s="264" t="str">
        <f>IFERROR(__xludf.DUMMYFUNCTION("""COMPUTED_VALUE"""),"1 MP")</f>
        <v>1 MP</v>
      </c>
      <c r="K209" s="264" t="str">
        <f>IFERROR(__xludf.DUMMYFUNCTION("""COMPUTED_VALUE"""),"")</f>
        <v/>
      </c>
      <c r="L209" s="263" t="str">
        <f>IFERROR(__xludf.DUMMYFUNCTION("""COMPUTED_VALUE"""),"")</f>
        <v/>
      </c>
      <c r="M209" s="263"/>
      <c r="N209" s="263"/>
      <c r="O209" s="263"/>
      <c r="P209" s="263"/>
      <c r="Q209" s="263"/>
      <c r="R209" s="263"/>
      <c r="S209" s="263"/>
      <c r="T209" s="263"/>
      <c r="U209" s="246"/>
      <c r="V209" s="246"/>
      <c r="W209" s="246"/>
      <c r="X209" s="246"/>
      <c r="Y209" s="246"/>
      <c r="Z209" s="246"/>
    </row>
    <row r="210">
      <c r="A210" s="263"/>
      <c r="B210" s="265" t="str">
        <f>IFERROR(__xludf.DUMMYFUNCTION("""COMPUTED_VALUE"""),"Divine Storm")</f>
        <v>Divine Storm</v>
      </c>
      <c r="C210" s="263"/>
      <c r="D210" s="264" t="str">
        <f>IFERROR(__xludf.DUMMYFUNCTION("""COMPUTED_VALUE"""),"Scatter")</f>
        <v>Scatter</v>
      </c>
      <c r="E210" s="264" t="str">
        <f>IFERROR(__xludf.DUMMYFUNCTION("""COMPUTED_VALUE"""),"Melee Weapon Range")</f>
        <v>Melee Weapon Range</v>
      </c>
      <c r="F210" s="266" t="str">
        <f>IFERROR(__xludf.DUMMYFUNCTION("""COMPUTED_VALUE"""),"You make a Heavy attack with your weapon against the target of your Mark of Justice.
You then make a Light attack against all other enemies within 5ft and push them back 10ft, regardless of whether the attack hit or not. This light attack is not made with"&amp;" your weapon and always does the damage type of your god (as determined by your Holy weapon key ability).")</f>
        <v>You make a Heavy attack with your weapon against the target of your Mark of Justice.
You then make a Light attack against all other enemies within 5ft and push them back 10ft, regardless of whether the attack hit or not. This light attack is not made with your weapon and always does the damage type of your god (as determined by your Holy weapon key ability).</v>
      </c>
      <c r="G210" s="263" t="str">
        <f>IFERROR(__xludf.DUMMYFUNCTION("""COMPUTED_VALUE"""),"Target has your Mark of Justice on them.")</f>
        <v>Target has your Mark of Justice on them.</v>
      </c>
      <c r="H210" s="265" t="str">
        <f>IFERROR(__xludf.DUMMYFUNCTION("""COMPUTED_VALUE"""),"3 AP, 2 MP")</f>
        <v>3 AP, 2 MP</v>
      </c>
      <c r="I210" s="264" t="str">
        <f>IFERROR(__xludf.DUMMYFUNCTION("""COMPUTED_VALUE"""),"3 AP")</f>
        <v>3 AP</v>
      </c>
      <c r="J210" s="264" t="str">
        <f>IFERROR(__xludf.DUMMYFUNCTION("""COMPUTED_VALUE"""),"2 MP")</f>
        <v>2 MP</v>
      </c>
      <c r="K210" s="263" t="str">
        <f>IFERROR(__xludf.DUMMYFUNCTION("""COMPUTED_VALUE"""),"")</f>
        <v/>
      </c>
      <c r="L210" s="263" t="str">
        <f>IFERROR(__xludf.DUMMYFUNCTION("""COMPUTED_VALUE"""),"")</f>
        <v/>
      </c>
      <c r="M210" s="263"/>
      <c r="N210" s="263"/>
      <c r="O210" s="263"/>
      <c r="P210" s="263"/>
      <c r="Q210" s="263"/>
      <c r="R210" s="263"/>
      <c r="S210" s="263"/>
      <c r="T210" s="263"/>
      <c r="U210" s="246"/>
      <c r="V210" s="246"/>
      <c r="W210" s="246"/>
      <c r="X210" s="246"/>
      <c r="Y210" s="246"/>
      <c r="Z210" s="246"/>
    </row>
    <row r="211">
      <c r="A211" s="263"/>
      <c r="B211" s="265" t="str">
        <f>IFERROR(__xludf.DUMMYFUNCTION("""COMPUTED_VALUE"""),"Divining Petalfall")</f>
        <v>Divining Petalfall</v>
      </c>
      <c r="C211" s="263"/>
      <c r="D211" s="264" t="str">
        <f>IFERROR(__xludf.DUMMYFUNCTION("""COMPUTED_VALUE"""),"")</f>
        <v/>
      </c>
      <c r="E211" s="264" t="str">
        <f>IFERROR(__xludf.DUMMYFUNCTION("""COMPUTED_VALUE"""),"")</f>
        <v/>
      </c>
      <c r="F211" s="266" t="str">
        <f>IFERROR(__xludf.DUMMYFUNCTION("""COMPUTED_VALUE"""),"Make a gathering check with a +5 bonus. If the final dice value is even, add it to Node Points. If it’s odd, add it to Lucky Points.")</f>
        <v>Make a gathering check with a +5 bonus. If the final dice value is even, add it to Node Points. If it’s odd, add it to Lucky Points.</v>
      </c>
      <c r="G211" s="264" t="str">
        <f>IFERROR(__xludf.DUMMYFUNCTION("""COMPUTED_VALUE"""),"Must be in a gathering session.")</f>
        <v>Must be in a gathering session.</v>
      </c>
      <c r="H211" s="265" t="str">
        <f>IFERROR(__xludf.DUMMYFUNCTION("""COMPUTED_VALUE"""),"1 Strike Dice")</f>
        <v>1 Strike Dice</v>
      </c>
      <c r="I211" s="263" t="str">
        <f>IFERROR(__xludf.DUMMYFUNCTION("""COMPUTED_VALUE"""),"")</f>
        <v/>
      </c>
      <c r="J211" s="264" t="str">
        <f>IFERROR(__xludf.DUMMYFUNCTION("""COMPUTED_VALUE"""),"")</f>
        <v/>
      </c>
      <c r="K211" s="264" t="str">
        <f>IFERROR(__xludf.DUMMYFUNCTION("""COMPUTED_VALUE"""),"")</f>
        <v/>
      </c>
      <c r="L211" s="263" t="str">
        <f>IFERROR(__xludf.DUMMYFUNCTION("""COMPUTED_VALUE"""),"")</f>
        <v/>
      </c>
      <c r="M211" s="263"/>
      <c r="N211" s="263"/>
      <c r="O211" s="263"/>
      <c r="P211" s="263"/>
      <c r="Q211" s="263"/>
      <c r="R211" s="263"/>
      <c r="S211" s="263"/>
      <c r="T211" s="263"/>
      <c r="U211" s="246"/>
      <c r="V211" s="246"/>
      <c r="W211" s="246"/>
      <c r="X211" s="246"/>
      <c r="Y211" s="246"/>
      <c r="Z211" s="246"/>
    </row>
    <row r="212">
      <c r="A212" s="263"/>
      <c r="B212" s="265" t="str">
        <f>IFERROR(__xludf.DUMMYFUNCTION("""COMPUTED_VALUE"""),"Doctor Jekyll")</f>
        <v>Doctor Jekyll</v>
      </c>
      <c r="C212" s="263"/>
      <c r="D212" s="264" t="str">
        <f>IFERROR(__xludf.DUMMYFUNCTION("""COMPUTED_VALUE"""),"Encounter Start")</f>
        <v>Encounter Start</v>
      </c>
      <c r="E212" s="264" t="str">
        <f>IFERROR(__xludf.DUMMYFUNCTION("""COMPUTED_VALUE"""),"30ft")</f>
        <v>30ft</v>
      </c>
      <c r="F212" s="266" t="str">
        <f>IFERROR(__xludf.DUMMYFUNCTION("""COMPUTED_VALUE"""),"You draw and either drink a Potion or Elixir, or throw one to a willing ally within 30ft who immediately drinks it.")</f>
        <v>You draw and either drink a Potion or Elixir, or throw one to a willing ally within 30ft who immediately drinks it.</v>
      </c>
      <c r="G212" s="263" t="str">
        <f>IFERROR(__xludf.DUMMYFUNCTION("""COMPUTED_VALUE"""),"")</f>
        <v/>
      </c>
      <c r="H212" s="265" t="str">
        <f>IFERROR(__xludf.DUMMYFUNCTION("""COMPUTED_VALUE"""),"")</f>
        <v/>
      </c>
      <c r="I212" s="264" t="str">
        <f>IFERROR(__xludf.DUMMYFUNCTION("""COMPUTED_VALUE"""),"")</f>
        <v/>
      </c>
      <c r="J212" s="263" t="str">
        <f>IFERROR(__xludf.DUMMYFUNCTION("""COMPUTED_VALUE"""),"")</f>
        <v/>
      </c>
      <c r="K212" s="263" t="str">
        <f>IFERROR(__xludf.DUMMYFUNCTION("""COMPUTED_VALUE"""),"")</f>
        <v/>
      </c>
      <c r="L212" s="263" t="str">
        <f>IFERROR(__xludf.DUMMYFUNCTION("""COMPUTED_VALUE"""),"")</f>
        <v/>
      </c>
      <c r="M212" s="263"/>
      <c r="N212" s="263"/>
      <c r="O212" s="263"/>
      <c r="P212" s="263"/>
      <c r="Q212" s="263"/>
      <c r="R212" s="263"/>
      <c r="S212" s="263"/>
      <c r="T212" s="263"/>
      <c r="U212" s="246"/>
      <c r="V212" s="246"/>
      <c r="W212" s="246"/>
      <c r="X212" s="246"/>
      <c r="Y212" s="246"/>
      <c r="Z212" s="246"/>
    </row>
    <row r="213">
      <c r="A213" s="263"/>
      <c r="B213" s="265" t="str">
        <f>IFERROR(__xludf.DUMMYFUNCTION("""COMPUTED_VALUE"""),"Dog Form")</f>
        <v>Dog Form</v>
      </c>
      <c r="C213" s="263"/>
      <c r="D213" s="263" t="str">
        <f>IFERROR(__xludf.DUMMYFUNCTION("""COMPUTED_VALUE"""),"Transformation")</f>
        <v>Transformation</v>
      </c>
      <c r="E213" s="263" t="str">
        <f>IFERROR(__xludf.DUMMYFUNCTION("""COMPUTED_VALUE"""),"Self")</f>
        <v>Self</v>
      </c>
      <c r="F213" s="266" t="str">
        <f>IFERROR(__xludf.DUMMYFUNCTION("""COMPUTED_VALUE"""),"You transform into your Dog Form, becoming a medium size dog. You lose 2 guard and 4 block, but gain a +1 Size bonus to Evasion and Dodge.
While in Dog Form, you can only make melee unarmed attacks and you are considered proficient in these attacks.
If yo"&amp;"u take damage in Dog Form, you immediately return to your normal form. You can dispel this form for 0 AP or 1 RP.")</f>
        <v>You transform into your Dog Form, becoming a medium size dog. You lose 2 guard and 4 block, but gain a +1 Size bonus to Evasion and Dodge.
While in Dog Form, you can only make melee unarmed attacks and you are considered proficient in these attacks.
If you take damage in Dog Form, you immediately return to your normal form. You can dispel this form for 0 AP or 1 RP.</v>
      </c>
      <c r="G213" s="264" t="str">
        <f>IFERROR(__xludf.DUMMYFUNCTION("""COMPUTED_VALUE"""),"")</f>
        <v/>
      </c>
      <c r="H213" s="267" t="str">
        <f>IFERROR(__xludf.DUMMYFUNCTION("""COMPUTED_VALUE"""),"1 RP")</f>
        <v>1 RP</v>
      </c>
      <c r="I213" s="263" t="str">
        <f>IFERROR(__xludf.DUMMYFUNCTION("""COMPUTED_VALUE"""),"")</f>
        <v/>
      </c>
      <c r="J213" s="263" t="str">
        <f>IFERROR(__xludf.DUMMYFUNCTION("""COMPUTED_VALUE"""),"")</f>
        <v/>
      </c>
      <c r="K213" s="263" t="str">
        <f>IFERROR(__xludf.DUMMYFUNCTION("""COMPUTED_VALUE"""),"1 RP")</f>
        <v>1 RP</v>
      </c>
      <c r="L213" s="263" t="str">
        <f>IFERROR(__xludf.DUMMYFUNCTION("""COMPUTED_VALUE"""),"")</f>
        <v/>
      </c>
      <c r="M213" s="263"/>
      <c r="N213" s="263"/>
      <c r="O213" s="263"/>
      <c r="P213" s="263"/>
      <c r="Q213" s="263"/>
      <c r="R213" s="263"/>
      <c r="S213" s="263"/>
      <c r="T213" s="263"/>
      <c r="U213" s="246"/>
      <c r="V213" s="246"/>
      <c r="W213" s="246"/>
      <c r="X213" s="246"/>
      <c r="Y213" s="246"/>
      <c r="Z213" s="246"/>
    </row>
    <row r="214">
      <c r="A214" s="263"/>
      <c r="B214" s="265" t="str">
        <f>IFERROR(__xludf.DUMMYFUNCTION("""COMPUTED_VALUE"""),"Doom")</f>
        <v>Doom</v>
      </c>
      <c r="C214" s="263"/>
      <c r="D214" s="264" t="str">
        <f>IFERROR(__xludf.DUMMYFUNCTION("""COMPUTED_VALUE"""),"Mystic Eye")</f>
        <v>Mystic Eye</v>
      </c>
      <c r="E214" s="264" t="str">
        <f>IFERROR(__xludf.DUMMYFUNCTION("""COMPUTED_VALUE"""),"60ft")</f>
        <v>60ft</v>
      </c>
      <c r="F214" s="266" t="str">
        <f>IFERROR(__xludf.DUMMYFUNCTION("""COMPUTED_VALUE"""),"The target must make a Save. On failure, they take additional light damage the next time they take damage that isn't true damage.")</f>
        <v>The target must make a Save. On failure, they take additional light damage the next time they take damage that isn't true damage.</v>
      </c>
      <c r="G214" s="263" t="str">
        <f>IFERROR(__xludf.DUMMYFUNCTION("""COMPUTED_VALUE"""),"")</f>
        <v/>
      </c>
      <c r="H214" s="265" t="str">
        <f>IFERROR(__xludf.DUMMYFUNCTION("""COMPUTED_VALUE"""),"1 AP, 1 MP")</f>
        <v>1 AP, 1 MP</v>
      </c>
      <c r="I214" s="264" t="str">
        <f>IFERROR(__xludf.DUMMYFUNCTION("""COMPUTED_VALUE"""),"1 AP")</f>
        <v>1 AP</v>
      </c>
      <c r="J214" s="264" t="str">
        <f>IFERROR(__xludf.DUMMYFUNCTION("""COMPUTED_VALUE"""),"1 MP")</f>
        <v>1 MP</v>
      </c>
      <c r="K214" s="263" t="str">
        <f>IFERROR(__xludf.DUMMYFUNCTION("""COMPUTED_VALUE"""),"")</f>
        <v/>
      </c>
      <c r="L214" s="263" t="str">
        <f>IFERROR(__xludf.DUMMYFUNCTION("""COMPUTED_VALUE"""),"")</f>
        <v/>
      </c>
      <c r="M214" s="263"/>
      <c r="N214" s="263"/>
      <c r="O214" s="263"/>
      <c r="P214" s="263"/>
      <c r="Q214" s="263"/>
      <c r="R214" s="263"/>
      <c r="S214" s="263"/>
      <c r="T214" s="263"/>
      <c r="U214" s="246"/>
      <c r="V214" s="246"/>
      <c r="W214" s="246"/>
      <c r="X214" s="246"/>
      <c r="Y214" s="246"/>
      <c r="Z214" s="246"/>
    </row>
    <row r="215">
      <c r="A215" s="263"/>
      <c r="B215" s="265" t="str">
        <f>IFERROR(__xludf.DUMMYFUNCTION("""COMPUTED_VALUE"""),"Double Elements")</f>
        <v>Double Elements</v>
      </c>
      <c r="C215" s="263"/>
      <c r="D215" s="263" t="str">
        <f>IFERROR(__xludf.DUMMYFUNCTION("""COMPUTED_VALUE"""),"Quick")</f>
        <v>Quick</v>
      </c>
      <c r="E215" s="263" t="str">
        <f>IFERROR(__xludf.DUMMYFUNCTION("""COMPUTED_VALUE"""),"Self")</f>
        <v>Self</v>
      </c>
      <c r="F215" s="266" t="str">
        <f>IFERROR(__xludf.DUMMYFUNCTION("""COMPUTED_VALUE"""),"Your next Elemental Strike or Elemental Sweep ability used this turn may add in the effect of another element. This element must be one you have mastered and different from the effect that's already dealt by the attack.")</f>
        <v>Your next Elemental Strike or Elemental Sweep ability used this turn may add in the effect of another element. This element must be one you have mastered and different from the effect that's already dealt by the attack.</v>
      </c>
      <c r="G215" s="263" t="str">
        <f>IFERROR(__xludf.DUMMYFUNCTION("""COMPUTED_VALUE"""),"")</f>
        <v/>
      </c>
      <c r="H215" s="267" t="str">
        <f>IFERROR(__xludf.DUMMYFUNCTION("""COMPUTED_VALUE"""),"0 AP")</f>
        <v>0 AP</v>
      </c>
      <c r="I215" s="263" t="str">
        <f>IFERROR(__xludf.DUMMYFUNCTION("""COMPUTED_VALUE"""),"0 AP")</f>
        <v>0 AP</v>
      </c>
      <c r="J215" s="263" t="str">
        <f>IFERROR(__xludf.DUMMYFUNCTION("""COMPUTED_VALUE"""),"")</f>
        <v/>
      </c>
      <c r="K215" s="263" t="str">
        <f>IFERROR(__xludf.DUMMYFUNCTION("""COMPUTED_VALUE"""),"")</f>
        <v/>
      </c>
      <c r="L215" s="263" t="str">
        <f>IFERROR(__xludf.DUMMYFUNCTION("""COMPUTED_VALUE"""),"")</f>
        <v/>
      </c>
      <c r="M215" s="263"/>
      <c r="N215" s="263"/>
      <c r="O215" s="263"/>
      <c r="P215" s="263"/>
      <c r="Q215" s="263"/>
      <c r="R215" s="263"/>
      <c r="S215" s="263"/>
      <c r="T215" s="263"/>
      <c r="U215" s="246"/>
      <c r="V215" s="246"/>
      <c r="W215" s="246"/>
      <c r="X215" s="246"/>
      <c r="Y215" s="246"/>
      <c r="Z215" s="246"/>
    </row>
    <row r="216">
      <c r="A216" s="263"/>
      <c r="B216" s="265" t="str">
        <f>IFERROR(__xludf.DUMMYFUNCTION("""COMPUTED_VALUE"""),"Double Palm Strike")</f>
        <v>Double Palm Strike</v>
      </c>
      <c r="C216" s="263"/>
      <c r="D216" s="263" t="str">
        <f>IFERROR(__xludf.DUMMYFUNCTION("""COMPUTED_VALUE"""),"Bajiquan, Unarmed Strike")</f>
        <v>Bajiquan, Unarmed Strike</v>
      </c>
      <c r="E216" s="263" t="str">
        <f>IFERROR(__xludf.DUMMYFUNCTION("""COMPUTED_VALUE"""),"Melee Weapon Range")</f>
        <v>Melee Weapon Range</v>
      </c>
      <c r="F216" s="266" t="str">
        <f>IFERROR(__xludf.DUMMYFUNCTION("""COMPUTED_VALUE"""),"You attack the target for Light Damage. On damage, the target is moved up to 15ft away from you (At least 5 feet).")</f>
        <v>You attack the target for Light Damage. On damage, the target is moved up to 15ft away from you (At least 5 feet).</v>
      </c>
      <c r="G216" s="263" t="str">
        <f>IFERROR(__xludf.DUMMYFUNCTION("""COMPUTED_VALUE"""),"")</f>
        <v/>
      </c>
      <c r="H216" s="267" t="str">
        <f>IFERROR(__xludf.DUMMYFUNCTION("""COMPUTED_VALUE"""),"1 AP")</f>
        <v>1 AP</v>
      </c>
      <c r="I216" s="263" t="str">
        <f>IFERROR(__xludf.DUMMYFUNCTION("""COMPUTED_VALUE"""),"1 AP")</f>
        <v>1 AP</v>
      </c>
      <c r="J216" s="263" t="str">
        <f>IFERROR(__xludf.DUMMYFUNCTION("""COMPUTED_VALUE"""),"")</f>
        <v/>
      </c>
      <c r="K216" s="263" t="str">
        <f>IFERROR(__xludf.DUMMYFUNCTION("""COMPUTED_VALUE"""),"")</f>
        <v/>
      </c>
      <c r="L216" s="263" t="str">
        <f>IFERROR(__xludf.DUMMYFUNCTION("""COMPUTED_VALUE"""),"")</f>
        <v/>
      </c>
      <c r="M216" s="263"/>
      <c r="N216" s="263"/>
      <c r="O216" s="263"/>
      <c r="P216" s="263"/>
      <c r="Q216" s="263"/>
      <c r="R216" s="263"/>
      <c r="S216" s="263"/>
      <c r="T216" s="263"/>
      <c r="U216" s="246"/>
      <c r="V216" s="246"/>
      <c r="W216" s="246"/>
      <c r="X216" s="246"/>
      <c r="Y216" s="246"/>
      <c r="Z216" s="246"/>
    </row>
    <row r="217">
      <c r="A217" s="263"/>
      <c r="B217" s="265" t="str">
        <f>IFERROR(__xludf.DUMMYFUNCTION("""COMPUTED_VALUE"""),"Double Punch")</f>
        <v>Double Punch</v>
      </c>
      <c r="C217" s="263"/>
      <c r="D217" s="263" t="str">
        <f>IFERROR(__xludf.DUMMYFUNCTION("""COMPUTED_VALUE"""),"Unarmed Strike")</f>
        <v>Unarmed Strike</v>
      </c>
      <c r="E217" s="263" t="str">
        <f>IFERROR(__xludf.DUMMYFUNCTION("""COMPUTED_VALUE"""),"Melee Weapon Range")</f>
        <v>Melee Weapon Range</v>
      </c>
      <c r="F217" s="266" t="str">
        <f>IFERROR(__xludf.DUMMYFUNCTION("""COMPUTED_VALUE"""),"You may make two Light Attacks against the same target.
You may not make a dual wield attack until the start of your next turn.")</f>
        <v>You may make two Light Attacks against the same target.
You may not make a dual wield attack until the start of your next turn.</v>
      </c>
      <c r="G217" s="263" t="str">
        <f>IFERROR(__xludf.DUMMYFUNCTION("""COMPUTED_VALUE"""),"Must not have made a dual wield attack this turn.")</f>
        <v>Must not have made a dual wield attack this turn.</v>
      </c>
      <c r="H217" s="267" t="str">
        <f>IFERROR(__xludf.DUMMYFUNCTION("""COMPUTED_VALUE"""),"1 AP")</f>
        <v>1 AP</v>
      </c>
      <c r="I217" s="263" t="str">
        <f>IFERROR(__xludf.DUMMYFUNCTION("""COMPUTED_VALUE"""),"1 AP")</f>
        <v>1 AP</v>
      </c>
      <c r="J217" s="263" t="str">
        <f>IFERROR(__xludf.DUMMYFUNCTION("""COMPUTED_VALUE"""),"")</f>
        <v/>
      </c>
      <c r="K217" s="263" t="str">
        <f>IFERROR(__xludf.DUMMYFUNCTION("""COMPUTED_VALUE"""),"")</f>
        <v/>
      </c>
      <c r="L217" s="263" t="str">
        <f>IFERROR(__xludf.DUMMYFUNCTION("""COMPUTED_VALUE"""),"")</f>
        <v/>
      </c>
      <c r="M217" s="263"/>
      <c r="N217" s="263"/>
      <c r="O217" s="263"/>
      <c r="P217" s="263"/>
      <c r="Q217" s="263"/>
      <c r="R217" s="263"/>
      <c r="S217" s="263"/>
      <c r="T217" s="263"/>
      <c r="U217" s="246"/>
      <c r="V217" s="246"/>
      <c r="W217" s="246"/>
      <c r="X217" s="246"/>
      <c r="Y217" s="246"/>
      <c r="Z217" s="246"/>
    </row>
    <row r="218">
      <c r="A218" s="263"/>
      <c r="B218" s="265" t="str">
        <f>IFERROR(__xludf.DUMMYFUNCTION("""COMPUTED_VALUE"""),"Double Slam")</f>
        <v>Double Slam</v>
      </c>
      <c r="C218" s="263"/>
      <c r="D218" s="263" t="str">
        <f>IFERROR(__xludf.DUMMYFUNCTION("""COMPUTED_VALUE"""),"Unbalanced")</f>
        <v>Unbalanced</v>
      </c>
      <c r="E218" s="263" t="str">
        <f>IFERROR(__xludf.DUMMYFUNCTION("""COMPUTED_VALUE"""),"Melee Weapon Range")</f>
        <v>Melee Weapon Range</v>
      </c>
      <c r="F218" s="266" t="str">
        <f>IFERROR(__xludf.DUMMYFUNCTION("""COMPUTED_VALUE"""),"You may make up to 2 Light attacks against the target, paying 1 AP and 1 Mana for each. On damage of either hit, the target becomes Unbalanced. If the target is already unbalanced, they are knocked prone.
If you are wielding only 1 Two-Handed weapon, you "&amp;"are limited to 1 attack.")</f>
        <v>You may make up to 2 Light attacks against the target, paying 1 AP and 1 Mana for each. On damage of either hit, the target becomes Unbalanced. If the target is already unbalanced, they are knocked prone.
If you are wielding only 1 Two-Handed weapon, you are limited to 1 attack.</v>
      </c>
      <c r="G218" s="263" t="str">
        <f>IFERROR(__xludf.DUMMYFUNCTION("""COMPUTED_VALUE"""),"Two-Handed weapons only")</f>
        <v>Two-Handed weapons only</v>
      </c>
      <c r="H218" s="267" t="str">
        <f>IFERROR(__xludf.DUMMYFUNCTION("""COMPUTED_VALUE"""),"1 AP, 1 MP")</f>
        <v>1 AP, 1 MP</v>
      </c>
      <c r="I218" s="263" t="str">
        <f>IFERROR(__xludf.DUMMYFUNCTION("""COMPUTED_VALUE"""),"1 AP")</f>
        <v>1 AP</v>
      </c>
      <c r="J218" s="263" t="str">
        <f>IFERROR(__xludf.DUMMYFUNCTION("""COMPUTED_VALUE"""),"1 MP")</f>
        <v>1 MP</v>
      </c>
      <c r="K218" s="263" t="str">
        <f>IFERROR(__xludf.DUMMYFUNCTION("""COMPUTED_VALUE"""),"")</f>
        <v/>
      </c>
      <c r="L218" s="263" t="str">
        <f>IFERROR(__xludf.DUMMYFUNCTION("""COMPUTED_VALUE"""),"")</f>
        <v/>
      </c>
      <c r="M218" s="263"/>
      <c r="N218" s="263"/>
      <c r="O218" s="263"/>
      <c r="P218" s="263"/>
      <c r="Q218" s="263"/>
      <c r="R218" s="263"/>
      <c r="S218" s="263"/>
      <c r="T218" s="263"/>
      <c r="U218" s="246"/>
      <c r="V218" s="246"/>
      <c r="W218" s="246"/>
      <c r="X218" s="246"/>
      <c r="Y218" s="246"/>
      <c r="Z218" s="246"/>
    </row>
    <row r="219">
      <c r="A219" s="263"/>
      <c r="B219" s="265" t="str">
        <f>IFERROR(__xludf.DUMMYFUNCTION("""COMPUTED_VALUE"""),"Downburst")</f>
        <v>Downburst</v>
      </c>
      <c r="C219" s="263"/>
      <c r="D219" s="263" t="str">
        <f>IFERROR(__xludf.DUMMYFUNCTION("""COMPUTED_VALUE"""),"Lock On, Spell, Wind")</f>
        <v>Lock On, Spell, Wind</v>
      </c>
      <c r="E219" s="263" t="str">
        <f>IFERROR(__xludf.DUMMYFUNCTION("""COMPUTED_VALUE"""),"720ft")</f>
        <v>720ft</v>
      </c>
      <c r="F219" s="266" t="str">
        <f>IFERROR(__xludf.DUMMYFUNCTION("""COMPUTED_VALUE"""),"You may make a Heavy Attack that deals Wind damage against the target. On damage, the target immediately plummets to the ground and takes falling damage. This falling damage cannot be negated through the use of abilities that would normally negate falling"&amp;" damage.")</f>
        <v>You may make a Heavy Attack that deals Wind damage against the target. On damage, the target immediately plummets to the ground and takes falling damage. This falling damage cannot be negated through the use of abilities that would normally negate falling damage.</v>
      </c>
      <c r="G219" s="263" t="str">
        <f>IFERROR(__xludf.DUMMYFUNCTION("""COMPUTED_VALUE"""),"Target must be Flying.")</f>
        <v>Target must be Flying.</v>
      </c>
      <c r="H219" s="267" t="str">
        <f>IFERROR(__xludf.DUMMYFUNCTION("""COMPUTED_VALUE"""),"4 AP")</f>
        <v>4 AP</v>
      </c>
      <c r="I219" s="263" t="str">
        <f>IFERROR(__xludf.DUMMYFUNCTION("""COMPUTED_VALUE"""),"4 AP")</f>
        <v>4 AP</v>
      </c>
      <c r="J219" s="263" t="str">
        <f>IFERROR(__xludf.DUMMYFUNCTION("""COMPUTED_VALUE"""),"")</f>
        <v/>
      </c>
      <c r="K219" s="263" t="str">
        <f>IFERROR(__xludf.DUMMYFUNCTION("""COMPUTED_VALUE"""),"")</f>
        <v/>
      </c>
      <c r="L219" s="263" t="str">
        <f>IFERROR(__xludf.DUMMYFUNCTION("""COMPUTED_VALUE"""),"")</f>
        <v/>
      </c>
      <c r="M219" s="263"/>
      <c r="N219" s="263"/>
      <c r="O219" s="263"/>
      <c r="P219" s="263"/>
      <c r="Q219" s="263"/>
      <c r="R219" s="263"/>
      <c r="S219" s="263"/>
      <c r="T219" s="263"/>
      <c r="U219" s="246"/>
      <c r="V219" s="246"/>
      <c r="W219" s="246"/>
      <c r="X219" s="246"/>
      <c r="Y219" s="246"/>
      <c r="Z219" s="246"/>
    </row>
    <row r="220">
      <c r="A220" s="263"/>
      <c r="B220" s="265" t="str">
        <f>IFERROR(__xludf.DUMMYFUNCTION("""COMPUTED_VALUE"""),"Downburst II")</f>
        <v>Downburst II</v>
      </c>
      <c r="C220" s="263"/>
      <c r="D220" s="264" t="str">
        <f>IFERROR(__xludf.DUMMYFUNCTION("""COMPUTED_VALUE"""),"Lock On, Spell, Wind")</f>
        <v>Lock On, Spell, Wind</v>
      </c>
      <c r="E220" s="264" t="str">
        <f>IFERROR(__xludf.DUMMYFUNCTION("""COMPUTED_VALUE"""),"720ft")</f>
        <v>720ft</v>
      </c>
      <c r="F220" s="266" t="str">
        <f>IFERROR(__xludf.DUMMYFUNCTION("""COMPUTED_VALUE"""),"You may make a Heavy Attack that deals Wind damage against the target. On damage, the target immediately plummets to the ground and takes falling damage. This falling damage cannot be negated through the use of abilities that would normally negate falling"&amp;" damage.")</f>
        <v>You may make a Heavy Attack that deals Wind damage against the target. On damage, the target immediately plummets to the ground and takes falling damage. This falling damage cannot be negated through the use of abilities that would normally negate falling damage.</v>
      </c>
      <c r="G220" s="263" t="str">
        <f>IFERROR(__xludf.DUMMYFUNCTION("""COMPUTED_VALUE"""),"Target is knocked airborne or is Flying.")</f>
        <v>Target is knocked airborne or is Flying.</v>
      </c>
      <c r="H220" s="265" t="str">
        <f>IFERROR(__xludf.DUMMYFUNCTION("""COMPUTED_VALUE"""),"2 RP")</f>
        <v>2 RP</v>
      </c>
      <c r="I220" s="264" t="str">
        <f>IFERROR(__xludf.DUMMYFUNCTION("""COMPUTED_VALUE"""),"")</f>
        <v/>
      </c>
      <c r="J220" s="264" t="str">
        <f>IFERROR(__xludf.DUMMYFUNCTION("""COMPUTED_VALUE"""),"")</f>
        <v/>
      </c>
      <c r="K220" s="263" t="str">
        <f>IFERROR(__xludf.DUMMYFUNCTION("""COMPUTED_VALUE"""),"2 RP")</f>
        <v>2 RP</v>
      </c>
      <c r="L220" s="263" t="str">
        <f>IFERROR(__xludf.DUMMYFUNCTION("""COMPUTED_VALUE"""),"")</f>
        <v/>
      </c>
      <c r="M220" s="263"/>
      <c r="N220" s="263"/>
      <c r="O220" s="263"/>
      <c r="P220" s="263"/>
      <c r="Q220" s="263"/>
      <c r="R220" s="263"/>
      <c r="S220" s="263"/>
      <c r="T220" s="263"/>
      <c r="U220" s="246"/>
      <c r="V220" s="246"/>
      <c r="W220" s="246"/>
      <c r="X220" s="246"/>
      <c r="Y220" s="246"/>
      <c r="Z220" s="246"/>
    </row>
    <row r="221">
      <c r="A221" s="263"/>
      <c r="B221" s="265" t="str">
        <f>IFERROR(__xludf.DUMMYFUNCTION("""COMPUTED_VALUE"""),"Draconic Presence")</f>
        <v>Draconic Presence</v>
      </c>
      <c r="C221" s="263"/>
      <c r="D221" s="264" t="str">
        <f>IFERROR(__xludf.DUMMYFUNCTION("""COMPUTED_VALUE"""),"")</f>
        <v/>
      </c>
      <c r="E221" s="264" t="str">
        <f>IFERROR(__xludf.DUMMYFUNCTION("""COMPUTED_VALUE"""),"")</f>
        <v/>
      </c>
      <c r="F221" s="266" t="str">
        <f>IFERROR(__xludf.DUMMYFUNCTION("""COMPUTED_VALUE"""),"You gain a +10 bonus to Negotiation and Intimidation checks against Grunts and against Heroics that have a lower Spirit Core than you.")</f>
        <v>You gain a +10 bonus to Negotiation and Intimidation checks against Grunts and against Heroics that have a lower Spirit Core than you.</v>
      </c>
      <c r="G221" s="263" t="str">
        <f>IFERROR(__xludf.DUMMYFUNCTION("""COMPUTED_VALUE"""),"")</f>
        <v/>
      </c>
      <c r="H221" s="265" t="str">
        <f>IFERROR(__xludf.DUMMYFUNCTION("""COMPUTED_VALUE"""),"")</f>
        <v/>
      </c>
      <c r="I221" s="264" t="str">
        <f>IFERROR(__xludf.DUMMYFUNCTION("""COMPUTED_VALUE"""),"")</f>
        <v/>
      </c>
      <c r="J221" s="264" t="str">
        <f>IFERROR(__xludf.DUMMYFUNCTION("""COMPUTED_VALUE"""),"")</f>
        <v/>
      </c>
      <c r="K221" s="263" t="str">
        <f>IFERROR(__xludf.DUMMYFUNCTION("""COMPUTED_VALUE"""),"")</f>
        <v/>
      </c>
      <c r="L221" s="263" t="str">
        <f>IFERROR(__xludf.DUMMYFUNCTION("""COMPUTED_VALUE"""),"")</f>
        <v/>
      </c>
      <c r="M221" s="263"/>
      <c r="N221" s="263"/>
      <c r="O221" s="263"/>
      <c r="P221" s="263"/>
      <c r="Q221" s="263"/>
      <c r="R221" s="263"/>
      <c r="S221" s="263"/>
      <c r="T221" s="263"/>
      <c r="U221" s="246"/>
      <c r="V221" s="246"/>
      <c r="W221" s="246"/>
      <c r="X221" s="246"/>
      <c r="Y221" s="246"/>
      <c r="Z221" s="246"/>
    </row>
    <row r="222">
      <c r="A222" s="263"/>
      <c r="B222" s="265" t="str">
        <f>IFERROR(__xludf.DUMMYFUNCTION("""COMPUTED_VALUE"""),"Dragon Breaks The Ranks")</f>
        <v>Dragon Breaks The Ranks</v>
      </c>
      <c r="C222" s="263"/>
      <c r="D222" s="263" t="str">
        <f>IFERROR(__xludf.DUMMYFUNCTION("""COMPUTED_VALUE"""),"Fire, Spell, Sidestep")</f>
        <v>Fire, Spell, Sidestep</v>
      </c>
      <c r="E222" s="264" t="str">
        <f>IFERROR(__xludf.DUMMYFUNCTION("""COMPUTED_VALUE"""),"80ft")</f>
        <v>80ft</v>
      </c>
      <c r="F222" s="266" t="str">
        <f>IFERROR(__xludf.DUMMYFUNCTION("""COMPUTED_VALUE"""),"You gain Flight and surround yourself in fire, then Sidestep to a point in a direct line. You destroy low cover you pass through, though the GM may rule that some cover is too sturdy to be destroyed. In either case, you continue until you reach the target"&amp;" and may make a single melee Heavy Attack against an enemy in range with your weapon. Any other characters in your path may spend 1 RP to move 5ft out of your charge or take Light Fire Damage.
If you have an element mastered, you may change the Fire damag"&amp;"e of this ability to the element you have mastered.
This spell does not provoke attacks of opportunity.")</f>
        <v>You gain Flight and surround yourself in fire, then Sidestep to a point in a direct line. You destroy low cover you pass through, though the GM may rule that some cover is too sturdy to be destroyed. In either case, you continue until you reach the target and may make a single melee Heavy Attack against an enemy in range with your weapon. Any other characters in your path may spend 1 RP to move 5ft out of your charge or take Light Fire Damage.
If you have an element mastered, you may change the Fire damage of this ability to the element you have mastered.
This spell does not provoke attacks of opportunity.</v>
      </c>
      <c r="G222" s="263" t="str">
        <f>IFERROR(__xludf.DUMMYFUNCTION("""COMPUTED_VALUE"""),"")</f>
        <v/>
      </c>
      <c r="H222" s="265" t="str">
        <f>IFERROR(__xludf.DUMMYFUNCTION("""COMPUTED_VALUE"""),"4 AP")</f>
        <v>4 AP</v>
      </c>
      <c r="I222" s="263" t="str">
        <f>IFERROR(__xludf.DUMMYFUNCTION("""COMPUTED_VALUE"""),"4 AP")</f>
        <v>4 AP</v>
      </c>
      <c r="J222" s="264" t="str">
        <f>IFERROR(__xludf.DUMMYFUNCTION("""COMPUTED_VALUE"""),"")</f>
        <v/>
      </c>
      <c r="K222" s="264" t="str">
        <f>IFERROR(__xludf.DUMMYFUNCTION("""COMPUTED_VALUE"""),"")</f>
        <v/>
      </c>
      <c r="L222" s="263" t="str">
        <f>IFERROR(__xludf.DUMMYFUNCTION("""COMPUTED_VALUE"""),"")</f>
        <v/>
      </c>
      <c r="M222" s="263"/>
      <c r="N222" s="263"/>
      <c r="O222" s="263"/>
      <c r="P222" s="263"/>
      <c r="Q222" s="263"/>
      <c r="R222" s="263"/>
      <c r="S222" s="263"/>
      <c r="T222" s="263"/>
      <c r="U222" s="246"/>
      <c r="V222" s="246"/>
      <c r="W222" s="246"/>
      <c r="X222" s="246"/>
      <c r="Y222" s="246"/>
      <c r="Z222" s="246"/>
    </row>
    <row r="223">
      <c r="A223" s="263"/>
      <c r="B223" s="265" t="str">
        <f>IFERROR(__xludf.DUMMYFUNCTION("""COMPUTED_VALUE"""),"Dragon's Breath")</f>
        <v>Dragon's Breath</v>
      </c>
      <c r="C223" s="263"/>
      <c r="D223" s="263" t="str">
        <f>IFERROR(__xludf.DUMMYFUNCTION("""COMPUTED_VALUE"""),"Water, Lightning, Fire, Arcane, Wind, Frost, Scatter, Safe")</f>
        <v>Water, Lightning, Fire, Arcane, Wind, Frost, Scatter, Safe</v>
      </c>
      <c r="E223" s="264" t="str">
        <f>IFERROR(__xludf.DUMMYFUNCTION("""COMPUTED_VALUE"""),"Self")</f>
        <v>Self</v>
      </c>
      <c r="F223" s="266" t="str">
        <f>IFERROR(__xludf.DUMMYFUNCTION("""COMPUTED_VALUE"""),"You exhale a devastating breath attack, making a ranged Light attack against all targets in a 30ft long 60 degree cone. This attack deals the same type of damage as your element chosen in Ryujin's Mastery.")</f>
        <v>You exhale a devastating breath attack, making a ranged Light attack against all targets in a 30ft long 60 degree cone. This attack deals the same type of damage as your element chosen in Ryujin's Mastery.</v>
      </c>
      <c r="G223" s="264" t="str">
        <f>IFERROR(__xludf.DUMMYFUNCTION("""COMPUTED_VALUE"""),"")</f>
        <v/>
      </c>
      <c r="H223" s="265" t="str">
        <f>IFERROR(__xludf.DUMMYFUNCTION("""COMPUTED_VALUE"""),"2 AP")</f>
        <v>2 AP</v>
      </c>
      <c r="I223" s="263" t="str">
        <f>IFERROR(__xludf.DUMMYFUNCTION("""COMPUTED_VALUE"""),"2 AP")</f>
        <v>2 AP</v>
      </c>
      <c r="J223" s="263" t="str">
        <f>IFERROR(__xludf.DUMMYFUNCTION("""COMPUTED_VALUE"""),"")</f>
        <v/>
      </c>
      <c r="K223" s="264" t="str">
        <f>IFERROR(__xludf.DUMMYFUNCTION("""COMPUTED_VALUE"""),"")</f>
        <v/>
      </c>
      <c r="L223" s="263" t="str">
        <f>IFERROR(__xludf.DUMMYFUNCTION("""COMPUTED_VALUE"""),"")</f>
        <v/>
      </c>
      <c r="M223" s="263"/>
      <c r="N223" s="263"/>
      <c r="O223" s="263"/>
      <c r="P223" s="263"/>
      <c r="Q223" s="263"/>
      <c r="R223" s="263"/>
      <c r="S223" s="263"/>
      <c r="T223" s="263"/>
      <c r="U223" s="246"/>
      <c r="V223" s="246"/>
      <c r="W223" s="246"/>
      <c r="X223" s="246"/>
      <c r="Y223" s="246"/>
      <c r="Z223" s="246"/>
    </row>
    <row r="224">
      <c r="A224" s="263"/>
      <c r="B224" s="265" t="str">
        <f>IFERROR(__xludf.DUMMYFUNCTION("""COMPUTED_VALUE"""),"Dragonfire Dive")</f>
        <v>Dragonfire Dive</v>
      </c>
      <c r="C224" s="263"/>
      <c r="D224" s="264" t="str">
        <f>IFERROR(__xludf.DUMMYFUNCTION("""COMPUTED_VALUE"""),"Fire, Jump, Blanketing")</f>
        <v>Fire, Jump, Blanketing</v>
      </c>
      <c r="E224" s="264" t="str">
        <f>IFERROR(__xludf.DUMMYFUNCTION("""COMPUTED_VALUE"""),"40ft")</f>
        <v>40ft</v>
      </c>
      <c r="F224" s="266" t="str">
        <f>IFERROR(__xludf.DUMMYFUNCTION("""COMPUTED_VALUE"""),"You jump to the target, not provoking any attacks of opportunity, and attacking the target plus all other creatures within 5ft of the target for Heavy Fire Damage.")</f>
        <v>You jump to the target, not provoking any attacks of opportunity, and attacking the target plus all other creatures within 5ft of the target for Heavy Fire Damage.</v>
      </c>
      <c r="G224" s="263" t="str">
        <f>IFERROR(__xludf.DUMMYFUNCTION("""COMPUTED_VALUE"""),"Polearm only.")</f>
        <v>Polearm only.</v>
      </c>
      <c r="H224" s="265" t="str">
        <f>IFERROR(__xludf.DUMMYFUNCTION("""COMPUTED_VALUE"""),"2 AP, 2 MP")</f>
        <v>2 AP, 2 MP</v>
      </c>
      <c r="I224" s="263" t="str">
        <f>IFERROR(__xludf.DUMMYFUNCTION("""COMPUTED_VALUE"""),"2 AP")</f>
        <v>2 AP</v>
      </c>
      <c r="J224" s="264" t="str">
        <f>IFERROR(__xludf.DUMMYFUNCTION("""COMPUTED_VALUE"""),"2 MP")</f>
        <v>2 MP</v>
      </c>
      <c r="K224" s="264" t="str">
        <f>IFERROR(__xludf.DUMMYFUNCTION("""COMPUTED_VALUE"""),"")</f>
        <v/>
      </c>
      <c r="L224" s="263" t="str">
        <f>IFERROR(__xludf.DUMMYFUNCTION("""COMPUTED_VALUE"""),"")</f>
        <v/>
      </c>
      <c r="M224" s="263"/>
      <c r="N224" s="263"/>
      <c r="O224" s="263"/>
      <c r="P224" s="263"/>
      <c r="Q224" s="263"/>
      <c r="R224" s="263"/>
      <c r="S224" s="263"/>
      <c r="T224" s="263"/>
      <c r="U224" s="246"/>
      <c r="V224" s="246"/>
      <c r="W224" s="246"/>
      <c r="X224" s="246"/>
      <c r="Y224" s="246"/>
      <c r="Z224" s="246"/>
    </row>
    <row r="225">
      <c r="A225" s="263"/>
      <c r="B225" s="265" t="str">
        <f>IFERROR(__xludf.DUMMYFUNCTION("""COMPUTED_VALUE"""),"Dramatic Death")</f>
        <v>Dramatic Death</v>
      </c>
      <c r="C225" s="263"/>
      <c r="D225" s="263" t="str">
        <f>IFERROR(__xludf.DUMMYFUNCTION("""COMPUTED_VALUE"""),"")</f>
        <v/>
      </c>
      <c r="E225" s="264" t="str">
        <f>IFERROR(__xludf.DUMMYFUNCTION("""COMPUTED_VALUE"""),"Self")</f>
        <v>Self</v>
      </c>
      <c r="F225" s="266" t="str">
        <f>IFERROR(__xludf.DUMMYFUNCTION("""COMPUTED_VALUE"""),"You fall prone and may immediately use the Play Dead action. You may use your Art(Mime) for this roll instead of Deception.
At the start of your turn, you may stop playing dead and immediately stand up from prone for 0 AP.")</f>
        <v>You fall prone and may immediately use the Play Dead action. You may use your Art(Mime) for this roll instead of Deception.
At the start of your turn, you may stop playing dead and immediately stand up from prone for 0 AP.</v>
      </c>
      <c r="G225" s="263" t="str">
        <f>IFERROR(__xludf.DUMMYFUNCTION("""COMPUTED_VALUE"""),"You've taken damage and that damage is done resolving.")</f>
        <v>You've taken damage and that damage is done resolving.</v>
      </c>
      <c r="H225" s="265" t="str">
        <f>IFERROR(__xludf.DUMMYFUNCTION("""COMPUTED_VALUE"""),"1 RP")</f>
        <v>1 RP</v>
      </c>
      <c r="I225" s="264" t="str">
        <f>IFERROR(__xludf.DUMMYFUNCTION("""COMPUTED_VALUE"""),"")</f>
        <v/>
      </c>
      <c r="J225" s="264" t="str">
        <f>IFERROR(__xludf.DUMMYFUNCTION("""COMPUTED_VALUE"""),"")</f>
        <v/>
      </c>
      <c r="K225" s="263" t="str">
        <f>IFERROR(__xludf.DUMMYFUNCTION("""COMPUTED_VALUE"""),"1 RP")</f>
        <v>1 RP</v>
      </c>
      <c r="L225" s="263" t="str">
        <f>IFERROR(__xludf.DUMMYFUNCTION("""COMPUTED_VALUE"""),"")</f>
        <v/>
      </c>
      <c r="M225" s="263"/>
      <c r="N225" s="263"/>
      <c r="O225" s="263"/>
      <c r="P225" s="263"/>
      <c r="Q225" s="263"/>
      <c r="R225" s="263"/>
      <c r="S225" s="263"/>
      <c r="T225" s="263"/>
      <c r="U225" s="246"/>
      <c r="V225" s="246"/>
      <c r="W225" s="246"/>
      <c r="X225" s="246"/>
      <c r="Y225" s="246"/>
      <c r="Z225" s="246"/>
    </row>
    <row r="226">
      <c r="A226" s="263"/>
      <c r="B226" s="265" t="str">
        <f>IFERROR(__xludf.DUMMYFUNCTION("""COMPUTED_VALUE"""),"Draw Elements")</f>
        <v>Draw Elements</v>
      </c>
      <c r="C226" s="263"/>
      <c r="D226" s="263" t="str">
        <f>IFERROR(__xludf.DUMMYFUNCTION("""COMPUTED_VALUE"""),"")</f>
        <v/>
      </c>
      <c r="E226" s="264" t="str">
        <f>IFERROR(__xludf.DUMMYFUNCTION("""COMPUTED_VALUE"""),"'-")</f>
        <v>'-</v>
      </c>
      <c r="F226" s="266" t="str">
        <f>IFERROR(__xludf.DUMMYFUNCTION("""COMPUTED_VALUE"""),"You may choose an element. Until the start of your next turn, you are considered to have mastered that element.")</f>
        <v>You may choose an element. Until the start of your next turn, you are considered to have mastered that element.</v>
      </c>
      <c r="G226" s="264" t="str">
        <f>IFERROR(__xludf.DUMMYFUNCTION("""COMPUTED_VALUE"""),"")</f>
        <v/>
      </c>
      <c r="H226" s="265" t="str">
        <f>IFERROR(__xludf.DUMMYFUNCTION("""COMPUTED_VALUE"""),"0 AP, 1 MP")</f>
        <v>0 AP, 1 MP</v>
      </c>
      <c r="I226" s="263" t="str">
        <f>IFERROR(__xludf.DUMMYFUNCTION("""COMPUTED_VALUE"""),"0 AP")</f>
        <v>0 AP</v>
      </c>
      <c r="J226" s="264" t="str">
        <f>IFERROR(__xludf.DUMMYFUNCTION("""COMPUTED_VALUE"""),"1 MP")</f>
        <v>1 MP</v>
      </c>
      <c r="K226" s="264" t="str">
        <f>IFERROR(__xludf.DUMMYFUNCTION("""COMPUTED_VALUE"""),"")</f>
        <v/>
      </c>
      <c r="L226" s="263" t="str">
        <f>IFERROR(__xludf.DUMMYFUNCTION("""COMPUTED_VALUE"""),"")</f>
        <v/>
      </c>
      <c r="M226" s="263"/>
      <c r="N226" s="263"/>
      <c r="O226" s="263"/>
      <c r="P226" s="263"/>
      <c r="Q226" s="263"/>
      <c r="R226" s="263"/>
      <c r="S226" s="263"/>
      <c r="T226" s="263"/>
      <c r="U226" s="246"/>
      <c r="V226" s="246"/>
      <c r="W226" s="246"/>
      <c r="X226" s="246"/>
      <c r="Y226" s="246"/>
      <c r="Z226" s="246"/>
    </row>
    <row r="227">
      <c r="A227" s="263"/>
      <c r="B227" s="265" t="str">
        <f>IFERROR(__xludf.DUMMYFUNCTION("""COMPUTED_VALUE"""),"Draw Elements II")</f>
        <v>Draw Elements II</v>
      </c>
      <c r="C227" s="263"/>
      <c r="D227" s="264" t="str">
        <f>IFERROR(__xludf.DUMMYFUNCTION("""COMPUTED_VALUE"""),"Quick")</f>
        <v>Quick</v>
      </c>
      <c r="E227" s="264" t="str">
        <f>IFERROR(__xludf.DUMMYFUNCTION("""COMPUTED_VALUE"""),"Self")</f>
        <v>Self</v>
      </c>
      <c r="F227" s="266" t="str">
        <f>IFERROR(__xludf.DUMMYFUNCTION("""COMPUTED_VALUE"""),"You may choose an element. Until the start of your next turn, you are considered to have mastered that element.")</f>
        <v>You may choose an element. Until the start of your next turn, you are considered to have mastered that element.</v>
      </c>
      <c r="G227" s="263" t="str">
        <f>IFERROR(__xludf.DUMMYFUNCTION("""COMPUTED_VALUE"""),"")</f>
        <v/>
      </c>
      <c r="H227" s="265" t="str">
        <f>IFERROR(__xludf.DUMMYFUNCTION("""COMPUTED_VALUE"""),"0 AP")</f>
        <v>0 AP</v>
      </c>
      <c r="I227" s="264" t="str">
        <f>IFERROR(__xludf.DUMMYFUNCTION("""COMPUTED_VALUE"""),"0 AP")</f>
        <v>0 AP</v>
      </c>
      <c r="J227" s="264" t="str">
        <f>IFERROR(__xludf.DUMMYFUNCTION("""COMPUTED_VALUE"""),"")</f>
        <v/>
      </c>
      <c r="K227" s="263" t="str">
        <f>IFERROR(__xludf.DUMMYFUNCTION("""COMPUTED_VALUE"""),"")</f>
        <v/>
      </c>
      <c r="L227" s="263" t="str">
        <f>IFERROR(__xludf.DUMMYFUNCTION("""COMPUTED_VALUE"""),"")</f>
        <v/>
      </c>
      <c r="M227" s="263"/>
      <c r="N227" s="263"/>
      <c r="O227" s="263"/>
      <c r="P227" s="263"/>
      <c r="Q227" s="263"/>
      <c r="R227" s="263"/>
      <c r="S227" s="263"/>
      <c r="T227" s="263"/>
      <c r="U227" s="246"/>
      <c r="V227" s="246"/>
      <c r="W227" s="246"/>
      <c r="X227" s="246"/>
      <c r="Y227" s="246"/>
      <c r="Z227" s="246"/>
    </row>
    <row r="228">
      <c r="A228" s="263"/>
      <c r="B228" s="265" t="str">
        <f>IFERROR(__xludf.DUMMYFUNCTION("""COMPUTED_VALUE"""),"Draw-In")</f>
        <v>Draw-In</v>
      </c>
      <c r="C228" s="263"/>
      <c r="D228" s="263" t="str">
        <f>IFERROR(__xludf.DUMMYFUNCTION("""COMPUTED_VALUE"""),"Combo")</f>
        <v>Combo</v>
      </c>
      <c r="E228" s="263" t="str">
        <f>IFERROR(__xludf.DUMMYFUNCTION("""COMPUTED_VALUE"""),"Melee Weapon Range")</f>
        <v>Melee Weapon Range</v>
      </c>
      <c r="F228" s="266" t="str">
        <f>IFERROR(__xludf.DUMMYFUNCTION("""COMPUTED_VALUE"""),"You make a Light attack against the target. On damage, they are pulled up to 5ft towards you.
Combo: If used after Lunge, the range of this attack and the pullback distance are doubled. This consumes the Lunge effect.")</f>
        <v>You make a Light attack against the target. On damage, they are pulled up to 5ft towards you.
Combo: If used after Lunge, the range of this attack and the pullback distance are doubled. This consumes the Lunge effect.</v>
      </c>
      <c r="G228" s="263" t="str">
        <f>IFERROR(__xludf.DUMMYFUNCTION("""COMPUTED_VALUE"""),"Polearm only.")</f>
        <v>Polearm only.</v>
      </c>
      <c r="H228" s="267" t="str">
        <f>IFERROR(__xludf.DUMMYFUNCTION("""COMPUTED_VALUE"""),"1 AP")</f>
        <v>1 AP</v>
      </c>
      <c r="I228" s="263" t="str">
        <f>IFERROR(__xludf.DUMMYFUNCTION("""COMPUTED_VALUE"""),"1 AP")</f>
        <v>1 AP</v>
      </c>
      <c r="J228" s="263" t="str">
        <f>IFERROR(__xludf.DUMMYFUNCTION("""COMPUTED_VALUE"""),"")</f>
        <v/>
      </c>
      <c r="K228" s="263" t="str">
        <f>IFERROR(__xludf.DUMMYFUNCTION("""COMPUTED_VALUE"""),"")</f>
        <v/>
      </c>
      <c r="L228" s="263" t="str">
        <f>IFERROR(__xludf.DUMMYFUNCTION("""COMPUTED_VALUE"""),"")</f>
        <v/>
      </c>
      <c r="M228" s="263"/>
      <c r="N228" s="263"/>
      <c r="O228" s="263"/>
      <c r="P228" s="263"/>
      <c r="Q228" s="263"/>
      <c r="R228" s="263"/>
      <c r="S228" s="263"/>
      <c r="T228" s="263"/>
      <c r="U228" s="246"/>
      <c r="V228" s="246"/>
      <c r="W228" s="246"/>
      <c r="X228" s="246"/>
      <c r="Y228" s="246"/>
      <c r="Z228" s="246"/>
    </row>
    <row r="229">
      <c r="A229" s="263"/>
      <c r="B229" s="265" t="str">
        <f>IFERROR(__xludf.DUMMYFUNCTION("""COMPUTED_VALUE"""),"Driftwind Evasion")</f>
        <v>Driftwind Evasion</v>
      </c>
      <c r="C229" s="263"/>
      <c r="D229" s="264" t="str">
        <f>IFERROR(__xludf.DUMMYFUNCTION("""COMPUTED_VALUE"""),"")</f>
        <v/>
      </c>
      <c r="E229" s="264" t="str">
        <f>IFERROR(__xludf.DUMMYFUNCTION("""COMPUTED_VALUE"""),"Self")</f>
        <v>Self</v>
      </c>
      <c r="F229" s="266" t="str">
        <f>IFERROR(__xludf.DUMMYFUNCTION("""COMPUTED_VALUE"""),"You take the Dodge action against the attack and gain a Windflow bonus to your Dodge equal to your Windflow stacks.
Afterwards, you lose all Windflow stacks.")</f>
        <v>You take the Dodge action against the attack and gain a Windflow bonus to your Dodge equal to your Windflow stacks.
Afterwards, you lose all Windflow stacks.</v>
      </c>
      <c r="G229" s="263" t="str">
        <f>IFERROR(__xludf.DUMMYFUNCTION("""COMPUTED_VALUE"""),"")</f>
        <v/>
      </c>
      <c r="H229" s="265" t="str">
        <f>IFERROR(__xludf.DUMMYFUNCTION("""COMPUTED_VALUE"""),"1 RP")</f>
        <v>1 RP</v>
      </c>
      <c r="I229" s="264" t="str">
        <f>IFERROR(__xludf.DUMMYFUNCTION("""COMPUTED_VALUE"""),"")</f>
        <v/>
      </c>
      <c r="J229" s="264" t="str">
        <f>IFERROR(__xludf.DUMMYFUNCTION("""COMPUTED_VALUE"""),"")</f>
        <v/>
      </c>
      <c r="K229" s="263" t="str">
        <f>IFERROR(__xludf.DUMMYFUNCTION("""COMPUTED_VALUE"""),"1 RP")</f>
        <v>1 RP</v>
      </c>
      <c r="L229" s="263" t="str">
        <f>IFERROR(__xludf.DUMMYFUNCTION("""COMPUTED_VALUE"""),"")</f>
        <v/>
      </c>
      <c r="M229" s="263"/>
      <c r="N229" s="263"/>
      <c r="O229" s="263"/>
      <c r="P229" s="263"/>
      <c r="Q229" s="263"/>
      <c r="R229" s="263"/>
      <c r="S229" s="263"/>
      <c r="T229" s="263"/>
      <c r="U229" s="246"/>
      <c r="V229" s="246"/>
      <c r="W229" s="246"/>
      <c r="X229" s="246"/>
      <c r="Y229" s="246"/>
      <c r="Z229" s="246"/>
    </row>
    <row r="230">
      <c r="A230" s="263"/>
      <c r="B230" s="265" t="str">
        <f>IFERROR(__xludf.DUMMYFUNCTION("""COMPUTED_VALUE"""),"Drink to Battle")</f>
        <v>Drink to Battle</v>
      </c>
      <c r="C230" s="263"/>
      <c r="D230" s="263" t="str">
        <f>IFERROR(__xludf.DUMMYFUNCTION("""COMPUTED_VALUE"""),"Encounter Start")</f>
        <v>Encounter Start</v>
      </c>
      <c r="E230" s="264" t="str">
        <f>IFERROR(__xludf.DUMMYFUNCTION("""COMPUTED_VALUE"""),"Self")</f>
        <v>Self</v>
      </c>
      <c r="F230" s="266" t="str">
        <f>IFERROR(__xludf.DUMMYFUNCTION("""COMPUTED_VALUE"""),"You drink some Alcohol in preparation for a battle, granting you 1 stack of Tipsy.")</f>
        <v>You drink some Alcohol in preparation for a battle, granting you 1 stack of Tipsy.</v>
      </c>
      <c r="G230" s="264" t="str">
        <f>IFERROR(__xludf.DUMMYFUNCTION("""COMPUTED_VALUE"""),"")</f>
        <v/>
      </c>
      <c r="H230" s="265" t="str">
        <f>IFERROR(__xludf.DUMMYFUNCTION("""COMPUTED_VALUE"""),"2 AP or Encounter Start action")</f>
        <v>2 AP or Encounter Start action</v>
      </c>
      <c r="I230" s="264" t="str">
        <f>IFERROR(__xludf.DUMMYFUNCTION("""COMPUTED_VALUE"""),"")</f>
        <v/>
      </c>
      <c r="J230" s="263" t="str">
        <f>IFERROR(__xludf.DUMMYFUNCTION("""COMPUTED_VALUE"""),"")</f>
        <v/>
      </c>
      <c r="K230" s="264" t="str">
        <f>IFERROR(__xludf.DUMMYFUNCTION("""COMPUTED_VALUE"""),"")</f>
        <v/>
      </c>
      <c r="L230" s="263" t="str">
        <f>IFERROR(__xludf.DUMMYFUNCTION("""COMPUTED_VALUE"""),"")</f>
        <v/>
      </c>
      <c r="M230" s="263"/>
      <c r="N230" s="263"/>
      <c r="O230" s="263"/>
      <c r="P230" s="263"/>
      <c r="Q230" s="263"/>
      <c r="R230" s="263"/>
      <c r="S230" s="263"/>
      <c r="T230" s="263"/>
      <c r="U230" s="246"/>
      <c r="V230" s="246"/>
      <c r="W230" s="246"/>
      <c r="X230" s="246"/>
      <c r="Y230" s="246"/>
      <c r="Z230" s="246"/>
    </row>
    <row r="231">
      <c r="A231" s="263"/>
      <c r="B231" s="265" t="str">
        <f>IFERROR(__xludf.DUMMYFUNCTION("""COMPUTED_VALUE"""),"Dualcast")</f>
        <v>Dualcast</v>
      </c>
      <c r="C231" s="263"/>
      <c r="D231" s="264" t="str">
        <f>IFERROR(__xludf.DUMMYFUNCTION("""COMPUTED_VALUE"""),"Arcane")</f>
        <v>Arcane</v>
      </c>
      <c r="E231" s="264" t="str">
        <f>IFERROR(__xludf.DUMMYFUNCTION("""COMPUTED_VALUE"""),"Self")</f>
        <v>Self</v>
      </c>
      <c r="F231" s="266" t="str">
        <f>IFERROR(__xludf.DUMMYFUNCTION("""COMPUTED_VALUE"""),"You immediately repeat the last used ability with the same target. Any cost must be paid as normal.")</f>
        <v>You immediately repeat the last used ability with the same target. Any cost must be paid as normal.</v>
      </c>
      <c r="G231" s="264" t="str">
        <f>IFERROR(__xludf.DUMMYFUNCTION("""COMPUTED_VALUE"""),"Must be used immediately after successfully using an ability with the spell keyword.")</f>
        <v>Must be used immediately after successfully using an ability with the spell keyword.</v>
      </c>
      <c r="H231" s="265" t="str">
        <f>IFERROR(__xludf.DUMMYFUNCTION("""COMPUTED_VALUE"""),"0 AP, 1 MP")</f>
        <v>0 AP, 1 MP</v>
      </c>
      <c r="I231" s="263" t="str">
        <f>IFERROR(__xludf.DUMMYFUNCTION("""COMPUTED_VALUE"""),"0 AP")</f>
        <v>0 AP</v>
      </c>
      <c r="J231" s="264" t="str">
        <f>IFERROR(__xludf.DUMMYFUNCTION("""COMPUTED_VALUE"""),"1 MP")</f>
        <v>1 MP</v>
      </c>
      <c r="K231" s="264" t="str">
        <f>IFERROR(__xludf.DUMMYFUNCTION("""COMPUTED_VALUE"""),"")</f>
        <v/>
      </c>
      <c r="L231" s="263" t="str">
        <f>IFERROR(__xludf.DUMMYFUNCTION("""COMPUTED_VALUE"""),"")</f>
        <v/>
      </c>
      <c r="M231" s="263"/>
      <c r="N231" s="263"/>
      <c r="O231" s="263"/>
      <c r="P231" s="263"/>
      <c r="Q231" s="263"/>
      <c r="R231" s="263"/>
      <c r="S231" s="263"/>
      <c r="T231" s="263"/>
      <c r="U231" s="246"/>
      <c r="V231" s="246"/>
      <c r="W231" s="246"/>
      <c r="X231" s="246"/>
      <c r="Y231" s="246"/>
      <c r="Z231" s="246"/>
    </row>
    <row r="232">
      <c r="A232" s="263"/>
      <c r="B232" s="265" t="str">
        <f>IFERROR(__xludf.DUMMYFUNCTION("""COMPUTED_VALUE"""),"Duelist Blow")</f>
        <v>Duelist Blow</v>
      </c>
      <c r="C232" s="263"/>
      <c r="D232" s="263" t="str">
        <f>IFERROR(__xludf.DUMMYFUNCTION("""COMPUTED_VALUE"""),"")</f>
        <v/>
      </c>
      <c r="E232" s="263" t="str">
        <f>IFERROR(__xludf.DUMMYFUNCTION("""COMPUTED_VALUE"""),"Melee Weapon Range")</f>
        <v>Melee Weapon Range</v>
      </c>
      <c r="F232" s="266" t="str">
        <f>IFERROR(__xludf.DUMMYFUNCTION("""COMPUTED_VALUE"""),"You make a Heavy Attack against the target. Your next Block or Dodge reaction against that target costs 0 RP. This benefit disappears when you use an RP ability against a target other than the target of this ability.")</f>
        <v>You make a Heavy Attack against the target. Your next Block or Dodge reaction against that target costs 0 RP. This benefit disappears when you use an RP ability against a target other than the target of this ability.</v>
      </c>
      <c r="G232" s="263" t="str">
        <f>IFERROR(__xludf.DUMMYFUNCTION("""COMPUTED_VALUE"""),"")</f>
        <v/>
      </c>
      <c r="H232" s="267" t="str">
        <f>IFERROR(__xludf.DUMMYFUNCTION("""COMPUTED_VALUE"""),"2 AP, 1 MP")</f>
        <v>2 AP, 1 MP</v>
      </c>
      <c r="I232" s="263" t="str">
        <f>IFERROR(__xludf.DUMMYFUNCTION("""COMPUTED_VALUE"""),"2 AP")</f>
        <v>2 AP</v>
      </c>
      <c r="J232" s="263" t="str">
        <f>IFERROR(__xludf.DUMMYFUNCTION("""COMPUTED_VALUE"""),"1 MP")</f>
        <v>1 MP</v>
      </c>
      <c r="K232" s="263" t="str">
        <f>IFERROR(__xludf.DUMMYFUNCTION("""COMPUTED_VALUE"""),"")</f>
        <v/>
      </c>
      <c r="L232" s="263" t="str">
        <f>IFERROR(__xludf.DUMMYFUNCTION("""COMPUTED_VALUE"""),"")</f>
        <v/>
      </c>
      <c r="M232" s="263"/>
      <c r="N232" s="263"/>
      <c r="O232" s="263"/>
      <c r="P232" s="263"/>
      <c r="Q232" s="263"/>
      <c r="R232" s="263"/>
      <c r="S232" s="263"/>
      <c r="T232" s="263"/>
      <c r="U232" s="246"/>
      <c r="V232" s="246"/>
      <c r="W232" s="246"/>
      <c r="X232" s="246"/>
      <c r="Y232" s="246"/>
      <c r="Z232" s="246"/>
    </row>
    <row r="233">
      <c r="A233" s="263"/>
      <c r="B233" s="265" t="str">
        <f>IFERROR(__xludf.DUMMYFUNCTION("""COMPUTED_VALUE"""),"Dullahan's Mount")</f>
        <v>Dullahan's Mount</v>
      </c>
      <c r="C233" s="263"/>
      <c r="D233" s="264" t="str">
        <f>IFERROR(__xludf.DUMMYFUNCTION("""COMPUTED_VALUE"""),"")</f>
        <v/>
      </c>
      <c r="E233" s="264" t="str">
        <f>IFERROR(__xludf.DUMMYFUNCTION("""COMPUTED_VALUE"""),"Self")</f>
        <v>Self</v>
      </c>
      <c r="F233" s="266" t="str">
        <f>IFERROR(__xludf.DUMMYFUNCTION("""COMPUTED_VALUE"""),"You conjure up a black horse that becomes part of you. You immediately mount when using this ability and upon dismounting, the horse vanishes. While mounted, your movement speed is increased by 30ft and you are considered a large creature, but you may onl"&amp;"y move in a straight line. When attempting to move through 5ft wide spaces, it is considered difficult terrain for you. You also suffer a -10 penalty to most finesse athletics checks as well as climbing and swimming checks while mounted.
Any attack agains"&amp;"t the horse is considered an attack against you instead. As the horse is considered part of you, any displacement or teleport abilities move the horse alongside with you. You may dismount by spending 0 AP.")</f>
        <v>You conjure up a black horse that becomes part of you. You immediately mount when using this ability and upon dismounting, the horse vanishes. While mounted, your movement speed is increased by 30ft and you are considered a large creature, but you may only move in a straight line. When attempting to move through 5ft wide spaces, it is considered difficult terrain for you. You also suffer a -10 penalty to most finesse athletics checks as well as climbing and swimming checks while mounted.
Any attack against the horse is considered an attack against you instead. As the horse is considered part of you, any displacement or teleport abilities move the horse alongside with you. You may dismount by spending 0 AP.</v>
      </c>
      <c r="G233" s="263" t="str">
        <f>IFERROR(__xludf.DUMMYFUNCTION("""COMPUTED_VALUE"""),"")</f>
        <v/>
      </c>
      <c r="H233" s="265" t="str">
        <f>IFERROR(__xludf.DUMMYFUNCTION("""COMPUTED_VALUE"""),"1 AP")</f>
        <v>1 AP</v>
      </c>
      <c r="I233" s="263" t="str">
        <f>IFERROR(__xludf.DUMMYFUNCTION("""COMPUTED_VALUE"""),"1 AP")</f>
        <v>1 AP</v>
      </c>
      <c r="J233" s="263" t="str">
        <f>IFERROR(__xludf.DUMMYFUNCTION("""COMPUTED_VALUE"""),"")</f>
        <v/>
      </c>
      <c r="K233" s="264" t="str">
        <f>IFERROR(__xludf.DUMMYFUNCTION("""COMPUTED_VALUE"""),"")</f>
        <v/>
      </c>
      <c r="L233" s="263" t="str">
        <f>IFERROR(__xludf.DUMMYFUNCTION("""COMPUTED_VALUE"""),"")</f>
        <v/>
      </c>
      <c r="M233" s="263"/>
      <c r="N233" s="263"/>
      <c r="O233" s="263"/>
      <c r="P233" s="263"/>
      <c r="Q233" s="263"/>
      <c r="R233" s="263"/>
      <c r="S233" s="263"/>
      <c r="T233" s="263"/>
      <c r="U233" s="246"/>
      <c r="V233" s="246"/>
      <c r="W233" s="246"/>
      <c r="X233" s="246"/>
      <c r="Y233" s="246"/>
      <c r="Z233" s="246"/>
    </row>
    <row r="234">
      <c r="A234" s="263"/>
      <c r="B234" s="265" t="str">
        <f>IFERROR(__xludf.DUMMYFUNCTION("""COMPUTED_VALUE"""),"Duplicate")</f>
        <v>Duplicate</v>
      </c>
      <c r="C234" s="263"/>
      <c r="D234" s="264" t="str">
        <f>IFERROR(__xludf.DUMMYFUNCTION("""COMPUTED_VALUE"""),"Spell, Arcane")</f>
        <v>Spell, Arcane</v>
      </c>
      <c r="E234" s="264" t="str">
        <f>IFERROR(__xludf.DUMMYFUNCTION("""COMPUTED_VALUE"""),"Sight")</f>
        <v>Sight</v>
      </c>
      <c r="F234" s="266" t="str">
        <f>IFERROR(__xludf.DUMMYFUNCTION("""COMPUTED_VALUE"""),"You attempt to analyze the spell and duplicate it. After the triggering spell resolves, immediately cast a copy of it. You must select a valid target for this copy, pay any additional mana cost originally on the spell as well as pay any costs that are not"&amp;" AP or RP. Failure to do so will make the duplicated spell fizzle, dissipating the magic harmlessly into the air.
Upon successfully copying the spell, it resolves with the same damage and effects as the original spell, though using your stats to resolve t"&amp;"hem.
The cost is 1 RP for a 0-2 AP spell or 2 RP for a 3-4 AP spell. Spells with a higher cost cannot be duplicated.
Secret Arts and Esoteric Arts also cannot be duplicated and upon attempting to do so, this ability is canceled and any cost refunded. Uniq"&amp;"ue spells by heroic or boss enemies may also be impossible to duplicate (GM's discretion).")</f>
        <v>You attempt to analyze the spell and duplicate it. After the triggering spell resolves, immediately cast a copy of it. You must select a valid target for this copy, pay any additional mana cost originally on the spell as well as pay any costs that are not AP or RP. Failure to do so will make the duplicated spell fizzle, dissipating the magic harmlessly into the air.
Upon successfully copying the spell, it resolves with the same damage and effects as the original spell, though using your stats to resolve them.
The cost is 1 RP for a 0-2 AP spell or 2 RP for a 3-4 AP spell. Spells with a higher cost cannot be duplicated.
Secret Arts and Esoteric Arts also cannot be duplicated and upon attempting to do so, this ability is canceled and any cost refunded. Unique spells by heroic or boss enemies may also be impossible to duplicate (GM's discretion).</v>
      </c>
      <c r="G234" s="264" t="str">
        <f>IFERROR(__xludf.DUMMYFUNCTION("""COMPUTED_VALUE"""),"An enemy in range casts a Spell")</f>
        <v>An enemy in range casts a Spell</v>
      </c>
      <c r="H234" s="265" t="str">
        <f>IFERROR(__xludf.DUMMYFUNCTION("""COMPUTED_VALUE"""),"1 MP, 1 RP")</f>
        <v>1 MP, 1 RP</v>
      </c>
      <c r="I234" s="264" t="str">
        <f>IFERROR(__xludf.DUMMYFUNCTION("""COMPUTED_VALUE"""),"")</f>
        <v/>
      </c>
      <c r="J234" s="264" t="str">
        <f>IFERROR(__xludf.DUMMYFUNCTION("""COMPUTED_VALUE"""),"1 MP")</f>
        <v>1 MP</v>
      </c>
      <c r="K234" s="263" t="str">
        <f>IFERROR(__xludf.DUMMYFUNCTION("""COMPUTED_VALUE"""),"1 RP")</f>
        <v>1 RP</v>
      </c>
      <c r="L234" s="263" t="str">
        <f>IFERROR(__xludf.DUMMYFUNCTION("""COMPUTED_VALUE"""),"")</f>
        <v/>
      </c>
      <c r="M234" s="263"/>
      <c r="N234" s="263"/>
      <c r="O234" s="263"/>
      <c r="P234" s="263"/>
      <c r="Q234" s="263"/>
      <c r="R234" s="263"/>
      <c r="S234" s="263"/>
      <c r="T234" s="263"/>
      <c r="U234" s="246"/>
      <c r="V234" s="246"/>
      <c r="W234" s="246"/>
      <c r="X234" s="246"/>
      <c r="Y234" s="246"/>
      <c r="Z234" s="246"/>
    </row>
    <row r="235">
      <c r="A235" s="263"/>
      <c r="B235" s="265" t="str">
        <f>IFERROR(__xludf.DUMMYFUNCTION("""COMPUTED_VALUE"""),"Dust Kick")</f>
        <v>Dust Kick</v>
      </c>
      <c r="C235" s="263"/>
      <c r="D235" s="264" t="str">
        <f>IFERROR(__xludf.DUMMYFUNCTION("""COMPUTED_VALUE"""),"Blinded")</f>
        <v>Blinded</v>
      </c>
      <c r="E235" s="264" t="str">
        <f>IFERROR(__xludf.DUMMYFUNCTION("""COMPUTED_VALUE"""),"5ft")</f>
        <v>5ft</v>
      </c>
      <c r="F235" s="266" t="str">
        <f>IFERROR(__xludf.DUMMYFUNCTION("""COMPUTED_VALUE"""),"You kick the ground in front of you, causing a veil of dust to appear. The target becomes Blinded 3 until the attack resolves. If the triggering attack misses, you kick the target and may push it 5ft into any horizontal direction.
If under the effects of "&amp;"Exposing Edge, you apply Blinded 5 instead.")</f>
        <v>You kick the ground in front of you, causing a veil of dust to appear. The target becomes Blinded 3 until the attack resolves. If the triggering attack misses, you kick the target and may push it 5ft into any horizontal direction.
If under the effects of Exposing Edge, you apply Blinded 5 instead.</v>
      </c>
      <c r="G235" s="263" t="str">
        <f>IFERROR(__xludf.DUMMYFUNCTION("""COMPUTED_VALUE"""),"Must be within 5ft of the ground. An ally or you are being attacked by an enemy in range.")</f>
        <v>Must be within 5ft of the ground. An ally or you are being attacked by an enemy in range.</v>
      </c>
      <c r="H235" s="265" t="str">
        <f>IFERROR(__xludf.DUMMYFUNCTION("""COMPUTED_VALUE"""),"1 MP, 1 RP")</f>
        <v>1 MP, 1 RP</v>
      </c>
      <c r="I235" s="264" t="str">
        <f>IFERROR(__xludf.DUMMYFUNCTION("""COMPUTED_VALUE"""),"")</f>
        <v/>
      </c>
      <c r="J235" s="264" t="str">
        <f>IFERROR(__xludf.DUMMYFUNCTION("""COMPUTED_VALUE"""),"1 MP")</f>
        <v>1 MP</v>
      </c>
      <c r="K235" s="263" t="str">
        <f>IFERROR(__xludf.DUMMYFUNCTION("""COMPUTED_VALUE"""),"1 RP")</f>
        <v>1 RP</v>
      </c>
      <c r="L235" s="263" t="str">
        <f>IFERROR(__xludf.DUMMYFUNCTION("""COMPUTED_VALUE"""),"")</f>
        <v/>
      </c>
      <c r="M235" s="263"/>
      <c r="N235" s="263"/>
      <c r="O235" s="263"/>
      <c r="P235" s="263"/>
      <c r="Q235" s="263"/>
      <c r="R235" s="263"/>
      <c r="S235" s="263"/>
      <c r="T235" s="263"/>
      <c r="U235" s="246"/>
      <c r="V235" s="246"/>
      <c r="W235" s="246"/>
      <c r="X235" s="246"/>
      <c r="Y235" s="246"/>
      <c r="Z235" s="246"/>
    </row>
    <row r="236">
      <c r="A236" s="263"/>
      <c r="B236" s="265" t="str">
        <f>IFERROR(__xludf.DUMMYFUNCTION("""COMPUTED_VALUE"""),"Eagle Hunt")</f>
        <v>Eagle Hunt</v>
      </c>
      <c r="C236" s="263"/>
      <c r="D236" s="264" t="str">
        <f>IFERROR(__xludf.DUMMYFUNCTION("""COMPUTED_VALUE"""),"Combo, Jump")</f>
        <v>Combo, Jump</v>
      </c>
      <c r="E236" s="264" t="str">
        <f>IFERROR(__xludf.DUMMYFUNCTION("""COMPUTED_VALUE"""),"'-")</f>
        <v>'-</v>
      </c>
      <c r="F236" s="266" t="str">
        <f>IFERROR(__xludf.DUMMYFUNCTION("""COMPUTED_VALUE"""),"You leap up to 30ft into the air and then horizontally up to twice your Speed, this movement does not provoke attacks of opportunity. You may use Silentium at any point during the movement, gaining the Combo bonus.")</f>
        <v>You leap up to 30ft into the air and then horizontally up to twice your Speed, this movement does not provoke attacks of opportunity. You may use Silentium at any point during the movement, gaining the Combo bonus.</v>
      </c>
      <c r="G236" s="263" t="str">
        <f>IFERROR(__xludf.DUMMYFUNCTION("""COMPUTED_VALUE"""),"")</f>
        <v/>
      </c>
      <c r="H236" s="265" t="str">
        <f>IFERROR(__xludf.DUMMYFUNCTION("""COMPUTED_VALUE"""),"2 AP")</f>
        <v>2 AP</v>
      </c>
      <c r="I236" s="264" t="str">
        <f>IFERROR(__xludf.DUMMYFUNCTION("""COMPUTED_VALUE"""),"2 AP")</f>
        <v>2 AP</v>
      </c>
      <c r="J236" s="264" t="str">
        <f>IFERROR(__xludf.DUMMYFUNCTION("""COMPUTED_VALUE"""),"")</f>
        <v/>
      </c>
      <c r="K236" s="263" t="str">
        <f>IFERROR(__xludf.DUMMYFUNCTION("""COMPUTED_VALUE"""),"")</f>
        <v/>
      </c>
      <c r="L236" s="263" t="str">
        <f>IFERROR(__xludf.DUMMYFUNCTION("""COMPUTED_VALUE"""),"")</f>
        <v/>
      </c>
      <c r="M236" s="263"/>
      <c r="N236" s="263"/>
      <c r="O236" s="263"/>
      <c r="P236" s="263"/>
      <c r="Q236" s="263"/>
      <c r="R236" s="263"/>
      <c r="S236" s="263"/>
      <c r="T236" s="263"/>
      <c r="U236" s="246"/>
      <c r="V236" s="246"/>
      <c r="W236" s="246"/>
      <c r="X236" s="246"/>
      <c r="Y236" s="246"/>
      <c r="Z236" s="246"/>
    </row>
    <row r="237">
      <c r="A237" s="263"/>
      <c r="B237" s="265" t="str">
        <f>IFERROR(__xludf.DUMMYFUNCTION("""COMPUTED_VALUE"""),"Earth Armor")</f>
        <v>Earth Armor</v>
      </c>
      <c r="C237" s="263"/>
      <c r="D237" s="263" t="str">
        <f>IFERROR(__xludf.DUMMYFUNCTION("""COMPUTED_VALUE"""),"Enchantment, Aid, Earth")</f>
        <v>Enchantment, Aid, Earth</v>
      </c>
      <c r="E237" s="264" t="str">
        <f>IFERROR(__xludf.DUMMYFUNCTION("""COMPUTED_VALUE"""),"5ft")</f>
        <v>5ft</v>
      </c>
      <c r="F237" s="266" t="str">
        <f>IFERROR(__xludf.DUMMYFUNCTION("""COMPUTED_VALUE"""),"You touch a willing ally’s armor and enchant it with earthen power. Until the end of the encounter, it grants a +1 guard and +4 block bonus.")</f>
        <v>You touch a willing ally’s armor and enchant it with earthen power. Until the end of the encounter, it grants a +1 guard and +4 block bonus.</v>
      </c>
      <c r="G237" s="263" t="str">
        <f>IFERROR(__xludf.DUMMYFUNCTION("""COMPUTED_VALUE"""),"")</f>
        <v/>
      </c>
      <c r="H237" s="265" t="str">
        <f>IFERROR(__xludf.DUMMYFUNCTION("""COMPUTED_VALUE"""),"2 AP")</f>
        <v>2 AP</v>
      </c>
      <c r="I237" s="264" t="str">
        <f>IFERROR(__xludf.DUMMYFUNCTION("""COMPUTED_VALUE"""),"2 AP")</f>
        <v>2 AP</v>
      </c>
      <c r="J237" s="264" t="str">
        <f>IFERROR(__xludf.DUMMYFUNCTION("""COMPUTED_VALUE"""),"")</f>
        <v/>
      </c>
      <c r="K237" s="263" t="str">
        <f>IFERROR(__xludf.DUMMYFUNCTION("""COMPUTED_VALUE"""),"")</f>
        <v/>
      </c>
      <c r="L237" s="263" t="str">
        <f>IFERROR(__xludf.DUMMYFUNCTION("""COMPUTED_VALUE"""),"")</f>
        <v/>
      </c>
      <c r="M237" s="263"/>
      <c r="N237" s="263"/>
      <c r="O237" s="263"/>
      <c r="P237" s="263"/>
      <c r="Q237" s="263"/>
      <c r="R237" s="263"/>
      <c r="S237" s="263"/>
      <c r="T237" s="263"/>
      <c r="U237" s="246"/>
      <c r="V237" s="246"/>
      <c r="W237" s="246"/>
      <c r="X237" s="246"/>
      <c r="Y237" s="246"/>
      <c r="Z237" s="246"/>
    </row>
    <row r="238">
      <c r="A238" s="263"/>
      <c r="B238" s="265" t="str">
        <f>IFERROR(__xludf.DUMMYFUNCTION("""COMPUTED_VALUE"""),"Earth Infusion")</f>
        <v>Earth Infusion</v>
      </c>
      <c r="C238" s="263"/>
      <c r="D238" s="264" t="str">
        <f>IFERROR(__xludf.DUMMYFUNCTION("""COMPUTED_VALUE"""),"Spell, Type, Earth")</f>
        <v>Spell, Type, Earth</v>
      </c>
      <c r="E238" s="264" t="str">
        <f>IFERROR(__xludf.DUMMYFUNCTION("""COMPUTED_VALUE"""),"30ft")</f>
        <v>30ft</v>
      </c>
      <c r="F238" s="266" t="str">
        <f>IFERROR(__xludf.DUMMYFUNCTION("""COMPUTED_VALUE"""),"You surround a willing target in mud and rocks, changing their typing to Earth II.
As an Earth II type, they take half damage from Lightning and Earth damage or attacks with the Lightning or Earth keyword unless that attack deals true damage. They take 50"&amp;"% more damage from Wind damage or attacks with the Wind keyword.")</f>
        <v>You surround a willing target in mud and rocks, changing their typing to Earth II.
As an Earth II type, they take half damage from Lightning and Earth damage or attacks with the Lightning or Earth keyword unless that attack deals true damage. They take 50% more damage from Wind damage or attacks with the Wind keyword.</v>
      </c>
      <c r="G238" s="264" t="str">
        <f>IFERROR(__xludf.DUMMYFUNCTION("""COMPUTED_VALUE"""),"")</f>
        <v/>
      </c>
      <c r="H238" s="265" t="str">
        <f>IFERROR(__xludf.DUMMYFUNCTION("""COMPUTED_VALUE"""),"1 AP")</f>
        <v>1 AP</v>
      </c>
      <c r="I238" s="264" t="str">
        <f>IFERROR(__xludf.DUMMYFUNCTION("""COMPUTED_VALUE"""),"1 AP")</f>
        <v>1 AP</v>
      </c>
      <c r="J238" s="263" t="str">
        <f>IFERROR(__xludf.DUMMYFUNCTION("""COMPUTED_VALUE"""),"")</f>
        <v/>
      </c>
      <c r="K238" s="263" t="str">
        <f>IFERROR(__xludf.DUMMYFUNCTION("""COMPUTED_VALUE"""),"")</f>
        <v/>
      </c>
      <c r="L238" s="263" t="str">
        <f>IFERROR(__xludf.DUMMYFUNCTION("""COMPUTED_VALUE"""),"")</f>
        <v/>
      </c>
      <c r="M238" s="263"/>
      <c r="N238" s="263"/>
      <c r="O238" s="263"/>
      <c r="P238" s="263"/>
      <c r="Q238" s="263"/>
      <c r="R238" s="263"/>
      <c r="S238" s="263"/>
      <c r="T238" s="263"/>
      <c r="U238" s="246"/>
      <c r="V238" s="246"/>
      <c r="W238" s="246"/>
      <c r="X238" s="246"/>
      <c r="Y238" s="246"/>
      <c r="Z238" s="246"/>
    </row>
    <row r="239">
      <c r="A239" s="263"/>
      <c r="B239" s="265" t="str">
        <f>IFERROR(__xludf.DUMMYFUNCTION("""COMPUTED_VALUE"""),"Earth Shield")</f>
        <v>Earth Shield</v>
      </c>
      <c r="C239" s="263"/>
      <c r="D239" s="263" t="str">
        <f>IFERROR(__xludf.DUMMYFUNCTION("""COMPUTED_VALUE"""),"Spell, Aid, Shield, Earth")</f>
        <v>Spell, Aid, Shield, Earth</v>
      </c>
      <c r="E239" s="263" t="str">
        <f>IFERROR(__xludf.DUMMYFUNCTION("""COMPUTED_VALUE"""),"30ft")</f>
        <v>30ft</v>
      </c>
      <c r="F239" s="266" t="str">
        <f>IFERROR(__xludf.DUMMYFUNCTION("""COMPUTED_VALUE"""),"You grant the target 1 RP they must spend on the Block action against the triggering attack. They gain a bonus to their Block for this action equal to your focus x 2.")</f>
        <v>You grant the target 1 RP they must spend on the Block action against the triggering attack. They gain a bonus to their Block for this action equal to your focus x 2.</v>
      </c>
      <c r="G239" s="263" t="str">
        <f>IFERROR(__xludf.DUMMYFUNCTION("""COMPUTED_VALUE"""),"An ally within range is the target of a melee attack and/or physical attack.")</f>
        <v>An ally within range is the target of a melee attack and/or physical attack.</v>
      </c>
      <c r="H239" s="267" t="str">
        <f>IFERROR(__xludf.DUMMYFUNCTION("""COMPUTED_VALUE"""),"1 MP, 1 RP")</f>
        <v>1 MP, 1 RP</v>
      </c>
      <c r="I239" s="263" t="str">
        <f>IFERROR(__xludf.DUMMYFUNCTION("""COMPUTED_VALUE"""),"")</f>
        <v/>
      </c>
      <c r="J239" s="263" t="str">
        <f>IFERROR(__xludf.DUMMYFUNCTION("""COMPUTED_VALUE"""),"1 MP")</f>
        <v>1 MP</v>
      </c>
      <c r="K239" s="263" t="str">
        <f>IFERROR(__xludf.DUMMYFUNCTION("""COMPUTED_VALUE"""),"1 RP")</f>
        <v>1 RP</v>
      </c>
      <c r="L239" s="263" t="str">
        <f>IFERROR(__xludf.DUMMYFUNCTION("""COMPUTED_VALUE"""),"")</f>
        <v/>
      </c>
      <c r="M239" s="263"/>
      <c r="N239" s="263"/>
      <c r="O239" s="263"/>
      <c r="P239" s="263"/>
      <c r="Q239" s="263"/>
      <c r="R239" s="263"/>
      <c r="S239" s="263"/>
      <c r="T239" s="263"/>
      <c r="U239" s="246"/>
      <c r="V239" s="246"/>
      <c r="W239" s="246"/>
      <c r="X239" s="246"/>
      <c r="Y239" s="246"/>
      <c r="Z239" s="246"/>
    </row>
    <row r="240">
      <c r="A240" s="263"/>
      <c r="B240" s="265" t="str">
        <f>IFERROR(__xludf.DUMMYFUNCTION("""COMPUTED_VALUE"""),"Earthen Divide")</f>
        <v>Earthen Divide</v>
      </c>
      <c r="C240" s="263"/>
      <c r="D240" s="263" t="str">
        <f>IFERROR(__xludf.DUMMYFUNCTION("""COMPUTED_VALUE"""),"Spell, Earth")</f>
        <v>Spell, Earth</v>
      </c>
      <c r="E240" s="263" t="str">
        <f>IFERROR(__xludf.DUMMYFUNCTION("""COMPUTED_VALUE"""),"5ft")</f>
        <v>5ft</v>
      </c>
      <c r="F240" s="266" t="str">
        <f>IFERROR(__xludf.DUMMYFUNCTION("""COMPUTED_VALUE"""),"You create a wall up to 20ft high, 5ft wide and 20ft long in a straight line. Each Segment of the wall has HP equal to 20 + Focus.
Overcharge: You may spend X mana to increase the length by 20 x Xft.")</f>
        <v>You create a wall up to 20ft high, 5ft wide and 20ft long in a straight line. Each Segment of the wall has HP equal to 20 + Focus.
Overcharge: You may spend X mana to increase the length by 20 x Xft.</v>
      </c>
      <c r="G240" s="263" t="str">
        <f>IFERROR(__xludf.DUMMYFUNCTION("""COMPUTED_VALUE"""),"")</f>
        <v/>
      </c>
      <c r="H240" s="267" t="str">
        <f>IFERROR(__xludf.DUMMYFUNCTION("""COMPUTED_VALUE"""),"3 AP, 2 MP")</f>
        <v>3 AP, 2 MP</v>
      </c>
      <c r="I240" s="263" t="str">
        <f>IFERROR(__xludf.DUMMYFUNCTION("""COMPUTED_VALUE"""),"3 AP")</f>
        <v>3 AP</v>
      </c>
      <c r="J240" s="263" t="str">
        <f>IFERROR(__xludf.DUMMYFUNCTION("""COMPUTED_VALUE"""),"2 MP")</f>
        <v>2 MP</v>
      </c>
      <c r="K240" s="263" t="str">
        <f>IFERROR(__xludf.DUMMYFUNCTION("""COMPUTED_VALUE"""),"")</f>
        <v/>
      </c>
      <c r="L240" s="263" t="str">
        <f>IFERROR(__xludf.DUMMYFUNCTION("""COMPUTED_VALUE"""),"")</f>
        <v/>
      </c>
      <c r="M240" s="263"/>
      <c r="N240" s="263"/>
      <c r="O240" s="263"/>
      <c r="P240" s="263"/>
      <c r="Q240" s="263"/>
      <c r="R240" s="263"/>
      <c r="S240" s="263"/>
      <c r="T240" s="263"/>
      <c r="U240" s="246"/>
      <c r="V240" s="246"/>
      <c r="W240" s="246"/>
      <c r="X240" s="246"/>
      <c r="Y240" s="246"/>
      <c r="Z240" s="246"/>
    </row>
    <row r="241">
      <c r="A241" s="263"/>
      <c r="B241" s="265" t="str">
        <f>IFERROR(__xludf.DUMMYFUNCTION("""COMPUTED_VALUE"""),"Earthen Guardian")</f>
        <v>Earthen Guardian</v>
      </c>
      <c r="C241" s="263"/>
      <c r="D241" s="263" t="str">
        <f>IFERROR(__xludf.DUMMYFUNCTION("""COMPUTED_VALUE"""),"Sidestep, Jump")</f>
        <v>Sidestep, Jump</v>
      </c>
      <c r="E241" s="263" t="str">
        <f>IFERROR(__xludf.DUMMYFUNCTION("""COMPUTED_VALUE"""),"40ft")</f>
        <v>40ft</v>
      </c>
      <c r="F241" s="266" t="str">
        <f>IFERROR(__xludf.DUMMYFUNCTION("""COMPUTED_VALUE"""),"You jump and sidestep towards the attacked ally and the triggering attack resolves against you instead. You automatically take the Block action against this attack.")</f>
        <v>You jump and sidestep towards the attacked ally and the triggering attack resolves against you instead. You automatically take the Block action against this attack.</v>
      </c>
      <c r="G241" s="263" t="str">
        <f>IFERROR(__xludf.DUMMYFUNCTION("""COMPUTED_VALUE"""),"In Steadfast Earth Stance, ally within range is the target of an attack.")</f>
        <v>In Steadfast Earth Stance, ally within range is the target of an attack.</v>
      </c>
      <c r="H241" s="267" t="str">
        <f>IFERROR(__xludf.DUMMYFUNCTION("""COMPUTED_VALUE"""),"2 MP, 1 RP")</f>
        <v>2 MP, 1 RP</v>
      </c>
      <c r="I241" s="263" t="str">
        <f>IFERROR(__xludf.DUMMYFUNCTION("""COMPUTED_VALUE"""),"")</f>
        <v/>
      </c>
      <c r="J241" s="263" t="str">
        <f>IFERROR(__xludf.DUMMYFUNCTION("""COMPUTED_VALUE"""),"2 MP")</f>
        <v>2 MP</v>
      </c>
      <c r="K241" s="263" t="str">
        <f>IFERROR(__xludf.DUMMYFUNCTION("""COMPUTED_VALUE"""),"1 RP")</f>
        <v>1 RP</v>
      </c>
      <c r="L241" s="263" t="str">
        <f>IFERROR(__xludf.DUMMYFUNCTION("""COMPUTED_VALUE"""),"")</f>
        <v/>
      </c>
      <c r="M241" s="263"/>
      <c r="N241" s="263"/>
      <c r="O241" s="263"/>
      <c r="P241" s="263"/>
      <c r="Q241" s="263"/>
      <c r="R241" s="263"/>
      <c r="S241" s="263"/>
      <c r="T241" s="263"/>
      <c r="U241" s="246"/>
      <c r="V241" s="246"/>
      <c r="W241" s="246"/>
      <c r="X241" s="246"/>
      <c r="Y241" s="246"/>
      <c r="Z241" s="246"/>
    </row>
    <row r="242">
      <c r="A242" s="263"/>
      <c r="B242" s="265" t="str">
        <f>IFERROR(__xludf.DUMMYFUNCTION("""COMPUTED_VALUE"""),"Eclipse Breaker")</f>
        <v>Eclipse Breaker</v>
      </c>
      <c r="C242" s="263"/>
      <c r="D242" s="263" t="str">
        <f>IFERROR(__xludf.DUMMYFUNCTION("""COMPUTED_VALUE"""),"Setup, Scatter")</f>
        <v>Setup, Scatter</v>
      </c>
      <c r="E242" s="263" t="str">
        <f>IFERROR(__xludf.DUMMYFUNCTION("""COMPUTED_VALUE"""),"Self")</f>
        <v>Self</v>
      </c>
      <c r="F242" s="266" t="str">
        <f>IFERROR(__xludf.DUMMYFUNCTION("""COMPUTED_VALUE"""),"You make a Heavy attack against all targets in a 15x15ft line.
You must choose the line direction when starting the ability.")</f>
        <v>You make a Heavy attack against all targets in a 15x15ft line.
You must choose the line direction when starting the ability.</v>
      </c>
      <c r="G242" s="263" t="str">
        <f>IFERROR(__xludf.DUMMYFUNCTION("""COMPUTED_VALUE"""),"")</f>
        <v/>
      </c>
      <c r="H242" s="267" t="str">
        <f>IFERROR(__xludf.DUMMYFUNCTION("""COMPUTED_VALUE"""),"2 AP")</f>
        <v>2 AP</v>
      </c>
      <c r="I242" s="263" t="str">
        <f>IFERROR(__xludf.DUMMYFUNCTION("""COMPUTED_VALUE"""),"2 AP")</f>
        <v>2 AP</v>
      </c>
      <c r="J242" s="263" t="str">
        <f>IFERROR(__xludf.DUMMYFUNCTION("""COMPUTED_VALUE"""),"")</f>
        <v/>
      </c>
      <c r="K242" s="263" t="str">
        <f>IFERROR(__xludf.DUMMYFUNCTION("""COMPUTED_VALUE"""),"")</f>
        <v/>
      </c>
      <c r="L242" s="263" t="str">
        <f>IFERROR(__xludf.DUMMYFUNCTION("""COMPUTED_VALUE"""),"")</f>
        <v/>
      </c>
      <c r="M242" s="263"/>
      <c r="N242" s="263"/>
      <c r="O242" s="263"/>
      <c r="P242" s="263"/>
      <c r="Q242" s="263"/>
      <c r="R242" s="263"/>
      <c r="S242" s="263"/>
      <c r="T242" s="263"/>
      <c r="U242" s="246"/>
      <c r="V242" s="246"/>
      <c r="W242" s="246"/>
      <c r="X242" s="246"/>
      <c r="Y242" s="246"/>
      <c r="Z242" s="246"/>
    </row>
    <row r="243">
      <c r="A243" s="263"/>
      <c r="B243" s="265" t="str">
        <f>IFERROR(__xludf.DUMMYFUNCTION("""COMPUTED_VALUE"""),"Efficient Strike")</f>
        <v>Efficient Strike</v>
      </c>
      <c r="C243" s="263"/>
      <c r="D243" s="263" t="str">
        <f>IFERROR(__xludf.DUMMYFUNCTION("""COMPUTED_VALUE"""),"")</f>
        <v/>
      </c>
      <c r="E243" s="263" t="str">
        <f>IFERROR(__xludf.DUMMYFUNCTION("""COMPUTED_VALUE"""),"")</f>
        <v/>
      </c>
      <c r="F243" s="266" t="str">
        <f>IFERROR(__xludf.DUMMYFUNCTION("""COMPUTED_VALUE"""),"Make a gathering check and apply it to NP. If this maxes node points, all overflow is converted into lucky points.")</f>
        <v>Make a gathering check and apply it to NP. If this maxes node points, all overflow is converted into lucky points.</v>
      </c>
      <c r="G243" s="263" t="str">
        <f>IFERROR(__xludf.DUMMYFUNCTION("""COMPUTED_VALUE"""),"Must in a gathering session.")</f>
        <v>Must in a gathering session.</v>
      </c>
      <c r="H243" s="267" t="str">
        <f>IFERROR(__xludf.DUMMYFUNCTION("""COMPUTED_VALUE"""),"1 Strike Dice")</f>
        <v>1 Strike Dice</v>
      </c>
      <c r="I243" s="263" t="str">
        <f>IFERROR(__xludf.DUMMYFUNCTION("""COMPUTED_VALUE"""),"")</f>
        <v/>
      </c>
      <c r="J243" s="263" t="str">
        <f>IFERROR(__xludf.DUMMYFUNCTION("""COMPUTED_VALUE"""),"")</f>
        <v/>
      </c>
      <c r="K243" s="263" t="str">
        <f>IFERROR(__xludf.DUMMYFUNCTION("""COMPUTED_VALUE"""),"")</f>
        <v/>
      </c>
      <c r="L243" s="263" t="str">
        <f>IFERROR(__xludf.DUMMYFUNCTION("""COMPUTED_VALUE"""),"")</f>
        <v/>
      </c>
      <c r="M243" s="263"/>
      <c r="N243" s="263"/>
      <c r="O243" s="263"/>
      <c r="P243" s="263"/>
      <c r="Q243" s="263"/>
      <c r="R243" s="263"/>
      <c r="S243" s="263"/>
      <c r="T243" s="263"/>
      <c r="U243" s="246"/>
      <c r="V243" s="246"/>
      <c r="W243" s="246"/>
      <c r="X243" s="246"/>
      <c r="Y243" s="246"/>
      <c r="Z243" s="246"/>
    </row>
    <row r="244">
      <c r="A244" s="263"/>
      <c r="B244" s="265" t="str">
        <f>IFERROR(__xludf.DUMMYFUNCTION("""COMPUTED_VALUE"""),"Elbow Uppercut")</f>
        <v>Elbow Uppercut</v>
      </c>
      <c r="C244" s="263"/>
      <c r="D244" s="264" t="str">
        <f>IFERROR(__xludf.DUMMYFUNCTION("""COMPUTED_VALUE"""),"Bajiquan, Combo, Unarmed Strike")</f>
        <v>Bajiquan, Combo, Unarmed Strike</v>
      </c>
      <c r="E244" s="264" t="str">
        <f>IFERROR(__xludf.DUMMYFUNCTION("""COMPUTED_VALUE"""),"Melee Weapon Range")</f>
        <v>Melee Weapon Range</v>
      </c>
      <c r="F244" s="266" t="str">
        <f>IFERROR(__xludf.DUMMYFUNCTION("""COMPUTED_VALUE"""),"You attack the target for Heavy Damage. Combo: If used after an ability with the Unarmed Strike keyword, this ability gains Full Pierce.")</f>
        <v>You attack the target for Heavy Damage. Combo: If used after an ability with the Unarmed Strike keyword, this ability gains Full Pierce.</v>
      </c>
      <c r="G244" s="263" t="str">
        <f>IFERROR(__xludf.DUMMYFUNCTION("""COMPUTED_VALUE"""),"")</f>
        <v/>
      </c>
      <c r="H244" s="267" t="str">
        <f>IFERROR(__xludf.DUMMYFUNCTION("""COMPUTED_VALUE"""),"2 AP, 1 MP")</f>
        <v>2 AP, 1 MP</v>
      </c>
      <c r="I244" s="263" t="str">
        <f>IFERROR(__xludf.DUMMYFUNCTION("""COMPUTED_VALUE"""),"2 AP")</f>
        <v>2 AP</v>
      </c>
      <c r="J244" s="263" t="str">
        <f>IFERROR(__xludf.DUMMYFUNCTION("""COMPUTED_VALUE"""),"1 MP")</f>
        <v>1 MP</v>
      </c>
      <c r="K244" s="263" t="str">
        <f>IFERROR(__xludf.DUMMYFUNCTION("""COMPUTED_VALUE"""),"")</f>
        <v/>
      </c>
      <c r="L244" s="263" t="str">
        <f>IFERROR(__xludf.DUMMYFUNCTION("""COMPUTED_VALUE"""),"")</f>
        <v/>
      </c>
      <c r="M244" s="263"/>
      <c r="N244" s="263"/>
      <c r="O244" s="263"/>
      <c r="P244" s="263"/>
      <c r="Q244" s="263"/>
      <c r="R244" s="263"/>
      <c r="S244" s="263"/>
      <c r="T244" s="263"/>
      <c r="U244" s="246"/>
      <c r="V244" s="246"/>
      <c r="W244" s="246"/>
      <c r="X244" s="246"/>
      <c r="Y244" s="246"/>
      <c r="Z244" s="246"/>
    </row>
    <row r="245">
      <c r="A245" s="263"/>
      <c r="B245" s="265" t="str">
        <f>IFERROR(__xludf.DUMMYFUNCTION("""COMPUTED_VALUE"""),"Elemental Bolt")</f>
        <v>Elemental Bolt</v>
      </c>
      <c r="C245" s="263"/>
      <c r="D245" s="264" t="str">
        <f>IFERROR(__xludf.DUMMYFUNCTION("""COMPUTED_VALUE"""),"Spell, Burning, Soaked, Static, Slow, Sunder, Illumination, Blinded")</f>
        <v>Spell, Burning, Soaked, Static, Slow, Sunder, Illumination, Blinded</v>
      </c>
      <c r="E245" s="264" t="str">
        <f>IFERROR(__xludf.DUMMYFUNCTION("""COMPUTED_VALUE"""),"120ft")</f>
        <v>120ft</v>
      </c>
      <c r="F245" s="266" t="str">
        <f>IFERROR(__xludf.DUMMYFUNCTION("""COMPUTED_VALUE"""),"You make a Light attack against the target. The damage type is chosen at the type of casting and must be that of an element you have mastered.
On damage, inflict an effect based on the damage type of this attack:
Arcane: The target loses 1 Mana
Fire: The "&amp;"target becomes Burning X, where X is your Focus x 3.
Water: The target becomes Soaked X, where X is your Focus, until they take lightning damage.
Lightning: The target becomes Static X, where X equals your Focus x 3.
Frost: The target becomes Slowed until"&amp;" the start of your next turn.
Earth: The target becomes afflicted with Sunder X, where X equals your Focus, for the next damage they take.
Wind: You push the target 10ft.
Holy: The target becomes inflicted with Illumination X, where X is your focus / 2.
D"&amp;"ark: The target becomes inflicted with Blinded X, where X is your focus, for their next attack.")</f>
        <v>You make a Light attack against the target. The damage type is chosen at the type of casting and must be that of an element you have mastered.
On damage, inflict an effect based on the damage type of this attack:
Arcane: The target loses 1 Mana
Fire: The target becomes Burning X, where X is your Focus x 3.
Water: The target becomes Soaked X, where X is your Focus, until they take lightning damage.
Lightning: The target becomes Static X, where X equals your Focus x 3.
Frost: The target becomes Slowed until the start of your next turn.
Earth: The target becomes afflicted with Sunder X, where X equals your Focus, for the next damage they take.
Wind: You push the target 10ft.
Holy: The target becomes inflicted with Illumination X, where X is your focus / 2.
Dark: The target becomes inflicted with Blinded X, where X is your focus, for their next attack.</v>
      </c>
      <c r="G245" s="263" t="str">
        <f>IFERROR(__xludf.DUMMYFUNCTION("""COMPUTED_VALUE"""),"")</f>
        <v/>
      </c>
      <c r="H245" s="265" t="str">
        <f>IFERROR(__xludf.DUMMYFUNCTION("""COMPUTED_VALUE"""),"1 AP, 1 MP")</f>
        <v>1 AP, 1 MP</v>
      </c>
      <c r="I245" s="263" t="str">
        <f>IFERROR(__xludf.DUMMYFUNCTION("""COMPUTED_VALUE"""),"1 AP")</f>
        <v>1 AP</v>
      </c>
      <c r="J245" s="264" t="str">
        <f>IFERROR(__xludf.DUMMYFUNCTION("""COMPUTED_VALUE"""),"1 MP")</f>
        <v>1 MP</v>
      </c>
      <c r="K245" s="263" t="str">
        <f>IFERROR(__xludf.DUMMYFUNCTION("""COMPUTED_VALUE"""),"")</f>
        <v/>
      </c>
      <c r="L245" s="263" t="str">
        <f>IFERROR(__xludf.DUMMYFUNCTION("""COMPUTED_VALUE"""),"")</f>
        <v/>
      </c>
      <c r="M245" s="263"/>
      <c r="N245" s="263"/>
      <c r="O245" s="263"/>
      <c r="P245" s="263"/>
      <c r="Q245" s="263"/>
      <c r="R245" s="263"/>
      <c r="S245" s="263"/>
      <c r="T245" s="263"/>
      <c r="U245" s="246"/>
      <c r="V245" s="246"/>
      <c r="W245" s="246"/>
      <c r="X245" s="246"/>
      <c r="Y245" s="246"/>
      <c r="Z245" s="246"/>
    </row>
    <row r="246">
      <c r="A246" s="263"/>
      <c r="B246" s="265" t="str">
        <f>IFERROR(__xludf.DUMMYFUNCTION("""COMPUTED_VALUE"""),"Elemental Burst")</f>
        <v>Elemental Burst</v>
      </c>
      <c r="C246" s="263"/>
      <c r="D246" s="264" t="str">
        <f>IFERROR(__xludf.DUMMYFUNCTION("""COMPUTED_VALUE"""),"Spell")</f>
        <v>Spell</v>
      </c>
      <c r="E246" s="264" t="str">
        <f>IFERROR(__xludf.DUMMYFUNCTION("""COMPUTED_VALUE"""),"120ft")</f>
        <v>120ft</v>
      </c>
      <c r="F246" s="266" t="str">
        <f>IFERROR(__xludf.DUMMYFUNCTION("""COMPUTED_VALUE"""),"You cause your attack to burst into the target causing them to take additional damage of that element equal to 2d4 + Focus.")</f>
        <v>You cause your attack to burst into the target causing them to take additional damage of that element equal to 2d4 + Focus.</v>
      </c>
      <c r="G246" s="263" t="str">
        <f>IFERROR(__xludf.DUMMYFUNCTION("""COMPUTED_VALUE"""),"Can be used after dealing elemental damage that does not contain the Full Pierce or Sure Hit keywords.")</f>
        <v>Can be used after dealing elemental damage that does not contain the Full Pierce or Sure Hit keywords.</v>
      </c>
      <c r="H246" s="265" t="str">
        <f>IFERROR(__xludf.DUMMYFUNCTION("""COMPUTED_VALUE"""),"1 RP")</f>
        <v>1 RP</v>
      </c>
      <c r="I246" s="264" t="str">
        <f>IFERROR(__xludf.DUMMYFUNCTION("""COMPUTED_VALUE"""),"")</f>
        <v/>
      </c>
      <c r="J246" s="264" t="str">
        <f>IFERROR(__xludf.DUMMYFUNCTION("""COMPUTED_VALUE"""),"")</f>
        <v/>
      </c>
      <c r="K246" s="263" t="str">
        <f>IFERROR(__xludf.DUMMYFUNCTION("""COMPUTED_VALUE"""),"1 RP")</f>
        <v>1 RP</v>
      </c>
      <c r="L246" s="263" t="str">
        <f>IFERROR(__xludf.DUMMYFUNCTION("""COMPUTED_VALUE"""),"")</f>
        <v/>
      </c>
      <c r="M246" s="263"/>
      <c r="N246" s="263"/>
      <c r="O246" s="263"/>
      <c r="P246" s="263"/>
      <c r="Q246" s="263"/>
      <c r="R246" s="263"/>
      <c r="S246" s="263"/>
      <c r="T246" s="263"/>
      <c r="U246" s="246"/>
      <c r="V246" s="246"/>
      <c r="W246" s="246"/>
      <c r="X246" s="246"/>
      <c r="Y246" s="246"/>
      <c r="Z246" s="246"/>
    </row>
    <row r="247">
      <c r="A247" s="263"/>
      <c r="B247" s="265" t="str">
        <f>IFERROR(__xludf.DUMMYFUNCTION("""COMPUTED_VALUE"""),"Elemental Convergence")</f>
        <v>Elemental Convergence</v>
      </c>
      <c r="C247" s="263"/>
      <c r="D247" s="263" t="str">
        <f>IFERROR(__xludf.DUMMYFUNCTION("""COMPUTED_VALUE"""),"Encounter Start")</f>
        <v>Encounter Start</v>
      </c>
      <c r="E247" s="264" t="str">
        <f>IFERROR(__xludf.DUMMYFUNCTION("""COMPUTED_VALUE"""),"Self")</f>
        <v>Self</v>
      </c>
      <c r="F247" s="266" t="str">
        <f>IFERROR(__xludf.DUMMYFUNCTION("""COMPUTED_VALUE"""),"You may choose 1 element from Arcane, Fire, Water, Frost, Wind, Lightning or Earth. Until the end of the encounter, you are considered to have mastered that element.
You may swap this element once per turn for 1 Mana.")</f>
        <v>You may choose 1 element from Arcane, Fire, Water, Frost, Wind, Lightning or Earth. Until the end of the encounter, you are considered to have mastered that element.
You may swap this element once per turn for 1 Mana.</v>
      </c>
      <c r="G247" s="263" t="str">
        <f>IFERROR(__xludf.DUMMYFUNCTION("""COMPUTED_VALUE"""),"")</f>
        <v/>
      </c>
      <c r="H247" s="265" t="str">
        <f>IFERROR(__xludf.DUMMYFUNCTION("""COMPUTED_VALUE"""),"")</f>
        <v/>
      </c>
      <c r="I247" s="264" t="str">
        <f>IFERROR(__xludf.DUMMYFUNCTION("""COMPUTED_VALUE"""),"")</f>
        <v/>
      </c>
      <c r="J247" s="263" t="str">
        <f>IFERROR(__xludf.DUMMYFUNCTION("""COMPUTED_VALUE"""),"")</f>
        <v/>
      </c>
      <c r="K247" s="263" t="str">
        <f>IFERROR(__xludf.DUMMYFUNCTION("""COMPUTED_VALUE"""),"")</f>
        <v/>
      </c>
      <c r="L247" s="263" t="str">
        <f>IFERROR(__xludf.DUMMYFUNCTION("""COMPUTED_VALUE"""),"")</f>
        <v/>
      </c>
      <c r="M247" s="263"/>
      <c r="N247" s="263"/>
      <c r="O247" s="263"/>
      <c r="P247" s="263"/>
      <c r="Q247" s="263"/>
      <c r="R247" s="263"/>
      <c r="S247" s="263"/>
      <c r="T247" s="263"/>
      <c r="U247" s="246"/>
      <c r="V247" s="246"/>
      <c r="W247" s="246"/>
      <c r="X247" s="246"/>
      <c r="Y247" s="246"/>
      <c r="Z247" s="246"/>
    </row>
    <row r="248">
      <c r="A248" s="263"/>
      <c r="B248" s="265" t="str">
        <f>IFERROR(__xludf.DUMMYFUNCTION("""COMPUTED_VALUE"""),"Elemental Mastery: Dark")</f>
        <v>Elemental Mastery: Dark</v>
      </c>
      <c r="C248" s="263"/>
      <c r="D248" s="264" t="str">
        <f>IFERROR(__xludf.DUMMYFUNCTION("""COMPUTED_VALUE"""),"")</f>
        <v/>
      </c>
      <c r="E248" s="264" t="str">
        <f>IFERROR(__xludf.DUMMYFUNCTION("""COMPUTED_VALUE"""),"")</f>
        <v/>
      </c>
      <c r="F248" s="266" t="str">
        <f>IFERROR(__xludf.DUMMYFUNCTION("""COMPUTED_VALUE"""),"You gain Elemental Mastery: Dark")</f>
        <v>You gain Elemental Mastery: Dark</v>
      </c>
      <c r="G248" s="264" t="str">
        <f>IFERROR(__xludf.DUMMYFUNCTION("""COMPUTED_VALUE"""),"")</f>
        <v/>
      </c>
      <c r="H248" s="265" t="str">
        <f>IFERROR(__xludf.DUMMYFUNCTION("""COMPUTED_VALUE"""),"")</f>
        <v/>
      </c>
      <c r="I248" s="264" t="str">
        <f>IFERROR(__xludf.DUMMYFUNCTION("""COMPUTED_VALUE"""),"")</f>
        <v/>
      </c>
      <c r="J248" s="263" t="str">
        <f>IFERROR(__xludf.DUMMYFUNCTION("""COMPUTED_VALUE"""),"")</f>
        <v/>
      </c>
      <c r="K248" s="263" t="str">
        <f>IFERROR(__xludf.DUMMYFUNCTION("""COMPUTED_VALUE"""),"")</f>
        <v/>
      </c>
      <c r="L248" s="263" t="str">
        <f>IFERROR(__xludf.DUMMYFUNCTION("""COMPUTED_VALUE"""),"")</f>
        <v/>
      </c>
      <c r="M248" s="263"/>
      <c r="N248" s="263"/>
      <c r="O248" s="263"/>
      <c r="P248" s="263"/>
      <c r="Q248" s="263"/>
      <c r="R248" s="263"/>
      <c r="S248" s="263"/>
      <c r="T248" s="263"/>
      <c r="U248" s="246"/>
      <c r="V248" s="246"/>
      <c r="W248" s="246"/>
      <c r="X248" s="246"/>
      <c r="Y248" s="246"/>
      <c r="Z248" s="246"/>
    </row>
    <row r="249">
      <c r="A249" s="263"/>
      <c r="B249" s="265" t="str">
        <f>IFERROR(__xludf.DUMMYFUNCTION("""COMPUTED_VALUE"""),"Elemental Mastery: Fire")</f>
        <v>Elemental Mastery: Fire</v>
      </c>
      <c r="C249" s="263"/>
      <c r="D249" s="264" t="str">
        <f>IFERROR(__xludf.DUMMYFUNCTION("""COMPUTED_VALUE"""),"")</f>
        <v/>
      </c>
      <c r="E249" s="264" t="str">
        <f>IFERROR(__xludf.DUMMYFUNCTION("""COMPUTED_VALUE"""),"")</f>
        <v/>
      </c>
      <c r="F249" s="266" t="str">
        <f>IFERROR(__xludf.DUMMYFUNCTION("""COMPUTED_VALUE"""),"You gain Elemental Mastery: Fire")</f>
        <v>You gain Elemental Mastery: Fire</v>
      </c>
      <c r="G249" s="263" t="str">
        <f>IFERROR(__xludf.DUMMYFUNCTION("""COMPUTED_VALUE"""),"")</f>
        <v/>
      </c>
      <c r="H249" s="265" t="str">
        <f>IFERROR(__xludf.DUMMYFUNCTION("""COMPUTED_VALUE"""),"")</f>
        <v/>
      </c>
      <c r="I249" s="264" t="str">
        <f>IFERROR(__xludf.DUMMYFUNCTION("""COMPUTED_VALUE"""),"")</f>
        <v/>
      </c>
      <c r="J249" s="263" t="str">
        <f>IFERROR(__xludf.DUMMYFUNCTION("""COMPUTED_VALUE"""),"")</f>
        <v/>
      </c>
      <c r="K249" s="263" t="str">
        <f>IFERROR(__xludf.DUMMYFUNCTION("""COMPUTED_VALUE"""),"")</f>
        <v/>
      </c>
      <c r="L249" s="263" t="str">
        <f>IFERROR(__xludf.DUMMYFUNCTION("""COMPUTED_VALUE"""),"")</f>
        <v/>
      </c>
      <c r="M249" s="263"/>
      <c r="N249" s="263"/>
      <c r="O249" s="263"/>
      <c r="P249" s="263"/>
      <c r="Q249" s="263"/>
      <c r="R249" s="263"/>
      <c r="S249" s="263"/>
      <c r="T249" s="263"/>
      <c r="U249" s="246"/>
      <c r="V249" s="246"/>
      <c r="W249" s="246"/>
      <c r="X249" s="246"/>
      <c r="Y249" s="246"/>
      <c r="Z249" s="246"/>
    </row>
    <row r="250">
      <c r="A250" s="263"/>
      <c r="B250" s="265" t="str">
        <f>IFERROR(__xludf.DUMMYFUNCTION("""COMPUTED_VALUE"""),"Elemental Mastery: Frost")</f>
        <v>Elemental Mastery: Frost</v>
      </c>
      <c r="C250" s="263"/>
      <c r="D250" s="264" t="str">
        <f>IFERROR(__xludf.DUMMYFUNCTION("""COMPUTED_VALUE"""),"")</f>
        <v/>
      </c>
      <c r="E250" s="264" t="str">
        <f>IFERROR(__xludf.DUMMYFUNCTION("""COMPUTED_VALUE"""),"")</f>
        <v/>
      </c>
      <c r="F250" s="266" t="str">
        <f>IFERROR(__xludf.DUMMYFUNCTION("""COMPUTED_VALUE"""),"You gain Elemental Mastery: Frost")</f>
        <v>You gain Elemental Mastery: Frost</v>
      </c>
      <c r="G250" s="263" t="str">
        <f>IFERROR(__xludf.DUMMYFUNCTION("""COMPUTED_VALUE"""),"")</f>
        <v/>
      </c>
      <c r="H250" s="265" t="str">
        <f>IFERROR(__xludf.DUMMYFUNCTION("""COMPUTED_VALUE"""),"")</f>
        <v/>
      </c>
      <c r="I250" s="263" t="str">
        <f>IFERROR(__xludf.DUMMYFUNCTION("""COMPUTED_VALUE"""),"")</f>
        <v/>
      </c>
      <c r="J250" s="264" t="str">
        <f>IFERROR(__xludf.DUMMYFUNCTION("""COMPUTED_VALUE"""),"")</f>
        <v/>
      </c>
      <c r="K250" s="264" t="str">
        <f>IFERROR(__xludf.DUMMYFUNCTION("""COMPUTED_VALUE"""),"")</f>
        <v/>
      </c>
      <c r="L250" s="263" t="str">
        <f>IFERROR(__xludf.DUMMYFUNCTION("""COMPUTED_VALUE"""),"")</f>
        <v/>
      </c>
      <c r="M250" s="263"/>
      <c r="N250" s="263"/>
      <c r="O250" s="263"/>
      <c r="P250" s="263"/>
      <c r="Q250" s="263"/>
      <c r="R250" s="263"/>
      <c r="S250" s="263"/>
      <c r="T250" s="263"/>
      <c r="U250" s="246"/>
      <c r="V250" s="246"/>
      <c r="W250" s="246"/>
      <c r="X250" s="246"/>
      <c r="Y250" s="246"/>
      <c r="Z250" s="246"/>
    </row>
    <row r="251">
      <c r="A251" s="263"/>
      <c r="B251" s="265" t="str">
        <f>IFERROR(__xludf.DUMMYFUNCTION("""COMPUTED_VALUE"""),"Elemental Mastery: Holy")</f>
        <v>Elemental Mastery: Holy</v>
      </c>
      <c r="C251" s="263"/>
      <c r="D251" s="264" t="str">
        <f>IFERROR(__xludf.DUMMYFUNCTION("""COMPUTED_VALUE"""),"")</f>
        <v/>
      </c>
      <c r="E251" s="264" t="str">
        <f>IFERROR(__xludf.DUMMYFUNCTION("""COMPUTED_VALUE"""),"")</f>
        <v/>
      </c>
      <c r="F251" s="266" t="str">
        <f>IFERROR(__xludf.DUMMYFUNCTION("""COMPUTED_VALUE"""),"You gain Elemental Mastery: Holy")</f>
        <v>You gain Elemental Mastery: Holy</v>
      </c>
      <c r="G251" s="263" t="str">
        <f>IFERROR(__xludf.DUMMYFUNCTION("""COMPUTED_VALUE"""),"")</f>
        <v/>
      </c>
      <c r="H251" s="265" t="str">
        <f>IFERROR(__xludf.DUMMYFUNCTION("""COMPUTED_VALUE"""),"")</f>
        <v/>
      </c>
      <c r="I251" s="264" t="str">
        <f>IFERROR(__xludf.DUMMYFUNCTION("""COMPUTED_VALUE"""),"")</f>
        <v/>
      </c>
      <c r="J251" s="264" t="str">
        <f>IFERROR(__xludf.DUMMYFUNCTION("""COMPUTED_VALUE"""),"")</f>
        <v/>
      </c>
      <c r="K251" s="263" t="str">
        <f>IFERROR(__xludf.DUMMYFUNCTION("""COMPUTED_VALUE"""),"")</f>
        <v/>
      </c>
      <c r="L251" s="263" t="str">
        <f>IFERROR(__xludf.DUMMYFUNCTION("""COMPUTED_VALUE"""),"")</f>
        <v/>
      </c>
      <c r="M251" s="263"/>
      <c r="N251" s="263"/>
      <c r="O251" s="263"/>
      <c r="P251" s="263"/>
      <c r="Q251" s="263"/>
      <c r="R251" s="263"/>
      <c r="S251" s="263"/>
      <c r="T251" s="263"/>
      <c r="U251" s="246"/>
      <c r="V251" s="246"/>
      <c r="W251" s="246"/>
      <c r="X251" s="246"/>
      <c r="Y251" s="246"/>
      <c r="Z251" s="246"/>
    </row>
    <row r="252">
      <c r="A252" s="263"/>
      <c r="B252" s="265" t="str">
        <f>IFERROR(__xludf.DUMMYFUNCTION("""COMPUTED_VALUE"""),"Elemental Mastery: Lightning")</f>
        <v>Elemental Mastery: Lightning</v>
      </c>
      <c r="C252" s="263"/>
      <c r="D252" s="264" t="str">
        <f>IFERROR(__xludf.DUMMYFUNCTION("""COMPUTED_VALUE"""),"")</f>
        <v/>
      </c>
      <c r="E252" s="264" t="str">
        <f>IFERROR(__xludf.DUMMYFUNCTION("""COMPUTED_VALUE"""),"")</f>
        <v/>
      </c>
      <c r="F252" s="266" t="str">
        <f>IFERROR(__xludf.DUMMYFUNCTION("""COMPUTED_VALUE"""),"You gain Elemental Mastery: Lightning.")</f>
        <v>You gain Elemental Mastery: Lightning.</v>
      </c>
      <c r="G252" s="263" t="str">
        <f>IFERROR(__xludf.DUMMYFUNCTION("""COMPUTED_VALUE"""),"")</f>
        <v/>
      </c>
      <c r="H252" s="265" t="str">
        <f>IFERROR(__xludf.DUMMYFUNCTION("""COMPUTED_VALUE"""),"")</f>
        <v/>
      </c>
      <c r="I252" s="264" t="str">
        <f>IFERROR(__xludf.DUMMYFUNCTION("""COMPUTED_VALUE"""),"")</f>
        <v/>
      </c>
      <c r="J252" s="264" t="str">
        <f>IFERROR(__xludf.DUMMYFUNCTION("""COMPUTED_VALUE"""),"")</f>
        <v/>
      </c>
      <c r="K252" s="263" t="str">
        <f>IFERROR(__xludf.DUMMYFUNCTION("""COMPUTED_VALUE"""),"")</f>
        <v/>
      </c>
      <c r="L252" s="263" t="str">
        <f>IFERROR(__xludf.DUMMYFUNCTION("""COMPUTED_VALUE"""),"")</f>
        <v/>
      </c>
      <c r="M252" s="263"/>
      <c r="N252" s="263"/>
      <c r="O252" s="263"/>
      <c r="P252" s="263"/>
      <c r="Q252" s="263"/>
      <c r="R252" s="263"/>
      <c r="S252" s="263"/>
      <c r="T252" s="263"/>
      <c r="U252" s="246"/>
      <c r="V252" s="246"/>
      <c r="W252" s="246"/>
      <c r="X252" s="246"/>
      <c r="Y252" s="246"/>
      <c r="Z252" s="246"/>
    </row>
    <row r="253">
      <c r="A253" s="263"/>
      <c r="B253" s="265" t="str">
        <f>IFERROR(__xludf.DUMMYFUNCTION("""COMPUTED_VALUE"""),"Elemental Mastery: Wind")</f>
        <v>Elemental Mastery: Wind</v>
      </c>
      <c r="C253" s="263"/>
      <c r="D253" s="264" t="str">
        <f>IFERROR(__xludf.DUMMYFUNCTION("""COMPUTED_VALUE"""),"")</f>
        <v/>
      </c>
      <c r="E253" s="264" t="str">
        <f>IFERROR(__xludf.DUMMYFUNCTION("""COMPUTED_VALUE"""),"")</f>
        <v/>
      </c>
      <c r="F253" s="266" t="str">
        <f>IFERROR(__xludf.DUMMYFUNCTION("""COMPUTED_VALUE"""),"You gain Elemental Mastery: Wind.")</f>
        <v>You gain Elemental Mastery: Wind.</v>
      </c>
      <c r="G253" s="263" t="str">
        <f>IFERROR(__xludf.DUMMYFUNCTION("""COMPUTED_VALUE"""),"")</f>
        <v/>
      </c>
      <c r="H253" s="265" t="str">
        <f>IFERROR(__xludf.DUMMYFUNCTION("""COMPUTED_VALUE"""),"")</f>
        <v/>
      </c>
      <c r="I253" s="264" t="str">
        <f>IFERROR(__xludf.DUMMYFUNCTION("""COMPUTED_VALUE"""),"")</f>
        <v/>
      </c>
      <c r="J253" s="264" t="str">
        <f>IFERROR(__xludf.DUMMYFUNCTION("""COMPUTED_VALUE"""),"")</f>
        <v/>
      </c>
      <c r="K253" s="263" t="str">
        <f>IFERROR(__xludf.DUMMYFUNCTION("""COMPUTED_VALUE"""),"")</f>
        <v/>
      </c>
      <c r="L253" s="263" t="str">
        <f>IFERROR(__xludf.DUMMYFUNCTION("""COMPUTED_VALUE"""),"")</f>
        <v/>
      </c>
      <c r="M253" s="263"/>
      <c r="N253" s="263"/>
      <c r="O253" s="263"/>
      <c r="P253" s="263"/>
      <c r="Q253" s="263"/>
      <c r="R253" s="263"/>
      <c r="S253" s="263"/>
      <c r="T253" s="263"/>
      <c r="U253" s="246"/>
      <c r="V253" s="246"/>
      <c r="W253" s="246"/>
      <c r="X253" s="246"/>
      <c r="Y253" s="246"/>
      <c r="Z253" s="246"/>
    </row>
    <row r="254">
      <c r="A254" s="263"/>
      <c r="B254" s="265" t="str">
        <f>IFERROR(__xludf.DUMMYFUNCTION("""COMPUTED_VALUE"""),"Elemental Strike")</f>
        <v>Elemental Strike</v>
      </c>
      <c r="C254" s="263"/>
      <c r="D254" s="264" t="str">
        <f>IFERROR(__xludf.DUMMYFUNCTION("""COMPUTED_VALUE"""),"Burning, Soaked, Static, Slow, Blinded")</f>
        <v>Burning, Soaked, Static, Slow, Blinded</v>
      </c>
      <c r="E254" s="264" t="str">
        <f>IFERROR(__xludf.DUMMYFUNCTION("""COMPUTED_VALUE"""),"Melee Weapon Range")</f>
        <v>Melee Weapon Range</v>
      </c>
      <c r="F254" s="266" t="str">
        <f>IFERROR(__xludf.DUMMYFUNCTION("""COMPUTED_VALUE"""),"You make a Light Attack against the target. On damage, your attack applies an additional effect based on one of your attack's damage type. (If you are able to have multiple damage types on the attack such as through Holy weapon, you may pick any of the ef"&amp;"fects).
Arcane: The target loses 1 mana.
Fire: The target becomes Burning X, where X equals your Power x 3.
Water: The target becomes Soaked X, where X equals your power/2 (rounded down), until they take Lightning damage.
Lightning: The target is afflicte"&amp;"d with Static X, where X equals your Power x 3
Earth/Frost: The target becomes Slowed until the start of your next turn.
Wind: You may push the target back 10ft.
Holy: You gain temporary hit points equal to your Power + 5.
Dark: The target becomes Blinded"&amp;" 5 until after their next attack.")</f>
        <v>You make a Light Attack against the target. On damage, your attack applies an additional effect based on one of your attack's damage type. (If you are able to have multiple damage types on the attack such as through Holy weapon, you may pick any of the effects).
Arcane: The target loses 1 mana.
Fire: The target becomes Burning X, where X equals your Power x 3.
Water: The target becomes Soaked X, where X equals your power/2 (rounded down), until they take Lightning damage.
Lightning: The target is afflicted with Static X, where X equals your Power x 3
Earth/Frost: The target becomes Slowed until the start of your next turn.
Wind: You may push the target back 10ft.
Holy: You gain temporary hit points equal to your Power + 5.
Dark: The target becomes Blinded 5 until after their next attack.</v>
      </c>
      <c r="G254" s="264" t="str">
        <f>IFERROR(__xludf.DUMMYFUNCTION("""COMPUTED_VALUE"""),"")</f>
        <v/>
      </c>
      <c r="H254" s="265" t="str">
        <f>IFERROR(__xludf.DUMMYFUNCTION("""COMPUTED_VALUE"""),"1 AP, 1 MP")</f>
        <v>1 AP, 1 MP</v>
      </c>
      <c r="I254" s="264" t="str">
        <f>IFERROR(__xludf.DUMMYFUNCTION("""COMPUTED_VALUE"""),"1 AP")</f>
        <v>1 AP</v>
      </c>
      <c r="J254" s="263" t="str">
        <f>IFERROR(__xludf.DUMMYFUNCTION("""COMPUTED_VALUE"""),"1 MP")</f>
        <v>1 MP</v>
      </c>
      <c r="K254" s="263" t="str">
        <f>IFERROR(__xludf.DUMMYFUNCTION("""COMPUTED_VALUE"""),"")</f>
        <v/>
      </c>
      <c r="L254" s="263" t="str">
        <f>IFERROR(__xludf.DUMMYFUNCTION("""COMPUTED_VALUE"""),"")</f>
        <v/>
      </c>
      <c r="M254" s="263"/>
      <c r="N254" s="263"/>
      <c r="O254" s="263"/>
      <c r="P254" s="263"/>
      <c r="Q254" s="263"/>
      <c r="R254" s="263"/>
      <c r="S254" s="263"/>
      <c r="T254" s="263"/>
      <c r="U254" s="246"/>
      <c r="V254" s="246"/>
      <c r="W254" s="246"/>
      <c r="X254" s="246"/>
      <c r="Y254" s="246"/>
      <c r="Z254" s="246"/>
    </row>
    <row r="255">
      <c r="A255" s="263"/>
      <c r="B255" s="265" t="str">
        <f>IFERROR(__xludf.DUMMYFUNCTION("""COMPUTED_VALUE"""),"Elemental Sweep")</f>
        <v>Elemental Sweep</v>
      </c>
      <c r="C255" s="263"/>
      <c r="D255" s="264" t="str">
        <f>IFERROR(__xludf.DUMMYFUNCTION("""COMPUTED_VALUE"""),"Burning, Soaked, Static, Slow, Blinded, Blanketing")</f>
        <v>Burning, Soaked, Static, Slow, Blinded, Blanketing</v>
      </c>
      <c r="E255" s="264" t="str">
        <f>IFERROR(__xludf.DUMMYFUNCTION("""COMPUTED_VALUE"""),"Melee Weapon Range")</f>
        <v>Melee Weapon Range</v>
      </c>
      <c r="F255" s="266" t="str">
        <f>IFERROR(__xludf.DUMMYFUNCTION("""COMPUTED_VALUE"""),"You may make a Light Attack against all enemies within range. On damage, your attack applies an additional effect based on one of your attack's damage type. (If you are able to have multiple damage types on the attack such as through Holy weapon, you may "&amp;"pick any of the effects).
Arcane: The target loses 1 mana.
Fire: The target becomes Burning X, where X equals your Power x 3.
Water: The target becomes Soaked X, where X equals your power/2 (rounded down), until they take Lightning damage.
Lightning: The "&amp;"target is afflicted with Static X, where X equals your Power x 3.
Earth/Frost: The target becomes Slowed until the start of your next turn.
Wind: You may push the target back 10ft.
Holy: You gain temporary hit points equal to your Power+5.
Dark: The targe"&amp;"t becomes Blinded 5 until after their next attack.")</f>
        <v>You may make a Light Attack against all enemies within range. On damage, your attack applies an additional effect based on one of your attack's damage type. (If you are able to have multiple damage types on the attack such as through Holy weapon, you may pick any of the effects).
Arcane: The target loses 1 mana.
Fire: The target becomes Burning X, where X equals your Power x 3.
Water: The target becomes Soaked X, where X equals your power/2 (rounded down), until they take Lightning damage.
Lightning: The target is afflicted with Static X, where X equals your Power x 3.
Earth/Frost: The target becomes Slowed until the start of your next turn.
Wind: You may push the target back 10ft.
Holy: You gain temporary hit points equal to your Power+5.
Dark: The target becomes Blinded 5 until after their next attack.</v>
      </c>
      <c r="G255" s="264" t="str">
        <f>IFERROR(__xludf.DUMMYFUNCTION("""COMPUTED_VALUE"""),"")</f>
        <v/>
      </c>
      <c r="H255" s="265" t="str">
        <f>IFERROR(__xludf.DUMMYFUNCTION("""COMPUTED_VALUE"""),"2 AP, 1 MP")</f>
        <v>2 AP, 1 MP</v>
      </c>
      <c r="I255" s="263" t="str">
        <f>IFERROR(__xludf.DUMMYFUNCTION("""COMPUTED_VALUE"""),"2 AP")</f>
        <v>2 AP</v>
      </c>
      <c r="J255" s="263" t="str">
        <f>IFERROR(__xludf.DUMMYFUNCTION("""COMPUTED_VALUE"""),"1 MP")</f>
        <v>1 MP</v>
      </c>
      <c r="K255" s="264" t="str">
        <f>IFERROR(__xludf.DUMMYFUNCTION("""COMPUTED_VALUE"""),"")</f>
        <v/>
      </c>
      <c r="L255" s="263" t="str">
        <f>IFERROR(__xludf.DUMMYFUNCTION("""COMPUTED_VALUE"""),"")</f>
        <v/>
      </c>
      <c r="M255" s="263"/>
      <c r="N255" s="263"/>
      <c r="O255" s="263"/>
      <c r="P255" s="263"/>
      <c r="Q255" s="263"/>
      <c r="R255" s="263"/>
      <c r="S255" s="263"/>
      <c r="T255" s="263"/>
      <c r="U255" s="246"/>
      <c r="V255" s="246"/>
      <c r="W255" s="246"/>
      <c r="X255" s="246"/>
      <c r="Y255" s="246"/>
      <c r="Z255" s="246"/>
    </row>
    <row r="256">
      <c r="A256" s="263"/>
      <c r="B256" s="265" t="str">
        <f>IFERROR(__xludf.DUMMYFUNCTION("""COMPUTED_VALUE"""),"Emergency Maneuvers")</f>
        <v>Emergency Maneuvers</v>
      </c>
      <c r="C256" s="263"/>
      <c r="D256" s="264" t="str">
        <f>IFERROR(__xludf.DUMMYFUNCTION("""COMPUTED_VALUE"""),"")</f>
        <v/>
      </c>
      <c r="E256" s="264" t="str">
        <f>IFERROR(__xludf.DUMMYFUNCTION("""COMPUTED_VALUE"""),"Self")</f>
        <v>Self</v>
      </c>
      <c r="F256" s="266" t="str">
        <f>IFERROR(__xludf.DUMMYFUNCTION("""COMPUTED_VALUE"""),"When you fail a check when operating an airship, you may use this to reroll the check. You must accept the new result and cannot reroll it again.")</f>
        <v>When you fail a check when operating an airship, you may use this to reroll the check. You must accept the new result and cannot reroll it again.</v>
      </c>
      <c r="G256" s="264" t="str">
        <f>IFERROR(__xludf.DUMMYFUNCTION("""COMPUTED_VALUE"""),"")</f>
        <v/>
      </c>
      <c r="H256" s="265" t="str">
        <f>IFERROR(__xludf.DUMMYFUNCTION("""COMPUTED_VALUE"""),"1 MP, 0 RP")</f>
        <v>1 MP, 0 RP</v>
      </c>
      <c r="I256" s="263" t="str">
        <f>IFERROR(__xludf.DUMMYFUNCTION("""COMPUTED_VALUE"""),"")</f>
        <v/>
      </c>
      <c r="J256" s="264" t="str">
        <f>IFERROR(__xludf.DUMMYFUNCTION("""COMPUTED_VALUE"""),"1 MP")</f>
        <v>1 MP</v>
      </c>
      <c r="K256" s="264" t="str">
        <f>IFERROR(__xludf.DUMMYFUNCTION("""COMPUTED_VALUE"""),"0 RP")</f>
        <v>0 RP</v>
      </c>
      <c r="L256" s="263" t="str">
        <f>IFERROR(__xludf.DUMMYFUNCTION("""COMPUTED_VALUE"""),"")</f>
        <v/>
      </c>
      <c r="M256" s="263"/>
      <c r="N256" s="263"/>
      <c r="O256" s="263"/>
      <c r="P256" s="263"/>
      <c r="Q256" s="263"/>
      <c r="R256" s="263"/>
      <c r="S256" s="263"/>
      <c r="T256" s="263"/>
      <c r="U256" s="246"/>
      <c r="V256" s="246"/>
      <c r="W256" s="246"/>
      <c r="X256" s="246"/>
      <c r="Y256" s="246"/>
      <c r="Z256" s="246"/>
    </row>
    <row r="257">
      <c r="A257" s="263"/>
      <c r="B257" s="265" t="str">
        <f>IFERROR(__xludf.DUMMYFUNCTION("""COMPUTED_VALUE"""),"Emergency Recall")</f>
        <v>Emergency Recall</v>
      </c>
      <c r="C257" s="263"/>
      <c r="D257" s="263" t="str">
        <f>IFERROR(__xludf.DUMMYFUNCTION("""COMPUTED_VALUE"""),"")</f>
        <v/>
      </c>
      <c r="E257" s="264" t="str">
        <f>IFERROR(__xludf.DUMMYFUNCTION("""COMPUTED_VALUE"""),"Sight")</f>
        <v>Sight</v>
      </c>
      <c r="F257" s="266" t="str">
        <f>IFERROR(__xludf.DUMMYFUNCTION("""COMPUTED_VALUE"""),"You give your summon 100 Damage Reduction against the attack. Afterwards, if it is still alive, it is immediately unsummoned.")</f>
        <v>You give your summon 100 Damage Reduction against the attack. Afterwards, if it is still alive, it is immediately unsummoned.</v>
      </c>
      <c r="G257" s="264" t="str">
        <f>IFERROR(__xludf.DUMMYFUNCTION("""COMPUTED_VALUE"""),"Your summon from Summon Animal is the target of an attack.")</f>
        <v>Your summon from Summon Animal is the target of an attack.</v>
      </c>
      <c r="H257" s="265" t="str">
        <f>IFERROR(__xludf.DUMMYFUNCTION("""COMPUTED_VALUE"""),"1 RP")</f>
        <v>1 RP</v>
      </c>
      <c r="I257" s="263" t="str">
        <f>IFERROR(__xludf.DUMMYFUNCTION("""COMPUTED_VALUE"""),"")</f>
        <v/>
      </c>
      <c r="J257" s="264" t="str">
        <f>IFERROR(__xludf.DUMMYFUNCTION("""COMPUTED_VALUE"""),"")</f>
        <v/>
      </c>
      <c r="K257" s="264" t="str">
        <f>IFERROR(__xludf.DUMMYFUNCTION("""COMPUTED_VALUE"""),"1 RP")</f>
        <v>1 RP</v>
      </c>
      <c r="L257" s="263" t="str">
        <f>IFERROR(__xludf.DUMMYFUNCTION("""COMPUTED_VALUE"""),"")</f>
        <v/>
      </c>
      <c r="M257" s="263"/>
      <c r="N257" s="263"/>
      <c r="O257" s="263"/>
      <c r="P257" s="263"/>
      <c r="Q257" s="263"/>
      <c r="R257" s="263"/>
      <c r="S257" s="263"/>
      <c r="T257" s="263"/>
      <c r="U257" s="246"/>
      <c r="V257" s="246"/>
      <c r="W257" s="246"/>
      <c r="X257" s="246"/>
      <c r="Y257" s="246"/>
      <c r="Z257" s="246"/>
    </row>
    <row r="258">
      <c r="A258" s="263"/>
      <c r="B258" s="265" t="str">
        <f>IFERROR(__xludf.DUMMYFUNCTION("""COMPUTED_VALUE"""),"Emergency Shield")</f>
        <v>Emergency Shield</v>
      </c>
      <c r="C258" s="263"/>
      <c r="D258" s="264" t="str">
        <f>IFERROR(__xludf.DUMMYFUNCTION("""COMPUTED_VALUE"""),"Shield, Spell")</f>
        <v>Shield, Spell</v>
      </c>
      <c r="E258" s="264" t="str">
        <f>IFERROR(__xludf.DUMMYFUNCTION("""COMPUTED_VALUE"""),"40ft")</f>
        <v>40ft</v>
      </c>
      <c r="F258" s="266" t="str">
        <f>IFERROR(__xludf.DUMMYFUNCTION("""COMPUTED_VALUE"""),"The target gains temporary HP equal to 7 + Power.")</f>
        <v>The target gains temporary HP equal to 7 + Power.</v>
      </c>
      <c r="G258" s="263" t="str">
        <f>IFERROR(__xludf.DUMMYFUNCTION("""COMPUTED_VALUE"""),"")</f>
        <v/>
      </c>
      <c r="H258" s="265" t="str">
        <f>IFERROR(__xludf.DUMMYFUNCTION("""COMPUTED_VALUE"""),"2 MP, 1 RP")</f>
        <v>2 MP, 1 RP</v>
      </c>
      <c r="I258" s="264" t="str">
        <f>IFERROR(__xludf.DUMMYFUNCTION("""COMPUTED_VALUE"""),"")</f>
        <v/>
      </c>
      <c r="J258" s="263" t="str">
        <f>IFERROR(__xludf.DUMMYFUNCTION("""COMPUTED_VALUE"""),"2 MP")</f>
        <v>2 MP</v>
      </c>
      <c r="K258" s="263" t="str">
        <f>IFERROR(__xludf.DUMMYFUNCTION("""COMPUTED_VALUE"""),"1 RP")</f>
        <v>1 RP</v>
      </c>
      <c r="L258" s="263" t="str">
        <f>IFERROR(__xludf.DUMMYFUNCTION("""COMPUTED_VALUE"""),"")</f>
        <v/>
      </c>
      <c r="M258" s="263"/>
      <c r="N258" s="263"/>
      <c r="O258" s="263"/>
      <c r="P258" s="263"/>
      <c r="Q258" s="263"/>
      <c r="R258" s="263"/>
      <c r="S258" s="263"/>
      <c r="T258" s="263"/>
      <c r="U258" s="246"/>
      <c r="V258" s="246"/>
      <c r="W258" s="246"/>
      <c r="X258" s="246"/>
      <c r="Y258" s="246"/>
      <c r="Z258" s="246"/>
    </row>
    <row r="259">
      <c r="A259" s="263"/>
      <c r="B259" s="265" t="str">
        <f>IFERROR(__xludf.DUMMYFUNCTION("""COMPUTED_VALUE"""),"Empower Mana Shield")</f>
        <v>Empower Mana Shield</v>
      </c>
      <c r="C259" s="263"/>
      <c r="D259" s="264" t="str">
        <f>IFERROR(__xludf.DUMMYFUNCTION("""COMPUTED_VALUE"""),"")</f>
        <v/>
      </c>
      <c r="E259" s="264" t="str">
        <f>IFERROR(__xludf.DUMMYFUNCTION("""COMPUTED_VALUE"""),"Self")</f>
        <v>Self</v>
      </c>
      <c r="F259" s="266" t="str">
        <f>IFERROR(__xludf.DUMMYFUNCTION("""COMPUTED_VALUE"""),"You spend X mana to add X*8 to the value of your mana shield until the start of your next turn.")</f>
        <v>You spend X mana to add X*8 to the value of your mana shield until the start of your next turn.</v>
      </c>
      <c r="G259" s="264" t="str">
        <f>IFERROR(__xludf.DUMMYFUNCTION("""COMPUTED_VALUE"""),"")</f>
        <v/>
      </c>
      <c r="H259" s="265" t="str">
        <f>IFERROR(__xludf.DUMMYFUNCTION("""COMPUTED_VALUE"""),"1 AP, X MP")</f>
        <v>1 AP, X MP</v>
      </c>
      <c r="I259" s="264" t="str">
        <f>IFERROR(__xludf.DUMMYFUNCTION("""COMPUTED_VALUE"""),"1 AP")</f>
        <v>1 AP</v>
      </c>
      <c r="J259" s="263" t="str">
        <f>IFERROR(__xludf.DUMMYFUNCTION("""COMPUTED_VALUE"""),"X MP")</f>
        <v>X MP</v>
      </c>
      <c r="K259" s="263" t="str">
        <f>IFERROR(__xludf.DUMMYFUNCTION("""COMPUTED_VALUE"""),"")</f>
        <v/>
      </c>
      <c r="L259" s="263" t="str">
        <f>IFERROR(__xludf.DUMMYFUNCTION("""COMPUTED_VALUE"""),"")</f>
        <v/>
      </c>
      <c r="M259" s="263"/>
      <c r="N259" s="263"/>
      <c r="O259" s="263"/>
      <c r="P259" s="263"/>
      <c r="Q259" s="263"/>
      <c r="R259" s="263"/>
      <c r="S259" s="263"/>
      <c r="T259" s="263"/>
      <c r="U259" s="246"/>
      <c r="V259" s="246"/>
      <c r="W259" s="246"/>
      <c r="X259" s="246"/>
      <c r="Y259" s="246"/>
      <c r="Z259" s="246"/>
    </row>
    <row r="260">
      <c r="A260" s="263"/>
      <c r="B260" s="265" t="str">
        <f>IFERROR(__xludf.DUMMYFUNCTION("""COMPUTED_VALUE"""),"Empty Body")</f>
        <v>Empty Body</v>
      </c>
      <c r="C260" s="263"/>
      <c r="D260" s="263" t="str">
        <f>IFERROR(__xludf.DUMMYFUNCTION("""COMPUTED_VALUE"""),"")</f>
        <v/>
      </c>
      <c r="E260" s="263" t="str">
        <f>IFERROR(__xludf.DUMMYFUNCTION("""COMPUTED_VALUE"""),"Self")</f>
        <v>Self</v>
      </c>
      <c r="F260" s="266" t="str">
        <f>IFERROR(__xludf.DUMMYFUNCTION("""COMPUTED_VALUE"""),"You may reroll the failed saving throw and must accept the new result.")</f>
        <v>You may reroll the failed saving throw and must accept the new result.</v>
      </c>
      <c r="G260" s="263" t="str">
        <f>IFERROR(__xludf.DUMMYFUNCTION("""COMPUTED_VALUE"""),"You failed a saving throw.")</f>
        <v>You failed a saving throw.</v>
      </c>
      <c r="H260" s="267" t="str">
        <f>IFERROR(__xludf.DUMMYFUNCTION("""COMPUTED_VALUE"""),"2 MP, 0 RP")</f>
        <v>2 MP, 0 RP</v>
      </c>
      <c r="I260" s="263" t="str">
        <f>IFERROR(__xludf.DUMMYFUNCTION("""COMPUTED_VALUE"""),"")</f>
        <v/>
      </c>
      <c r="J260" s="263" t="str">
        <f>IFERROR(__xludf.DUMMYFUNCTION("""COMPUTED_VALUE"""),"2 MP")</f>
        <v>2 MP</v>
      </c>
      <c r="K260" s="263" t="str">
        <f>IFERROR(__xludf.DUMMYFUNCTION("""COMPUTED_VALUE"""),"0 RP")</f>
        <v>0 RP</v>
      </c>
      <c r="L260" s="263" t="str">
        <f>IFERROR(__xludf.DUMMYFUNCTION("""COMPUTED_VALUE"""),"")</f>
        <v/>
      </c>
      <c r="M260" s="263"/>
      <c r="N260" s="263"/>
      <c r="O260" s="263"/>
      <c r="P260" s="263"/>
      <c r="Q260" s="263"/>
      <c r="R260" s="263"/>
      <c r="S260" s="263"/>
      <c r="T260" s="263"/>
      <c r="U260" s="246"/>
      <c r="V260" s="246"/>
      <c r="W260" s="246"/>
      <c r="X260" s="246"/>
      <c r="Y260" s="246"/>
      <c r="Z260" s="246"/>
    </row>
    <row r="261">
      <c r="A261" s="263"/>
      <c r="B261" s="265" t="str">
        <f>IFERROR(__xludf.DUMMYFUNCTION("""COMPUTED_VALUE"""),"En-dama")</f>
        <v>En-dama</v>
      </c>
      <c r="C261" s="263"/>
      <c r="D261" s="263" t="str">
        <f>IFERROR(__xludf.DUMMYFUNCTION("""COMPUTED_VALUE"""),"Hiding, Stealth")</f>
        <v>Hiding, Stealth</v>
      </c>
      <c r="E261" s="264" t="str">
        <f>IFERROR(__xludf.DUMMYFUNCTION("""COMPUTED_VALUE"""),"5ft")</f>
        <v>5ft</v>
      </c>
      <c r="F261" s="266" t="str">
        <f>IFERROR(__xludf.DUMMYFUNCTION("""COMPUTED_VALUE"""),"You throw a smoke bomb on the ground within range that blocks line of sight in a 5ft radius (15x15 area total) of where it was thrown. Targets inside or within 5ft of the smoke can only see up to 5ft into or out of the smoke.
If you’re inside of it at the"&amp;" point it's thrown, you may immediately gain the Hiding state from anyone you have cover or concealment from.
The smoke lasts until the start of your next turn. When it ends, if you are inside your smoke, you may immediately move up to your speed and you "&amp;"are considered hidden up until you finish that movement. If you end your movement in cover, you keep being Hidden from people you have cover from.")</f>
        <v>You throw a smoke bomb on the ground within range that blocks line of sight in a 5ft radius (15x15 area total) of where it was thrown. Targets inside or within 5ft of the smoke can only see up to 5ft into or out of the smoke.
If you’re inside of it at the point it's thrown, you may immediately gain the Hiding state from anyone you have cover or concealment from.
The smoke lasts until the start of your next turn. When it ends, if you are inside your smoke, you may immediately move up to your speed and you are considered hidden up until you finish that movement. If you end your movement in cover, you keep being Hidden from people you have cover from.</v>
      </c>
      <c r="G261" s="264" t="str">
        <f>IFERROR(__xludf.DUMMYFUNCTION("""COMPUTED_VALUE"""),"")</f>
        <v/>
      </c>
      <c r="H261" s="265" t="str">
        <f>IFERROR(__xludf.DUMMYFUNCTION("""COMPUTED_VALUE"""),"2 AP, 1 MP")</f>
        <v>2 AP, 1 MP</v>
      </c>
      <c r="I261" s="263" t="str">
        <f>IFERROR(__xludf.DUMMYFUNCTION("""COMPUTED_VALUE"""),"2 AP")</f>
        <v>2 AP</v>
      </c>
      <c r="J261" s="264" t="str">
        <f>IFERROR(__xludf.DUMMYFUNCTION("""COMPUTED_VALUE"""),"1 MP")</f>
        <v>1 MP</v>
      </c>
      <c r="K261" s="264" t="str">
        <f>IFERROR(__xludf.DUMMYFUNCTION("""COMPUTED_VALUE"""),"")</f>
        <v/>
      </c>
      <c r="L261" s="263" t="str">
        <f>IFERROR(__xludf.DUMMYFUNCTION("""COMPUTED_VALUE"""),"")</f>
        <v/>
      </c>
      <c r="M261" s="263"/>
      <c r="N261" s="263"/>
      <c r="O261" s="263"/>
      <c r="P261" s="263"/>
      <c r="Q261" s="263"/>
      <c r="R261" s="263"/>
      <c r="S261" s="263"/>
      <c r="T261" s="263"/>
      <c r="U261" s="246"/>
      <c r="V261" s="246"/>
      <c r="W261" s="246"/>
      <c r="X261" s="246"/>
      <c r="Y261" s="246"/>
      <c r="Z261" s="246"/>
    </row>
    <row r="262">
      <c r="A262" s="263"/>
      <c r="B262" s="265" t="str">
        <f>IFERROR(__xludf.DUMMYFUNCTION("""COMPUTED_VALUE"""),"Enduring Warmth")</f>
        <v>Enduring Warmth</v>
      </c>
      <c r="C262" s="263"/>
      <c r="D262" s="264" t="str">
        <f>IFERROR(__xludf.DUMMYFUNCTION("""COMPUTED_VALUE"""),"")</f>
        <v/>
      </c>
      <c r="E262" s="264" t="str">
        <f>IFERROR(__xludf.DUMMYFUNCTION("""COMPUTED_VALUE"""),"")</f>
        <v/>
      </c>
      <c r="F262" s="266" t="str">
        <f>IFERROR(__xludf.DUMMYFUNCTION("""COMPUTED_VALUE"""),"You can emit comforting heat within 30feet that counters the effects of most cold weather. You can activate or deactivate this heat every 1 second.")</f>
        <v>You can emit comforting heat within 30feet that counters the effects of most cold weather. You can activate or deactivate this heat every 1 second.</v>
      </c>
      <c r="G262" s="263" t="str">
        <f>IFERROR(__xludf.DUMMYFUNCTION("""COMPUTED_VALUE"""),"")</f>
        <v/>
      </c>
      <c r="H262" s="265" t="str">
        <f>IFERROR(__xludf.DUMMYFUNCTION("""COMPUTED_VALUE"""),"")</f>
        <v/>
      </c>
      <c r="I262" s="264" t="str">
        <f>IFERROR(__xludf.DUMMYFUNCTION("""COMPUTED_VALUE"""),"")</f>
        <v/>
      </c>
      <c r="J262" s="263" t="str">
        <f>IFERROR(__xludf.DUMMYFUNCTION("""COMPUTED_VALUE"""),"")</f>
        <v/>
      </c>
      <c r="K262" s="263" t="str">
        <f>IFERROR(__xludf.DUMMYFUNCTION("""COMPUTED_VALUE"""),"")</f>
        <v/>
      </c>
      <c r="L262" s="263" t="str">
        <f>IFERROR(__xludf.DUMMYFUNCTION("""COMPUTED_VALUE"""),"")</f>
        <v/>
      </c>
      <c r="M262" s="263"/>
      <c r="N262" s="263"/>
      <c r="O262" s="263"/>
      <c r="P262" s="263"/>
      <c r="Q262" s="263"/>
      <c r="R262" s="263"/>
      <c r="S262" s="263"/>
      <c r="T262" s="263"/>
      <c r="U262" s="246"/>
      <c r="V262" s="246"/>
      <c r="W262" s="246"/>
      <c r="X262" s="246"/>
      <c r="Y262" s="246"/>
      <c r="Z262" s="246"/>
    </row>
    <row r="263">
      <c r="A263" s="263"/>
      <c r="B263" s="265" t="str">
        <f>IFERROR(__xludf.DUMMYFUNCTION("""COMPUTED_VALUE"""),"Energy Drain")</f>
        <v>Energy Drain</v>
      </c>
      <c r="C263" s="263"/>
      <c r="D263" s="263" t="str">
        <f>IFERROR(__xludf.DUMMYFUNCTION("""COMPUTED_VALUE"""),"Spell, Dark")</f>
        <v>Spell, Dark</v>
      </c>
      <c r="E263" s="263" t="str">
        <f>IFERROR(__xludf.DUMMYFUNCTION("""COMPUTED_VALUE"""),"60ft")</f>
        <v>60ft</v>
      </c>
      <c r="F263" s="266" t="str">
        <f>IFERROR(__xludf.DUMMYFUNCTION("""COMPUTED_VALUE"""),"You deal Light true damage to a willing ally other than yourself. You gain Haste, which gives you 2 AP for the rest of this turn. A target can only be affected by haste once per turn.")</f>
        <v>You deal Light true damage to a willing ally other than yourself. You gain Haste, which gives you 2 AP for the rest of this turn. A target can only be affected by haste once per turn.</v>
      </c>
      <c r="G263" s="263" t="str">
        <f>IFERROR(__xludf.DUMMYFUNCTION("""COMPUTED_VALUE"""),"")</f>
        <v/>
      </c>
      <c r="H263" s="267" t="str">
        <f>IFERROR(__xludf.DUMMYFUNCTION("""COMPUTED_VALUE"""),"0 AP, 2 MP")</f>
        <v>0 AP, 2 MP</v>
      </c>
      <c r="I263" s="263" t="str">
        <f>IFERROR(__xludf.DUMMYFUNCTION("""COMPUTED_VALUE"""),"0 AP")</f>
        <v>0 AP</v>
      </c>
      <c r="J263" s="263" t="str">
        <f>IFERROR(__xludf.DUMMYFUNCTION("""COMPUTED_VALUE"""),"2 MP")</f>
        <v>2 MP</v>
      </c>
      <c r="K263" s="263" t="str">
        <f>IFERROR(__xludf.DUMMYFUNCTION("""COMPUTED_VALUE"""),"")</f>
        <v/>
      </c>
      <c r="L263" s="263" t="str">
        <f>IFERROR(__xludf.DUMMYFUNCTION("""COMPUTED_VALUE"""),"")</f>
        <v/>
      </c>
      <c r="M263" s="263"/>
      <c r="N263" s="263"/>
      <c r="O263" s="263"/>
      <c r="P263" s="263"/>
      <c r="Q263" s="263"/>
      <c r="R263" s="263"/>
      <c r="S263" s="263"/>
      <c r="T263" s="263"/>
      <c r="U263" s="246"/>
      <c r="V263" s="246"/>
      <c r="W263" s="246"/>
      <c r="X263" s="246"/>
      <c r="Y263" s="246"/>
      <c r="Z263" s="246"/>
    </row>
    <row r="264">
      <c r="A264" s="263"/>
      <c r="B264" s="265" t="str">
        <f>IFERROR(__xludf.DUMMYFUNCTION("""COMPUTED_VALUE"""),"Envenom Weapon")</f>
        <v>Envenom Weapon</v>
      </c>
      <c r="C264" s="263"/>
      <c r="D264" s="263" t="str">
        <f>IFERROR(__xludf.DUMMYFUNCTION("""COMPUTED_VALUE"""),"Enchantment, Stealth")</f>
        <v>Enchantment, Stealth</v>
      </c>
      <c r="E264" s="264" t="str">
        <f>IFERROR(__xludf.DUMMYFUNCTION("""COMPUTED_VALUE"""),"Self")</f>
        <v>Self</v>
      </c>
      <c r="F264" s="266" t="str">
        <f>IFERROR(__xludf.DUMMYFUNCTION("""COMPUTED_VALUE"""),"You enchant your weapon with a minor venom, making your attacks deal 1 additional full pierce Poison damage when you hit an enemy.
Lasts until the end of the encounter.")</f>
        <v>You enchant your weapon with a minor venom, making your attacks deal 1 additional full pierce Poison damage when you hit an enemy.
Lasts until the end of the encounter.</v>
      </c>
      <c r="G264" s="264" t="str">
        <f>IFERROR(__xludf.DUMMYFUNCTION("""COMPUTED_VALUE"""),"")</f>
        <v/>
      </c>
      <c r="H264" s="265" t="str">
        <f>IFERROR(__xludf.DUMMYFUNCTION("""COMPUTED_VALUE"""),"0 AP, 1 MP")</f>
        <v>0 AP, 1 MP</v>
      </c>
      <c r="I264" s="263" t="str">
        <f>IFERROR(__xludf.DUMMYFUNCTION("""COMPUTED_VALUE"""),"0 AP")</f>
        <v>0 AP</v>
      </c>
      <c r="J264" s="263" t="str">
        <f>IFERROR(__xludf.DUMMYFUNCTION("""COMPUTED_VALUE"""),"1 MP")</f>
        <v>1 MP</v>
      </c>
      <c r="K264" s="264" t="str">
        <f>IFERROR(__xludf.DUMMYFUNCTION("""COMPUTED_VALUE"""),"")</f>
        <v/>
      </c>
      <c r="L264" s="263" t="str">
        <f>IFERROR(__xludf.DUMMYFUNCTION("""COMPUTED_VALUE"""),"")</f>
        <v/>
      </c>
      <c r="M264" s="263"/>
      <c r="N264" s="263"/>
      <c r="O264" s="263"/>
      <c r="P264" s="263"/>
      <c r="Q264" s="263"/>
      <c r="R264" s="263"/>
      <c r="S264" s="263"/>
      <c r="T264" s="263"/>
      <c r="U264" s="246"/>
      <c r="V264" s="246"/>
      <c r="W264" s="246"/>
      <c r="X264" s="246"/>
      <c r="Y264" s="246"/>
      <c r="Z264" s="246"/>
    </row>
    <row r="265">
      <c r="A265" s="263"/>
      <c r="B265" s="265" t="str">
        <f>IFERROR(__xludf.DUMMYFUNCTION("""COMPUTED_VALUE"""),"Escape Artist")</f>
        <v>Escape Artist</v>
      </c>
      <c r="C265" s="263"/>
      <c r="D265" s="263" t="str">
        <f>IFERROR(__xludf.DUMMYFUNCTION("""COMPUTED_VALUE"""),"")</f>
        <v/>
      </c>
      <c r="E265" s="263" t="str">
        <f>IFERROR(__xludf.DUMMYFUNCTION("""COMPUTED_VALUE"""),"Self")</f>
        <v>Self</v>
      </c>
      <c r="F265" s="266" t="str">
        <f>IFERROR(__xludf.DUMMYFUNCTION("""COMPUTED_VALUE"""),"You immediately escape the grapple by twisting and kicking. May be used by spending either AP or RP.")</f>
        <v>You immediately escape the grapple by twisting and kicking. May be used by spending either AP or RP.</v>
      </c>
      <c r="G265" s="263" t="str">
        <f>IFERROR(__xludf.DUMMYFUNCTION("""COMPUTED_VALUE"""),"You are grappled.")</f>
        <v>You are grappled.</v>
      </c>
      <c r="H265" s="267" t="str">
        <f>IFERROR(__xludf.DUMMYFUNCTION("""COMPUTED_VALUE"""),"1 AP, 1 RP")</f>
        <v>1 AP, 1 RP</v>
      </c>
      <c r="I265" s="263" t="str">
        <f>IFERROR(__xludf.DUMMYFUNCTION("""COMPUTED_VALUE"""),"1 AP")</f>
        <v>1 AP</v>
      </c>
      <c r="J265" s="263" t="str">
        <f>IFERROR(__xludf.DUMMYFUNCTION("""COMPUTED_VALUE"""),"")</f>
        <v/>
      </c>
      <c r="K265" s="263" t="str">
        <f>IFERROR(__xludf.DUMMYFUNCTION("""COMPUTED_VALUE"""),"1 RP")</f>
        <v>1 RP</v>
      </c>
      <c r="L265" s="263" t="str">
        <f>IFERROR(__xludf.DUMMYFUNCTION("""COMPUTED_VALUE"""),"")</f>
        <v/>
      </c>
      <c r="M265" s="263"/>
      <c r="N265" s="263"/>
      <c r="O265" s="263"/>
      <c r="P265" s="263"/>
      <c r="Q265" s="263"/>
      <c r="R265" s="263"/>
      <c r="S265" s="263"/>
      <c r="T265" s="263"/>
      <c r="U265" s="246"/>
      <c r="V265" s="246"/>
      <c r="W265" s="246"/>
      <c r="X265" s="246"/>
      <c r="Y265" s="246"/>
      <c r="Z265" s="246"/>
    </row>
    <row r="266">
      <c r="A266" s="263"/>
      <c r="B266" s="265" t="str">
        <f>IFERROR(__xludf.DUMMYFUNCTION("""COMPUTED_VALUE"""),"Eternal Mirane Cage")</f>
        <v>Eternal Mirane Cage</v>
      </c>
      <c r="C266" s="263"/>
      <c r="D266" s="264" t="str">
        <f>IFERROR(__xludf.DUMMYFUNCTION("""COMPUTED_VALUE"""),"Frost, Spell")</f>
        <v>Frost, Spell</v>
      </c>
      <c r="E266" s="264" t="str">
        <f>IFERROR(__xludf.DUMMYFUNCTION("""COMPUTED_VALUE"""),"Sight")</f>
        <v>Sight</v>
      </c>
      <c r="F266" s="266" t="str">
        <f>IFERROR(__xludf.DUMMYFUNCTION("""COMPUTED_VALUE"""),"Instead of killing the target, they are reduced to negative their Max HP +1. The target is encased in Magical Ice for 10 years, rooted on the location and cannot be moved.  The Ice never melts despite temperature and can only be dispelled by Higher Order "&amp;"Magic (such as a Divine Arms), or by you. The Spell effect ends if you die. You can extend the duration of the Frost by 10 years for every 2 mana spent.")</f>
        <v>Instead of killing the target, they are reduced to negative their Max HP +1. The target is encased in Magical Ice for 10 years, rooted on the location and cannot be moved.  The Ice never melts despite temperature and can only be dispelled by Higher Order Magic (such as a Divine Arms), or by you. The Spell effect ends if you die. You can extend the duration of the Frost by 10 years for every 2 mana spent.</v>
      </c>
      <c r="G266" s="263" t="str">
        <f>IFERROR(__xludf.DUMMYFUNCTION("""COMPUTED_VALUE"""),"Use when an ally attack would kill a target and target is not an ally.")</f>
        <v>Use when an ally attack would kill a target and target is not an ally.</v>
      </c>
      <c r="H266" s="265" t="str">
        <f>IFERROR(__xludf.DUMMYFUNCTION("""COMPUTED_VALUE"""),"1 MP, 0 RP")</f>
        <v>1 MP, 0 RP</v>
      </c>
      <c r="I266" s="264" t="str">
        <f>IFERROR(__xludf.DUMMYFUNCTION("""COMPUTED_VALUE"""),"")</f>
        <v/>
      </c>
      <c r="J266" s="264" t="str">
        <f>IFERROR(__xludf.DUMMYFUNCTION("""COMPUTED_VALUE"""),"1 MP")</f>
        <v>1 MP</v>
      </c>
      <c r="K266" s="263" t="str">
        <f>IFERROR(__xludf.DUMMYFUNCTION("""COMPUTED_VALUE"""),"0 RP")</f>
        <v>0 RP</v>
      </c>
      <c r="L266" s="263" t="str">
        <f>IFERROR(__xludf.DUMMYFUNCTION("""COMPUTED_VALUE"""),"")</f>
        <v/>
      </c>
      <c r="M266" s="263"/>
      <c r="N266" s="263"/>
      <c r="O266" s="263"/>
      <c r="P266" s="263"/>
      <c r="Q266" s="263"/>
      <c r="R266" s="263"/>
      <c r="S266" s="263"/>
      <c r="T266" s="263"/>
      <c r="U266" s="246"/>
      <c r="V266" s="246"/>
      <c r="W266" s="246"/>
      <c r="X266" s="246"/>
      <c r="Y266" s="246"/>
      <c r="Z266" s="246"/>
    </row>
    <row r="267">
      <c r="A267" s="263"/>
      <c r="B267" s="265" t="str">
        <f>IFERROR(__xludf.DUMMYFUNCTION("""COMPUTED_VALUE"""),"Eternal Vigil")</f>
        <v>Eternal Vigil</v>
      </c>
      <c r="C267" s="263"/>
      <c r="D267" s="264" t="str">
        <f>IFERROR(__xludf.DUMMYFUNCTION("""COMPUTED_VALUE"""),"")</f>
        <v/>
      </c>
      <c r="E267" s="264" t="str">
        <f>IFERROR(__xludf.DUMMYFUNCTION("""COMPUTED_VALUE"""),"")</f>
        <v/>
      </c>
      <c r="F267" s="266" t="str">
        <f>IFERROR(__xludf.DUMMYFUNCTION("""COMPUTED_VALUE"""),"While in statue mode and sleeping, you make perception checks as if you were awake.")</f>
        <v>While in statue mode and sleeping, you make perception checks as if you were awake.</v>
      </c>
      <c r="G267" s="263" t="str">
        <f>IFERROR(__xludf.DUMMYFUNCTION("""COMPUTED_VALUE"""),"")</f>
        <v/>
      </c>
      <c r="H267" s="265" t="str">
        <f>IFERROR(__xludf.DUMMYFUNCTION("""COMPUTED_VALUE"""),"")</f>
        <v/>
      </c>
      <c r="I267" s="264" t="str">
        <f>IFERROR(__xludf.DUMMYFUNCTION("""COMPUTED_VALUE"""),"")</f>
        <v/>
      </c>
      <c r="J267" s="263" t="str">
        <f>IFERROR(__xludf.DUMMYFUNCTION("""COMPUTED_VALUE"""),"")</f>
        <v/>
      </c>
      <c r="K267" s="263" t="str">
        <f>IFERROR(__xludf.DUMMYFUNCTION("""COMPUTED_VALUE"""),"")</f>
        <v/>
      </c>
      <c r="L267" s="263" t="str">
        <f>IFERROR(__xludf.DUMMYFUNCTION("""COMPUTED_VALUE"""),"")</f>
        <v/>
      </c>
      <c r="M267" s="263"/>
      <c r="N267" s="263"/>
      <c r="O267" s="263"/>
      <c r="P267" s="263"/>
      <c r="Q267" s="263"/>
      <c r="R267" s="263"/>
      <c r="S267" s="263"/>
      <c r="T267" s="263"/>
      <c r="U267" s="246"/>
      <c r="V267" s="246"/>
      <c r="W267" s="246"/>
      <c r="X267" s="246"/>
      <c r="Y267" s="246"/>
      <c r="Z267" s="246"/>
    </row>
    <row r="268">
      <c r="A268" s="263"/>
      <c r="B268" s="265" t="str">
        <f>IFERROR(__xludf.DUMMYFUNCTION("""COMPUTED_VALUE"""),"Evasive Maneuver")</f>
        <v>Evasive Maneuver</v>
      </c>
      <c r="C268" s="263"/>
      <c r="D268" s="263" t="str">
        <f>IFERROR(__xludf.DUMMYFUNCTION("""COMPUTED_VALUE"""),"Sidestep, Stealth")</f>
        <v>Sidestep, Stealth</v>
      </c>
      <c r="E268" s="264" t="str">
        <f>IFERROR(__xludf.DUMMYFUNCTION("""COMPUTED_VALUE"""),"Self")</f>
        <v>Self</v>
      </c>
      <c r="F268" s="266" t="str">
        <f>IFERROR(__xludf.DUMMYFUNCTION("""COMPUTED_VALUE"""),"You Sidestep 5ft in any direction.
When used on your turn, you may spend 1 mana and 0 AP on this ability instead.")</f>
        <v>You Sidestep 5ft in any direction.
When used on your turn, you may spend 1 mana and 0 AP on this ability instead.</v>
      </c>
      <c r="G268" s="264" t="str">
        <f>IFERROR(__xludf.DUMMYFUNCTION("""COMPUTED_VALUE"""),"")</f>
        <v/>
      </c>
      <c r="H268" s="265" t="str">
        <f>IFERROR(__xludf.DUMMYFUNCTION("""COMPUTED_VALUE"""),"1 RP")</f>
        <v>1 RP</v>
      </c>
      <c r="I268" s="264" t="str">
        <f>IFERROR(__xludf.DUMMYFUNCTION("""COMPUTED_VALUE"""),"")</f>
        <v/>
      </c>
      <c r="J268" s="264" t="str">
        <f>IFERROR(__xludf.DUMMYFUNCTION("""COMPUTED_VALUE"""),"")</f>
        <v/>
      </c>
      <c r="K268" s="263" t="str">
        <f>IFERROR(__xludf.DUMMYFUNCTION("""COMPUTED_VALUE"""),"1 RP")</f>
        <v>1 RP</v>
      </c>
      <c r="L268" s="263" t="str">
        <f>IFERROR(__xludf.DUMMYFUNCTION("""COMPUTED_VALUE"""),"")</f>
        <v/>
      </c>
      <c r="M268" s="263"/>
      <c r="N268" s="263"/>
      <c r="O268" s="263"/>
      <c r="P268" s="263"/>
      <c r="Q268" s="263"/>
      <c r="R268" s="263"/>
      <c r="S268" s="263"/>
      <c r="T268" s="263"/>
      <c r="U268" s="246"/>
      <c r="V268" s="246"/>
      <c r="W268" s="246"/>
      <c r="X268" s="246"/>
      <c r="Y268" s="246"/>
      <c r="Z268" s="246"/>
    </row>
    <row r="269">
      <c r="A269" s="263"/>
      <c r="B269" s="265" t="str">
        <f>IFERROR(__xludf.DUMMYFUNCTION("""COMPUTED_VALUE"""),"Evil Eye of Death")</f>
        <v>Evil Eye of Death</v>
      </c>
      <c r="C269" s="263"/>
      <c r="D269" s="263" t="str">
        <f>IFERROR(__xludf.DUMMYFUNCTION("""COMPUTED_VALUE"""),"Mystic Eye, Upkeep")</f>
        <v>Mystic Eye, Upkeep</v>
      </c>
      <c r="E269" s="264" t="str">
        <f>IFERROR(__xludf.DUMMYFUNCTION("""COMPUTED_VALUE"""),"60ft")</f>
        <v>60ft</v>
      </c>
      <c r="F269" s="266" t="str">
        <f>IFERROR(__xludf.DUMMYFUNCTION("""COMPUTED_VALUE"""),"You open your Mystic Eye, focus it on a single target and they instantly die.
Upkeep: 3 AP. When you pay the upkeep cost, you may repeat this attack against a new target.")</f>
        <v>You open your Mystic Eye, focus it on a single target and they instantly die.
Upkeep: 3 AP. When you pay the upkeep cost, you may repeat this attack against a new target.</v>
      </c>
      <c r="G269" s="264" t="str">
        <f>IFERROR(__xludf.DUMMYFUNCTION("""COMPUTED_VALUE"""),"Target must be a grunt.")</f>
        <v>Target must be a grunt.</v>
      </c>
      <c r="H269" s="265" t="str">
        <f>IFERROR(__xludf.DUMMYFUNCTION("""COMPUTED_VALUE"""),"4 AP, 2 MP")</f>
        <v>4 AP, 2 MP</v>
      </c>
      <c r="I269" s="264" t="str">
        <f>IFERROR(__xludf.DUMMYFUNCTION("""COMPUTED_VALUE"""),"4 AP")</f>
        <v>4 AP</v>
      </c>
      <c r="J269" s="264" t="str">
        <f>IFERROR(__xludf.DUMMYFUNCTION("""COMPUTED_VALUE"""),"2 MP")</f>
        <v>2 MP</v>
      </c>
      <c r="K269" s="263" t="str">
        <f>IFERROR(__xludf.DUMMYFUNCTION("""COMPUTED_VALUE"""),"")</f>
        <v/>
      </c>
      <c r="L269" s="263" t="str">
        <f>IFERROR(__xludf.DUMMYFUNCTION("""COMPUTED_VALUE"""),"")</f>
        <v/>
      </c>
      <c r="M269" s="263"/>
      <c r="N269" s="263"/>
      <c r="O269" s="263"/>
      <c r="P269" s="263"/>
      <c r="Q269" s="263"/>
      <c r="R269" s="263"/>
      <c r="S269" s="263"/>
      <c r="T269" s="263"/>
      <c r="U269" s="246"/>
      <c r="V269" s="246"/>
      <c r="W269" s="246"/>
      <c r="X269" s="246"/>
      <c r="Y269" s="246"/>
      <c r="Z269" s="246"/>
    </row>
    <row r="270">
      <c r="A270" s="263"/>
      <c r="B270" s="265" t="str">
        <f>IFERROR(__xludf.DUMMYFUNCTION("""COMPUTED_VALUE"""),"Evil Eye of Fear")</f>
        <v>Evil Eye of Fear</v>
      </c>
      <c r="C270" s="263"/>
      <c r="D270" s="264" t="str">
        <f>IFERROR(__xludf.DUMMYFUNCTION("""COMPUTED_VALUE"""),"Mystic Eye, Upkeep, Fear, Mind Affecting")</f>
        <v>Mystic Eye, Upkeep, Fear, Mind Affecting</v>
      </c>
      <c r="E270" s="264" t="str">
        <f>IFERROR(__xludf.DUMMYFUNCTION("""COMPUTED_VALUE"""),"60ft")</f>
        <v>60ft</v>
      </c>
      <c r="F270" s="266" t="str">
        <f>IFERROR(__xludf.DUMMYFUNCTION("""COMPUTED_VALUE"""),"You open your Mystic Eye and inflict fear on everything in sight.
All targets in a 90 degree cone up to range must make a save against your potency or become Shaken until the start of your next turn.
Upkeep: 1 AP. When you pay the upkeep cost, you may rep"&amp;"eat this attack.")</f>
        <v>You open your Mystic Eye and inflict fear on everything in sight.
All targets in a 90 degree cone up to range must make a save against your potency or become Shaken until the start of your next turn.
Upkeep: 1 AP. When you pay the upkeep cost, you may repeat this attack.</v>
      </c>
      <c r="G270" s="264" t="str">
        <f>IFERROR(__xludf.DUMMYFUNCTION("""COMPUTED_VALUE"""),"")</f>
        <v/>
      </c>
      <c r="H270" s="265" t="str">
        <f>IFERROR(__xludf.DUMMYFUNCTION("""COMPUTED_VALUE"""),"1 AP, 1 MP")</f>
        <v>1 AP, 1 MP</v>
      </c>
      <c r="I270" s="263" t="str">
        <f>IFERROR(__xludf.DUMMYFUNCTION("""COMPUTED_VALUE"""),"1 AP")</f>
        <v>1 AP</v>
      </c>
      <c r="J270" s="264" t="str">
        <f>IFERROR(__xludf.DUMMYFUNCTION("""COMPUTED_VALUE"""),"1 MP")</f>
        <v>1 MP</v>
      </c>
      <c r="K270" s="264" t="str">
        <f>IFERROR(__xludf.DUMMYFUNCTION("""COMPUTED_VALUE"""),"")</f>
        <v/>
      </c>
      <c r="L270" s="263" t="str">
        <f>IFERROR(__xludf.DUMMYFUNCTION("""COMPUTED_VALUE"""),"")</f>
        <v/>
      </c>
      <c r="M270" s="263"/>
      <c r="N270" s="263"/>
      <c r="O270" s="263"/>
      <c r="P270" s="263"/>
      <c r="Q270" s="263"/>
      <c r="R270" s="263"/>
      <c r="S270" s="263"/>
      <c r="T270" s="263"/>
      <c r="U270" s="246"/>
      <c r="V270" s="246"/>
      <c r="W270" s="246"/>
      <c r="X270" s="246"/>
      <c r="Y270" s="246"/>
      <c r="Z270" s="246"/>
    </row>
    <row r="271">
      <c r="A271" s="263"/>
      <c r="B271" s="265" t="str">
        <f>IFERROR(__xludf.DUMMYFUNCTION("""COMPUTED_VALUE"""),"Evil Eye of Lethargy")</f>
        <v>Evil Eye of Lethargy</v>
      </c>
      <c r="C271" s="263"/>
      <c r="D271" s="264" t="str">
        <f>IFERROR(__xludf.DUMMYFUNCTION("""COMPUTED_VALUE"""),"Mystic Eye, Upkeep, Slow")</f>
        <v>Mystic Eye, Upkeep, Slow</v>
      </c>
      <c r="E271" s="264" t="str">
        <f>IFERROR(__xludf.DUMMYFUNCTION("""COMPUTED_VALUE"""),"60ft")</f>
        <v>60ft</v>
      </c>
      <c r="F271" s="266" t="str">
        <f>IFERROR(__xludf.DUMMYFUNCTION("""COMPUTED_VALUE"""),"You open your Mystic Eye and inflict lethargy on everything in sight.
All targets in a 90 degree cone up to range become Slowed until the start of your next turn, unless they spent 1 RP to resist the effect.
Upkeep: 1 AP. When you pay the upkeep cost, you"&amp;" may repeat this attack.")</f>
        <v>You open your Mystic Eye and inflict lethargy on everything in sight.
All targets in a 90 degree cone up to range become Slowed until the start of your next turn, unless they spent 1 RP to resist the effect.
Upkeep: 1 AP. When you pay the upkeep cost, you may repeat this attack.</v>
      </c>
      <c r="G271" s="263" t="str">
        <f>IFERROR(__xludf.DUMMYFUNCTION("""COMPUTED_VALUE"""),"")</f>
        <v/>
      </c>
      <c r="H271" s="265" t="str">
        <f>IFERROR(__xludf.DUMMYFUNCTION("""COMPUTED_VALUE"""),"1 AP, 1 MP")</f>
        <v>1 AP, 1 MP</v>
      </c>
      <c r="I271" s="263" t="str">
        <f>IFERROR(__xludf.DUMMYFUNCTION("""COMPUTED_VALUE"""),"1 AP")</f>
        <v>1 AP</v>
      </c>
      <c r="J271" s="263" t="str">
        <f>IFERROR(__xludf.DUMMYFUNCTION("""COMPUTED_VALUE"""),"1 MP")</f>
        <v>1 MP</v>
      </c>
      <c r="K271" s="264" t="str">
        <f>IFERROR(__xludf.DUMMYFUNCTION("""COMPUTED_VALUE"""),"")</f>
        <v/>
      </c>
      <c r="L271" s="263" t="str">
        <f>IFERROR(__xludf.DUMMYFUNCTION("""COMPUTED_VALUE"""),"")</f>
        <v/>
      </c>
      <c r="M271" s="263"/>
      <c r="N271" s="263"/>
      <c r="O271" s="263"/>
      <c r="P271" s="263"/>
      <c r="Q271" s="263"/>
      <c r="R271" s="263"/>
      <c r="S271" s="263"/>
      <c r="T271" s="263"/>
      <c r="U271" s="246"/>
      <c r="V271" s="246"/>
      <c r="W271" s="246"/>
      <c r="X271" s="246"/>
      <c r="Y271" s="246"/>
      <c r="Z271" s="246"/>
    </row>
    <row r="272">
      <c r="A272" s="263"/>
      <c r="B272" s="265" t="str">
        <f>IFERROR(__xludf.DUMMYFUNCTION("""COMPUTED_VALUE"""),"Excavation Crash")</f>
        <v>Excavation Crash</v>
      </c>
      <c r="C272" s="263"/>
      <c r="D272" s="264" t="str">
        <f>IFERROR(__xludf.DUMMYFUNCTION("""COMPUTED_VALUE"""),"")</f>
        <v/>
      </c>
      <c r="E272" s="264" t="str">
        <f>IFERROR(__xludf.DUMMYFUNCTION("""COMPUTED_VALUE"""),"Melee Weapon Range")</f>
        <v>Melee Weapon Range</v>
      </c>
      <c r="F272" s="266" t="str">
        <f>IFERROR(__xludf.DUMMYFUNCTION("""COMPUTED_VALUE"""),"Choose one adjacent location 5ft from the target. The target may immediately use a move action for 0 RP to move there if they wish, you cannot make an attack of opportunity during Excavation Crash. If the target does not move to the location, make a heavy"&amp;" attack against them.")</f>
        <v>Choose one adjacent location 5ft from the target. The target may immediately use a move action for 0 RP to move there if they wish, you cannot make an attack of opportunity during Excavation Crash. If the target does not move to the location, make a heavy attack against them.</v>
      </c>
      <c r="G272" s="263" t="str">
        <f>IFERROR(__xludf.DUMMYFUNCTION("""COMPUTED_VALUE"""),"")</f>
        <v/>
      </c>
      <c r="H272" s="265" t="str">
        <f>IFERROR(__xludf.DUMMYFUNCTION("""COMPUTED_VALUE"""),"1 AP, 1 MP")</f>
        <v>1 AP, 1 MP</v>
      </c>
      <c r="I272" s="264" t="str">
        <f>IFERROR(__xludf.DUMMYFUNCTION("""COMPUTED_VALUE"""),"1 AP")</f>
        <v>1 AP</v>
      </c>
      <c r="J272" s="263" t="str">
        <f>IFERROR(__xludf.DUMMYFUNCTION("""COMPUTED_VALUE"""),"1 MP")</f>
        <v>1 MP</v>
      </c>
      <c r="K272" s="263" t="str">
        <f>IFERROR(__xludf.DUMMYFUNCTION("""COMPUTED_VALUE"""),"")</f>
        <v/>
      </c>
      <c r="L272" s="263" t="str">
        <f>IFERROR(__xludf.DUMMYFUNCTION("""COMPUTED_VALUE"""),"")</f>
        <v/>
      </c>
      <c r="M272" s="263"/>
      <c r="N272" s="263"/>
      <c r="O272" s="263"/>
      <c r="P272" s="263"/>
      <c r="Q272" s="263"/>
      <c r="R272" s="263"/>
      <c r="S272" s="263"/>
      <c r="T272" s="263"/>
      <c r="U272" s="246"/>
      <c r="V272" s="246"/>
      <c r="W272" s="246"/>
      <c r="X272" s="246"/>
      <c r="Y272" s="246"/>
      <c r="Z272" s="246"/>
    </row>
    <row r="273">
      <c r="A273" s="263"/>
      <c r="B273" s="265" t="str">
        <f>IFERROR(__xludf.DUMMYFUNCTION("""COMPUTED_VALUE"""),"Execute Heretic")</f>
        <v>Execute Heretic</v>
      </c>
      <c r="C273" s="263"/>
      <c r="D273" s="264" t="str">
        <f>IFERROR(__xludf.DUMMYFUNCTION("""COMPUTED_VALUE"""),"Sure Hit, Full Pierce")</f>
        <v>Sure Hit, Full Pierce</v>
      </c>
      <c r="E273" s="264" t="str">
        <f>IFERROR(__xludf.DUMMYFUNCTION("""COMPUTED_VALUE"""),"Melee Weapon Range")</f>
        <v>Melee Weapon Range</v>
      </c>
      <c r="F273" s="266" t="str">
        <f>IFERROR(__xludf.DUMMYFUNCTION("""COMPUTED_VALUE"""),"You deal damage to the target equal to their max HP.")</f>
        <v>You deal damage to the target equal to their max HP.</v>
      </c>
      <c r="G273" s="263" t="str">
        <f>IFERROR(__xludf.DUMMYFUNCTION("""COMPUTED_VALUE"""),"Target must be downed.")</f>
        <v>Target must be downed.</v>
      </c>
      <c r="H273" s="265" t="str">
        <f>IFERROR(__xludf.DUMMYFUNCTION("""COMPUTED_VALUE"""),"1 AP")</f>
        <v>1 AP</v>
      </c>
      <c r="I273" s="264" t="str">
        <f>IFERROR(__xludf.DUMMYFUNCTION("""COMPUTED_VALUE"""),"1 AP")</f>
        <v>1 AP</v>
      </c>
      <c r="J273" s="263" t="str">
        <f>IFERROR(__xludf.DUMMYFUNCTION("""COMPUTED_VALUE"""),"")</f>
        <v/>
      </c>
      <c r="K273" s="263" t="str">
        <f>IFERROR(__xludf.DUMMYFUNCTION("""COMPUTED_VALUE"""),"")</f>
        <v/>
      </c>
      <c r="L273" s="263" t="str">
        <f>IFERROR(__xludf.DUMMYFUNCTION("""COMPUTED_VALUE"""),"")</f>
        <v/>
      </c>
      <c r="M273" s="263"/>
      <c r="N273" s="263"/>
      <c r="O273" s="263"/>
      <c r="P273" s="263"/>
      <c r="Q273" s="263"/>
      <c r="R273" s="263"/>
      <c r="S273" s="263"/>
      <c r="T273" s="263"/>
      <c r="U273" s="246"/>
      <c r="V273" s="246"/>
      <c r="W273" s="246"/>
      <c r="X273" s="246"/>
      <c r="Y273" s="246"/>
      <c r="Z273" s="246"/>
    </row>
    <row r="274">
      <c r="A274" s="263"/>
      <c r="B274" s="265" t="str">
        <f>IFERROR(__xludf.DUMMYFUNCTION("""COMPUTED_VALUE"""),"Expert Farmer")</f>
        <v>Expert Farmer</v>
      </c>
      <c r="C274" s="263"/>
      <c r="D274" s="264" t="str">
        <f>IFERROR(__xludf.DUMMYFUNCTION("""COMPUTED_VALUE"""),"")</f>
        <v/>
      </c>
      <c r="E274" s="264" t="str">
        <f>IFERROR(__xludf.DUMMYFUNCTION("""COMPUTED_VALUE"""),"")</f>
        <v/>
      </c>
      <c r="F274" s="266" t="str">
        <f>IFERROR(__xludf.DUMMYFUNCTION("""COMPUTED_VALUE"""),"Greater Infuse Qi
Keywords: Rapid
Description:
You infuse one of the planted herbs with Qi, upgrading it from rare to mystic and adding 20 to its difficulty.
Bountiful Harvest II
Keywords: Rapid
Description:
You bless one of the planted seeds that grants "&amp;"Food units or Alchemy materials. It grants 4 times that amount and you add 10 to its difficulty. Does not stack.")</f>
        <v>Greater Infuse Qi
Keywords: Rapid
Description:
You infuse one of the planted herbs with Qi, upgrading it from rare to mystic and adding 20 to its difficulty.
Bountiful Harvest II
Keywords: Rapid
Description:
You bless one of the planted seeds that grants Food units or Alchemy materials. It grants 4 times that amount and you add 10 to its difficulty. Does not stack.</v>
      </c>
      <c r="G274" s="263" t="str">
        <f>IFERROR(__xludf.DUMMYFUNCTION("""COMPUTED_VALUE"""),"")</f>
        <v/>
      </c>
      <c r="H274" s="265" t="str">
        <f>IFERROR(__xludf.DUMMYFUNCTION("""COMPUTED_VALUE"""),"")</f>
        <v/>
      </c>
      <c r="I274" s="264" t="str">
        <f>IFERROR(__xludf.DUMMYFUNCTION("""COMPUTED_VALUE"""),"")</f>
        <v/>
      </c>
      <c r="J274" s="264" t="str">
        <f>IFERROR(__xludf.DUMMYFUNCTION("""COMPUTED_VALUE"""),"")</f>
        <v/>
      </c>
      <c r="K274" s="263" t="str">
        <f>IFERROR(__xludf.DUMMYFUNCTION("""COMPUTED_VALUE"""),"")</f>
        <v/>
      </c>
      <c r="L274" s="263" t="str">
        <f>IFERROR(__xludf.DUMMYFUNCTION("""COMPUTED_VALUE"""),"")</f>
        <v/>
      </c>
      <c r="M274" s="263"/>
      <c r="N274" s="263"/>
      <c r="O274" s="263"/>
      <c r="P274" s="263"/>
      <c r="Q274" s="263"/>
      <c r="R274" s="263"/>
      <c r="S274" s="263"/>
      <c r="T274" s="263"/>
      <c r="U274" s="246"/>
      <c r="V274" s="246"/>
      <c r="W274" s="246"/>
      <c r="X274" s="246"/>
      <c r="Y274" s="246"/>
      <c r="Z274" s="246"/>
    </row>
    <row r="275">
      <c r="A275" s="263"/>
      <c r="B275" s="265" t="str">
        <f>IFERROR(__xludf.DUMMYFUNCTION("""COMPUTED_VALUE"""),"Expertise Study (Armorsmithing)")</f>
        <v>Expertise Study (Armorsmithing)</v>
      </c>
      <c r="C275" s="263"/>
      <c r="D275" s="263" t="str">
        <f>IFERROR(__xludf.DUMMYFUNCTION("""COMPUTED_VALUE"""),"")</f>
        <v/>
      </c>
      <c r="E275" s="263" t="str">
        <f>IFERROR(__xludf.DUMMYFUNCTION("""COMPUTED_VALUE"""),"")</f>
        <v/>
      </c>
      <c r="F275" s="266" t="str">
        <f>IFERROR(__xludf.DUMMYFUNCTION("""COMPUTED_VALUE"""),"You gain 5 Expertise Points in 2 different armorsmithing crafts. You also gain wielding proficiency in Heavy Armor or Greatshields.
In addition, you always gain the expertise bonus when crafting an armor for yourself. An armor crafted this way cannot be w"&amp;"orn by other creatures and is effectively valued at 0 clim.")</f>
        <v>You gain 5 Expertise Points in 2 different armorsmithing crafts. You also gain wielding proficiency in Heavy Armor or Greatshields.
In addition, you always gain the expertise bonus when crafting an armor for yourself. An armor crafted this way cannot be worn by other creatures and is effectively valued at 0 clim.</v>
      </c>
      <c r="G275" s="263" t="str">
        <f>IFERROR(__xludf.DUMMYFUNCTION("""COMPUTED_VALUE"""),"")</f>
        <v/>
      </c>
      <c r="H275" s="267" t="str">
        <f>IFERROR(__xludf.DUMMYFUNCTION("""COMPUTED_VALUE"""),"")</f>
        <v/>
      </c>
      <c r="I275" s="263" t="str">
        <f>IFERROR(__xludf.DUMMYFUNCTION("""COMPUTED_VALUE"""),"")</f>
        <v/>
      </c>
      <c r="J275" s="263" t="str">
        <f>IFERROR(__xludf.DUMMYFUNCTION("""COMPUTED_VALUE"""),"")</f>
        <v/>
      </c>
      <c r="K275" s="263" t="str">
        <f>IFERROR(__xludf.DUMMYFUNCTION("""COMPUTED_VALUE"""),"")</f>
        <v/>
      </c>
      <c r="L275" s="263" t="str">
        <f>IFERROR(__xludf.DUMMYFUNCTION("""COMPUTED_VALUE"""),"")</f>
        <v/>
      </c>
      <c r="M275" s="263"/>
      <c r="N275" s="263"/>
      <c r="O275" s="263"/>
      <c r="P275" s="263"/>
      <c r="Q275" s="263"/>
      <c r="R275" s="263"/>
      <c r="S275" s="263"/>
      <c r="T275" s="263"/>
      <c r="U275" s="246"/>
      <c r="V275" s="246"/>
      <c r="W275" s="246"/>
      <c r="X275" s="246"/>
      <c r="Y275" s="246"/>
      <c r="Z275" s="246"/>
    </row>
    <row r="276">
      <c r="A276" s="263"/>
      <c r="B276" s="265" t="str">
        <f>IFERROR(__xludf.DUMMYFUNCTION("""COMPUTED_VALUE"""),"Expertise Study (Artificing)")</f>
        <v>Expertise Study (Artificing)</v>
      </c>
      <c r="C276" s="263"/>
      <c r="D276" s="264" t="str">
        <f>IFERROR(__xludf.DUMMYFUNCTION("""COMPUTED_VALUE"""),"")</f>
        <v/>
      </c>
      <c r="E276" s="264" t="str">
        <f>IFERROR(__xludf.DUMMYFUNCTION("""COMPUTED_VALUE"""),"")</f>
        <v/>
      </c>
      <c r="F276" s="266" t="str">
        <f>IFERROR(__xludf.DUMMYFUNCTION("""COMPUTED_VALUE"""),"You gain 5 expertise points in 3 different Artificing crafts.  You also gain one basic weapon proficiency or one specialized weapon proficiency of your choice.")</f>
        <v>You gain 5 expertise points in 3 different Artificing crafts.  You also gain one basic weapon proficiency or one specialized weapon proficiency of your choice.</v>
      </c>
      <c r="G276" s="264" t="str">
        <f>IFERROR(__xludf.DUMMYFUNCTION("""COMPUTED_VALUE"""),"")</f>
        <v/>
      </c>
      <c r="H276" s="265" t="str">
        <f>IFERROR(__xludf.DUMMYFUNCTION("""COMPUTED_VALUE"""),"")</f>
        <v/>
      </c>
      <c r="I276" s="264" t="str">
        <f>IFERROR(__xludf.DUMMYFUNCTION("""COMPUTED_VALUE"""),"")</f>
        <v/>
      </c>
      <c r="J276" s="264" t="str">
        <f>IFERROR(__xludf.DUMMYFUNCTION("""COMPUTED_VALUE"""),"")</f>
        <v/>
      </c>
      <c r="K276" s="263" t="str">
        <f>IFERROR(__xludf.DUMMYFUNCTION("""COMPUTED_VALUE"""),"")</f>
        <v/>
      </c>
      <c r="L276" s="263" t="str">
        <f>IFERROR(__xludf.DUMMYFUNCTION("""COMPUTED_VALUE"""),"")</f>
        <v/>
      </c>
      <c r="M276" s="263"/>
      <c r="N276" s="263"/>
      <c r="O276" s="263"/>
      <c r="P276" s="263"/>
      <c r="Q276" s="263"/>
      <c r="R276" s="263"/>
      <c r="S276" s="263"/>
      <c r="T276" s="263"/>
      <c r="U276" s="246"/>
      <c r="V276" s="246"/>
      <c r="W276" s="246"/>
      <c r="X276" s="246"/>
      <c r="Y276" s="246"/>
      <c r="Z276" s="246"/>
    </row>
    <row r="277">
      <c r="A277" s="263"/>
      <c r="B277" s="265" t="str">
        <f>IFERROR(__xludf.DUMMYFUNCTION("""COMPUTED_VALUE"""),"Expertise Study (Blacksmithing)")</f>
        <v>Expertise Study (Blacksmithing)</v>
      </c>
      <c r="C277" s="263"/>
      <c r="D277" s="264" t="str">
        <f>IFERROR(__xludf.DUMMYFUNCTION("""COMPUTED_VALUE"""),"")</f>
        <v/>
      </c>
      <c r="E277" s="264" t="str">
        <f>IFERROR(__xludf.DUMMYFUNCTION("""COMPUTED_VALUE"""),"")</f>
        <v/>
      </c>
      <c r="F277" s="266" t="str">
        <f>IFERROR(__xludf.DUMMYFUNCTION("""COMPUTED_VALUE"""),"You gain 5 Expertise Points in 3 different blacksmithing crafts. You also gain wielding proficiency in one smithing melee weapon of your choice. You may select specialized weapons with this.")</f>
        <v>You gain 5 Expertise Points in 3 different blacksmithing crafts. You also gain wielding proficiency in one smithing melee weapon of your choice. You may select specialized weapons with this.</v>
      </c>
      <c r="G277" s="263" t="str">
        <f>IFERROR(__xludf.DUMMYFUNCTION("""COMPUTED_VALUE"""),"")</f>
        <v/>
      </c>
      <c r="H277" s="265" t="str">
        <f>IFERROR(__xludf.DUMMYFUNCTION("""COMPUTED_VALUE"""),"")</f>
        <v/>
      </c>
      <c r="I277" s="264" t="str">
        <f>IFERROR(__xludf.DUMMYFUNCTION("""COMPUTED_VALUE"""),"")</f>
        <v/>
      </c>
      <c r="J277" s="264" t="str">
        <f>IFERROR(__xludf.DUMMYFUNCTION("""COMPUTED_VALUE"""),"")</f>
        <v/>
      </c>
      <c r="K277" s="263" t="str">
        <f>IFERROR(__xludf.DUMMYFUNCTION("""COMPUTED_VALUE"""),"")</f>
        <v/>
      </c>
      <c r="L277" s="263" t="str">
        <f>IFERROR(__xludf.DUMMYFUNCTION("""COMPUTED_VALUE"""),"")</f>
        <v/>
      </c>
      <c r="M277" s="263"/>
      <c r="N277" s="263"/>
      <c r="O277" s="263"/>
      <c r="P277" s="263"/>
      <c r="Q277" s="263"/>
      <c r="R277" s="263"/>
      <c r="S277" s="263"/>
      <c r="T277" s="263"/>
      <c r="U277" s="246"/>
      <c r="V277" s="246"/>
      <c r="W277" s="246"/>
      <c r="X277" s="246"/>
      <c r="Y277" s="246"/>
      <c r="Z277" s="246"/>
    </row>
    <row r="278">
      <c r="A278" s="263"/>
      <c r="B278" s="265" t="str">
        <f>IFERROR(__xludf.DUMMYFUNCTION("""COMPUTED_VALUE"""),"Expertise Study (Carpentry)")</f>
        <v>Expertise Study (Carpentry)</v>
      </c>
      <c r="C278" s="263"/>
      <c r="D278" s="264" t="str">
        <f>IFERROR(__xludf.DUMMYFUNCTION("""COMPUTED_VALUE"""),"")</f>
        <v/>
      </c>
      <c r="E278" s="264" t="str">
        <f>IFERROR(__xludf.DUMMYFUNCTION("""COMPUTED_VALUE"""),"")</f>
        <v/>
      </c>
      <c r="F278" s="266" t="str">
        <f>IFERROR(__xludf.DUMMYFUNCTION("""COMPUTED_VALUE"""),"You gain 5 Expertise Points in 3 different carpentry crafts.  You also gain wielding proficiency in one carpentry weapon of your choice or artifice chainsaws.")</f>
        <v>You gain 5 Expertise Points in 3 different carpentry crafts.  You also gain wielding proficiency in one carpentry weapon of your choice or artifice chainsaws.</v>
      </c>
      <c r="G278" s="264" t="str">
        <f>IFERROR(__xludf.DUMMYFUNCTION("""COMPUTED_VALUE"""),"")</f>
        <v/>
      </c>
      <c r="H278" s="265" t="str">
        <f>IFERROR(__xludf.DUMMYFUNCTION("""COMPUTED_VALUE"""),"")</f>
        <v/>
      </c>
      <c r="I278" s="263" t="str">
        <f>IFERROR(__xludf.DUMMYFUNCTION("""COMPUTED_VALUE"""),"")</f>
        <v/>
      </c>
      <c r="J278" s="263" t="str">
        <f>IFERROR(__xludf.DUMMYFUNCTION("""COMPUTED_VALUE"""),"")</f>
        <v/>
      </c>
      <c r="K278" s="264" t="str">
        <f>IFERROR(__xludf.DUMMYFUNCTION("""COMPUTED_VALUE"""),"")</f>
        <v/>
      </c>
      <c r="L278" s="263" t="str">
        <f>IFERROR(__xludf.DUMMYFUNCTION("""COMPUTED_VALUE"""),"")</f>
        <v/>
      </c>
      <c r="M278" s="263"/>
      <c r="N278" s="263"/>
      <c r="O278" s="263"/>
      <c r="P278" s="263"/>
      <c r="Q278" s="263"/>
      <c r="R278" s="263"/>
      <c r="S278" s="263"/>
      <c r="T278" s="263"/>
      <c r="U278" s="246"/>
      <c r="V278" s="246"/>
      <c r="W278" s="246"/>
      <c r="X278" s="246"/>
      <c r="Y278" s="246"/>
      <c r="Z278" s="246"/>
    </row>
    <row r="279">
      <c r="A279" s="263"/>
      <c r="B279" s="265" t="str">
        <f>IFERROR(__xludf.DUMMYFUNCTION("""COMPUTED_VALUE"""),"Explosive Advance")</f>
        <v>Explosive Advance</v>
      </c>
      <c r="C279" s="263"/>
      <c r="D279" s="264" t="str">
        <f>IFERROR(__xludf.DUMMYFUNCTION("""COMPUTED_VALUE"""),"Encounter Start")</f>
        <v>Encounter Start</v>
      </c>
      <c r="E279" s="264" t="str">
        <f>IFERROR(__xludf.DUMMYFUNCTION("""COMPUTED_VALUE"""),"Self")</f>
        <v>Self</v>
      </c>
      <c r="F279" s="266" t="str">
        <f>IFERROR(__xludf.DUMMYFUNCTION("""COMPUTED_VALUE"""),"You immediately activate Horse Step Acceleration and it becomes active for the entire first round of combat.  Immediately make up to 1 AP of movement actions.")</f>
        <v>You immediately activate Horse Step Acceleration and it becomes active for the entire first round of combat.  Immediately make up to 1 AP of movement actions.</v>
      </c>
      <c r="G279" s="263" t="str">
        <f>IFERROR(__xludf.DUMMYFUNCTION("""COMPUTED_VALUE"""),"")</f>
        <v/>
      </c>
      <c r="H279" s="265" t="str">
        <f>IFERROR(__xludf.DUMMYFUNCTION("""COMPUTED_VALUE"""),"")</f>
        <v/>
      </c>
      <c r="I279" s="264" t="str">
        <f>IFERROR(__xludf.DUMMYFUNCTION("""COMPUTED_VALUE"""),"")</f>
        <v/>
      </c>
      <c r="J279" s="264" t="str">
        <f>IFERROR(__xludf.DUMMYFUNCTION("""COMPUTED_VALUE"""),"")</f>
        <v/>
      </c>
      <c r="K279" s="263" t="str">
        <f>IFERROR(__xludf.DUMMYFUNCTION("""COMPUTED_VALUE"""),"")</f>
        <v/>
      </c>
      <c r="L279" s="263" t="str">
        <f>IFERROR(__xludf.DUMMYFUNCTION("""COMPUTED_VALUE"""),"")</f>
        <v/>
      </c>
      <c r="M279" s="263"/>
      <c r="N279" s="263"/>
      <c r="O279" s="263"/>
      <c r="P279" s="263"/>
      <c r="Q279" s="263"/>
      <c r="R279" s="263"/>
      <c r="S279" s="263"/>
      <c r="T279" s="263"/>
      <c r="U279" s="246"/>
      <c r="V279" s="246"/>
      <c r="W279" s="246"/>
      <c r="X279" s="246"/>
      <c r="Y279" s="246"/>
      <c r="Z279" s="246"/>
    </row>
    <row r="280">
      <c r="A280" s="263"/>
      <c r="B280" s="265" t="str">
        <f>IFERROR(__xludf.DUMMYFUNCTION("""COMPUTED_VALUE"""),"Explosive Ward")</f>
        <v>Explosive Ward</v>
      </c>
      <c r="C280" s="263"/>
      <c r="D280" s="264" t="str">
        <f>IFERROR(__xludf.DUMMYFUNCTION("""COMPUTED_VALUE"""),"Bounded Field, Fire, Spell, Scatter")</f>
        <v>Bounded Field, Fire, Spell, Scatter</v>
      </c>
      <c r="E280" s="264" t="str">
        <f>IFERROR(__xludf.DUMMYFUNCTION("""COMPUTED_VALUE"""),"Touch")</f>
        <v>Touch</v>
      </c>
      <c r="F280" s="266" t="str">
        <f>IFERROR(__xludf.DUMMYFUNCTION("""COMPUTED_VALUE"""),"A ward that can be placed on a door or medium-sized container of some sort. If other than you knowingly tries to open the door or container in any way (whether normal opening, attacking it etc), the ward triggers creating a loud noise and dealing Heavy Fi"&amp;"re Damage to all creatures in a 10ft radius around the container. All items inside the container (if any) also take this damage. Once triggered, the bounded field vanishes. Casting this takes 10 minutes of uninterrupted casting. You may at the time of cas"&amp;"ting choose a number of people equal to your Focus that can also open the container or door without triggering the ward. If not triggered, Explosive Ward lasts until you remove it. For each Explosive Ward you maintain your maximum mana is reduced by 2. Th"&amp;"is is considered a tier 2 ward.")</f>
        <v>A ward that can be placed on a door or medium-sized container of some sort. If other than you knowingly tries to open the door or container in any way (whether normal opening, attacking it etc), the ward triggers creating a loud noise and dealing Heavy Fire Damage to all creatures in a 10ft radius around the container. All items inside the container (if any) also take this damage. Once triggered, the bounded field vanishes. Casting this takes 10 minutes of uninterrupted casting. You may at the time of casting choose a number of people equal to your Focus that can also open the container or door without triggering the ward. If not triggered, Explosive Ward lasts until you remove it. For each Explosive Ward you maintain your maximum mana is reduced by 2. This is considered a tier 2 ward.</v>
      </c>
      <c r="G280" s="263" t="str">
        <f>IFERROR(__xludf.DUMMYFUNCTION("""COMPUTED_VALUE"""),"")</f>
        <v/>
      </c>
      <c r="H280" s="265" t="str">
        <f>IFERROR(__xludf.DUMMYFUNCTION("""COMPUTED_VALUE"""),"2 MP")</f>
        <v>2 MP</v>
      </c>
      <c r="I280" s="264" t="str">
        <f>IFERROR(__xludf.DUMMYFUNCTION("""COMPUTED_VALUE"""),"")</f>
        <v/>
      </c>
      <c r="J280" s="263" t="str">
        <f>IFERROR(__xludf.DUMMYFUNCTION("""COMPUTED_VALUE"""),"2 MP")</f>
        <v>2 MP</v>
      </c>
      <c r="K280" s="263" t="str">
        <f>IFERROR(__xludf.DUMMYFUNCTION("""COMPUTED_VALUE"""),"")</f>
        <v/>
      </c>
      <c r="L280" s="263" t="str">
        <f>IFERROR(__xludf.DUMMYFUNCTION("""COMPUTED_VALUE"""),"")</f>
        <v/>
      </c>
      <c r="M280" s="263"/>
      <c r="N280" s="263"/>
      <c r="O280" s="263"/>
      <c r="P280" s="263"/>
      <c r="Q280" s="263"/>
      <c r="R280" s="263"/>
      <c r="S280" s="263"/>
      <c r="T280" s="263"/>
      <c r="U280" s="246"/>
      <c r="V280" s="246"/>
      <c r="W280" s="246"/>
      <c r="X280" s="246"/>
      <c r="Y280" s="246"/>
      <c r="Z280" s="246"/>
    </row>
    <row r="281">
      <c r="A281" s="263"/>
      <c r="B281" s="265" t="str">
        <f>IFERROR(__xludf.DUMMYFUNCTION("""COMPUTED_VALUE"""),"Exposing Edge")</f>
        <v>Exposing Edge</v>
      </c>
      <c r="C281" s="263"/>
      <c r="D281" s="264" t="str">
        <f>IFERROR(__xludf.DUMMYFUNCTION("""COMPUTED_VALUE"""),"Stance, Upkeep")</f>
        <v>Stance, Upkeep</v>
      </c>
      <c r="E281" s="264" t="str">
        <f>IFERROR(__xludf.DUMMYFUNCTION("""COMPUTED_VALUE"""),"Self")</f>
        <v>Self</v>
      </c>
      <c r="F281" s="266" t="str">
        <f>IFERROR(__xludf.DUMMYFUNCTION("""COMPUTED_VALUE"""),"You sharpen your blades, enhancing the effects of your debuffs.
Upkeep: You may spend 1 AP or 1 mana to continue the effect.")</f>
        <v>You sharpen your blades, enhancing the effects of your debuffs.
Upkeep: You may spend 1 AP or 1 mana to continue the effect.</v>
      </c>
      <c r="G281" s="263" t="str">
        <f>IFERROR(__xludf.DUMMYFUNCTION("""COMPUTED_VALUE"""),"")</f>
        <v/>
      </c>
      <c r="H281" s="265" t="str">
        <f>IFERROR(__xludf.DUMMYFUNCTION("""COMPUTED_VALUE"""),"0 AP, 1 MP")</f>
        <v>0 AP, 1 MP</v>
      </c>
      <c r="I281" s="264" t="str">
        <f>IFERROR(__xludf.DUMMYFUNCTION("""COMPUTED_VALUE"""),"0 AP")</f>
        <v>0 AP</v>
      </c>
      <c r="J281" s="263" t="str">
        <f>IFERROR(__xludf.DUMMYFUNCTION("""COMPUTED_VALUE"""),"1 MP")</f>
        <v>1 MP</v>
      </c>
      <c r="K281" s="263" t="str">
        <f>IFERROR(__xludf.DUMMYFUNCTION("""COMPUTED_VALUE"""),"")</f>
        <v/>
      </c>
      <c r="L281" s="263" t="str">
        <f>IFERROR(__xludf.DUMMYFUNCTION("""COMPUTED_VALUE"""),"")</f>
        <v/>
      </c>
      <c r="M281" s="263"/>
      <c r="N281" s="263"/>
      <c r="O281" s="263"/>
      <c r="P281" s="263"/>
      <c r="Q281" s="263"/>
      <c r="R281" s="263"/>
      <c r="S281" s="263"/>
      <c r="T281" s="263"/>
      <c r="U281" s="246"/>
      <c r="V281" s="246"/>
      <c r="W281" s="246"/>
      <c r="X281" s="246"/>
      <c r="Y281" s="246"/>
      <c r="Z281" s="246"/>
    </row>
    <row r="282">
      <c r="A282" s="263"/>
      <c r="B282" s="265" t="str">
        <f>IFERROR(__xludf.DUMMYFUNCTION("""COMPUTED_VALUE"""),"Exposing Stab")</f>
        <v>Exposing Stab</v>
      </c>
      <c r="C282" s="263"/>
      <c r="D282" s="264" t="str">
        <f>IFERROR(__xludf.DUMMYFUNCTION("""COMPUTED_VALUE"""),"")</f>
        <v/>
      </c>
      <c r="E282" s="264" t="str">
        <f>IFERROR(__xludf.DUMMYFUNCTION("""COMPUTED_VALUE"""),"Melee Weapon Range")</f>
        <v>Melee Weapon Range</v>
      </c>
      <c r="F282" s="266" t="str">
        <f>IFERROR(__xludf.DUMMYFUNCTION("""COMPUTED_VALUE"""),"You make a Light attack against the target. On damage, you may use your Devastating Strike against the target until the end of your turn as if the target had 0 RP.")</f>
        <v>You make a Light attack against the target. On damage, you may use your Devastating Strike against the target until the end of your turn as if the target had 0 RP.</v>
      </c>
      <c r="G282" s="264" t="str">
        <f>IFERROR(__xludf.DUMMYFUNCTION("""COMPUTED_VALUE"""),"")</f>
        <v/>
      </c>
      <c r="H282" s="265" t="str">
        <f>IFERROR(__xludf.DUMMYFUNCTION("""COMPUTED_VALUE"""),"2 AP")</f>
        <v>2 AP</v>
      </c>
      <c r="I282" s="264" t="str">
        <f>IFERROR(__xludf.DUMMYFUNCTION("""COMPUTED_VALUE"""),"2 AP")</f>
        <v>2 AP</v>
      </c>
      <c r="J282" s="264" t="str">
        <f>IFERROR(__xludf.DUMMYFUNCTION("""COMPUTED_VALUE"""),"")</f>
        <v/>
      </c>
      <c r="K282" s="263" t="str">
        <f>IFERROR(__xludf.DUMMYFUNCTION("""COMPUTED_VALUE"""),"")</f>
        <v/>
      </c>
      <c r="L282" s="263" t="str">
        <f>IFERROR(__xludf.DUMMYFUNCTION("""COMPUTED_VALUE"""),"")</f>
        <v/>
      </c>
      <c r="M282" s="263"/>
      <c r="N282" s="263"/>
      <c r="O282" s="263"/>
      <c r="P282" s="263"/>
      <c r="Q282" s="263"/>
      <c r="R282" s="263"/>
      <c r="S282" s="263"/>
      <c r="T282" s="263"/>
      <c r="U282" s="246"/>
      <c r="V282" s="246"/>
      <c r="W282" s="246"/>
      <c r="X282" s="246"/>
      <c r="Y282" s="246"/>
      <c r="Z282" s="246"/>
    </row>
    <row r="283">
      <c r="A283" s="263"/>
      <c r="B283" s="265" t="str">
        <f>IFERROR(__xludf.DUMMYFUNCTION("""COMPUTED_VALUE"""),"Extending Spear")</f>
        <v>Extending Spear</v>
      </c>
      <c r="C283" s="263"/>
      <c r="D283" s="264" t="str">
        <f>IFERROR(__xludf.DUMMYFUNCTION("""COMPUTED_VALUE"""),"Scatter, Crushing")</f>
        <v>Scatter, Crushing</v>
      </c>
      <c r="E283" s="264" t="str">
        <f>IFERROR(__xludf.DUMMYFUNCTION("""COMPUTED_VALUE"""),"30ft")</f>
        <v>30ft</v>
      </c>
      <c r="F283" s="266" t="str">
        <f>IFERROR(__xludf.DUMMYFUNCTION("""COMPUTED_VALUE"""),"You may make a Light Attack against all targets in a line up to the range.")</f>
        <v>You may make a Light Attack against all targets in a line up to the range.</v>
      </c>
      <c r="G283" s="264" t="str">
        <f>IFERROR(__xludf.DUMMYFUNCTION("""COMPUTED_VALUE"""),"Polearm only.")</f>
        <v>Polearm only.</v>
      </c>
      <c r="H283" s="265" t="str">
        <f>IFERROR(__xludf.DUMMYFUNCTION("""COMPUTED_VALUE"""),"2 AP")</f>
        <v>2 AP</v>
      </c>
      <c r="I283" s="264" t="str">
        <f>IFERROR(__xludf.DUMMYFUNCTION("""COMPUTED_VALUE"""),"2 AP")</f>
        <v>2 AP</v>
      </c>
      <c r="J283" s="263" t="str">
        <f>IFERROR(__xludf.DUMMYFUNCTION("""COMPUTED_VALUE"""),"")</f>
        <v/>
      </c>
      <c r="K283" s="263" t="str">
        <f>IFERROR(__xludf.DUMMYFUNCTION("""COMPUTED_VALUE"""),"")</f>
        <v/>
      </c>
      <c r="L283" s="263" t="str">
        <f>IFERROR(__xludf.DUMMYFUNCTION("""COMPUTED_VALUE"""),"")</f>
        <v/>
      </c>
      <c r="M283" s="263"/>
      <c r="N283" s="263"/>
      <c r="O283" s="263"/>
      <c r="P283" s="263"/>
      <c r="Q283" s="263"/>
      <c r="R283" s="263"/>
      <c r="S283" s="263"/>
      <c r="T283" s="263"/>
      <c r="U283" s="246"/>
      <c r="V283" s="246"/>
      <c r="W283" s="246"/>
      <c r="X283" s="246"/>
      <c r="Y283" s="246"/>
      <c r="Z283" s="246"/>
    </row>
    <row r="284">
      <c r="A284" s="263"/>
      <c r="B284" s="265" t="str">
        <f>IFERROR(__xludf.DUMMYFUNCTION("""COMPUTED_VALUE"""),"Extra Arms")</f>
        <v>Extra Arms</v>
      </c>
      <c r="C284" s="263"/>
      <c r="D284" s="264" t="str">
        <f>IFERROR(__xludf.DUMMYFUNCTION("""COMPUTED_VALUE"""),"Quick")</f>
        <v>Quick</v>
      </c>
      <c r="E284" s="264" t="str">
        <f>IFERROR(__xludf.DUMMYFUNCTION("""COMPUTED_VALUE"""),"Self")</f>
        <v>Self</v>
      </c>
      <c r="F284" s="266" t="str">
        <f>IFERROR(__xludf.DUMMYFUNCTION("""COMPUTED_VALUE"""),"Your next interact with object costs 1 less AP.")</f>
        <v>Your next interact with object costs 1 less AP.</v>
      </c>
      <c r="G284" s="264" t="str">
        <f>IFERROR(__xludf.DUMMYFUNCTION("""COMPUTED_VALUE"""),"")</f>
        <v/>
      </c>
      <c r="H284" s="265" t="str">
        <f>IFERROR(__xludf.DUMMYFUNCTION("""COMPUTED_VALUE"""),"0 AP")</f>
        <v>0 AP</v>
      </c>
      <c r="I284" s="264" t="str">
        <f>IFERROR(__xludf.DUMMYFUNCTION("""COMPUTED_VALUE"""),"0 AP")</f>
        <v>0 AP</v>
      </c>
      <c r="J284" s="263" t="str">
        <f>IFERROR(__xludf.DUMMYFUNCTION("""COMPUTED_VALUE"""),"")</f>
        <v/>
      </c>
      <c r="K284" s="263" t="str">
        <f>IFERROR(__xludf.DUMMYFUNCTION("""COMPUTED_VALUE"""),"")</f>
        <v/>
      </c>
      <c r="L284" s="263" t="str">
        <f>IFERROR(__xludf.DUMMYFUNCTION("""COMPUTED_VALUE"""),"")</f>
        <v/>
      </c>
      <c r="M284" s="263"/>
      <c r="N284" s="263"/>
      <c r="O284" s="263"/>
      <c r="P284" s="263"/>
      <c r="Q284" s="263"/>
      <c r="R284" s="263"/>
      <c r="S284" s="263"/>
      <c r="T284" s="263"/>
      <c r="U284" s="246"/>
      <c r="V284" s="246"/>
      <c r="W284" s="246"/>
      <c r="X284" s="246"/>
      <c r="Y284" s="246"/>
      <c r="Z284" s="246"/>
    </row>
    <row r="285">
      <c r="A285" s="263"/>
      <c r="B285" s="265" t="str">
        <f>IFERROR(__xludf.DUMMYFUNCTION("""COMPUTED_VALUE"""),"Fading Counter")</f>
        <v>Fading Counter</v>
      </c>
      <c r="C285" s="263"/>
      <c r="D285" s="264" t="str">
        <f>IFERROR(__xludf.DUMMYFUNCTION("""COMPUTED_VALUE"""),"Counter, Illusion")</f>
        <v>Counter, Illusion</v>
      </c>
      <c r="E285" s="264" t="str">
        <f>IFERROR(__xludf.DUMMYFUNCTION("""COMPUTED_VALUE"""),"Self")</f>
        <v>Self</v>
      </c>
      <c r="F285" s="266" t="str">
        <f>IFERROR(__xludf.DUMMYFUNCTION("""COMPUTED_VALUE"""),"When the enemy attacks you in melee, they instead attack an illusionary clone, missing you. You may then immediately attack the enemy with a basic Light Melee Attack. You may then move up to 5ft in any direction and this movement does not provoke attacks "&amp;"of opportunity.")</f>
        <v>When the enemy attacks you in melee, they instead attack an illusionary clone, missing you. You may then immediately attack the enemy with a basic Light Melee Attack. You may then move up to 5ft in any direction and this movement does not provoke attacks of opportunity.</v>
      </c>
      <c r="G285" s="264" t="str">
        <f>IFERROR(__xludf.DUMMYFUNCTION("""COMPUTED_VALUE"""),"")</f>
        <v/>
      </c>
      <c r="H285" s="265" t="str">
        <f>IFERROR(__xludf.DUMMYFUNCTION("""COMPUTED_VALUE"""),"2 RP")</f>
        <v>2 RP</v>
      </c>
      <c r="I285" s="263" t="str">
        <f>IFERROR(__xludf.DUMMYFUNCTION("""COMPUTED_VALUE"""),"")</f>
        <v/>
      </c>
      <c r="J285" s="264" t="str">
        <f>IFERROR(__xludf.DUMMYFUNCTION("""COMPUTED_VALUE"""),"")</f>
        <v/>
      </c>
      <c r="K285" s="264" t="str">
        <f>IFERROR(__xludf.DUMMYFUNCTION("""COMPUTED_VALUE"""),"2 RP")</f>
        <v>2 RP</v>
      </c>
      <c r="L285" s="263" t="str">
        <f>IFERROR(__xludf.DUMMYFUNCTION("""COMPUTED_VALUE"""),"")</f>
        <v/>
      </c>
      <c r="M285" s="263"/>
      <c r="N285" s="263"/>
      <c r="O285" s="263"/>
      <c r="P285" s="263"/>
      <c r="Q285" s="263"/>
      <c r="R285" s="263"/>
      <c r="S285" s="263"/>
      <c r="T285" s="263"/>
      <c r="U285" s="246"/>
      <c r="V285" s="246"/>
      <c r="W285" s="246"/>
      <c r="X285" s="246"/>
      <c r="Y285" s="246"/>
      <c r="Z285" s="246"/>
    </row>
    <row r="286">
      <c r="A286" s="263"/>
      <c r="B286" s="265" t="str">
        <f>IFERROR(__xludf.DUMMYFUNCTION("""COMPUTED_VALUE"""),"Fae Knight Style: Carapace")</f>
        <v>Fae Knight Style: Carapace</v>
      </c>
      <c r="C286" s="263"/>
      <c r="D286" s="264" t="str">
        <f>IFERROR(__xludf.DUMMYFUNCTION("""COMPUTED_VALUE"""),"")</f>
        <v/>
      </c>
      <c r="E286" s="264" t="str">
        <f>IFERROR(__xludf.DUMMYFUNCTION("""COMPUTED_VALUE"""),"Self")</f>
        <v>Self</v>
      </c>
      <c r="F286" s="266" t="str">
        <f>IFERROR(__xludf.DUMMYFUNCTION("""COMPUTED_VALUE"""),"One of your Fluttering Blades returns to you and interferes with the attack. You may take the dodge or block action against the attack.
This cancels Fluttering Blade on that weapon.")</f>
        <v>One of your Fluttering Blades returns to you and interferes with the attack. You may take the dodge or block action against the attack.
This cancels Fluttering Blade on that weapon.</v>
      </c>
      <c r="G286" s="264" t="str">
        <f>IFERROR(__xludf.DUMMYFUNCTION("""COMPUTED_VALUE"""),"Heavy Spin Fluttering Blade Active and target of an attack.")</f>
        <v>Heavy Spin Fluttering Blade Active and target of an attack.</v>
      </c>
      <c r="H286" s="265" t="str">
        <f>IFERROR(__xludf.DUMMYFUNCTION("""COMPUTED_VALUE"""),"0 RP")</f>
        <v>0 RP</v>
      </c>
      <c r="I286" s="264" t="str">
        <f>IFERROR(__xludf.DUMMYFUNCTION("""COMPUTED_VALUE"""),"")</f>
        <v/>
      </c>
      <c r="J286" s="264" t="str">
        <f>IFERROR(__xludf.DUMMYFUNCTION("""COMPUTED_VALUE"""),"")</f>
        <v/>
      </c>
      <c r="K286" s="263" t="str">
        <f>IFERROR(__xludf.DUMMYFUNCTION("""COMPUTED_VALUE"""),"0 RP")</f>
        <v>0 RP</v>
      </c>
      <c r="L286" s="263" t="str">
        <f>IFERROR(__xludf.DUMMYFUNCTION("""COMPUTED_VALUE"""),"")</f>
        <v/>
      </c>
      <c r="M286" s="263"/>
      <c r="N286" s="263"/>
      <c r="O286" s="263"/>
      <c r="P286" s="263"/>
      <c r="Q286" s="263"/>
      <c r="R286" s="263"/>
      <c r="S286" s="263"/>
      <c r="T286" s="263"/>
      <c r="U286" s="246"/>
      <c r="V286" s="246"/>
      <c r="W286" s="246"/>
      <c r="X286" s="246"/>
      <c r="Y286" s="246"/>
      <c r="Z286" s="246"/>
    </row>
    <row r="287">
      <c r="A287" s="263"/>
      <c r="B287" s="265" t="str">
        <f>IFERROR(__xludf.DUMMYFUNCTION("""COMPUTED_VALUE"""),"Fae Knight Style: Devouring Locust")</f>
        <v>Fae Knight Style: Devouring Locust</v>
      </c>
      <c r="C287" s="263"/>
      <c r="D287" s="263" t="str">
        <f>IFERROR(__xludf.DUMMYFUNCTION("""COMPUTED_VALUE"""),"Pass")</f>
        <v>Pass</v>
      </c>
      <c r="E287" s="264" t="str">
        <f>IFERROR(__xludf.DUMMYFUNCTION("""COMPUTED_VALUE"""),"120ft")</f>
        <v>120ft</v>
      </c>
      <c r="F287" s="266" t="str">
        <f>IFERROR(__xludf.DUMMYFUNCTION("""COMPUTED_VALUE"""),"Your Fluttering Blade moves in a straight line up to 60ft. Make a light attack that affects every target that the Blade passes through.")</f>
        <v>Your Fluttering Blade moves in a straight line up to 60ft. Make a light attack that affects every target that the Blade passes through.</v>
      </c>
      <c r="G287" s="263" t="str">
        <f>IFERROR(__xludf.DUMMYFUNCTION("""COMPUTED_VALUE"""),"An active Fluttering Blade within range.")</f>
        <v>An active Fluttering Blade within range.</v>
      </c>
      <c r="H287" s="265" t="str">
        <f>IFERROR(__xludf.DUMMYFUNCTION("""COMPUTED_VALUE"""),"2 AP, 1 MP")</f>
        <v>2 AP, 1 MP</v>
      </c>
      <c r="I287" s="264" t="str">
        <f>IFERROR(__xludf.DUMMYFUNCTION("""COMPUTED_VALUE"""),"2 AP")</f>
        <v>2 AP</v>
      </c>
      <c r="J287" s="263" t="str">
        <f>IFERROR(__xludf.DUMMYFUNCTION("""COMPUTED_VALUE"""),"1 MP")</f>
        <v>1 MP</v>
      </c>
      <c r="K287" s="263" t="str">
        <f>IFERROR(__xludf.DUMMYFUNCTION("""COMPUTED_VALUE"""),"")</f>
        <v/>
      </c>
      <c r="L287" s="263" t="str">
        <f>IFERROR(__xludf.DUMMYFUNCTION("""COMPUTED_VALUE"""),"")</f>
        <v/>
      </c>
      <c r="M287" s="263"/>
      <c r="N287" s="263"/>
      <c r="O287" s="263"/>
      <c r="P287" s="263"/>
      <c r="Q287" s="263"/>
      <c r="R287" s="263"/>
      <c r="S287" s="263"/>
      <c r="T287" s="263"/>
      <c r="U287" s="246"/>
      <c r="V287" s="246"/>
      <c r="W287" s="246"/>
      <c r="X287" s="246"/>
      <c r="Y287" s="246"/>
      <c r="Z287" s="246"/>
    </row>
    <row r="288">
      <c r="A288" s="263"/>
      <c r="B288" s="265" t="str">
        <f>IFERROR(__xludf.DUMMYFUNCTION("""COMPUTED_VALUE"""),"Fae Knight Style: Gadfly")</f>
        <v>Fae Knight Style: Gadfly</v>
      </c>
      <c r="C288" s="263"/>
      <c r="D288" s="264" t="str">
        <f>IFERROR(__xludf.DUMMYFUNCTION("""COMPUTED_VALUE"""),"")</f>
        <v/>
      </c>
      <c r="E288" s="264" t="str">
        <f>IFERROR(__xludf.DUMMYFUNCTION("""COMPUTED_VALUE"""),"90ft")</f>
        <v>90ft</v>
      </c>
      <c r="F288" s="266" t="str">
        <f>IFERROR(__xludf.DUMMYFUNCTION("""COMPUTED_VALUE"""),"Sends a Fluttering Blade to harass the target within 90ft of you, making a light attack against them.
The Fluttering Blade then occupies the same space as the target and follows them throughout all movement, including teleportation.
Gadfly makes an attack"&amp;" of opportunity every time the target attacks a target besides Gadfly. You can upgrade this attack of opportunity to a heavy attack for 1 RP or 1 Mana.")</f>
        <v>Sends a Fluttering Blade to harass the target within 90ft of you, making a light attack against them.
The Fluttering Blade then occupies the same space as the target and follows them throughout all movement, including teleportation.
Gadfly makes an attack of opportunity every time the target attacks a target besides Gadfly. You can upgrade this attack of opportunity to a heavy attack for 1 RP or 1 Mana.</v>
      </c>
      <c r="G288" s="263" t="str">
        <f>IFERROR(__xludf.DUMMYFUNCTION("""COMPUTED_VALUE"""),"Fluttering Blade Active")</f>
        <v>Fluttering Blade Active</v>
      </c>
      <c r="H288" s="265" t="str">
        <f>IFERROR(__xludf.DUMMYFUNCTION("""COMPUTED_VALUE"""),"2 AP")</f>
        <v>2 AP</v>
      </c>
      <c r="I288" s="264" t="str">
        <f>IFERROR(__xludf.DUMMYFUNCTION("""COMPUTED_VALUE"""),"2 AP")</f>
        <v>2 AP</v>
      </c>
      <c r="J288" s="263" t="str">
        <f>IFERROR(__xludf.DUMMYFUNCTION("""COMPUTED_VALUE"""),"")</f>
        <v/>
      </c>
      <c r="K288" s="263" t="str">
        <f>IFERROR(__xludf.DUMMYFUNCTION("""COMPUTED_VALUE"""),"")</f>
        <v/>
      </c>
      <c r="L288" s="263" t="str">
        <f>IFERROR(__xludf.DUMMYFUNCTION("""COMPUTED_VALUE"""),"")</f>
        <v/>
      </c>
      <c r="M288" s="263"/>
      <c r="N288" s="263"/>
      <c r="O288" s="263"/>
      <c r="P288" s="263"/>
      <c r="Q288" s="263"/>
      <c r="R288" s="263"/>
      <c r="S288" s="263"/>
      <c r="T288" s="263"/>
      <c r="U288" s="246"/>
      <c r="V288" s="246"/>
      <c r="W288" s="246"/>
      <c r="X288" s="246"/>
      <c r="Y288" s="246"/>
      <c r="Z288" s="246"/>
    </row>
    <row r="289">
      <c r="A289" s="263"/>
      <c r="B289" s="265" t="str">
        <f>IFERROR(__xludf.DUMMYFUNCTION("""COMPUTED_VALUE"""),"Fae Knight Style: Megasoma")</f>
        <v>Fae Knight Style: Megasoma</v>
      </c>
      <c r="C289" s="263"/>
      <c r="D289" s="264" t="str">
        <f>IFERROR(__xludf.DUMMYFUNCTION("""COMPUTED_VALUE"""),"Rapid")</f>
        <v>Rapid</v>
      </c>
      <c r="E289" s="264" t="str">
        <f>IFERROR(__xludf.DUMMYFUNCTION("""COMPUTED_VALUE"""),"30ft")</f>
        <v>30ft</v>
      </c>
      <c r="F289" s="266" t="str">
        <f>IFERROR(__xludf.DUMMYFUNCTION("""COMPUTED_VALUE"""),"You direct a Heavy Spin Fluttering Blade at a target within 30ft of you, making a Heavy attack and cancelling Fluttering Blade on that weapon afterwards.
Cannot be used on a Fluttering Blade that was created this turn.")</f>
        <v>You direct a Heavy Spin Fluttering Blade at a target within 30ft of you, making a Heavy attack and cancelling Fluttering Blade on that weapon afterwards.
Cannot be used on a Fluttering Blade that was created this turn.</v>
      </c>
      <c r="G289" s="264" t="str">
        <f>IFERROR(__xludf.DUMMYFUNCTION("""COMPUTED_VALUE"""),"Heavy Spin Fluttering Blade active from last turn")</f>
        <v>Heavy Spin Fluttering Blade active from last turn</v>
      </c>
      <c r="H289" s="265" t="str">
        <f>IFERROR(__xludf.DUMMYFUNCTION("""COMPUTED_VALUE"""),"0 RP")</f>
        <v>0 RP</v>
      </c>
      <c r="I289" s="264" t="str">
        <f>IFERROR(__xludf.DUMMYFUNCTION("""COMPUTED_VALUE"""),"")</f>
        <v/>
      </c>
      <c r="J289" s="264" t="str">
        <f>IFERROR(__xludf.DUMMYFUNCTION("""COMPUTED_VALUE"""),"")</f>
        <v/>
      </c>
      <c r="K289" s="263" t="str">
        <f>IFERROR(__xludf.DUMMYFUNCTION("""COMPUTED_VALUE"""),"0 RP")</f>
        <v>0 RP</v>
      </c>
      <c r="L289" s="263" t="str">
        <f>IFERROR(__xludf.DUMMYFUNCTION("""COMPUTED_VALUE"""),"")</f>
        <v/>
      </c>
      <c r="M289" s="263"/>
      <c r="N289" s="263"/>
      <c r="O289" s="263"/>
      <c r="P289" s="263"/>
      <c r="Q289" s="263"/>
      <c r="R289" s="263"/>
      <c r="S289" s="263"/>
      <c r="T289" s="263"/>
      <c r="U289" s="246"/>
      <c r="V289" s="246"/>
      <c r="W289" s="246"/>
      <c r="X289" s="246"/>
      <c r="Y289" s="246"/>
      <c r="Z289" s="246"/>
    </row>
    <row r="290">
      <c r="A290" s="263"/>
      <c r="B290" s="265" t="str">
        <f>IFERROR(__xludf.DUMMYFUNCTION("""COMPUTED_VALUE"""),"Fae Knight Style: Oak Stance")</f>
        <v>Fae Knight Style: Oak Stance</v>
      </c>
      <c r="C290" s="263"/>
      <c r="D290" s="264" t="str">
        <f>IFERROR(__xludf.DUMMYFUNCTION("""COMPUTED_VALUE"""),"Quick, Stance")</f>
        <v>Quick, Stance</v>
      </c>
      <c r="E290" s="264" t="str">
        <f>IFERROR(__xludf.DUMMYFUNCTION("""COMPUTED_VALUE"""),"Self")</f>
        <v>Self</v>
      </c>
      <c r="F290" s="266" t="str">
        <f>IFERROR(__xludf.DUMMYFUNCTION("""COMPUTED_VALUE"""),"You enter Fae Knight Style: Oak Stance. Weapons with Fluttering Blade can move up to 20ft as a part of an attack.
Your Fluttering Blade does not provoke attacks of opportunity.")</f>
        <v>You enter Fae Knight Style: Oak Stance. Weapons with Fluttering Blade can move up to 20ft as a part of an attack.
Your Fluttering Blade does not provoke attacks of opportunity.</v>
      </c>
      <c r="G290" s="264" t="str">
        <f>IFERROR(__xludf.DUMMYFUNCTION("""COMPUTED_VALUE"""),"")</f>
        <v/>
      </c>
      <c r="H290" s="265" t="str">
        <f>IFERROR(__xludf.DUMMYFUNCTION("""COMPUTED_VALUE"""),"0 AP")</f>
        <v>0 AP</v>
      </c>
      <c r="I290" s="264" t="str">
        <f>IFERROR(__xludf.DUMMYFUNCTION("""COMPUTED_VALUE"""),"0 AP")</f>
        <v>0 AP</v>
      </c>
      <c r="J290" s="263" t="str">
        <f>IFERROR(__xludf.DUMMYFUNCTION("""COMPUTED_VALUE"""),"")</f>
        <v/>
      </c>
      <c r="K290" s="263" t="str">
        <f>IFERROR(__xludf.DUMMYFUNCTION("""COMPUTED_VALUE"""),"")</f>
        <v/>
      </c>
      <c r="L290" s="263" t="str">
        <f>IFERROR(__xludf.DUMMYFUNCTION("""COMPUTED_VALUE"""),"")</f>
        <v/>
      </c>
      <c r="M290" s="263"/>
      <c r="N290" s="263"/>
      <c r="O290" s="263"/>
      <c r="P290" s="263"/>
      <c r="Q290" s="263"/>
      <c r="R290" s="263"/>
      <c r="S290" s="263"/>
      <c r="T290" s="263"/>
      <c r="U290" s="246"/>
      <c r="V290" s="246"/>
      <c r="W290" s="246"/>
      <c r="X290" s="246"/>
      <c r="Y290" s="246"/>
      <c r="Z290" s="246"/>
    </row>
    <row r="291">
      <c r="A291" s="263"/>
      <c r="B291" s="265" t="str">
        <f>IFERROR(__xludf.DUMMYFUNCTION("""COMPUTED_VALUE"""),"Fae Knight Style: Petal Swirl Flash")</f>
        <v>Fae Knight Style: Petal Swirl Flash</v>
      </c>
      <c r="C291" s="263"/>
      <c r="D291" s="264" t="str">
        <f>IFERROR(__xludf.DUMMYFUNCTION("""COMPUTED_VALUE"""),"Teleport")</f>
        <v>Teleport</v>
      </c>
      <c r="E291" s="264" t="str">
        <f>IFERROR(__xludf.DUMMYFUNCTION("""COMPUTED_VALUE"""),"20ft")</f>
        <v>20ft</v>
      </c>
      <c r="F291" s="266" t="str">
        <f>IFERROR(__xludf.DUMMYFUNCTION("""COMPUTED_VALUE"""),"You teleport to an enemy within range.
Make a melee Light (1 AP), Heavy (2 AP) or Precise attack (2 AP) against that enemy. Afterwards, you regain the use of your Faerie Flash allowing you to use it again this encounter.")</f>
        <v>You teleport to an enemy within range.
Make a melee Light (1 AP), Heavy (2 AP) or Precise attack (2 AP) against that enemy. Afterwards, you regain the use of your Faerie Flash allowing you to use it again this encounter.</v>
      </c>
      <c r="G291" s="263" t="str">
        <f>IFERROR(__xludf.DUMMYFUNCTION("""COMPUTED_VALUE"""),"")</f>
        <v/>
      </c>
      <c r="H291" s="265" t="str">
        <f>IFERROR(__xludf.DUMMYFUNCTION("""COMPUTED_VALUE"""),"X AP, 1 MP")</f>
        <v>X AP, 1 MP</v>
      </c>
      <c r="I291" s="264" t="str">
        <f>IFERROR(__xludf.DUMMYFUNCTION("""COMPUTED_VALUE"""),"X AP")</f>
        <v>X AP</v>
      </c>
      <c r="J291" s="264" t="str">
        <f>IFERROR(__xludf.DUMMYFUNCTION("""COMPUTED_VALUE"""),"1 MP")</f>
        <v>1 MP</v>
      </c>
      <c r="K291" s="263" t="str">
        <f>IFERROR(__xludf.DUMMYFUNCTION("""COMPUTED_VALUE"""),"")</f>
        <v/>
      </c>
      <c r="L291" s="263" t="str">
        <f>IFERROR(__xludf.DUMMYFUNCTION("""COMPUTED_VALUE"""),"")</f>
        <v/>
      </c>
      <c r="M291" s="263"/>
      <c r="N291" s="263"/>
      <c r="O291" s="263"/>
      <c r="P291" s="263"/>
      <c r="Q291" s="263"/>
      <c r="R291" s="263"/>
      <c r="S291" s="263"/>
      <c r="T291" s="263"/>
      <c r="U291" s="246"/>
      <c r="V291" s="246"/>
      <c r="W291" s="246"/>
      <c r="X291" s="246"/>
      <c r="Y291" s="246"/>
      <c r="Z291" s="246"/>
    </row>
    <row r="292">
      <c r="A292" s="263"/>
      <c r="B292" s="265" t="str">
        <f>IFERROR(__xludf.DUMMYFUNCTION("""COMPUTED_VALUE"""),"Fae Knight Style: Second Plague")</f>
        <v>Fae Knight Style: Second Plague</v>
      </c>
      <c r="C292" s="263"/>
      <c r="D292" s="264" t="str">
        <f>IFERROR(__xludf.DUMMYFUNCTION("""COMPUTED_VALUE"""),"Combo")</f>
        <v>Combo</v>
      </c>
      <c r="E292" s="264" t="str">
        <f>IFERROR(__xludf.DUMMYFUNCTION("""COMPUTED_VALUE"""),"720ft")</f>
        <v>720ft</v>
      </c>
      <c r="F292" s="266" t="str">
        <f>IFERROR(__xludf.DUMMYFUNCTION("""COMPUTED_VALUE"""),"Your Fluttering Blade returns to your hand in the fastest possible path (typically a straight line), it avoids obstacles in the most direct way possible. Make a light attack that affects every target that the blade passes through. Deactivates Fluttering B"&amp;"lade when it returns to you.
Combo: If used after Devouring Locust, reduce the AP cost by 1.")</f>
        <v>Your Fluttering Blade returns to your hand in the fastest possible path (typically a straight line), it avoids obstacles in the most direct way possible. Make a light attack that affects every target that the blade passes through. Deactivates Fluttering Blade when it returns to you.
Combo: If used after Devouring Locust, reduce the AP cost by 1.</v>
      </c>
      <c r="G292" s="264" t="str">
        <f>IFERROR(__xludf.DUMMYFUNCTION("""COMPUTED_VALUE"""),"An active Fluttering Blade within range and in Oak Stance. Must have a hand available to catch the weapon.")</f>
        <v>An active Fluttering Blade within range and in Oak Stance. Must have a hand available to catch the weapon.</v>
      </c>
      <c r="H292" s="265" t="str">
        <f>IFERROR(__xludf.DUMMYFUNCTION("""COMPUTED_VALUE"""),"2 AP")</f>
        <v>2 AP</v>
      </c>
      <c r="I292" s="264" t="str">
        <f>IFERROR(__xludf.DUMMYFUNCTION("""COMPUTED_VALUE"""),"2 AP")</f>
        <v>2 AP</v>
      </c>
      <c r="J292" s="264" t="str">
        <f>IFERROR(__xludf.DUMMYFUNCTION("""COMPUTED_VALUE"""),"")</f>
        <v/>
      </c>
      <c r="K292" s="263" t="str">
        <f>IFERROR(__xludf.DUMMYFUNCTION("""COMPUTED_VALUE"""),"")</f>
        <v/>
      </c>
      <c r="L292" s="263" t="str">
        <f>IFERROR(__xludf.DUMMYFUNCTION("""COMPUTED_VALUE"""),"")</f>
        <v/>
      </c>
      <c r="M292" s="263"/>
      <c r="N292" s="263"/>
      <c r="O292" s="263"/>
      <c r="P292" s="263"/>
      <c r="Q292" s="263"/>
      <c r="R292" s="263"/>
      <c r="S292" s="263"/>
      <c r="T292" s="263"/>
      <c r="U292" s="246"/>
      <c r="V292" s="246"/>
      <c r="W292" s="246"/>
      <c r="X292" s="246"/>
      <c r="Y292" s="246"/>
      <c r="Z292" s="246"/>
    </row>
    <row r="293">
      <c r="A293" s="263"/>
      <c r="B293" s="265" t="str">
        <f>IFERROR(__xludf.DUMMYFUNCTION("""COMPUTED_VALUE"""),"Fae Knight Style: Willow Stance")</f>
        <v>Fae Knight Style: Willow Stance</v>
      </c>
      <c r="C293" s="263"/>
      <c r="D293" s="264" t="str">
        <f>IFERROR(__xludf.DUMMYFUNCTION("""COMPUTED_VALUE"""),"Quick, Stance")</f>
        <v>Quick, Stance</v>
      </c>
      <c r="E293" s="264" t="str">
        <f>IFERROR(__xludf.DUMMYFUNCTION("""COMPUTED_VALUE"""),"Self")</f>
        <v>Self</v>
      </c>
      <c r="F293" s="266" t="str">
        <f>IFERROR(__xludf.DUMMYFUNCTION("""COMPUTED_VALUE"""),"You enter Fae Knight Style: Willow Stance. Increasing your Fluttering Blade Limit to 2. Shields can be used as Fluttering Blades while in Willow Stance.
For 1 mana, all Fluttering Blades created in Willow Stance this turn can be enhanced with Heavy Spin, "&amp;"allowing them to be used for some Willow abilities but they no longer gain your focus as extra evasion.  Heavy Spin blades also deal 5d6 upgraded heavy attack damage, even if they were originally a one-handed weapon.")</f>
        <v>You enter Fae Knight Style: Willow Stance. Increasing your Fluttering Blade Limit to 2. Shields can be used as Fluttering Blades while in Willow Stance.
For 1 mana, all Fluttering Blades created in Willow Stance this turn can be enhanced with Heavy Spin, allowing them to be used for some Willow abilities but they no longer gain your focus as extra evasion.  Heavy Spin blades also deal 5d6 upgraded heavy attack damage, even if they were originally a one-handed weapon.</v>
      </c>
      <c r="G293" s="264" t="str">
        <f>IFERROR(__xludf.DUMMYFUNCTION("""COMPUTED_VALUE"""),"")</f>
        <v/>
      </c>
      <c r="H293" s="265" t="str">
        <f>IFERROR(__xludf.DUMMYFUNCTION("""COMPUTED_VALUE"""),"0 AP")</f>
        <v>0 AP</v>
      </c>
      <c r="I293" s="264" t="str">
        <f>IFERROR(__xludf.DUMMYFUNCTION("""COMPUTED_VALUE"""),"0 AP")</f>
        <v>0 AP</v>
      </c>
      <c r="J293" s="263" t="str">
        <f>IFERROR(__xludf.DUMMYFUNCTION("""COMPUTED_VALUE"""),"")</f>
        <v/>
      </c>
      <c r="K293" s="263" t="str">
        <f>IFERROR(__xludf.DUMMYFUNCTION("""COMPUTED_VALUE"""),"")</f>
        <v/>
      </c>
      <c r="L293" s="263" t="str">
        <f>IFERROR(__xludf.DUMMYFUNCTION("""COMPUTED_VALUE"""),"")</f>
        <v/>
      </c>
      <c r="M293" s="263"/>
      <c r="N293" s="263"/>
      <c r="O293" s="263"/>
      <c r="P293" s="263"/>
      <c r="Q293" s="263"/>
      <c r="R293" s="263"/>
      <c r="S293" s="263"/>
      <c r="T293" s="263"/>
      <c r="U293" s="246"/>
      <c r="V293" s="246"/>
      <c r="W293" s="246"/>
      <c r="X293" s="246"/>
      <c r="Y293" s="246"/>
      <c r="Z293" s="246"/>
    </row>
    <row r="294">
      <c r="A294" s="263"/>
      <c r="B294" s="265" t="str">
        <f>IFERROR(__xludf.DUMMYFUNCTION("""COMPUTED_VALUE"""),"Faerie Eyes: Calling")</f>
        <v>Faerie Eyes: Calling</v>
      </c>
      <c r="C294" s="263"/>
      <c r="D294" s="263" t="str">
        <f>IFERROR(__xludf.DUMMYFUNCTION("""COMPUTED_VALUE"""),"Charm, Illusion")</f>
        <v>Charm, Illusion</v>
      </c>
      <c r="E294" s="263" t="str">
        <f>IFERROR(__xludf.DUMMYFUNCTION("""COMPUTED_VALUE"""),"30ft")</f>
        <v>30ft</v>
      </c>
      <c r="F294" s="266" t="str">
        <f>IFERROR(__xludf.DUMMYFUNCTION("""COMPUTED_VALUE"""),"You activate your Faerie Eyes, charming a target to move their Speed towards you. If your Focus is higher than the target’s the target moves up to its speed towards you. The target immediately stops their movement if they are going to take damage from fur"&amp;"ther movement. Against Grunts, this attack always hits regardless of Focus, costs 0 mana, and the target will continue to move even if it will take damage.")</f>
        <v>You activate your Faerie Eyes, charming a target to move their Speed towards you. If your Focus is higher than the target’s the target moves up to its speed towards you. The target immediately stops their movement if they are going to take damage from further movement. Against Grunts, this attack always hits regardless of Focus, costs 0 mana, and the target will continue to move even if it will take damage.</v>
      </c>
      <c r="G294" s="264" t="str">
        <f>IFERROR(__xludf.DUMMYFUNCTION("""COMPUTED_VALUE"""),"")</f>
        <v/>
      </c>
      <c r="H294" s="267" t="str">
        <f>IFERROR(__xludf.DUMMYFUNCTION("""COMPUTED_VALUE"""),"1 AP, 1 MP")</f>
        <v>1 AP, 1 MP</v>
      </c>
      <c r="I294" s="263" t="str">
        <f>IFERROR(__xludf.DUMMYFUNCTION("""COMPUTED_VALUE"""),"1 AP")</f>
        <v>1 AP</v>
      </c>
      <c r="J294" s="263" t="str">
        <f>IFERROR(__xludf.DUMMYFUNCTION("""COMPUTED_VALUE"""),"1 MP")</f>
        <v>1 MP</v>
      </c>
      <c r="K294" s="263" t="str">
        <f>IFERROR(__xludf.DUMMYFUNCTION("""COMPUTED_VALUE"""),"")</f>
        <v/>
      </c>
      <c r="L294" s="263" t="str">
        <f>IFERROR(__xludf.DUMMYFUNCTION("""COMPUTED_VALUE"""),"")</f>
        <v/>
      </c>
      <c r="M294" s="263"/>
      <c r="N294" s="263"/>
      <c r="O294" s="263"/>
      <c r="P294" s="263"/>
      <c r="Q294" s="263"/>
      <c r="R294" s="263"/>
      <c r="S294" s="263"/>
      <c r="T294" s="263"/>
      <c r="U294" s="246"/>
      <c r="V294" s="246"/>
      <c r="W294" s="246"/>
      <c r="X294" s="246"/>
      <c r="Y294" s="246"/>
      <c r="Z294" s="246"/>
    </row>
    <row r="295">
      <c r="A295" s="263"/>
      <c r="B295" s="265" t="str">
        <f>IFERROR(__xludf.DUMMYFUNCTION("""COMPUTED_VALUE"""),"Faerie Flash")</f>
        <v>Faerie Flash</v>
      </c>
      <c r="C295" s="263"/>
      <c r="D295" s="263" t="str">
        <f>IFERROR(__xludf.DUMMYFUNCTION("""COMPUTED_VALUE"""),"Teleport, Rage")</f>
        <v>Teleport, Rage</v>
      </c>
      <c r="E295" s="264" t="str">
        <f>IFERROR(__xludf.DUMMYFUNCTION("""COMPUTED_VALUE"""),"'-")</f>
        <v>'-</v>
      </c>
      <c r="F295" s="266" t="str">
        <f>IFERROR(__xludf.DUMMYFUNCTION("""COMPUTED_VALUE"""),"You Teleport up to twice your Speed to an unoccupied space that you can see. Can only be used once per encounter.")</f>
        <v>You Teleport up to twice your Speed to an unoccupied space that you can see. Can only be used once per encounter.</v>
      </c>
      <c r="G295" s="264" t="str">
        <f>IFERROR(__xludf.DUMMYFUNCTION("""COMPUTED_VALUE"""),"")</f>
        <v/>
      </c>
      <c r="H295" s="265" t="str">
        <f>IFERROR(__xludf.DUMMYFUNCTION("""COMPUTED_VALUE"""),"1 AP, 1 MP")</f>
        <v>1 AP, 1 MP</v>
      </c>
      <c r="I295" s="263" t="str">
        <f>IFERROR(__xludf.DUMMYFUNCTION("""COMPUTED_VALUE"""),"1 AP")</f>
        <v>1 AP</v>
      </c>
      <c r="J295" s="264" t="str">
        <f>IFERROR(__xludf.DUMMYFUNCTION("""COMPUTED_VALUE"""),"1 MP")</f>
        <v>1 MP</v>
      </c>
      <c r="K295" s="264" t="str">
        <f>IFERROR(__xludf.DUMMYFUNCTION("""COMPUTED_VALUE"""),"")</f>
        <v/>
      </c>
      <c r="L295" s="263" t="str">
        <f>IFERROR(__xludf.DUMMYFUNCTION("""COMPUTED_VALUE"""),"")</f>
        <v/>
      </c>
      <c r="M295" s="263"/>
      <c r="N295" s="263"/>
      <c r="O295" s="263"/>
      <c r="P295" s="263"/>
      <c r="Q295" s="263"/>
      <c r="R295" s="263"/>
      <c r="S295" s="263"/>
      <c r="T295" s="263"/>
      <c r="U295" s="246"/>
      <c r="V295" s="246"/>
      <c r="W295" s="246"/>
      <c r="X295" s="246"/>
      <c r="Y295" s="246"/>
      <c r="Z295" s="246"/>
    </row>
    <row r="296">
      <c r="A296" s="263"/>
      <c r="B296" s="265" t="str">
        <f>IFERROR(__xludf.DUMMYFUNCTION("""COMPUTED_VALUE"""),"Faerie Flash II")</f>
        <v>Faerie Flash II</v>
      </c>
      <c r="C296" s="263"/>
      <c r="D296" s="263" t="str">
        <f>IFERROR(__xludf.DUMMYFUNCTION("""COMPUTED_VALUE"""),"Teleport")</f>
        <v>Teleport</v>
      </c>
      <c r="E296" s="264" t="str">
        <f>IFERROR(__xludf.DUMMYFUNCTION("""COMPUTED_VALUE"""),"'-")</f>
        <v>'-</v>
      </c>
      <c r="F296" s="266" t="str">
        <f>IFERROR(__xludf.DUMMYFUNCTION("""COMPUTED_VALUE"""),"You Teleport up to twice your Speed to an unoccupied space that you can see.
If you gain an effect that would lets you regain the use of Faerie Flash and you use Faerie Flash II that turn, instead reduce the mana cost of this ability by 1 (to a minimum of"&amp;" 0).")</f>
        <v>You Teleport up to twice your Speed to an unoccupied space that you can see.
If you gain an effect that would lets you regain the use of Faerie Flash and you use Faerie Flash II that turn, instead reduce the mana cost of this ability by 1 (to a minimum of 0).</v>
      </c>
      <c r="G296" s="264" t="str">
        <f>IFERROR(__xludf.DUMMYFUNCTION("""COMPUTED_VALUE"""),"")</f>
        <v/>
      </c>
      <c r="H296" s="265" t="str">
        <f>IFERROR(__xludf.DUMMYFUNCTION("""COMPUTED_VALUE"""),"1 AP, 1 MP")</f>
        <v>1 AP, 1 MP</v>
      </c>
      <c r="I296" s="264" t="str">
        <f>IFERROR(__xludf.DUMMYFUNCTION("""COMPUTED_VALUE"""),"1 AP")</f>
        <v>1 AP</v>
      </c>
      <c r="J296" s="263" t="str">
        <f>IFERROR(__xludf.DUMMYFUNCTION("""COMPUTED_VALUE"""),"1 MP")</f>
        <v>1 MP</v>
      </c>
      <c r="K296" s="263" t="str">
        <f>IFERROR(__xludf.DUMMYFUNCTION("""COMPUTED_VALUE"""),"")</f>
        <v/>
      </c>
      <c r="L296" s="263" t="str">
        <f>IFERROR(__xludf.DUMMYFUNCTION("""COMPUTED_VALUE"""),"")</f>
        <v/>
      </c>
      <c r="M296" s="263"/>
      <c r="N296" s="263"/>
      <c r="O296" s="263"/>
      <c r="P296" s="263"/>
      <c r="Q296" s="263"/>
      <c r="R296" s="263"/>
      <c r="S296" s="263"/>
      <c r="T296" s="263"/>
      <c r="U296" s="246"/>
      <c r="V296" s="246"/>
      <c r="W296" s="246"/>
      <c r="X296" s="246"/>
      <c r="Y296" s="246"/>
      <c r="Z296" s="246"/>
    </row>
    <row r="297">
      <c r="A297" s="263"/>
      <c r="B297" s="265" t="str">
        <f>IFERROR(__xludf.DUMMYFUNCTION("""COMPUTED_VALUE"""),"Faerie Light Eyes: Empty")</f>
        <v>Faerie Light Eyes: Empty</v>
      </c>
      <c r="C297" s="263"/>
      <c r="D297" s="263" t="str">
        <f>IFERROR(__xludf.DUMMYFUNCTION("""COMPUTED_VALUE"""),"Concentration, Mind Affecting, Illusion, Mystic Eye")</f>
        <v>Concentration, Mind Affecting, Illusion, Mystic Eye</v>
      </c>
      <c r="E297" s="263" t="str">
        <f>IFERROR(__xludf.DUMMYFUNCTION("""COMPUTED_VALUE"""),"60ft")</f>
        <v>60ft</v>
      </c>
      <c r="F297" s="266" t="str">
        <f>IFERROR(__xludf.DUMMYFUNCTION("""COMPUTED_VALUE"""),"You lock eyes with an enemy, casting an illusion onto the target’s mind. Name an ability that the target had previously used in the current encounter. The target forgets the target ability, being unable to use it completely while the Illusion is in effect"&amp;". This ability cannot target Secret Arts, Climax Arts or Esoteric Arts. Only one target may be under the effect of this illusion at a time. If the target is non-heroic and under the effect of Faerie Light Eyes: Hold Person, instead the target immediately "&amp;"is rendered insane permanently. An insane target takes no further combat actions.
If used on a grunt under the effects of Hold Person, they do not need to meet the normal requirements for this ability.
Does not work against Boss type enemies. Some abiliti"&amp;"es such as those granted by items, passives or racial abilities (such as flight) also cannot be removed by this ability (GM's discretion).")</f>
        <v>You lock eyes with an enemy, casting an illusion onto the target’s mind. Name an ability that the target had previously used in the current encounter. The target forgets the target ability, being unable to use it completely while the Illusion is in effect. This ability cannot target Secret Arts, Climax Arts or Esoteric Arts. Only one target may be under the effect of this illusion at a time. If the target is non-heroic and under the effect of Faerie Light Eyes: Hold Person, instead the target immediately is rendered insane permanently. An insane target takes no further combat actions.
If used on a grunt under the effects of Hold Person, they do not need to meet the normal requirements for this ability.
Does not work against Boss type enemies. Some abilities such as those granted by items, passives or racial abilities (such as flight) also cannot be removed by this ability (GM's discretion).</v>
      </c>
      <c r="G297" s="263" t="str">
        <f>IFERROR(__xludf.DUMMYFUNCTION("""COMPUTED_VALUE"""),"Enemy has used the target ability")</f>
        <v>Enemy has used the target ability</v>
      </c>
      <c r="H297" s="267" t="str">
        <f>IFERROR(__xludf.DUMMYFUNCTION("""COMPUTED_VALUE"""),"2 AP")</f>
        <v>2 AP</v>
      </c>
      <c r="I297" s="263" t="str">
        <f>IFERROR(__xludf.DUMMYFUNCTION("""COMPUTED_VALUE"""),"2 AP")</f>
        <v>2 AP</v>
      </c>
      <c r="J297" s="263" t="str">
        <f>IFERROR(__xludf.DUMMYFUNCTION("""COMPUTED_VALUE"""),"")</f>
        <v/>
      </c>
      <c r="K297" s="263" t="str">
        <f>IFERROR(__xludf.DUMMYFUNCTION("""COMPUTED_VALUE"""),"")</f>
        <v/>
      </c>
      <c r="L297" s="263" t="str">
        <f>IFERROR(__xludf.DUMMYFUNCTION("""COMPUTED_VALUE"""),"")</f>
        <v/>
      </c>
      <c r="M297" s="263"/>
      <c r="N297" s="263"/>
      <c r="O297" s="263"/>
      <c r="P297" s="263"/>
      <c r="Q297" s="263"/>
      <c r="R297" s="263"/>
      <c r="S297" s="263"/>
      <c r="T297" s="263"/>
      <c r="U297" s="246"/>
      <c r="V297" s="246"/>
      <c r="W297" s="246"/>
      <c r="X297" s="246"/>
      <c r="Y297" s="246"/>
      <c r="Z297" s="246"/>
    </row>
    <row r="298">
      <c r="A298" s="263"/>
      <c r="B298" s="265" t="str">
        <f>IFERROR(__xludf.DUMMYFUNCTION("""COMPUTED_VALUE"""),"Faerie Light Eyes: Golden Illusion")</f>
        <v>Faerie Light Eyes: Golden Illusion</v>
      </c>
      <c r="C298" s="263"/>
      <c r="D298" s="264" t="str">
        <f>IFERROR(__xludf.DUMMYFUNCTION("""COMPUTED_VALUE"""),"Illusion, Mind Affecting, Mystic Eye")</f>
        <v>Illusion, Mind Affecting, Mystic Eye</v>
      </c>
      <c r="E298" s="264" t="str">
        <f>IFERROR(__xludf.DUMMYFUNCTION("""COMPUTED_VALUE"""),"Self")</f>
        <v>Self</v>
      </c>
      <c r="F298" s="266" t="str">
        <f>IFERROR(__xludf.DUMMYFUNCTION("""COMPUTED_VALUE"""),"You copy the target’s ability that was forgotten and add it to your abilities until the end of the encounter. You must still fulfill all requirements to use this skill. This ability is generated from illusions and gains the keyword, Illusion. You can only"&amp;" have one Golden Illusion ability at a time.
If the target stops being affected by Empty, you lose your Golden Illusion ability.")</f>
        <v>You copy the target’s ability that was forgotten and add it to your abilities until the end of the encounter. You must still fulfill all requirements to use this skill. This ability is generated from illusions and gains the keyword, Illusion. You can only have one Golden Illusion ability at a time.
If the target stops being affected by Empty, you lose your Golden Illusion ability.</v>
      </c>
      <c r="G298" s="263" t="str">
        <f>IFERROR(__xludf.DUMMYFUNCTION("""COMPUTED_VALUE"""),"A target is affected by Faerie Light Eyes: Empty.")</f>
        <v>A target is affected by Faerie Light Eyes: Empty.</v>
      </c>
      <c r="H298" s="265" t="str">
        <f>IFERROR(__xludf.DUMMYFUNCTION("""COMPUTED_VALUE"""),"0 RP")</f>
        <v>0 RP</v>
      </c>
      <c r="I298" s="264" t="str">
        <f>IFERROR(__xludf.DUMMYFUNCTION("""COMPUTED_VALUE"""),"")</f>
        <v/>
      </c>
      <c r="J298" s="263" t="str">
        <f>IFERROR(__xludf.DUMMYFUNCTION("""COMPUTED_VALUE"""),"")</f>
        <v/>
      </c>
      <c r="K298" s="263" t="str">
        <f>IFERROR(__xludf.DUMMYFUNCTION("""COMPUTED_VALUE"""),"0 RP")</f>
        <v>0 RP</v>
      </c>
      <c r="L298" s="263" t="str">
        <f>IFERROR(__xludf.DUMMYFUNCTION("""COMPUTED_VALUE"""),"")</f>
        <v/>
      </c>
      <c r="M298" s="263"/>
      <c r="N298" s="263"/>
      <c r="O298" s="263"/>
      <c r="P298" s="263"/>
      <c r="Q298" s="263"/>
      <c r="R298" s="263"/>
      <c r="S298" s="263"/>
      <c r="T298" s="263"/>
      <c r="U298" s="246"/>
      <c r="V298" s="246"/>
      <c r="W298" s="246"/>
      <c r="X298" s="246"/>
      <c r="Y298" s="246"/>
      <c r="Z298" s="246"/>
    </row>
    <row r="299">
      <c r="A299" s="263"/>
      <c r="B299" s="265" t="str">
        <f>IFERROR(__xludf.DUMMYFUNCTION("""COMPUTED_VALUE"""),"Faerie Light Eyes: Hold Person")</f>
        <v>Faerie Light Eyes: Hold Person</v>
      </c>
      <c r="C299" s="263"/>
      <c r="D299" s="263" t="str">
        <f>IFERROR(__xludf.DUMMYFUNCTION("""COMPUTED_VALUE"""),"Illusion, Mind Affecting, Stun, Mystic Eye")</f>
        <v>Illusion, Mind Affecting, Stun, Mystic Eye</v>
      </c>
      <c r="E299" s="264" t="str">
        <f>IFERROR(__xludf.DUMMYFUNCTION("""COMPUTED_VALUE"""),"60ft")</f>
        <v>60ft</v>
      </c>
      <c r="F299" s="266" t="str">
        <f>IFERROR(__xludf.DUMMYFUNCTION("""COMPUTED_VALUE"""),"You gaze into the target’s eyes and stun them for 1 turn, reducing their AP and RP to 0. While stunned, the target can also not take any actions.")</f>
        <v>You gaze into the target’s eyes and stun them for 1 turn, reducing their AP and RP to 0. While stunned, the target can also not take any actions.</v>
      </c>
      <c r="G299" s="264" t="str">
        <f>IFERROR(__xludf.DUMMYFUNCTION("""COMPUTED_VALUE"""),"Target must be a grunt and have eyes.")</f>
        <v>Target must be a grunt and have eyes.</v>
      </c>
      <c r="H299" s="265" t="str">
        <f>IFERROR(__xludf.DUMMYFUNCTION("""COMPUTED_VALUE"""),"1 MP, 1 RP")</f>
        <v>1 MP, 1 RP</v>
      </c>
      <c r="I299" s="263" t="str">
        <f>IFERROR(__xludf.DUMMYFUNCTION("""COMPUTED_VALUE"""),"")</f>
        <v/>
      </c>
      <c r="J299" s="264" t="str">
        <f>IFERROR(__xludf.DUMMYFUNCTION("""COMPUTED_VALUE"""),"1 MP")</f>
        <v>1 MP</v>
      </c>
      <c r="K299" s="264" t="str">
        <f>IFERROR(__xludf.DUMMYFUNCTION("""COMPUTED_VALUE"""),"1 RP")</f>
        <v>1 RP</v>
      </c>
      <c r="L299" s="263" t="str">
        <f>IFERROR(__xludf.DUMMYFUNCTION("""COMPUTED_VALUE"""),"")</f>
        <v/>
      </c>
      <c r="M299" s="263"/>
      <c r="N299" s="263"/>
      <c r="O299" s="263"/>
      <c r="P299" s="263"/>
      <c r="Q299" s="263"/>
      <c r="R299" s="263"/>
      <c r="S299" s="263"/>
      <c r="T299" s="263"/>
      <c r="U299" s="246"/>
      <c r="V299" s="246"/>
      <c r="W299" s="246"/>
      <c r="X299" s="246"/>
      <c r="Y299" s="246"/>
      <c r="Z299" s="246"/>
    </row>
    <row r="300">
      <c r="A300" s="263"/>
      <c r="B300" s="265" t="str">
        <f>IFERROR(__xludf.DUMMYFUNCTION("""COMPUTED_VALUE"""),"Faerie Light Eyes: Time Dilation")</f>
        <v>Faerie Light Eyes: Time Dilation</v>
      </c>
      <c r="C300" s="263"/>
      <c r="D300" s="263" t="str">
        <f>IFERROR(__xludf.DUMMYFUNCTION("""COMPUTED_VALUE"""),"Mystic Eye")</f>
        <v>Mystic Eye</v>
      </c>
      <c r="E300" s="264" t="str">
        <f>IFERROR(__xludf.DUMMYFUNCTION("""COMPUTED_VALUE"""),"Self")</f>
        <v>Self</v>
      </c>
      <c r="F300" s="266" t="str">
        <f>IFERROR(__xludf.DUMMYFUNCTION("""COMPUTED_VALUE"""),"Flooding your eyes with magic, you cast a self Illusion causes time slow down. You use the Dodge action with a Dodge bonus equal to 2X.")</f>
        <v>Flooding your eyes with magic, you cast a self Illusion causes time slow down. You use the Dodge action with a Dodge bonus equal to 2X.</v>
      </c>
      <c r="G300" s="264" t="str">
        <f>IFERROR(__xludf.DUMMYFUNCTION("""COMPUTED_VALUE"""),"You are the target of a single-target attack.")</f>
        <v>You are the target of a single-target attack.</v>
      </c>
      <c r="H300" s="265" t="str">
        <f>IFERROR(__xludf.DUMMYFUNCTION("""COMPUTED_VALUE"""),"X MP, 1 RP")</f>
        <v>X MP, 1 RP</v>
      </c>
      <c r="I300" s="263" t="str">
        <f>IFERROR(__xludf.DUMMYFUNCTION("""COMPUTED_VALUE"""),"")</f>
        <v/>
      </c>
      <c r="J300" s="264" t="str">
        <f>IFERROR(__xludf.DUMMYFUNCTION("""COMPUTED_VALUE"""),"X MP")</f>
        <v>X MP</v>
      </c>
      <c r="K300" s="264" t="str">
        <f>IFERROR(__xludf.DUMMYFUNCTION("""COMPUTED_VALUE"""),"1 RP")</f>
        <v>1 RP</v>
      </c>
      <c r="L300" s="263" t="str">
        <f>IFERROR(__xludf.DUMMYFUNCTION("""COMPUTED_VALUE"""),"")</f>
        <v/>
      </c>
      <c r="M300" s="263"/>
      <c r="N300" s="263"/>
      <c r="O300" s="263"/>
      <c r="P300" s="263"/>
      <c r="Q300" s="263"/>
      <c r="R300" s="263"/>
      <c r="S300" s="263"/>
      <c r="T300" s="263"/>
      <c r="U300" s="246"/>
      <c r="V300" s="246"/>
      <c r="W300" s="246"/>
      <c r="X300" s="246"/>
      <c r="Y300" s="246"/>
      <c r="Z300" s="246"/>
    </row>
    <row r="301">
      <c r="A301" s="263"/>
      <c r="B301" s="265" t="str">
        <f>IFERROR(__xludf.DUMMYFUNCTION("""COMPUTED_VALUE"""),"Faithful Shield")</f>
        <v>Faithful Shield</v>
      </c>
      <c r="C301" s="263"/>
      <c r="D301" s="263" t="str">
        <f>IFERROR(__xludf.DUMMYFUNCTION("""COMPUTED_VALUE"""),"Overcharge")</f>
        <v>Overcharge</v>
      </c>
      <c r="E301" s="263" t="str">
        <f>IFERROR(__xludf.DUMMYFUNCTION("""COMPUTED_VALUE"""),"Self")</f>
        <v>Self</v>
      </c>
      <c r="F301" s="266" t="str">
        <f>IFERROR(__xludf.DUMMYFUNCTION("""COMPUTED_VALUE"""),"You may use Shelter once at 0 RP cost if the target is your Soulmate. This effect lasts until the start of your next turn.
Overcharge: You may spend 4 AP on this ability to instead gain 2 free uses of Shelter.
These free uses ignore the normal limitation "&amp;"of using an ability only once per turn.")</f>
        <v>You may use Shelter once at 0 RP cost if the target is your Soulmate. This effect lasts until the start of your next turn.
Overcharge: You may spend 4 AP on this ability to instead gain 2 free uses of Shelter.
These free uses ignore the normal limitation of using an ability only once per turn.</v>
      </c>
      <c r="G301" s="263" t="str">
        <f>IFERROR(__xludf.DUMMYFUNCTION("""COMPUTED_VALUE"""),"")</f>
        <v/>
      </c>
      <c r="H301" s="267" t="str">
        <f>IFERROR(__xludf.DUMMYFUNCTION("""COMPUTED_VALUE"""),"2 AP")</f>
        <v>2 AP</v>
      </c>
      <c r="I301" s="263" t="str">
        <f>IFERROR(__xludf.DUMMYFUNCTION("""COMPUTED_VALUE"""),"2 AP")</f>
        <v>2 AP</v>
      </c>
      <c r="J301" s="263" t="str">
        <f>IFERROR(__xludf.DUMMYFUNCTION("""COMPUTED_VALUE"""),"")</f>
        <v/>
      </c>
      <c r="K301" s="263" t="str">
        <f>IFERROR(__xludf.DUMMYFUNCTION("""COMPUTED_VALUE"""),"")</f>
        <v/>
      </c>
      <c r="L301" s="263" t="str">
        <f>IFERROR(__xludf.DUMMYFUNCTION("""COMPUTED_VALUE"""),"")</f>
        <v/>
      </c>
      <c r="M301" s="263"/>
      <c r="N301" s="263"/>
      <c r="O301" s="263"/>
      <c r="P301" s="263"/>
      <c r="Q301" s="263"/>
      <c r="R301" s="263"/>
      <c r="S301" s="263"/>
      <c r="T301" s="263"/>
      <c r="U301" s="246"/>
      <c r="V301" s="246"/>
      <c r="W301" s="246"/>
      <c r="X301" s="246"/>
      <c r="Y301" s="246"/>
      <c r="Z301" s="246"/>
    </row>
    <row r="302">
      <c r="A302" s="263"/>
      <c r="B302" s="265" t="str">
        <f>IFERROR(__xludf.DUMMYFUNCTION("""COMPUTED_VALUE"""),"Fan of Knives")</f>
        <v>Fan of Knives</v>
      </c>
      <c r="C302" s="263"/>
      <c r="D302" s="264" t="str">
        <f>IFERROR(__xludf.DUMMYFUNCTION("""COMPUTED_VALUE"""),"Scatter")</f>
        <v>Scatter</v>
      </c>
      <c r="E302" s="264" t="str">
        <f>IFERROR(__xludf.DUMMYFUNCTION("""COMPUTED_VALUE"""),"20ft")</f>
        <v>20ft</v>
      </c>
      <c r="F302" s="266" t="str">
        <f>IFERROR(__xludf.DUMMYFUNCTION("""COMPUTED_VALUE"""),"You may make a Light Attack against all enemies in range. This is considered a Ranged Weapon Attack that does not provoke attacks of opportunity.")</f>
        <v>You may make a Light Attack against all enemies in range. This is considered a Ranged Weapon Attack that does not provoke attacks of opportunity.</v>
      </c>
      <c r="G302" s="263" t="str">
        <f>IFERROR(__xludf.DUMMYFUNCTION("""COMPUTED_VALUE"""),"Throwing Weapon, Set of Missiles or Thrown attack only.")</f>
        <v>Throwing Weapon, Set of Missiles or Thrown attack only.</v>
      </c>
      <c r="H302" s="265" t="str">
        <f>IFERROR(__xludf.DUMMYFUNCTION("""COMPUTED_VALUE"""),"2 AP")</f>
        <v>2 AP</v>
      </c>
      <c r="I302" s="264" t="str">
        <f>IFERROR(__xludf.DUMMYFUNCTION("""COMPUTED_VALUE"""),"2 AP")</f>
        <v>2 AP</v>
      </c>
      <c r="J302" s="263" t="str">
        <f>IFERROR(__xludf.DUMMYFUNCTION("""COMPUTED_VALUE"""),"")</f>
        <v/>
      </c>
      <c r="K302" s="263" t="str">
        <f>IFERROR(__xludf.DUMMYFUNCTION("""COMPUTED_VALUE"""),"")</f>
        <v/>
      </c>
      <c r="L302" s="263" t="str">
        <f>IFERROR(__xludf.DUMMYFUNCTION("""COMPUTED_VALUE"""),"")</f>
        <v/>
      </c>
      <c r="M302" s="263"/>
      <c r="N302" s="263"/>
      <c r="O302" s="263"/>
      <c r="P302" s="263"/>
      <c r="Q302" s="263"/>
      <c r="R302" s="263"/>
      <c r="S302" s="263"/>
      <c r="T302" s="263"/>
      <c r="U302" s="246"/>
      <c r="V302" s="246"/>
      <c r="W302" s="246"/>
      <c r="X302" s="246"/>
      <c r="Y302" s="246"/>
      <c r="Z302" s="246"/>
    </row>
    <row r="303">
      <c r="A303" s="263"/>
      <c r="B303" s="265" t="str">
        <f>IFERROR(__xludf.DUMMYFUNCTION("""COMPUTED_VALUE"""),"Farming Basics")</f>
        <v>Farming Basics</v>
      </c>
      <c r="C303" s="263"/>
      <c r="D303" s="264" t="str">
        <f>IFERROR(__xludf.DUMMYFUNCTION("""COMPUTED_VALUE"""),"")</f>
        <v/>
      </c>
      <c r="E303" s="264" t="str">
        <f>IFERROR(__xludf.DUMMYFUNCTION("""COMPUTED_VALUE"""),"")</f>
        <v/>
      </c>
      <c r="F303" s="266" t="str">
        <f>IFERROR(__xludf.DUMMYFUNCTION("""COMPUTED_VALUE"""),"Spiritual Ground
Cost: 1 Interlude Point
Description:
You infuse the land with your spiritual energy, creating up to 10 plots of land suitable for farming. These plots of lands can grow food and herbs at an accelerated rate and allow the planting of tier "&amp;"1 rare herbs.
All plots of land must be filled with seeds before they begin growing.
After creating a spiritual ground, you may immediately use Sow Seeds in it for 0 IP.
You can only have 1 spiritual ground at the same time.
Sow Seeds
Cost: 1 Interlude Po"&amp;"int
Description:
You may plant seeds in plots of land. You may plant 1 set of seeds in each plot of land you can work.
Harvest
Cost: 1 Interlude Point
Description:
You harvest the planted seeds or take care of the plants not ready to be harvested yet. Do "&amp;"a crafting session. Your crafting score is the total value of seeds you can harvest or take care of.
If your crafting score is not high enough to harvest or take care of all seeds you planted, you must give up on some of the seeds. Starting from the seed "&amp;"with the highest difficulty, you drop seeds until your total crafting score matches or exceeds the total difficulty of the seeds.
Infuse Qi
Keywords: Rapid
Description:
You infuse one of the planted herbs with Qi, upgrading it from common to rare and addi"&amp;"ng 10 to its difficulty.
Bountiful Harvest
Keywords: Rapid
Description:
You bless one of the planted seeds that grants Food units or Alchemy materials. It grants double that amount and you add 5 to its difficulty. Does not stack.")</f>
        <v>Spiritual Ground
Cost: 1 Interlude Point
Description:
You infuse the land with your spiritual energy, creating up to 10 plots of land suitable for farming. These plots of lands can grow food and herbs at an accelerated rate and allow the planting of tier 1 rare herbs.
All plots of land must be filled with seeds before they begin growing.
After creating a spiritual ground, you may immediately use Sow Seeds in it for 0 IP.
You can only have 1 spiritual ground at the same time.
Sow Seeds
Cost: 1 Interlude Point
Description:
You may plant seeds in plots of land. You may plant 1 set of seeds in each plot of land you can work.
Harvest
Cost: 1 Interlude Point
Description:
You harvest the planted seeds or take care of the plants not ready to be harvested yet. Do a crafting session. Your crafting score is the total value of seeds you can harvest or take care of.
If your crafting score is not high enough to harvest or take care of all seeds you planted, you must give up on some of the seeds. Starting from the seed with the highest difficulty, you drop seeds until your total crafting score matches or exceeds the total difficulty of the seeds.
Infuse Qi
Keywords: Rapid
Description:
You infuse one of the planted herbs with Qi, upgrading it from common to rare and adding 10 to its difficulty.
Bountiful Harvest
Keywords: Rapid
Description:
You bless one of the planted seeds that grants Food units or Alchemy materials. It grants double that amount and you add 5 to its difficulty. Does not stack.</v>
      </c>
      <c r="G303" s="263" t="str">
        <f>IFERROR(__xludf.DUMMYFUNCTION("""COMPUTED_VALUE"""),"")</f>
        <v/>
      </c>
      <c r="H303" s="265" t="str">
        <f>IFERROR(__xludf.DUMMYFUNCTION("""COMPUTED_VALUE"""),"")</f>
        <v/>
      </c>
      <c r="I303" s="264" t="str">
        <f>IFERROR(__xludf.DUMMYFUNCTION("""COMPUTED_VALUE"""),"")</f>
        <v/>
      </c>
      <c r="J303" s="263" t="str">
        <f>IFERROR(__xludf.DUMMYFUNCTION("""COMPUTED_VALUE"""),"")</f>
        <v/>
      </c>
      <c r="K303" s="263" t="str">
        <f>IFERROR(__xludf.DUMMYFUNCTION("""COMPUTED_VALUE"""),"")</f>
        <v/>
      </c>
      <c r="L303" s="263" t="str">
        <f>IFERROR(__xludf.DUMMYFUNCTION("""COMPUTED_VALUE"""),"")</f>
        <v/>
      </c>
      <c r="M303" s="263"/>
      <c r="N303" s="263"/>
      <c r="O303" s="263"/>
      <c r="P303" s="263"/>
      <c r="Q303" s="263"/>
      <c r="R303" s="263"/>
      <c r="S303" s="263"/>
      <c r="T303" s="263"/>
      <c r="U303" s="246"/>
      <c r="V303" s="246"/>
      <c r="W303" s="246"/>
      <c r="X303" s="246"/>
      <c r="Y303" s="246"/>
      <c r="Z303" s="246"/>
    </row>
    <row r="304">
      <c r="A304" s="263"/>
      <c r="B304" s="265" t="str">
        <f>IFERROR(__xludf.DUMMYFUNCTION("""COMPUTED_VALUE"""),"Fast Dimensional Equip")</f>
        <v>Fast Dimensional Equip</v>
      </c>
      <c r="C304" s="263"/>
      <c r="D304" s="263" t="str">
        <f>IFERROR(__xludf.DUMMYFUNCTION("""COMPUTED_VALUE"""),"")</f>
        <v/>
      </c>
      <c r="E304" s="263" t="str">
        <f>IFERROR(__xludf.DUMMYFUNCTION("""COMPUTED_VALUE"""),"Self")</f>
        <v>Self</v>
      </c>
      <c r="F304" s="266" t="str">
        <f>IFERROR(__xludf.DUMMYFUNCTION("""COMPUTED_VALUE"""),"You summon an item from your dimensional armory into your hand. You can also send a held weapon (not wielded or carried by another creature) under your full control to your Dimensional Armory and swap it with another from your Dimensional Armory.
You may "&amp;"use 1 RP to activate this ability. If you do, the Mana cost is reduced by 1.")</f>
        <v>You summon an item from your dimensional armory into your hand. You can also send a held weapon (not wielded or carried by another creature) under your full control to your Dimensional Armory and swap it with another from your Dimensional Armory.
You may use 1 RP to activate this ability. If you do, the Mana cost is reduced by 1.</v>
      </c>
      <c r="G304" s="264" t="str">
        <f>IFERROR(__xludf.DUMMYFUNCTION("""COMPUTED_VALUE"""),"You have a Dimension Armory active.")</f>
        <v>You have a Dimension Armory active.</v>
      </c>
      <c r="H304" s="267" t="str">
        <f>IFERROR(__xludf.DUMMYFUNCTION("""COMPUTED_VALUE"""),"1 MP, 0 RP")</f>
        <v>1 MP, 0 RP</v>
      </c>
      <c r="I304" s="263" t="str">
        <f>IFERROR(__xludf.DUMMYFUNCTION("""COMPUTED_VALUE"""),"")</f>
        <v/>
      </c>
      <c r="J304" s="263" t="str">
        <f>IFERROR(__xludf.DUMMYFUNCTION("""COMPUTED_VALUE"""),"1 MP")</f>
        <v>1 MP</v>
      </c>
      <c r="K304" s="263" t="str">
        <f>IFERROR(__xludf.DUMMYFUNCTION("""COMPUTED_VALUE"""),"0 RP")</f>
        <v>0 RP</v>
      </c>
      <c r="L304" s="263" t="str">
        <f>IFERROR(__xludf.DUMMYFUNCTION("""COMPUTED_VALUE"""),"")</f>
        <v/>
      </c>
      <c r="M304" s="263"/>
      <c r="N304" s="263"/>
      <c r="O304" s="263"/>
      <c r="P304" s="263"/>
      <c r="Q304" s="263"/>
      <c r="R304" s="263"/>
      <c r="S304" s="263"/>
      <c r="T304" s="263"/>
      <c r="U304" s="246"/>
      <c r="V304" s="246"/>
      <c r="W304" s="246"/>
      <c r="X304" s="246"/>
      <c r="Y304" s="246"/>
      <c r="Z304" s="246"/>
    </row>
    <row r="305">
      <c r="A305" s="263"/>
      <c r="B305" s="265" t="str">
        <f>IFERROR(__xludf.DUMMYFUNCTION("""COMPUTED_VALUE"""),"Fast Hands")</f>
        <v>Fast Hands</v>
      </c>
      <c r="C305" s="263"/>
      <c r="D305" s="264" t="str">
        <f>IFERROR(__xludf.DUMMYFUNCTION("""COMPUTED_VALUE"""),"Quick, Stealth")</f>
        <v>Quick, Stealth</v>
      </c>
      <c r="E305" s="264" t="str">
        <f>IFERROR(__xludf.DUMMYFUNCTION("""COMPUTED_VALUE"""),"'-")</f>
        <v>'-</v>
      </c>
      <c r="F305" s="266" t="str">
        <f>IFERROR(__xludf.DUMMYFUNCTION("""COMPUTED_VALUE"""),"You reduce the AP cost of your next Interact with object action this turn by 1.")</f>
        <v>You reduce the AP cost of your next Interact with object action this turn by 1.</v>
      </c>
      <c r="G305" s="263" t="str">
        <f>IFERROR(__xludf.DUMMYFUNCTION("""COMPUTED_VALUE"""),"")</f>
        <v/>
      </c>
      <c r="H305" s="265" t="str">
        <f>IFERROR(__xludf.DUMMYFUNCTION("""COMPUTED_VALUE"""),"0 AP")</f>
        <v>0 AP</v>
      </c>
      <c r="I305" s="264" t="str">
        <f>IFERROR(__xludf.DUMMYFUNCTION("""COMPUTED_VALUE"""),"0 AP")</f>
        <v>0 AP</v>
      </c>
      <c r="J305" s="264" t="str">
        <f>IFERROR(__xludf.DUMMYFUNCTION("""COMPUTED_VALUE"""),"")</f>
        <v/>
      </c>
      <c r="K305" s="263" t="str">
        <f>IFERROR(__xludf.DUMMYFUNCTION("""COMPUTED_VALUE"""),"")</f>
        <v/>
      </c>
      <c r="L305" s="263" t="str">
        <f>IFERROR(__xludf.DUMMYFUNCTION("""COMPUTED_VALUE"""),"")</f>
        <v/>
      </c>
      <c r="M305" s="263"/>
      <c r="N305" s="263"/>
      <c r="O305" s="263"/>
      <c r="P305" s="263"/>
      <c r="Q305" s="263"/>
      <c r="R305" s="263"/>
      <c r="S305" s="263"/>
      <c r="T305" s="263"/>
      <c r="U305" s="246"/>
      <c r="V305" s="246"/>
      <c r="W305" s="246"/>
      <c r="X305" s="246"/>
      <c r="Y305" s="246"/>
      <c r="Z305" s="246"/>
    </row>
    <row r="306">
      <c r="A306" s="263"/>
      <c r="B306" s="265" t="str">
        <f>IFERROR(__xludf.DUMMYFUNCTION("""COMPUTED_VALUE"""),"Fast Runner")</f>
        <v>Fast Runner</v>
      </c>
      <c r="C306" s="263"/>
      <c r="D306" s="263" t="str">
        <f>IFERROR(__xludf.DUMMYFUNCTION("""COMPUTED_VALUE"""),"")</f>
        <v/>
      </c>
      <c r="E306" s="263" t="str">
        <f>IFERROR(__xludf.DUMMYFUNCTION("""COMPUTED_VALUE"""),"")</f>
        <v/>
      </c>
      <c r="F306" s="266" t="str">
        <f>IFERROR(__xludf.DUMMYFUNCTION("""COMPUTED_VALUE"""),"Your base movement speed is 25ft instead of 20ft.")</f>
        <v>Your base movement speed is 25ft instead of 20ft.</v>
      </c>
      <c r="G306" s="263" t="str">
        <f>IFERROR(__xludf.DUMMYFUNCTION("""COMPUTED_VALUE"""),"")</f>
        <v/>
      </c>
      <c r="H306" s="267" t="str">
        <f>IFERROR(__xludf.DUMMYFUNCTION("""COMPUTED_VALUE"""),"")</f>
        <v/>
      </c>
      <c r="I306" s="263" t="str">
        <f>IFERROR(__xludf.DUMMYFUNCTION("""COMPUTED_VALUE"""),"")</f>
        <v/>
      </c>
      <c r="J306" s="263" t="str">
        <f>IFERROR(__xludf.DUMMYFUNCTION("""COMPUTED_VALUE"""),"")</f>
        <v/>
      </c>
      <c r="K306" s="263" t="str">
        <f>IFERROR(__xludf.DUMMYFUNCTION("""COMPUTED_VALUE"""),"")</f>
        <v/>
      </c>
      <c r="L306" s="263" t="str">
        <f>IFERROR(__xludf.DUMMYFUNCTION("""COMPUTED_VALUE"""),"")</f>
        <v/>
      </c>
      <c r="M306" s="263"/>
      <c r="N306" s="263"/>
      <c r="O306" s="263"/>
      <c r="P306" s="263"/>
      <c r="Q306" s="263"/>
      <c r="R306" s="263"/>
      <c r="S306" s="263"/>
      <c r="T306" s="263"/>
      <c r="U306" s="246"/>
      <c r="V306" s="246"/>
      <c r="W306" s="246"/>
      <c r="X306" s="246"/>
      <c r="Y306" s="246"/>
      <c r="Z306" s="246"/>
    </row>
    <row r="307">
      <c r="A307" s="263"/>
      <c r="B307" s="265" t="str">
        <f>IFERROR(__xludf.DUMMYFUNCTION("""COMPUTED_VALUE"""),"Feeding Frenzy")</f>
        <v>Feeding Frenzy</v>
      </c>
      <c r="C307" s="263"/>
      <c r="D307" s="264" t="str">
        <f>IFERROR(__xludf.DUMMYFUNCTION("""COMPUTED_VALUE"""),"")</f>
        <v/>
      </c>
      <c r="E307" s="264" t="str">
        <f>IFERROR(__xludf.DUMMYFUNCTION("""COMPUTED_VALUE"""),"Self")</f>
        <v>Self</v>
      </c>
      <c r="F307" s="266" t="str">
        <f>IFERROR(__xludf.DUMMYFUNCTION("""COMPUTED_VALUE"""),"You may use this after reducing an enemy’s hit points to 0 or less.
You may immediately use your Vampire Bite ability for 0 RP against the enemy you downed.")</f>
        <v>You may use this after reducing an enemy’s hit points to 0 or less.
You may immediately use your Vampire Bite ability for 0 RP against the enemy you downed.</v>
      </c>
      <c r="G307" s="263" t="str">
        <f>IFERROR(__xludf.DUMMYFUNCTION("""COMPUTED_VALUE"""),"Must be under the effects of Blood Frenzy.")</f>
        <v>Must be under the effects of Blood Frenzy.</v>
      </c>
      <c r="H307" s="265" t="str">
        <f>IFERROR(__xludf.DUMMYFUNCTION("""COMPUTED_VALUE"""),"0 RP")</f>
        <v>0 RP</v>
      </c>
      <c r="I307" s="264" t="str">
        <f>IFERROR(__xludf.DUMMYFUNCTION("""COMPUTED_VALUE"""),"")</f>
        <v/>
      </c>
      <c r="J307" s="264" t="str">
        <f>IFERROR(__xludf.DUMMYFUNCTION("""COMPUTED_VALUE"""),"")</f>
        <v/>
      </c>
      <c r="K307" s="263" t="str">
        <f>IFERROR(__xludf.DUMMYFUNCTION("""COMPUTED_VALUE"""),"0 RP")</f>
        <v>0 RP</v>
      </c>
      <c r="L307" s="263" t="str">
        <f>IFERROR(__xludf.DUMMYFUNCTION("""COMPUTED_VALUE"""),"")</f>
        <v/>
      </c>
      <c r="M307" s="263"/>
      <c r="N307" s="263"/>
      <c r="O307" s="263"/>
      <c r="P307" s="263"/>
      <c r="Q307" s="263"/>
      <c r="R307" s="263"/>
      <c r="S307" s="263"/>
      <c r="T307" s="263"/>
      <c r="U307" s="246"/>
      <c r="V307" s="246"/>
      <c r="W307" s="246"/>
      <c r="X307" s="246"/>
      <c r="Y307" s="246"/>
      <c r="Z307" s="246"/>
    </row>
    <row r="308">
      <c r="A308" s="263"/>
      <c r="B308" s="265" t="str">
        <f>IFERROR(__xludf.DUMMYFUNCTION("""COMPUTED_VALUE"""),"Feign Death")</f>
        <v>Feign Death</v>
      </c>
      <c r="C308" s="263"/>
      <c r="D308" s="264" t="str">
        <f>IFERROR(__xludf.DUMMYFUNCTION("""COMPUTED_VALUE"""),"")</f>
        <v/>
      </c>
      <c r="E308" s="264" t="str">
        <f>IFERROR(__xludf.DUMMYFUNCTION("""COMPUTED_VALUE"""),"")</f>
        <v/>
      </c>
      <c r="F308" s="266" t="str">
        <f>IFERROR(__xludf.DUMMYFUNCTION("""COMPUTED_VALUE"""),"The first time you enter the Downed state in an encounter, you may use Play Dead as a reaction for 0 RP. In addition, you gain a +10 bonus to playing dead.")</f>
        <v>The first time you enter the Downed state in an encounter, you may use Play Dead as a reaction for 0 RP. In addition, you gain a +10 bonus to playing dead.</v>
      </c>
      <c r="G308" s="263" t="str">
        <f>IFERROR(__xludf.DUMMYFUNCTION("""COMPUTED_VALUE"""),"")</f>
        <v/>
      </c>
      <c r="H308" s="265" t="str">
        <f>IFERROR(__xludf.DUMMYFUNCTION("""COMPUTED_VALUE"""),"")</f>
        <v/>
      </c>
      <c r="I308" s="264" t="str">
        <f>IFERROR(__xludf.DUMMYFUNCTION("""COMPUTED_VALUE"""),"")</f>
        <v/>
      </c>
      <c r="J308" s="264" t="str">
        <f>IFERROR(__xludf.DUMMYFUNCTION("""COMPUTED_VALUE"""),"")</f>
        <v/>
      </c>
      <c r="K308" s="263" t="str">
        <f>IFERROR(__xludf.DUMMYFUNCTION("""COMPUTED_VALUE"""),"")</f>
        <v/>
      </c>
      <c r="L308" s="263" t="str">
        <f>IFERROR(__xludf.DUMMYFUNCTION("""COMPUTED_VALUE"""),"")</f>
        <v/>
      </c>
      <c r="M308" s="263"/>
      <c r="N308" s="263"/>
      <c r="O308" s="263"/>
      <c r="P308" s="263"/>
      <c r="Q308" s="263"/>
      <c r="R308" s="263"/>
      <c r="S308" s="263"/>
      <c r="T308" s="263"/>
      <c r="U308" s="246"/>
      <c r="V308" s="246"/>
      <c r="W308" s="246"/>
      <c r="X308" s="246"/>
      <c r="Y308" s="246"/>
      <c r="Z308" s="246"/>
    </row>
    <row r="309">
      <c r="A309" s="263"/>
      <c r="B309" s="265" t="str">
        <f>IFERROR(__xludf.DUMMYFUNCTION("""COMPUTED_VALUE"""),"Feigned Retreat")</f>
        <v>Feigned Retreat</v>
      </c>
      <c r="C309" s="263"/>
      <c r="D309" s="263" t="str">
        <f>IFERROR(__xludf.DUMMYFUNCTION("""COMPUTED_VALUE"""),"Sidestep")</f>
        <v>Sidestep</v>
      </c>
      <c r="E309" s="264" t="str">
        <f>IFERROR(__xludf.DUMMYFUNCTION("""COMPUTED_VALUE"""),"40ft")</f>
        <v>40ft</v>
      </c>
      <c r="F309" s="266" t="str">
        <f>IFERROR(__xludf.DUMMYFUNCTION("""COMPUTED_VALUE"""),"All allies in a 15x15ft square within range may Sidestep up to their speed towards you.
If they successfully left an enemy’s melee range and are not in an enemy’s melee range after moving, then the first time an enemy enters their melee range before the s"&amp;"tart of their next turn, they may make an Attack of Opportunity against that enemy.")</f>
        <v>All allies in a 15x15ft square within range may Sidestep up to their speed towards you.
If they successfully left an enemy’s melee range and are not in an enemy’s melee range after moving, then the first time an enemy enters their melee range before the start of their next turn, they may make an Attack of Opportunity against that enemy.</v>
      </c>
      <c r="G309" s="264" t="str">
        <f>IFERROR(__xludf.DUMMYFUNCTION("""COMPUTED_VALUE"""),"")</f>
        <v/>
      </c>
      <c r="H309" s="265" t="str">
        <f>IFERROR(__xludf.DUMMYFUNCTION("""COMPUTED_VALUE"""),"2 AP, 1 MP")</f>
        <v>2 AP, 1 MP</v>
      </c>
      <c r="I309" s="264" t="str">
        <f>IFERROR(__xludf.DUMMYFUNCTION("""COMPUTED_VALUE"""),"2 AP")</f>
        <v>2 AP</v>
      </c>
      <c r="J309" s="264" t="str">
        <f>IFERROR(__xludf.DUMMYFUNCTION("""COMPUTED_VALUE"""),"1 MP")</f>
        <v>1 MP</v>
      </c>
      <c r="K309" s="263" t="str">
        <f>IFERROR(__xludf.DUMMYFUNCTION("""COMPUTED_VALUE"""),"")</f>
        <v/>
      </c>
      <c r="L309" s="263" t="str">
        <f>IFERROR(__xludf.DUMMYFUNCTION("""COMPUTED_VALUE"""),"")</f>
        <v/>
      </c>
      <c r="M309" s="263"/>
      <c r="N309" s="263"/>
      <c r="O309" s="263"/>
      <c r="P309" s="263"/>
      <c r="Q309" s="263"/>
      <c r="R309" s="263"/>
      <c r="S309" s="263"/>
      <c r="T309" s="263"/>
      <c r="U309" s="246"/>
      <c r="V309" s="246"/>
      <c r="W309" s="246"/>
      <c r="X309" s="246"/>
      <c r="Y309" s="246"/>
      <c r="Z309" s="246"/>
    </row>
    <row r="310">
      <c r="A310" s="263"/>
      <c r="B310" s="265" t="str">
        <f>IFERROR(__xludf.DUMMYFUNCTION("""COMPUTED_VALUE"""),"Feint")</f>
        <v>Feint</v>
      </c>
      <c r="C310" s="263"/>
      <c r="D310" s="263" t="str">
        <f>IFERROR(__xludf.DUMMYFUNCTION("""COMPUTED_VALUE"""),"Stealth")</f>
        <v>Stealth</v>
      </c>
      <c r="E310" s="264" t="str">
        <f>IFERROR(__xludf.DUMMYFUNCTION("""COMPUTED_VALUE"""),"15ft")</f>
        <v>15ft</v>
      </c>
      <c r="F310" s="266" t="str">
        <f>IFERROR(__xludf.DUMMYFUNCTION("""COMPUTED_VALUE"""),"You target an enemy. If the target is a Grunt or you have higher Agility than the target, then they cannot make an attack of opportunity against you until the start of your next turn.")</f>
        <v>You target an enemy. If the target is a Grunt or you have higher Agility than the target, then they cannot make an attack of opportunity against you until the start of your next turn.</v>
      </c>
      <c r="G310" s="264" t="str">
        <f>IFERROR(__xludf.DUMMYFUNCTION("""COMPUTED_VALUE"""),"")</f>
        <v/>
      </c>
      <c r="H310" s="265" t="str">
        <f>IFERROR(__xludf.DUMMYFUNCTION("""COMPUTED_VALUE"""),"1 AP")</f>
        <v>1 AP</v>
      </c>
      <c r="I310" s="264" t="str">
        <f>IFERROR(__xludf.DUMMYFUNCTION("""COMPUTED_VALUE"""),"1 AP")</f>
        <v>1 AP</v>
      </c>
      <c r="J310" s="263" t="str">
        <f>IFERROR(__xludf.DUMMYFUNCTION("""COMPUTED_VALUE"""),"")</f>
        <v/>
      </c>
      <c r="K310" s="263" t="str">
        <f>IFERROR(__xludf.DUMMYFUNCTION("""COMPUTED_VALUE"""),"")</f>
        <v/>
      </c>
      <c r="L310" s="263" t="str">
        <f>IFERROR(__xludf.DUMMYFUNCTION("""COMPUTED_VALUE"""),"")</f>
        <v/>
      </c>
      <c r="M310" s="263"/>
      <c r="N310" s="263"/>
      <c r="O310" s="263"/>
      <c r="P310" s="263"/>
      <c r="Q310" s="263"/>
      <c r="R310" s="263"/>
      <c r="S310" s="263"/>
      <c r="T310" s="263"/>
      <c r="U310" s="246"/>
      <c r="V310" s="246"/>
      <c r="W310" s="246"/>
      <c r="X310" s="246"/>
      <c r="Y310" s="246"/>
      <c r="Z310" s="246"/>
    </row>
    <row r="311">
      <c r="A311" s="263"/>
      <c r="B311" s="265" t="str">
        <f>IFERROR(__xludf.DUMMYFUNCTION("""COMPUTED_VALUE"""),"Feinting Stab")</f>
        <v>Feinting Stab</v>
      </c>
      <c r="C311" s="263"/>
      <c r="D311" s="264" t="str">
        <f>IFERROR(__xludf.DUMMYFUNCTION("""COMPUTED_VALUE"""),"")</f>
        <v/>
      </c>
      <c r="E311" s="264" t="str">
        <f>IFERROR(__xludf.DUMMYFUNCTION("""COMPUTED_VALUE"""),"5ft")</f>
        <v>5ft</v>
      </c>
      <c r="F311" s="266" t="str">
        <f>IFERROR(__xludf.DUMMYFUNCTION("""COMPUTED_VALUE"""),"You make a Heavy attack against the target. If they react to it in any way, you may cancel your attack on them and instead make it against a different enemy in range. Any RP spent by the first target is not refunded.")</f>
        <v>You make a Heavy attack against the target. If they react to it in any way, you may cancel your attack on them and instead make it against a different enemy in range. Any RP spent by the first target is not refunded.</v>
      </c>
      <c r="G311" s="263" t="str">
        <f>IFERROR(__xludf.DUMMYFUNCTION("""COMPUTED_VALUE"""),"At least two enemies within range.")</f>
        <v>At least two enemies within range.</v>
      </c>
      <c r="H311" s="265" t="str">
        <f>IFERROR(__xludf.DUMMYFUNCTION("""COMPUTED_VALUE"""),"2 AP, 1 MP")</f>
        <v>2 AP, 1 MP</v>
      </c>
      <c r="I311" s="264" t="str">
        <f>IFERROR(__xludf.DUMMYFUNCTION("""COMPUTED_VALUE"""),"2 AP")</f>
        <v>2 AP</v>
      </c>
      <c r="J311" s="263" t="str">
        <f>IFERROR(__xludf.DUMMYFUNCTION("""COMPUTED_VALUE"""),"1 MP")</f>
        <v>1 MP</v>
      </c>
      <c r="K311" s="263" t="str">
        <f>IFERROR(__xludf.DUMMYFUNCTION("""COMPUTED_VALUE"""),"")</f>
        <v/>
      </c>
      <c r="L311" s="263" t="str">
        <f>IFERROR(__xludf.DUMMYFUNCTION("""COMPUTED_VALUE"""),"")</f>
        <v/>
      </c>
      <c r="M311" s="263"/>
      <c r="N311" s="263"/>
      <c r="O311" s="263"/>
      <c r="P311" s="263"/>
      <c r="Q311" s="263"/>
      <c r="R311" s="263"/>
      <c r="S311" s="263"/>
      <c r="T311" s="263"/>
      <c r="U311" s="246"/>
      <c r="V311" s="246"/>
      <c r="W311" s="246"/>
      <c r="X311" s="246"/>
      <c r="Y311" s="246"/>
      <c r="Z311" s="246"/>
    </row>
    <row r="312">
      <c r="A312" s="263"/>
      <c r="B312" s="265" t="str">
        <f>IFERROR(__xludf.DUMMYFUNCTION("""COMPUTED_VALUE"""),"Felling Strike")</f>
        <v>Felling Strike</v>
      </c>
      <c r="C312" s="263"/>
      <c r="D312" s="264" t="str">
        <f>IFERROR(__xludf.DUMMYFUNCTION("""COMPUTED_VALUE"""),"")</f>
        <v/>
      </c>
      <c r="E312" s="264" t="str">
        <f>IFERROR(__xludf.DUMMYFUNCTION("""COMPUTED_VALUE"""),"Melee Weapon Range")</f>
        <v>Melee Weapon Range</v>
      </c>
      <c r="F312" s="266" t="str">
        <f>IFERROR(__xludf.DUMMYFUNCTION("""COMPUTED_VALUE"""),"Make a heavy attack against a target enemy that is no larger than large size category. On damage, sidestep to any unoccupied space next to the target, of the same elevation as the target, and knockback the target 10ft.")</f>
        <v>Make a heavy attack against a target enemy that is no larger than large size category. On damage, sidestep to any unoccupied space next to the target, of the same elevation as the target, and knockback the target 10ft.</v>
      </c>
      <c r="G312" s="264" t="str">
        <f>IFERROR(__xludf.DUMMYFUNCTION("""COMPUTED_VALUE"""),"Axe, Chainsaw and Giant Scissors Only")</f>
        <v>Axe, Chainsaw and Giant Scissors Only</v>
      </c>
      <c r="H312" s="265" t="str">
        <f>IFERROR(__xludf.DUMMYFUNCTION("""COMPUTED_VALUE"""),"2 AP, 1 MP")</f>
        <v>2 AP, 1 MP</v>
      </c>
      <c r="I312" s="264" t="str">
        <f>IFERROR(__xludf.DUMMYFUNCTION("""COMPUTED_VALUE"""),"2 AP")</f>
        <v>2 AP</v>
      </c>
      <c r="J312" s="264" t="str">
        <f>IFERROR(__xludf.DUMMYFUNCTION("""COMPUTED_VALUE"""),"1 MP")</f>
        <v>1 MP</v>
      </c>
      <c r="K312" s="263" t="str">
        <f>IFERROR(__xludf.DUMMYFUNCTION("""COMPUTED_VALUE"""),"")</f>
        <v/>
      </c>
      <c r="L312" s="263" t="str">
        <f>IFERROR(__xludf.DUMMYFUNCTION("""COMPUTED_VALUE"""),"")</f>
        <v/>
      </c>
      <c r="M312" s="263"/>
      <c r="N312" s="263"/>
      <c r="O312" s="263"/>
      <c r="P312" s="263"/>
      <c r="Q312" s="263"/>
      <c r="R312" s="263"/>
      <c r="S312" s="263"/>
      <c r="T312" s="263"/>
      <c r="U312" s="246"/>
      <c r="V312" s="246"/>
      <c r="W312" s="246"/>
      <c r="X312" s="246"/>
      <c r="Y312" s="246"/>
      <c r="Z312" s="246"/>
    </row>
    <row r="313">
      <c r="A313" s="263"/>
      <c r="B313" s="265" t="str">
        <f>IFERROR(__xludf.DUMMYFUNCTION("""COMPUTED_VALUE"""),"Field Medic")</f>
        <v>Field Medic</v>
      </c>
      <c r="C313" s="263"/>
      <c r="D313" s="264" t="str">
        <f>IFERROR(__xludf.DUMMYFUNCTION("""COMPUTED_VALUE"""),"")</f>
        <v/>
      </c>
      <c r="E313" s="264" t="str">
        <f>IFERROR(__xludf.DUMMYFUNCTION("""COMPUTED_VALUE"""),"")</f>
        <v/>
      </c>
      <c r="F313" s="266" t="str">
        <f>IFERROR(__xludf.DUMMYFUNCTION("""COMPUTED_VALUE"""),"Medical and Surgery kits (including any upgraded versions) you carry have their burden reduced by 1, down to a minimum of 0.")</f>
        <v>Medical and Surgery kits (including any upgraded versions) you carry have their burden reduced by 1, down to a minimum of 0.</v>
      </c>
      <c r="G313" s="263" t="str">
        <f>IFERROR(__xludf.DUMMYFUNCTION("""COMPUTED_VALUE"""),"")</f>
        <v/>
      </c>
      <c r="H313" s="265" t="str">
        <f>IFERROR(__xludf.DUMMYFUNCTION("""COMPUTED_VALUE"""),"")</f>
        <v/>
      </c>
      <c r="I313" s="263" t="str">
        <f>IFERROR(__xludf.DUMMYFUNCTION("""COMPUTED_VALUE"""),"")</f>
        <v/>
      </c>
      <c r="J313" s="264" t="str">
        <f>IFERROR(__xludf.DUMMYFUNCTION("""COMPUTED_VALUE"""),"")</f>
        <v/>
      </c>
      <c r="K313" s="264" t="str">
        <f>IFERROR(__xludf.DUMMYFUNCTION("""COMPUTED_VALUE"""),"")</f>
        <v/>
      </c>
      <c r="L313" s="263" t="str">
        <f>IFERROR(__xludf.DUMMYFUNCTION("""COMPUTED_VALUE"""),"")</f>
        <v/>
      </c>
      <c r="M313" s="263"/>
      <c r="N313" s="263"/>
      <c r="O313" s="263"/>
      <c r="P313" s="263"/>
      <c r="Q313" s="263"/>
      <c r="R313" s="263"/>
      <c r="S313" s="263"/>
      <c r="T313" s="263"/>
      <c r="U313" s="246"/>
      <c r="V313" s="246"/>
      <c r="W313" s="246"/>
      <c r="X313" s="246"/>
      <c r="Y313" s="246"/>
      <c r="Z313" s="246"/>
    </row>
    <row r="314">
      <c r="A314" s="263"/>
      <c r="B314" s="265" t="str">
        <f>IFERROR(__xludf.DUMMYFUNCTION("""COMPUTED_VALUE"""),"Fiery Rebirth")</f>
        <v>Fiery Rebirth</v>
      </c>
      <c r="C314" s="263"/>
      <c r="D314" s="264" t="str">
        <f>IFERROR(__xludf.DUMMYFUNCTION("""COMPUTED_VALUE"""),"Downed, Blanketing")</f>
        <v>Downed, Blanketing</v>
      </c>
      <c r="E314" s="264" t="str">
        <f>IFERROR(__xludf.DUMMYFUNCTION("""COMPUTED_VALUE"""),"Self")</f>
        <v>Self</v>
      </c>
      <c r="F314" s="266" t="str">
        <f>IFERROR(__xludf.DUMMYFUNCTION("""COMPUTED_VALUE"""),"You regain HP until you are at 1 HP, stand up from prone and deal Light full pierce fire damage to all enemies within 5ft of you.
All buffs and debuffs on you are removed.
After using this ability, the mortal wound condition is removed from you and you ca"&amp;"nnot use Fiery Rebirth again for the rest of the arc.")</f>
        <v>You regain HP until you are at 1 HP, stand up from prone and deal Light full pierce fire damage to all enemies within 5ft of you.
All buffs and debuffs on you are removed.
After using this ability, the mortal wound condition is removed from you and you cannot use Fiery Rebirth again for the rest of the arc.</v>
      </c>
      <c r="G314" s="263" t="str">
        <f>IFERROR(__xludf.DUMMYFUNCTION("""COMPUTED_VALUE"""),"You’ve suffered a mortal wound.")</f>
        <v>You’ve suffered a mortal wound.</v>
      </c>
      <c r="H314" s="265" t="str">
        <f>IFERROR(__xludf.DUMMYFUNCTION("""COMPUTED_VALUE"""),"5 MP, 0 RP")</f>
        <v>5 MP, 0 RP</v>
      </c>
      <c r="I314" s="264" t="str">
        <f>IFERROR(__xludf.DUMMYFUNCTION("""COMPUTED_VALUE"""),"")</f>
        <v/>
      </c>
      <c r="J314" s="264" t="str">
        <f>IFERROR(__xludf.DUMMYFUNCTION("""COMPUTED_VALUE"""),"5 MP")</f>
        <v>5 MP</v>
      </c>
      <c r="K314" s="263" t="str">
        <f>IFERROR(__xludf.DUMMYFUNCTION("""COMPUTED_VALUE"""),"0 RP")</f>
        <v>0 RP</v>
      </c>
      <c r="L314" s="263" t="str">
        <f>IFERROR(__xludf.DUMMYFUNCTION("""COMPUTED_VALUE"""),"")</f>
        <v/>
      </c>
      <c r="M314" s="263"/>
      <c r="N314" s="263"/>
      <c r="O314" s="263"/>
      <c r="P314" s="263"/>
      <c r="Q314" s="263"/>
      <c r="R314" s="263"/>
      <c r="S314" s="263"/>
      <c r="T314" s="263"/>
      <c r="U314" s="246"/>
      <c r="V314" s="246"/>
      <c r="W314" s="246"/>
      <c r="X314" s="246"/>
      <c r="Y314" s="246"/>
      <c r="Z314" s="246"/>
    </row>
    <row r="315">
      <c r="A315" s="263"/>
      <c r="B315" s="265" t="str">
        <f>IFERROR(__xludf.DUMMYFUNCTION("""COMPUTED_VALUE"""),"Fight or Flight")</f>
        <v>Fight or Flight</v>
      </c>
      <c r="C315" s="263"/>
      <c r="D315" s="264" t="str">
        <f>IFERROR(__xludf.DUMMYFUNCTION("""COMPUTED_VALUE"""),"Rage")</f>
        <v>Rage</v>
      </c>
      <c r="E315" s="264" t="str">
        <f>IFERROR(__xludf.DUMMYFUNCTION("""COMPUTED_VALUE"""),"Self")</f>
        <v>Self</v>
      </c>
      <c r="F315" s="266" t="str">
        <f>IFERROR(__xludf.DUMMYFUNCTION("""COMPUTED_VALUE"""),"Fight: You immediately gain 2 AP that can be used on basic abilities, but lose 1 RP.
Flight: You immediately gain 1 RP, but recover 2 less AP on your next turn.
You regain the use of this ability after the Encounter Conclusion phase.")</f>
        <v>Fight: You immediately gain 2 AP that can be used on basic abilities, but lose 1 RP.
Flight: You immediately gain 1 RP, but recover 2 less AP on your next turn.
You regain the use of this ability after the Encounter Conclusion phase.</v>
      </c>
      <c r="G315" s="263" t="str">
        <f>IFERROR(__xludf.DUMMYFUNCTION("""COMPUTED_VALUE"""),"")</f>
        <v/>
      </c>
      <c r="H315" s="265" t="str">
        <f>IFERROR(__xludf.DUMMYFUNCTION("""COMPUTED_VALUE"""),"0 RP")</f>
        <v>0 RP</v>
      </c>
      <c r="I315" s="264" t="str">
        <f>IFERROR(__xludf.DUMMYFUNCTION("""COMPUTED_VALUE"""),"")</f>
        <v/>
      </c>
      <c r="J315" s="263" t="str">
        <f>IFERROR(__xludf.DUMMYFUNCTION("""COMPUTED_VALUE"""),"")</f>
        <v/>
      </c>
      <c r="K315" s="263" t="str">
        <f>IFERROR(__xludf.DUMMYFUNCTION("""COMPUTED_VALUE"""),"0 RP")</f>
        <v>0 RP</v>
      </c>
      <c r="L315" s="263" t="str">
        <f>IFERROR(__xludf.DUMMYFUNCTION("""COMPUTED_VALUE"""),"")</f>
        <v/>
      </c>
      <c r="M315" s="263"/>
      <c r="N315" s="263"/>
      <c r="O315" s="263"/>
      <c r="P315" s="263"/>
      <c r="Q315" s="263"/>
      <c r="R315" s="263"/>
      <c r="S315" s="263"/>
      <c r="T315" s="263"/>
      <c r="U315" s="246"/>
      <c r="V315" s="246"/>
      <c r="W315" s="246"/>
      <c r="X315" s="246"/>
      <c r="Y315" s="246"/>
      <c r="Z315" s="246"/>
    </row>
    <row r="316">
      <c r="A316" s="263"/>
      <c r="B316" s="265" t="str">
        <f>IFERROR(__xludf.DUMMYFUNCTION("""COMPUTED_VALUE"""),"Fireball")</f>
        <v>Fireball</v>
      </c>
      <c r="C316" s="263"/>
      <c r="D316" s="264" t="str">
        <f>IFERROR(__xludf.DUMMYFUNCTION("""COMPUTED_VALUE"""),"Fire, Spell, Scatter")</f>
        <v>Fire, Spell, Scatter</v>
      </c>
      <c r="E316" s="264" t="str">
        <f>IFERROR(__xludf.DUMMYFUNCTION("""COMPUTED_VALUE"""),"60ft")</f>
        <v>60ft</v>
      </c>
      <c r="F316" s="266" t="str">
        <f>IFERROR(__xludf.DUMMYFUNCTION("""COMPUTED_VALUE"""),"You hurl a Fireball at a 15x15ft area, making a Light Attack that deals Fire Damage against all units in the area.")</f>
        <v>You hurl a Fireball at a 15x15ft area, making a Light Attack that deals Fire Damage against all units in the area.</v>
      </c>
      <c r="G316" s="263" t="str">
        <f>IFERROR(__xludf.DUMMYFUNCTION("""COMPUTED_VALUE"""),"")</f>
        <v/>
      </c>
      <c r="H316" s="265" t="str">
        <f>IFERROR(__xludf.DUMMYFUNCTION("""COMPUTED_VALUE"""),"2 AP")</f>
        <v>2 AP</v>
      </c>
      <c r="I316" s="263" t="str">
        <f>IFERROR(__xludf.DUMMYFUNCTION("""COMPUTED_VALUE"""),"2 AP")</f>
        <v>2 AP</v>
      </c>
      <c r="J316" s="263" t="str">
        <f>IFERROR(__xludf.DUMMYFUNCTION("""COMPUTED_VALUE"""),"")</f>
        <v/>
      </c>
      <c r="K316" s="264" t="str">
        <f>IFERROR(__xludf.DUMMYFUNCTION("""COMPUTED_VALUE"""),"")</f>
        <v/>
      </c>
      <c r="L316" s="263" t="str">
        <f>IFERROR(__xludf.DUMMYFUNCTION("""COMPUTED_VALUE"""),"")</f>
        <v/>
      </c>
      <c r="M316" s="263"/>
      <c r="N316" s="263"/>
      <c r="O316" s="263"/>
      <c r="P316" s="263"/>
      <c r="Q316" s="263"/>
      <c r="R316" s="263"/>
      <c r="S316" s="263"/>
      <c r="T316" s="263"/>
      <c r="U316" s="246"/>
      <c r="V316" s="246"/>
      <c r="W316" s="246"/>
      <c r="X316" s="246"/>
      <c r="Y316" s="246"/>
      <c r="Z316" s="246"/>
    </row>
    <row r="317">
      <c r="A317" s="263"/>
      <c r="B317" s="265" t="str">
        <f>IFERROR(__xludf.DUMMYFUNCTION("""COMPUTED_VALUE"""),"Fireball Barrage")</f>
        <v>Fireball Barrage</v>
      </c>
      <c r="C317" s="263"/>
      <c r="D317" s="264" t="str">
        <f>IFERROR(__xludf.DUMMYFUNCTION("""COMPUTED_VALUE"""),"Fire, Spell, Scatter")</f>
        <v>Fire, Spell, Scatter</v>
      </c>
      <c r="E317" s="264" t="str">
        <f>IFERROR(__xludf.DUMMYFUNCTION("""COMPUTED_VALUE"""),"60ft")</f>
        <v>60ft</v>
      </c>
      <c r="F317" s="266" t="str">
        <f>IFERROR(__xludf.DUMMYFUNCTION("""COMPUTED_VALUE"""),"You hurl three Fireballs at three separate 15x15ft areas, making a Light Attack that deals Fire Damage against all units in each area. Each unit can only be attacked once per use of this ability, even if hit by multiple fireballs.")</f>
        <v>You hurl three Fireballs at three separate 15x15ft areas, making a Light Attack that deals Fire Damage against all units in each area. Each unit can only be attacked once per use of this ability, even if hit by multiple fireballs.</v>
      </c>
      <c r="G317" s="263" t="str">
        <f>IFERROR(__xludf.DUMMYFUNCTION("""COMPUTED_VALUE"""),"")</f>
        <v/>
      </c>
      <c r="H317" s="265" t="str">
        <f>IFERROR(__xludf.DUMMYFUNCTION("""COMPUTED_VALUE"""),"3 AP")</f>
        <v>3 AP</v>
      </c>
      <c r="I317" s="264" t="str">
        <f>IFERROR(__xludf.DUMMYFUNCTION("""COMPUTED_VALUE"""),"3 AP")</f>
        <v>3 AP</v>
      </c>
      <c r="J317" s="264" t="str">
        <f>IFERROR(__xludf.DUMMYFUNCTION("""COMPUTED_VALUE"""),"")</f>
        <v/>
      </c>
      <c r="K317" s="263" t="str">
        <f>IFERROR(__xludf.DUMMYFUNCTION("""COMPUTED_VALUE"""),"")</f>
        <v/>
      </c>
      <c r="L317" s="263" t="str">
        <f>IFERROR(__xludf.DUMMYFUNCTION("""COMPUTED_VALUE"""),"")</f>
        <v/>
      </c>
      <c r="M317" s="263"/>
      <c r="N317" s="263"/>
      <c r="O317" s="263"/>
      <c r="P317" s="263"/>
      <c r="Q317" s="263"/>
      <c r="R317" s="263"/>
      <c r="S317" s="263"/>
      <c r="T317" s="263"/>
      <c r="U317" s="246"/>
      <c r="V317" s="246"/>
      <c r="W317" s="246"/>
      <c r="X317" s="246"/>
      <c r="Y317" s="246"/>
      <c r="Z317" s="246"/>
    </row>
    <row r="318">
      <c r="A318" s="263"/>
      <c r="B318" s="265" t="str">
        <f>IFERROR(__xludf.DUMMYFUNCTION("""COMPUTED_VALUE"""),"Fireball II")</f>
        <v>Fireball II</v>
      </c>
      <c r="C318" s="263"/>
      <c r="D318" s="264" t="str">
        <f>IFERROR(__xludf.DUMMYFUNCTION("""COMPUTED_VALUE"""),"Fire, Overcharge, Spell, Scatter")</f>
        <v>Fire, Overcharge, Spell, Scatter</v>
      </c>
      <c r="E318" s="264" t="str">
        <f>IFERROR(__xludf.DUMMYFUNCTION("""COMPUTED_VALUE"""),"60ft")</f>
        <v>60ft</v>
      </c>
      <c r="F318" s="266" t="str">
        <f>IFERROR(__xludf.DUMMYFUNCTION("""COMPUTED_VALUE"""),"You hurl a Fireball at a 15x15ft area, making a Light Attack that deals Fire Damage against all units in the area. On damage, they become Burning X where X equals your Power x 3 Overcharge: You may spend extra mana to increase the size of the area. Every "&amp;"mana spent increases the size by 5ft.")</f>
        <v>You hurl a Fireball at a 15x15ft area, making a Light Attack that deals Fire Damage against all units in the area. On damage, they become Burning X where X equals your Power x 3 Overcharge: You may spend extra mana to increase the size of the area. Every mana spent increases the size by 5ft.</v>
      </c>
      <c r="G318" s="263" t="str">
        <f>IFERROR(__xludf.DUMMYFUNCTION("""COMPUTED_VALUE"""),"")</f>
        <v/>
      </c>
      <c r="H318" s="265" t="str">
        <f>IFERROR(__xludf.DUMMYFUNCTION("""COMPUTED_VALUE"""),"2 AP, 1 MP")</f>
        <v>2 AP, 1 MP</v>
      </c>
      <c r="I318" s="264" t="str">
        <f>IFERROR(__xludf.DUMMYFUNCTION("""COMPUTED_VALUE"""),"2 AP")</f>
        <v>2 AP</v>
      </c>
      <c r="J318" s="263" t="str">
        <f>IFERROR(__xludf.DUMMYFUNCTION("""COMPUTED_VALUE"""),"1 MP")</f>
        <v>1 MP</v>
      </c>
      <c r="K318" s="263" t="str">
        <f>IFERROR(__xludf.DUMMYFUNCTION("""COMPUTED_VALUE"""),"")</f>
        <v/>
      </c>
      <c r="L318" s="263" t="str">
        <f>IFERROR(__xludf.DUMMYFUNCTION("""COMPUTED_VALUE"""),"")</f>
        <v/>
      </c>
      <c r="M318" s="263"/>
      <c r="N318" s="263"/>
      <c r="O318" s="263"/>
      <c r="P318" s="263"/>
      <c r="Q318" s="263"/>
      <c r="R318" s="263"/>
      <c r="S318" s="263"/>
      <c r="T318" s="263"/>
      <c r="U318" s="246"/>
      <c r="V318" s="246"/>
      <c r="W318" s="246"/>
      <c r="X318" s="246"/>
      <c r="Y318" s="246"/>
      <c r="Z318" s="246"/>
    </row>
    <row r="319">
      <c r="A319" s="263"/>
      <c r="B319" s="265" t="str">
        <f>IFERROR(__xludf.DUMMYFUNCTION("""COMPUTED_VALUE"""),"First Aid")</f>
        <v>First Aid</v>
      </c>
      <c r="C319" s="263"/>
      <c r="D319" s="263" t="str">
        <f>IFERROR(__xludf.DUMMYFUNCTION("""COMPUTED_VALUE"""),"Aid, Healing")</f>
        <v>Aid, Healing</v>
      </c>
      <c r="E319" s="264" t="str">
        <f>IFERROR(__xludf.DUMMYFUNCTION("""COMPUTED_VALUE"""),"40ft")</f>
        <v>40ft</v>
      </c>
      <c r="F319" s="266" t="str">
        <f>IFERROR(__xludf.DUMMYFUNCTION("""COMPUTED_VALUE"""),"You grant an ally First Aid X, where X is the damage they took.
When an ally has First Aid applied by you, you may spend 1 AP while within 5ft of them to remove all First Aid and heal the target for your Focus up to the First Aid value.")</f>
        <v>You grant an ally First Aid X, where X is the damage they took.
When an ally has First Aid applied by you, you may spend 1 AP while within 5ft of them to remove all First Aid and heal the target for your Focus up to the First Aid value.</v>
      </c>
      <c r="G319" s="263" t="str">
        <f>IFERROR(__xludf.DUMMYFUNCTION("""COMPUTED_VALUE"""),"An ally is damaged")</f>
        <v>An ally is damaged</v>
      </c>
      <c r="H319" s="265" t="str">
        <f>IFERROR(__xludf.DUMMYFUNCTION("""COMPUTED_VALUE"""),"0 RP")</f>
        <v>0 RP</v>
      </c>
      <c r="I319" s="264" t="str">
        <f>IFERROR(__xludf.DUMMYFUNCTION("""COMPUTED_VALUE"""),"")</f>
        <v/>
      </c>
      <c r="J319" s="264" t="str">
        <f>IFERROR(__xludf.DUMMYFUNCTION("""COMPUTED_VALUE"""),"")</f>
        <v/>
      </c>
      <c r="K319" s="263" t="str">
        <f>IFERROR(__xludf.DUMMYFUNCTION("""COMPUTED_VALUE"""),"0 RP")</f>
        <v>0 RP</v>
      </c>
      <c r="L319" s="263" t="str">
        <f>IFERROR(__xludf.DUMMYFUNCTION("""COMPUTED_VALUE"""),"")</f>
        <v/>
      </c>
      <c r="M319" s="263"/>
      <c r="N319" s="263"/>
      <c r="O319" s="263"/>
      <c r="P319" s="263"/>
      <c r="Q319" s="263"/>
      <c r="R319" s="263"/>
      <c r="S319" s="263"/>
      <c r="T319" s="263"/>
      <c r="U319" s="246"/>
      <c r="V319" s="246"/>
      <c r="W319" s="246"/>
      <c r="X319" s="246"/>
      <c r="Y319" s="246"/>
      <c r="Z319" s="246"/>
    </row>
    <row r="320">
      <c r="A320" s="263"/>
      <c r="B320" s="265" t="str">
        <f>IFERROR(__xludf.DUMMYFUNCTION("""COMPUTED_VALUE"""),"First Response")</f>
        <v>First Response</v>
      </c>
      <c r="C320" s="263"/>
      <c r="D320" s="263" t="str">
        <f>IFERROR(__xludf.DUMMYFUNCTION("""COMPUTED_VALUE"""),"")</f>
        <v/>
      </c>
      <c r="E320" s="264" t="str">
        <f>IFERROR(__xludf.DUMMYFUNCTION("""COMPUTED_VALUE"""),"")</f>
        <v/>
      </c>
      <c r="F320" s="266" t="str">
        <f>IFERROR(__xludf.DUMMYFUNCTION("""COMPUTED_VALUE"""),"If you have a Medical Kit, you may use your encounter conclusion to give the Second Wind encounter conclusion effect to someone else. You heal for an additional 1d6 (+3 from your Demonblood Regeneration if you have it) when doing this.")</f>
        <v>If you have a Medical Kit, you may use your encounter conclusion to give the Second Wind encounter conclusion effect to someone else. You heal for an additional 1d6 (+3 from your Demonblood Regeneration if you have it) when doing this.</v>
      </c>
      <c r="G320" s="263" t="str">
        <f>IFERROR(__xludf.DUMMYFUNCTION("""COMPUTED_VALUE"""),"")</f>
        <v/>
      </c>
      <c r="H320" s="267" t="str">
        <f>IFERROR(__xludf.DUMMYFUNCTION("""COMPUTED_VALUE"""),"")</f>
        <v/>
      </c>
      <c r="I320" s="263" t="str">
        <f>IFERROR(__xludf.DUMMYFUNCTION("""COMPUTED_VALUE"""),"")</f>
        <v/>
      </c>
      <c r="J320" s="263" t="str">
        <f>IFERROR(__xludf.DUMMYFUNCTION("""COMPUTED_VALUE"""),"")</f>
        <v/>
      </c>
      <c r="K320" s="263" t="str">
        <f>IFERROR(__xludf.DUMMYFUNCTION("""COMPUTED_VALUE"""),"")</f>
        <v/>
      </c>
      <c r="L320" s="263" t="str">
        <f>IFERROR(__xludf.DUMMYFUNCTION("""COMPUTED_VALUE"""),"")</f>
        <v/>
      </c>
      <c r="M320" s="263"/>
      <c r="N320" s="263"/>
      <c r="O320" s="263"/>
      <c r="P320" s="263"/>
      <c r="Q320" s="263"/>
      <c r="R320" s="263"/>
      <c r="S320" s="263"/>
      <c r="T320" s="263"/>
      <c r="U320" s="246"/>
      <c r="V320" s="246"/>
      <c r="W320" s="246"/>
      <c r="X320" s="246"/>
      <c r="Y320" s="246"/>
      <c r="Z320" s="246"/>
    </row>
    <row r="321">
      <c r="A321" s="263"/>
      <c r="B321" s="265" t="str">
        <f>IFERROR(__xludf.DUMMYFUNCTION("""COMPUTED_VALUE"""),"Fissure")</f>
        <v>Fissure</v>
      </c>
      <c r="C321" s="263"/>
      <c r="D321" s="263" t="str">
        <f>IFERROR(__xludf.DUMMYFUNCTION("""COMPUTED_VALUE"""),"Spell, Earth")</f>
        <v>Spell, Earth</v>
      </c>
      <c r="E321" s="263" t="str">
        <f>IFERROR(__xludf.DUMMYFUNCTION("""COMPUTED_VALUE"""),"30ft")</f>
        <v>30ft</v>
      </c>
      <c r="F321" s="266" t="str">
        <f>IFERROR(__xludf.DUMMYFUNCTION("""COMPUTED_VALUE"""),"You slam the ground and create a 15ft wide fissure up to the target point. Those at the edges of the spell’s range may spend 1 RP to Sidestep 5ft out of the effect. All caught in the effect fall down 20ft into the fissure and take falling damage as normal"&amp;".
The spell requires natural ground to be below the touching surface to function. It may work on the bottom floor of a house, but will fail if used higher up or in some dungeons.")</f>
        <v>You slam the ground and create a 15ft wide fissure up to the target point. Those at the edges of the spell’s range may spend 1 RP to Sidestep 5ft out of the effect. All caught in the effect fall down 20ft into the fissure and take falling damage as normal.
The spell requires natural ground to be below the touching surface to function. It may work on the bottom floor of a house, but will fail if used higher up or in some dungeons.</v>
      </c>
      <c r="G321" s="263" t="str">
        <f>IFERROR(__xludf.DUMMYFUNCTION("""COMPUTED_VALUE"""),"Special")</f>
        <v>Special</v>
      </c>
      <c r="H321" s="267" t="str">
        <f>IFERROR(__xludf.DUMMYFUNCTION("""COMPUTED_VALUE"""),"2 AP, 2 MP")</f>
        <v>2 AP, 2 MP</v>
      </c>
      <c r="I321" s="263" t="str">
        <f>IFERROR(__xludf.DUMMYFUNCTION("""COMPUTED_VALUE"""),"2 AP")</f>
        <v>2 AP</v>
      </c>
      <c r="J321" s="263" t="str">
        <f>IFERROR(__xludf.DUMMYFUNCTION("""COMPUTED_VALUE"""),"2 MP")</f>
        <v>2 MP</v>
      </c>
      <c r="K321" s="263" t="str">
        <f>IFERROR(__xludf.DUMMYFUNCTION("""COMPUTED_VALUE"""),"")</f>
        <v/>
      </c>
      <c r="L321" s="263" t="str">
        <f>IFERROR(__xludf.DUMMYFUNCTION("""COMPUTED_VALUE"""),"")</f>
        <v/>
      </c>
      <c r="M321" s="263"/>
      <c r="N321" s="263"/>
      <c r="O321" s="263"/>
      <c r="P321" s="263"/>
      <c r="Q321" s="263"/>
      <c r="R321" s="263"/>
      <c r="S321" s="263"/>
      <c r="T321" s="263"/>
      <c r="U321" s="246"/>
      <c r="V321" s="246"/>
      <c r="W321" s="246"/>
      <c r="X321" s="246"/>
      <c r="Y321" s="246"/>
      <c r="Z321" s="246"/>
    </row>
    <row r="322">
      <c r="A322" s="263"/>
      <c r="B322" s="265" t="str">
        <f>IFERROR(__xludf.DUMMYFUNCTION("""COMPUTED_VALUE"""),"Flame Infusion")</f>
        <v>Flame Infusion</v>
      </c>
      <c r="C322" s="263"/>
      <c r="D322" s="263" t="str">
        <f>IFERROR(__xludf.DUMMYFUNCTION("""COMPUTED_VALUE"""),"Fire, Spell, Type")</f>
        <v>Fire, Spell, Type</v>
      </c>
      <c r="E322" s="263" t="str">
        <f>IFERROR(__xludf.DUMMYFUNCTION("""COMPUTED_VALUE"""),"30ft")</f>
        <v>30ft</v>
      </c>
      <c r="F322" s="266" t="str">
        <f>IFERROR(__xludf.DUMMYFUNCTION("""COMPUTED_VALUE"""),"You surround a willing target in searing flames, changing their typing to Fire II. As a Fire II type, they take half damage from Fire and Frost Damage or attacks with the Fire or Frost keywords unless that attack deals true damage. They take 50% more dama"&amp;"ge from Water Damage or attacks with the Water keyword. While the ward lasts, they also gain immunity to Burning. The ward lasts until the end of the encounter or until their type is overwritten by a more powerful type.")</f>
        <v>You surround a willing target in searing flames, changing their typing to Fire II. As a Fire II type, they take half damage from Fire and Frost Damage or attacks with the Fire or Frost keywords unless that attack deals true damage. They take 50% more damage from Water Damage or attacks with the Water keyword. While the ward lasts, they also gain immunity to Burning. The ward lasts until the end of the encounter or until their type is overwritten by a more powerful type.</v>
      </c>
      <c r="G322" s="263" t="str">
        <f>IFERROR(__xludf.DUMMYFUNCTION("""COMPUTED_VALUE"""),"")</f>
        <v/>
      </c>
      <c r="H322" s="265" t="str">
        <f>IFERROR(__xludf.DUMMYFUNCTION("""COMPUTED_VALUE"""),"1 AP, 0 MP")</f>
        <v>1 AP, 0 MP</v>
      </c>
      <c r="I322" s="264" t="str">
        <f>IFERROR(__xludf.DUMMYFUNCTION("""COMPUTED_VALUE"""),"1 AP")</f>
        <v>1 AP</v>
      </c>
      <c r="J322" s="263" t="str">
        <f>IFERROR(__xludf.DUMMYFUNCTION("""COMPUTED_VALUE"""),"0 MP")</f>
        <v>0 MP</v>
      </c>
      <c r="K322" s="263" t="str">
        <f>IFERROR(__xludf.DUMMYFUNCTION("""COMPUTED_VALUE"""),"")</f>
        <v/>
      </c>
      <c r="L322" s="263" t="str">
        <f>IFERROR(__xludf.DUMMYFUNCTION("""COMPUTED_VALUE"""),"")</f>
        <v/>
      </c>
      <c r="M322" s="263"/>
      <c r="N322" s="263"/>
      <c r="O322" s="263"/>
      <c r="P322" s="263"/>
      <c r="Q322" s="263"/>
      <c r="R322" s="263"/>
      <c r="S322" s="263"/>
      <c r="T322" s="263"/>
      <c r="U322" s="246"/>
      <c r="V322" s="246"/>
      <c r="W322" s="246"/>
      <c r="X322" s="246"/>
      <c r="Y322" s="246"/>
      <c r="Z322" s="246"/>
    </row>
    <row r="323">
      <c r="A323" s="263"/>
      <c r="B323" s="265" t="str">
        <f>IFERROR(__xludf.DUMMYFUNCTION("""COMPUTED_VALUE"""),"Flame Shield")</f>
        <v>Flame Shield</v>
      </c>
      <c r="C323" s="263"/>
      <c r="D323" s="263" t="str">
        <f>IFERROR(__xludf.DUMMYFUNCTION("""COMPUTED_VALUE"""),"Fire, Full Pierce, Shield, Spell, Aid, Sure Hit")</f>
        <v>Fire, Full Pierce, Shield, Spell, Aid, Sure Hit</v>
      </c>
      <c r="E323" s="264" t="str">
        <f>IFERROR(__xludf.DUMMYFUNCTION("""COMPUTED_VALUE"""),"30ft")</f>
        <v>30ft</v>
      </c>
      <c r="F323" s="266" t="str">
        <f>IFERROR(__xludf.DUMMYFUNCTION("""COMPUTED_VALUE"""),"The attacker immediately takes Light Fire Damage.")</f>
        <v>The attacker immediately takes Light Fire Damage.</v>
      </c>
      <c r="G323" s="263" t="str">
        <f>IFERROR(__xludf.DUMMYFUNCTION("""COMPUTED_VALUE"""),"An ally took damage from a melee attack.")</f>
        <v>An ally took damage from a melee attack.</v>
      </c>
      <c r="H323" s="265" t="str">
        <f>IFERROR(__xludf.DUMMYFUNCTION("""COMPUTED_VALUE"""),"1 RP")</f>
        <v>1 RP</v>
      </c>
      <c r="I323" s="263" t="str">
        <f>IFERROR(__xludf.DUMMYFUNCTION("""COMPUTED_VALUE"""),"")</f>
        <v/>
      </c>
      <c r="J323" s="263" t="str">
        <f>IFERROR(__xludf.DUMMYFUNCTION("""COMPUTED_VALUE"""),"")</f>
        <v/>
      </c>
      <c r="K323" s="264" t="str">
        <f>IFERROR(__xludf.DUMMYFUNCTION("""COMPUTED_VALUE"""),"1 RP")</f>
        <v>1 RP</v>
      </c>
      <c r="L323" s="263" t="str">
        <f>IFERROR(__xludf.DUMMYFUNCTION("""COMPUTED_VALUE"""),"")</f>
        <v/>
      </c>
      <c r="M323" s="263"/>
      <c r="N323" s="263"/>
      <c r="O323" s="263"/>
      <c r="P323" s="263"/>
      <c r="Q323" s="263"/>
      <c r="R323" s="263"/>
      <c r="S323" s="263"/>
      <c r="T323" s="263"/>
      <c r="U323" s="246"/>
      <c r="V323" s="246"/>
      <c r="W323" s="246"/>
      <c r="X323" s="246"/>
      <c r="Y323" s="246"/>
      <c r="Z323" s="246"/>
    </row>
    <row r="324">
      <c r="A324" s="263"/>
      <c r="B324" s="265" t="str">
        <f>IFERROR(__xludf.DUMMYFUNCTION("""COMPUTED_VALUE"""),"Flame Wall")</f>
        <v>Flame Wall</v>
      </c>
      <c r="C324" s="263"/>
      <c r="D324" s="263" t="str">
        <f>IFERROR(__xludf.DUMMYFUNCTION("""COMPUTED_VALUE"""),"Concentration, Fire, Spell")</f>
        <v>Concentration, Fire, Spell</v>
      </c>
      <c r="E324" s="263" t="str">
        <f>IFERROR(__xludf.DUMMYFUNCTION("""COMPUTED_VALUE"""),"60ft")</f>
        <v>60ft</v>
      </c>
      <c r="F324" s="266" t="str">
        <f>IFERROR(__xludf.DUMMYFUNCTION("""COMPUTED_VALUE"""),"You create a wall of Fire that is 30ft long, 5ft wide and 30ft high. This wall must be a straight line. Anyone passing through the wall or starting their turn in it takes Heavy Fire Damage. The wall lasts for 10 minutes or until canceled. Those in the wal"&amp;"l when it is casted, may spend 1 RP to sidestep out of the wall. A person can only take this damage once per round.")</f>
        <v>You create a wall of Fire that is 30ft long, 5ft wide and 30ft high. This wall must be a straight line. Anyone passing through the wall or starting their turn in it takes Heavy Fire Damage. The wall lasts for 10 minutes or until canceled. Those in the wall when it is casted, may spend 1 RP to sidestep out of the wall. A person can only take this damage once per round.</v>
      </c>
      <c r="G324" s="263" t="str">
        <f>IFERROR(__xludf.DUMMYFUNCTION("""COMPUTED_VALUE"""),"")</f>
        <v/>
      </c>
      <c r="H324" s="267" t="str">
        <f>IFERROR(__xludf.DUMMYFUNCTION("""COMPUTED_VALUE"""),"2 AP, 3 MP")</f>
        <v>2 AP, 3 MP</v>
      </c>
      <c r="I324" s="263" t="str">
        <f>IFERROR(__xludf.DUMMYFUNCTION("""COMPUTED_VALUE"""),"2 AP")</f>
        <v>2 AP</v>
      </c>
      <c r="J324" s="263" t="str">
        <f>IFERROR(__xludf.DUMMYFUNCTION("""COMPUTED_VALUE"""),"3 MP")</f>
        <v>3 MP</v>
      </c>
      <c r="K324" s="263" t="str">
        <f>IFERROR(__xludf.DUMMYFUNCTION("""COMPUTED_VALUE"""),"")</f>
        <v/>
      </c>
      <c r="L324" s="263" t="str">
        <f>IFERROR(__xludf.DUMMYFUNCTION("""COMPUTED_VALUE"""),"")</f>
        <v/>
      </c>
      <c r="M324" s="263"/>
      <c r="N324" s="263"/>
      <c r="O324" s="263"/>
      <c r="P324" s="263"/>
      <c r="Q324" s="263"/>
      <c r="R324" s="263"/>
      <c r="S324" s="263"/>
      <c r="T324" s="263"/>
      <c r="U324" s="246"/>
      <c r="V324" s="246"/>
      <c r="W324" s="246"/>
      <c r="X324" s="246"/>
      <c r="Y324" s="246"/>
      <c r="Z324" s="246"/>
    </row>
    <row r="325">
      <c r="A325" s="263"/>
      <c r="B325" s="265" t="str">
        <f>IFERROR(__xludf.DUMMYFUNCTION("""COMPUTED_VALUE"""),"Flame Weapon")</f>
        <v>Flame Weapon</v>
      </c>
      <c r="C325" s="263"/>
      <c r="D325" s="263" t="str">
        <f>IFERROR(__xludf.DUMMYFUNCTION("""COMPUTED_VALUE"""),"Enchantment")</f>
        <v>Enchantment</v>
      </c>
      <c r="E325" s="264" t="str">
        <f>IFERROR(__xludf.DUMMYFUNCTION("""COMPUTED_VALUE"""),"Touch")</f>
        <v>Touch</v>
      </c>
      <c r="F325" s="266" t="str">
        <f>IFERROR(__xludf.DUMMYFUNCTION("""COMPUTED_VALUE"""),"You touch one willing ally’s or your own weapon and enchant it with Fire. Until the end of the encounter, the weapon deals Fire Damage and grants a +1 Power Enchantment.")</f>
        <v>You touch one willing ally’s or your own weapon and enchant it with Fire. Until the end of the encounter, the weapon deals Fire Damage and grants a +1 Power Enchantment.</v>
      </c>
      <c r="G325" s="264" t="str">
        <f>IFERROR(__xludf.DUMMYFUNCTION("""COMPUTED_VALUE"""),"")</f>
        <v/>
      </c>
      <c r="H325" s="265" t="str">
        <f>IFERROR(__xludf.DUMMYFUNCTION("""COMPUTED_VALUE"""),"2 AP")</f>
        <v>2 AP</v>
      </c>
      <c r="I325" s="264" t="str">
        <f>IFERROR(__xludf.DUMMYFUNCTION("""COMPUTED_VALUE"""),"2 AP")</f>
        <v>2 AP</v>
      </c>
      <c r="J325" s="264" t="str">
        <f>IFERROR(__xludf.DUMMYFUNCTION("""COMPUTED_VALUE"""),"")</f>
        <v/>
      </c>
      <c r="K325" s="263" t="str">
        <f>IFERROR(__xludf.DUMMYFUNCTION("""COMPUTED_VALUE"""),"")</f>
        <v/>
      </c>
      <c r="L325" s="263" t="str">
        <f>IFERROR(__xludf.DUMMYFUNCTION("""COMPUTED_VALUE"""),"")</f>
        <v/>
      </c>
      <c r="M325" s="263"/>
      <c r="N325" s="263"/>
      <c r="O325" s="263"/>
      <c r="P325" s="263"/>
      <c r="Q325" s="263"/>
      <c r="R325" s="263"/>
      <c r="S325" s="263"/>
      <c r="T325" s="263"/>
      <c r="U325" s="246"/>
      <c r="V325" s="246"/>
      <c r="W325" s="246"/>
      <c r="X325" s="246"/>
      <c r="Y325" s="246"/>
      <c r="Z325" s="246"/>
    </row>
    <row r="326">
      <c r="A326" s="263"/>
      <c r="B326" s="265" t="str">
        <f>IFERROR(__xludf.DUMMYFUNCTION("""COMPUTED_VALUE"""),"Flash Bomb")</f>
        <v>Flash Bomb</v>
      </c>
      <c r="C326" s="263"/>
      <c r="D326" s="263" t="str">
        <f>IFERROR(__xludf.DUMMYFUNCTION("""COMPUTED_VALUE"""),"Daze")</f>
        <v>Daze</v>
      </c>
      <c r="E326" s="264" t="str">
        <f>IFERROR(__xludf.DUMMYFUNCTION("""COMPUTED_VALUE"""),"20ft")</f>
        <v>20ft</v>
      </c>
      <c r="F326" s="266" t="str">
        <f>IFERROR(__xludf.DUMMYFUNCTION("""COMPUTED_VALUE"""),"You throw a Flash Bomb at a point within range that explodes in an 25x25 area centered on that point. All targets within the area must save against Potency or become Dazed.")</f>
        <v>You throw a Flash Bomb at a point within range that explodes in an 25x25 area centered on that point. All targets within the area must save against Potency or become Dazed.</v>
      </c>
      <c r="G326" s="263" t="str">
        <f>IFERROR(__xludf.DUMMYFUNCTION("""COMPUTED_VALUE"""),"")</f>
        <v/>
      </c>
      <c r="H326" s="265" t="str">
        <f>IFERROR(__xludf.DUMMYFUNCTION("""COMPUTED_VALUE"""),"1 AP")</f>
        <v>1 AP</v>
      </c>
      <c r="I326" s="263" t="str">
        <f>IFERROR(__xludf.DUMMYFUNCTION("""COMPUTED_VALUE"""),"1 AP")</f>
        <v>1 AP</v>
      </c>
      <c r="J326" s="263" t="str">
        <f>IFERROR(__xludf.DUMMYFUNCTION("""COMPUTED_VALUE"""),"")</f>
        <v/>
      </c>
      <c r="K326" s="264" t="str">
        <f>IFERROR(__xludf.DUMMYFUNCTION("""COMPUTED_VALUE"""),"")</f>
        <v/>
      </c>
      <c r="L326" s="263" t="str">
        <f>IFERROR(__xludf.DUMMYFUNCTION("""COMPUTED_VALUE"""),"")</f>
        <v/>
      </c>
      <c r="M326" s="263"/>
      <c r="N326" s="263"/>
      <c r="O326" s="263"/>
      <c r="P326" s="263"/>
      <c r="Q326" s="263"/>
      <c r="R326" s="263"/>
      <c r="S326" s="263"/>
      <c r="T326" s="263"/>
      <c r="U326" s="246"/>
      <c r="V326" s="246"/>
      <c r="W326" s="246"/>
      <c r="X326" s="246"/>
      <c r="Y326" s="246"/>
      <c r="Z326" s="246"/>
    </row>
    <row r="327">
      <c r="A327" s="263"/>
      <c r="B327" s="265" t="str">
        <f>IFERROR(__xludf.DUMMYFUNCTION("""COMPUTED_VALUE"""),"Flash Cut")</f>
        <v>Flash Cut</v>
      </c>
      <c r="C327" s="263"/>
      <c r="D327" s="264" t="str">
        <f>IFERROR(__xludf.DUMMYFUNCTION("""COMPUTED_VALUE"""),"Iaijutsu, Sure Hit")</f>
        <v>Iaijutsu, Sure Hit</v>
      </c>
      <c r="E327" s="264" t="str">
        <f>IFERROR(__xludf.DUMMYFUNCTION("""COMPUTED_VALUE"""),"Melee Weapon Range")</f>
        <v>Melee Weapon Range</v>
      </c>
      <c r="F327" s="266" t="str">
        <f>IFERROR(__xludf.DUMMYFUNCTION("""COMPUTED_VALUE"""),"You draw your katana and attack with such Speed it becomes impossible to perceive, making a Heavy Attack against the target, after which you resheathe the weapon. This ability does not break the Iai state.")</f>
        <v>You draw your katana and attack with such Speed it becomes impossible to perceive, making a Heavy Attack against the target, after which you resheathe the weapon. This ability does not break the Iai state.</v>
      </c>
      <c r="G327" s="263" t="str">
        <f>IFERROR(__xludf.DUMMYFUNCTION("""COMPUTED_VALUE"""),"Katana only, must be in Iai state.")</f>
        <v>Katana only, must be in Iai state.</v>
      </c>
      <c r="H327" s="265" t="str">
        <f>IFERROR(__xludf.DUMMYFUNCTION("""COMPUTED_VALUE"""),"2 AP, 3 MP")</f>
        <v>2 AP, 3 MP</v>
      </c>
      <c r="I327" s="264" t="str">
        <f>IFERROR(__xludf.DUMMYFUNCTION("""COMPUTED_VALUE"""),"2 AP")</f>
        <v>2 AP</v>
      </c>
      <c r="J327" s="263" t="str">
        <f>IFERROR(__xludf.DUMMYFUNCTION("""COMPUTED_VALUE"""),"3 MP")</f>
        <v>3 MP</v>
      </c>
      <c r="K327" s="263" t="str">
        <f>IFERROR(__xludf.DUMMYFUNCTION("""COMPUTED_VALUE"""),"")</f>
        <v/>
      </c>
      <c r="L327" s="263" t="str">
        <f>IFERROR(__xludf.DUMMYFUNCTION("""COMPUTED_VALUE"""),"")</f>
        <v/>
      </c>
      <c r="M327" s="263"/>
      <c r="N327" s="263"/>
      <c r="O327" s="263"/>
      <c r="P327" s="263"/>
      <c r="Q327" s="263"/>
      <c r="R327" s="263"/>
      <c r="S327" s="263"/>
      <c r="T327" s="263"/>
      <c r="U327" s="246"/>
      <c r="V327" s="246"/>
      <c r="W327" s="246"/>
      <c r="X327" s="246"/>
      <c r="Y327" s="246"/>
      <c r="Z327" s="246"/>
    </row>
    <row r="328">
      <c r="A328" s="263"/>
      <c r="B328" s="265" t="str">
        <f>IFERROR(__xludf.DUMMYFUNCTION("""COMPUTED_VALUE"""),"Flash Star Style Secret Art: Twin Nova Pursuit")</f>
        <v>Flash Star Style Secret Art: Twin Nova Pursuit</v>
      </c>
      <c r="C328" s="263"/>
      <c r="D328" s="264" t="str">
        <f>IFERROR(__xludf.DUMMYFUNCTION("""COMPUTED_VALUE"""),"Teleport, Secret Art")</f>
        <v>Teleport, Secret Art</v>
      </c>
      <c r="E328" s="264" t="str">
        <f>IFERROR(__xludf.DUMMYFUNCTION("""COMPUTED_VALUE"""),"50ft")</f>
        <v>50ft</v>
      </c>
      <c r="F328" s="266" t="str">
        <f>IFERROR(__xludf.DUMMYFUNCTION("""COMPUTED_VALUE"""),"You teleport to the target and then knock them 25ft in any horizontal direction.  You then teleport in a straight line to them again and make a Heavy attack.  If the attack is responded to with any RP action, knock them straight back 25ft again, teleport "&amp;"in a straight line to them and make another Heavy attack.")</f>
        <v>You teleport to the target and then knock them 25ft in any horizontal direction.  You then teleport in a straight line to them again and make a Heavy attack.  If the attack is responded to with any RP action, knock them straight back 25ft again, teleport in a straight line to them and make another Heavy attack.</v>
      </c>
      <c r="G328" s="263" t="str">
        <f>IFERROR(__xludf.DUMMYFUNCTION("""COMPUTED_VALUE"""),"Light sword, Longsword, Katana, dueling weapon only.")</f>
        <v>Light sword, Longsword, Katana, dueling weapon only.</v>
      </c>
      <c r="H328" s="265" t="str">
        <f>IFERROR(__xludf.DUMMYFUNCTION("""COMPUTED_VALUE"""),"4 AP")</f>
        <v>4 AP</v>
      </c>
      <c r="I328" s="264" t="str">
        <f>IFERROR(__xludf.DUMMYFUNCTION("""COMPUTED_VALUE"""),"4 AP")</f>
        <v>4 AP</v>
      </c>
      <c r="J328" s="263" t="str">
        <f>IFERROR(__xludf.DUMMYFUNCTION("""COMPUTED_VALUE"""),"")</f>
        <v/>
      </c>
      <c r="K328" s="263" t="str">
        <f>IFERROR(__xludf.DUMMYFUNCTION("""COMPUTED_VALUE"""),"")</f>
        <v/>
      </c>
      <c r="L328" s="263" t="str">
        <f>IFERROR(__xludf.DUMMYFUNCTION("""COMPUTED_VALUE"""),"")</f>
        <v/>
      </c>
      <c r="M328" s="263"/>
      <c r="N328" s="263"/>
      <c r="O328" s="263"/>
      <c r="P328" s="263"/>
      <c r="Q328" s="263"/>
      <c r="R328" s="263"/>
      <c r="S328" s="263"/>
      <c r="T328" s="263"/>
      <c r="U328" s="246"/>
      <c r="V328" s="246"/>
      <c r="W328" s="246"/>
      <c r="X328" s="246"/>
      <c r="Y328" s="246"/>
      <c r="Z328" s="246"/>
    </row>
    <row r="329">
      <c r="A329" s="263"/>
      <c r="B329" s="265" t="str">
        <f>IFERROR(__xludf.DUMMYFUNCTION("""COMPUTED_VALUE"""),"Flash Star Style: Photon Line")</f>
        <v>Flash Star Style: Photon Line</v>
      </c>
      <c r="C329" s="263"/>
      <c r="D329" s="264" t="str">
        <f>IFERROR(__xludf.DUMMYFUNCTION("""COMPUTED_VALUE"""),"Sidestep, Pass, Blanketing")</f>
        <v>Sidestep, Pass, Blanketing</v>
      </c>
      <c r="E329" s="264" t="str">
        <f>IFERROR(__xludf.DUMMYFUNCTION("""COMPUTED_VALUE"""),"25ft")</f>
        <v>25ft</v>
      </c>
      <c r="F329" s="266" t="str">
        <f>IFERROR(__xludf.DUMMYFUNCTION("""COMPUTED_VALUE"""),"You sidestep exactly 25ft in a straight line in any direction and can move over gaps of terrain as long as you end on solid ground. You make a Light attack against all targets that are in your path.  If only one target is in your path, make a Heavy attack"&amp;" instead.
If you were flying at least 10ft above the ground when using this ability, you do not need to end on solid ground.")</f>
        <v>You sidestep exactly 25ft in a straight line in any direction and can move over gaps of terrain as long as you end on solid ground. You make a Light attack against all targets that are in your path.  If only one target is in your path, make a Heavy attack instead.
If you were flying at least 10ft above the ground when using this ability, you do not need to end on solid ground.</v>
      </c>
      <c r="G329" s="263" t="str">
        <f>IFERROR(__xludf.DUMMYFUNCTION("""COMPUTED_VALUE"""),"Can move 25ft in a straight line. Light sword, longsword, katana, dueling weapon only.")</f>
        <v>Can move 25ft in a straight line. Light sword, longsword, katana, dueling weapon only.</v>
      </c>
      <c r="H329" s="265" t="str">
        <f>IFERROR(__xludf.DUMMYFUNCTION("""COMPUTED_VALUE"""),"2 AP")</f>
        <v>2 AP</v>
      </c>
      <c r="I329" s="264" t="str">
        <f>IFERROR(__xludf.DUMMYFUNCTION("""COMPUTED_VALUE"""),"2 AP")</f>
        <v>2 AP</v>
      </c>
      <c r="J329" s="264" t="str">
        <f>IFERROR(__xludf.DUMMYFUNCTION("""COMPUTED_VALUE"""),"")</f>
        <v/>
      </c>
      <c r="K329" s="263" t="str">
        <f>IFERROR(__xludf.DUMMYFUNCTION("""COMPUTED_VALUE"""),"")</f>
        <v/>
      </c>
      <c r="L329" s="263" t="str">
        <f>IFERROR(__xludf.DUMMYFUNCTION("""COMPUTED_VALUE"""),"")</f>
        <v/>
      </c>
      <c r="M329" s="263"/>
      <c r="N329" s="263"/>
      <c r="O329" s="263"/>
      <c r="P329" s="263"/>
      <c r="Q329" s="263"/>
      <c r="R329" s="263"/>
      <c r="S329" s="263"/>
      <c r="T329" s="263"/>
      <c r="U329" s="246"/>
      <c r="V329" s="246"/>
      <c r="W329" s="246"/>
      <c r="X329" s="246"/>
      <c r="Y329" s="246"/>
      <c r="Z329" s="246"/>
    </row>
    <row r="330">
      <c r="A330" s="263"/>
      <c r="B330" s="265" t="str">
        <f>IFERROR(__xludf.DUMMYFUNCTION("""COMPUTED_VALUE"""),"Flash Star Style: Starlight Crescent Reversal")</f>
        <v>Flash Star Style: Starlight Crescent Reversal</v>
      </c>
      <c r="C330" s="263"/>
      <c r="D330" s="263" t="str">
        <f>IFERROR(__xludf.DUMMYFUNCTION("""COMPUTED_VALUE"""),"Counter")</f>
        <v>Counter</v>
      </c>
      <c r="E330" s="263" t="str">
        <f>IFERROR(__xludf.DUMMYFUNCTION("""COMPUTED_VALUE"""),"Melee Weapon Range")</f>
        <v>Melee Weapon Range</v>
      </c>
      <c r="F330" s="266" t="str">
        <f>IFERROR(__xludf.DUMMYFUNCTION("""COMPUTED_VALUE"""),"You take advantage of the slow windup of the enemy’s attack, countering with a Light attack of your own. You may still Dodge or Block the triggering attack after this counter.")</f>
        <v>You take advantage of the slow windup of the enemy’s attack, countering with a Light attack of your own. You may still Dodge or Block the triggering attack after this counter.</v>
      </c>
      <c r="G330" s="264" t="str">
        <f>IFERROR(__xludf.DUMMYFUNCTION("""COMPUTED_VALUE"""),"You are targeted by a heavy attack. Light sword, Longsword, Katana, dueling weapon only.")</f>
        <v>You are targeted by a heavy attack. Light sword, Longsword, Katana, dueling weapon only.</v>
      </c>
      <c r="H330" s="267" t="str">
        <f>IFERROR(__xludf.DUMMYFUNCTION("""COMPUTED_VALUE"""),"1 MP, 0 RP")</f>
        <v>1 MP, 0 RP</v>
      </c>
      <c r="I330" s="263" t="str">
        <f>IFERROR(__xludf.DUMMYFUNCTION("""COMPUTED_VALUE"""),"")</f>
        <v/>
      </c>
      <c r="J330" s="263" t="str">
        <f>IFERROR(__xludf.DUMMYFUNCTION("""COMPUTED_VALUE"""),"1 MP")</f>
        <v>1 MP</v>
      </c>
      <c r="K330" s="263" t="str">
        <f>IFERROR(__xludf.DUMMYFUNCTION("""COMPUTED_VALUE"""),"0 RP")</f>
        <v>0 RP</v>
      </c>
      <c r="L330" s="263" t="str">
        <f>IFERROR(__xludf.DUMMYFUNCTION("""COMPUTED_VALUE"""),"")</f>
        <v/>
      </c>
      <c r="M330" s="263"/>
      <c r="N330" s="263"/>
      <c r="O330" s="263"/>
      <c r="P330" s="263"/>
      <c r="Q330" s="263"/>
      <c r="R330" s="263"/>
      <c r="S330" s="263"/>
      <c r="T330" s="263"/>
      <c r="U330" s="246"/>
      <c r="V330" s="246"/>
      <c r="W330" s="246"/>
      <c r="X330" s="246"/>
      <c r="Y330" s="246"/>
      <c r="Z330" s="246"/>
    </row>
    <row r="331">
      <c r="A331" s="263"/>
      <c r="B331" s="265" t="str">
        <f>IFERROR(__xludf.DUMMYFUNCTION("""COMPUTED_VALUE"""),"Flash Star Style: Thunderbolt Slash")</f>
        <v>Flash Star Style: Thunderbolt Slash</v>
      </c>
      <c r="C331" s="263"/>
      <c r="D331" s="263" t="str">
        <f>IFERROR(__xludf.DUMMYFUNCTION("""COMPUTED_VALUE"""),"Combo")</f>
        <v>Combo</v>
      </c>
      <c r="E331" s="264" t="str">
        <f>IFERROR(__xludf.DUMMYFUNCTION("""COMPUTED_VALUE"""),"Melee Weapon Range")</f>
        <v>Melee Weapon Range</v>
      </c>
      <c r="F331" s="266" t="str">
        <f>IFERROR(__xludf.DUMMYFUNCTION("""COMPUTED_VALUE"""),"You slash the target in a thunderbolt pattern, making a 3-hit attack.  Make 3 separate Light attacks against the target.
Combo: If used immediately after Flash Star Style: Photon Line, mana cost reduced by 1.")</f>
        <v>You slash the target in a thunderbolt pattern, making a 3-hit attack.  Make 3 separate Light attacks against the target.
Combo: If used immediately after Flash Star Style: Photon Line, mana cost reduced by 1.</v>
      </c>
      <c r="G331" s="264" t="str">
        <f>IFERROR(__xludf.DUMMYFUNCTION("""COMPUTED_VALUE"""),"Light sword, Longsword, Katana, dueling weapon only.")</f>
        <v>Light sword, Longsword, Katana, dueling weapon only.</v>
      </c>
      <c r="H331" s="265" t="str">
        <f>IFERROR(__xludf.DUMMYFUNCTION("""COMPUTED_VALUE"""),"2 AP, 1 MP")</f>
        <v>2 AP, 1 MP</v>
      </c>
      <c r="I331" s="263" t="str">
        <f>IFERROR(__xludf.DUMMYFUNCTION("""COMPUTED_VALUE"""),"2 AP")</f>
        <v>2 AP</v>
      </c>
      <c r="J331" s="264" t="str">
        <f>IFERROR(__xludf.DUMMYFUNCTION("""COMPUTED_VALUE"""),"1 MP")</f>
        <v>1 MP</v>
      </c>
      <c r="K331" s="264" t="str">
        <f>IFERROR(__xludf.DUMMYFUNCTION("""COMPUTED_VALUE"""),"")</f>
        <v/>
      </c>
      <c r="L331" s="263" t="str">
        <f>IFERROR(__xludf.DUMMYFUNCTION("""COMPUTED_VALUE"""),"")</f>
        <v/>
      </c>
      <c r="M331" s="263"/>
      <c r="N331" s="263"/>
      <c r="O331" s="263"/>
      <c r="P331" s="263"/>
      <c r="Q331" s="263"/>
      <c r="R331" s="263"/>
      <c r="S331" s="263"/>
      <c r="T331" s="263"/>
      <c r="U331" s="246"/>
      <c r="V331" s="246"/>
      <c r="W331" s="246"/>
      <c r="X331" s="246"/>
      <c r="Y331" s="246"/>
      <c r="Z331" s="246"/>
    </row>
    <row r="332">
      <c r="A332" s="263"/>
      <c r="B332" s="265" t="str">
        <f>IFERROR(__xludf.DUMMYFUNCTION("""COMPUTED_VALUE"""),"Flight")</f>
        <v>Flight</v>
      </c>
      <c r="C332" s="263"/>
      <c r="D332" s="263" t="str">
        <f>IFERROR(__xludf.DUMMYFUNCTION("""COMPUTED_VALUE"""),"")</f>
        <v/>
      </c>
      <c r="E332" s="264" t="str">
        <f>IFERROR(__xludf.DUMMYFUNCTION("""COMPUTED_VALUE"""),"Self")</f>
        <v>Self</v>
      </c>
      <c r="F332" s="266" t="str">
        <f>IFERROR(__xludf.DUMMYFUNCTION("""COMPUTED_VALUE"""),"You gain controlled Flight up to your speed. If you take damage while flying higher than 5ft above the ground, your altitude drops by 20ft. If this would reduce your altitude to the point where you touch the ground, you become rooted and cannot fly again "&amp;"until the end of your next turn. If the attack that reduced your HP came from a flying creature other than yourself, you do not lose altitude.
When you end your turn within 5ft of the ground, Flight ends.")</f>
        <v>You gain controlled Flight up to your speed. If you take damage while flying higher than 5ft above the ground, your altitude drops by 20ft. If this would reduce your altitude to the point where you touch the ground, you become rooted and cannot fly again until the end of your next turn. If the attack that reduced your HP came from a flying creature other than yourself, you do not lose altitude.
When you end your turn within 5ft of the ground, Flight ends.</v>
      </c>
      <c r="G332" s="264" t="str">
        <f>IFERROR(__xludf.DUMMYFUNCTION("""COMPUTED_VALUE"""),"")</f>
        <v/>
      </c>
      <c r="H332" s="265" t="str">
        <f>IFERROR(__xludf.DUMMYFUNCTION("""COMPUTED_VALUE"""),"0 AP")</f>
        <v>0 AP</v>
      </c>
      <c r="I332" s="263" t="str">
        <f>IFERROR(__xludf.DUMMYFUNCTION("""COMPUTED_VALUE"""),"0 AP")</f>
        <v>0 AP</v>
      </c>
      <c r="J332" s="264" t="str">
        <f>IFERROR(__xludf.DUMMYFUNCTION("""COMPUTED_VALUE"""),"")</f>
        <v/>
      </c>
      <c r="K332" s="264" t="str">
        <f>IFERROR(__xludf.DUMMYFUNCTION("""COMPUTED_VALUE"""),"")</f>
        <v/>
      </c>
      <c r="L332" s="263" t="str">
        <f>IFERROR(__xludf.DUMMYFUNCTION("""COMPUTED_VALUE"""),"")</f>
        <v/>
      </c>
      <c r="M332" s="263"/>
      <c r="N332" s="263"/>
      <c r="O332" s="263"/>
      <c r="P332" s="263"/>
      <c r="Q332" s="263"/>
      <c r="R332" s="263"/>
      <c r="S332" s="263"/>
      <c r="T332" s="263"/>
      <c r="U332" s="246"/>
      <c r="V332" s="246"/>
      <c r="W332" s="246"/>
      <c r="X332" s="246"/>
      <c r="Y332" s="246"/>
      <c r="Z332" s="246"/>
    </row>
    <row r="333">
      <c r="A333" s="263"/>
      <c r="B333" s="265" t="str">
        <f>IFERROR(__xludf.DUMMYFUNCTION("""COMPUTED_VALUE"""),"Flower Squirt")</f>
        <v>Flower Squirt</v>
      </c>
      <c r="C333" s="263"/>
      <c r="D333" s="263" t="str">
        <f>IFERROR(__xludf.DUMMYFUNCTION("""COMPUTED_VALUE"""),"")</f>
        <v/>
      </c>
      <c r="E333" s="264" t="str">
        <f>IFERROR(__xludf.DUMMYFUNCTION("""COMPUTED_VALUE"""),"5ft")</f>
        <v>5ft</v>
      </c>
      <c r="F333" s="266" t="str">
        <f>IFERROR(__xludf.DUMMYFUNCTION("""COMPUTED_VALUE"""),"You press your flower and make a Light attack against the target that deals Water damage. On damage they are Soaked for X, where X equals your Focus until the next time they take Lightning damage.")</f>
        <v>You press your flower and make a Light attack against the target that deals Water damage. On damage they are Soaked for X, where X equals your Focus until the next time they take Lightning damage.</v>
      </c>
      <c r="G333" s="263" t="str">
        <f>IFERROR(__xludf.DUMMYFUNCTION("""COMPUTED_VALUE"""),"")</f>
        <v/>
      </c>
      <c r="H333" s="265" t="str">
        <f>IFERROR(__xludf.DUMMYFUNCTION("""COMPUTED_VALUE"""),"1 AP, 1 MP")</f>
        <v>1 AP, 1 MP</v>
      </c>
      <c r="I333" s="264" t="str">
        <f>IFERROR(__xludf.DUMMYFUNCTION("""COMPUTED_VALUE"""),"1 AP")</f>
        <v>1 AP</v>
      </c>
      <c r="J333" s="264" t="str">
        <f>IFERROR(__xludf.DUMMYFUNCTION("""COMPUTED_VALUE"""),"1 MP")</f>
        <v>1 MP</v>
      </c>
      <c r="K333" s="263" t="str">
        <f>IFERROR(__xludf.DUMMYFUNCTION("""COMPUTED_VALUE"""),"")</f>
        <v/>
      </c>
      <c r="L333" s="263" t="str">
        <f>IFERROR(__xludf.DUMMYFUNCTION("""COMPUTED_VALUE"""),"")</f>
        <v/>
      </c>
      <c r="M333" s="263"/>
      <c r="N333" s="263"/>
      <c r="O333" s="263"/>
      <c r="P333" s="263"/>
      <c r="Q333" s="263"/>
      <c r="R333" s="263"/>
      <c r="S333" s="263"/>
      <c r="T333" s="263"/>
      <c r="U333" s="246"/>
      <c r="V333" s="246"/>
      <c r="W333" s="246"/>
      <c r="X333" s="246"/>
      <c r="Y333" s="246"/>
      <c r="Z333" s="246"/>
    </row>
    <row r="334">
      <c r="A334" s="263"/>
      <c r="B334" s="265" t="str">
        <f>IFERROR(__xludf.DUMMYFUNCTION("""COMPUTED_VALUE"""),"Flowing Kick")</f>
        <v>Flowing Kick</v>
      </c>
      <c r="C334" s="263"/>
      <c r="D334" s="264" t="str">
        <f>IFERROR(__xludf.DUMMYFUNCTION("""COMPUTED_VALUE"""),"Combo, Unarmed Strike")</f>
        <v>Combo, Unarmed Strike</v>
      </c>
      <c r="E334" s="264" t="str">
        <f>IFERROR(__xludf.DUMMYFUNCTION("""COMPUTED_VALUE"""),"Melee Weapon Range")</f>
        <v>Melee Weapon Range</v>
      </c>
      <c r="F334" s="266" t="str">
        <f>IFERROR(__xludf.DUMMYFUNCTION("""COMPUTED_VALUE"""),"You make a Heavy Attack against the target. Combo: If used after an unarmed attack misses, reduce the AP cost of this by 1.")</f>
        <v>You make a Heavy Attack against the target. Combo: If used after an unarmed attack misses, reduce the AP cost of this by 1.</v>
      </c>
      <c r="G334" s="264" t="str">
        <f>IFERROR(__xludf.DUMMYFUNCTION("""COMPUTED_VALUE"""),"")</f>
        <v/>
      </c>
      <c r="H334" s="265" t="str">
        <f>IFERROR(__xludf.DUMMYFUNCTION("""COMPUTED_VALUE"""),"2 AP")</f>
        <v>2 AP</v>
      </c>
      <c r="I334" s="264" t="str">
        <f>IFERROR(__xludf.DUMMYFUNCTION("""COMPUTED_VALUE"""),"2 AP")</f>
        <v>2 AP</v>
      </c>
      <c r="J334" s="264" t="str">
        <f>IFERROR(__xludf.DUMMYFUNCTION("""COMPUTED_VALUE"""),"")</f>
        <v/>
      </c>
      <c r="K334" s="263" t="str">
        <f>IFERROR(__xludf.DUMMYFUNCTION("""COMPUTED_VALUE"""),"")</f>
        <v/>
      </c>
      <c r="L334" s="263" t="str">
        <f>IFERROR(__xludf.DUMMYFUNCTION("""COMPUTED_VALUE"""),"")</f>
        <v/>
      </c>
      <c r="M334" s="263"/>
      <c r="N334" s="263"/>
      <c r="O334" s="263"/>
      <c r="P334" s="263"/>
      <c r="Q334" s="263"/>
      <c r="R334" s="263"/>
      <c r="S334" s="263"/>
      <c r="T334" s="263"/>
      <c r="U334" s="246"/>
      <c r="V334" s="246"/>
      <c r="W334" s="246"/>
      <c r="X334" s="246"/>
      <c r="Y334" s="246"/>
      <c r="Z334" s="246"/>
    </row>
    <row r="335">
      <c r="A335" s="263"/>
      <c r="B335" s="265" t="str">
        <f>IFERROR(__xludf.DUMMYFUNCTION("""COMPUTED_VALUE"""),"Flowing Wind Strike")</f>
        <v>Flowing Wind Strike</v>
      </c>
      <c r="C335" s="263"/>
      <c r="D335" s="264" t="str">
        <f>IFERROR(__xludf.DUMMYFUNCTION("""COMPUTED_VALUE"""),"Sidestep")</f>
        <v>Sidestep</v>
      </c>
      <c r="E335" s="264" t="str">
        <f>IFERROR(__xludf.DUMMYFUNCTION("""COMPUTED_VALUE"""),"Melee Weapon Range")</f>
        <v>Melee Weapon Range</v>
      </c>
      <c r="F335" s="266" t="str">
        <f>IFERROR(__xludf.DUMMYFUNCTION("""COMPUTED_VALUE"""),"You make a Light attack against the target that deals additional damage equal to double your Windflow stacks. Afterwards, you lose all Windflow stacks.
Afterwards, you may Sidestep 5ft though this movement does not give a Windflow stack.")</f>
        <v>You make a Light attack against the target that deals additional damage equal to double your Windflow stacks. Afterwards, you lose all Windflow stacks.
Afterwards, you may Sidestep 5ft though this movement does not give a Windflow stack.</v>
      </c>
      <c r="G335" s="264" t="str">
        <f>IFERROR(__xludf.DUMMYFUNCTION("""COMPUTED_VALUE"""),"Must have moved at least 10ft before using this.")</f>
        <v>Must have moved at least 10ft before using this.</v>
      </c>
      <c r="H335" s="265" t="str">
        <f>IFERROR(__xludf.DUMMYFUNCTION("""COMPUTED_VALUE"""),"1 AP, 1 MP")</f>
        <v>1 AP, 1 MP</v>
      </c>
      <c r="I335" s="263" t="str">
        <f>IFERROR(__xludf.DUMMYFUNCTION("""COMPUTED_VALUE"""),"1 AP")</f>
        <v>1 AP</v>
      </c>
      <c r="J335" s="264" t="str">
        <f>IFERROR(__xludf.DUMMYFUNCTION("""COMPUTED_VALUE"""),"1 MP")</f>
        <v>1 MP</v>
      </c>
      <c r="K335" s="264" t="str">
        <f>IFERROR(__xludf.DUMMYFUNCTION("""COMPUTED_VALUE"""),"")</f>
        <v/>
      </c>
      <c r="L335" s="263" t="str">
        <f>IFERROR(__xludf.DUMMYFUNCTION("""COMPUTED_VALUE"""),"")</f>
        <v/>
      </c>
      <c r="M335" s="263"/>
      <c r="N335" s="263"/>
      <c r="O335" s="263"/>
      <c r="P335" s="263"/>
      <c r="Q335" s="263"/>
      <c r="R335" s="263"/>
      <c r="S335" s="263"/>
      <c r="T335" s="263"/>
      <c r="U335" s="246"/>
      <c r="V335" s="246"/>
      <c r="W335" s="246"/>
      <c r="X335" s="246"/>
      <c r="Y335" s="246"/>
      <c r="Z335" s="246"/>
    </row>
    <row r="336">
      <c r="A336" s="263"/>
      <c r="B336" s="265" t="str">
        <f>IFERROR(__xludf.DUMMYFUNCTION("""COMPUTED_VALUE"""),"Flushing Shot")</f>
        <v>Flushing Shot</v>
      </c>
      <c r="C336" s="263"/>
      <c r="D336" s="264" t="str">
        <f>IFERROR(__xludf.DUMMYFUNCTION("""COMPUTED_VALUE"""),"Sure Hit")</f>
        <v>Sure Hit</v>
      </c>
      <c r="E336" s="264" t="str">
        <f>IFERROR(__xludf.DUMMYFUNCTION("""COMPUTED_VALUE"""),"Ranged Weapon Range")</f>
        <v>Ranged Weapon Range</v>
      </c>
      <c r="F336" s="266" t="str">
        <f>IFERROR(__xludf.DUMMYFUNCTION("""COMPUTED_VALUE"""),"You make a Heavy attack against the target. The target may choose to sidestep out of cover from your attack to automatically avoid the attack. Otherwise, the attack gains Sure Hit.")</f>
        <v>You make a Heavy attack against the target. The target may choose to sidestep out of cover from your attack to automatically avoid the attack. Otherwise, the attack gains Sure Hit.</v>
      </c>
      <c r="G336" s="263" t="str">
        <f>IFERROR(__xludf.DUMMYFUNCTION("""COMPUTED_VALUE"""),"Target must be in Low or High cover.")</f>
        <v>Target must be in Low or High cover.</v>
      </c>
      <c r="H336" s="265" t="str">
        <f>IFERROR(__xludf.DUMMYFUNCTION("""COMPUTED_VALUE"""),"2 AP")</f>
        <v>2 AP</v>
      </c>
      <c r="I336" s="264" t="str">
        <f>IFERROR(__xludf.DUMMYFUNCTION("""COMPUTED_VALUE"""),"2 AP")</f>
        <v>2 AP</v>
      </c>
      <c r="J336" s="264" t="str">
        <f>IFERROR(__xludf.DUMMYFUNCTION("""COMPUTED_VALUE"""),"")</f>
        <v/>
      </c>
      <c r="K336" s="263" t="str">
        <f>IFERROR(__xludf.DUMMYFUNCTION("""COMPUTED_VALUE"""),"")</f>
        <v/>
      </c>
      <c r="L336" s="263" t="str">
        <f>IFERROR(__xludf.DUMMYFUNCTION("""COMPUTED_VALUE"""),"")</f>
        <v/>
      </c>
      <c r="M336" s="263"/>
      <c r="N336" s="263"/>
      <c r="O336" s="263"/>
      <c r="P336" s="263"/>
      <c r="Q336" s="263"/>
      <c r="R336" s="263"/>
      <c r="S336" s="263"/>
      <c r="T336" s="263"/>
      <c r="U336" s="246"/>
      <c r="V336" s="246"/>
      <c r="W336" s="246"/>
      <c r="X336" s="246"/>
      <c r="Y336" s="246"/>
      <c r="Z336" s="246"/>
    </row>
    <row r="337">
      <c r="A337" s="263"/>
      <c r="B337" s="265" t="str">
        <f>IFERROR(__xludf.DUMMYFUNCTION("""COMPUTED_VALUE"""),"Fluttering Blade")</f>
        <v>Fluttering Blade</v>
      </c>
      <c r="C337" s="263"/>
      <c r="D337" s="264" t="str">
        <f>IFERROR(__xludf.DUMMYFUNCTION("""COMPUTED_VALUE"""),"Quick, Rapid")</f>
        <v>Quick, Rapid</v>
      </c>
      <c r="E337" s="264" t="str">
        <f>IFERROR(__xludf.DUMMYFUNCTION("""COMPUTED_VALUE"""),"120ft")</f>
        <v>120ft</v>
      </c>
      <c r="F337" s="266" t="str">
        <f>IFERROR(__xludf.DUMMYFUNCTION("""COMPUTED_VALUE"""),"You infuse a melee weapon that you are familiar with (belongs to you and was originally in your combat inventory at the start of the encounter) with magic, causing it to float into the air that listens to your directions.  You can have one Fluttering Blad"&amp;"e at a time.
When a Fluttering Blade weapon is hit by an attack, it drops to the ground and becomes inert.
Fluttering Blade has a base evasion of 7+Your Agility. Instead of moving, you can instead direct your Fluttering Blade to move, it has a base moveme"&amp;"nt speed of 30ft. You can also direct your Fluttering Blade to attack within range. It can make basic Heavy, Light and Precise attacks as well as special Fae Knight attacks.")</f>
        <v>You infuse a melee weapon that you are familiar with (belongs to you and was originally in your combat inventory at the start of the encounter) with magic, causing it to float into the air that listens to your directions.  You can have one Fluttering Blade at a time.
When a Fluttering Blade weapon is hit by an attack, it drops to the ground and becomes inert.
Fluttering Blade has a base evasion of 7+Your Agility. Instead of moving, you can instead direct your Fluttering Blade to move, it has a base movement speed of 30ft. You can also direct your Fluttering Blade to attack within range. It can make basic Heavy, Light and Precise attacks as well as special Fae Knight attacks.</v>
      </c>
      <c r="G337" s="263" t="str">
        <f>IFERROR(__xludf.DUMMYFUNCTION("""COMPUTED_VALUE"""),"")</f>
        <v/>
      </c>
      <c r="H337" s="265" t="str">
        <f>IFERROR(__xludf.DUMMYFUNCTION("""COMPUTED_VALUE"""),"0 AP")</f>
        <v>0 AP</v>
      </c>
      <c r="I337" s="264" t="str">
        <f>IFERROR(__xludf.DUMMYFUNCTION("""COMPUTED_VALUE"""),"0 AP")</f>
        <v>0 AP</v>
      </c>
      <c r="J337" s="264" t="str">
        <f>IFERROR(__xludf.DUMMYFUNCTION("""COMPUTED_VALUE"""),"")</f>
        <v/>
      </c>
      <c r="K337" s="263" t="str">
        <f>IFERROR(__xludf.DUMMYFUNCTION("""COMPUTED_VALUE"""),"")</f>
        <v/>
      </c>
      <c r="L337" s="263" t="str">
        <f>IFERROR(__xludf.DUMMYFUNCTION("""COMPUTED_VALUE"""),"")</f>
        <v/>
      </c>
      <c r="M337" s="263"/>
      <c r="N337" s="263"/>
      <c r="O337" s="263"/>
      <c r="P337" s="263"/>
      <c r="Q337" s="263"/>
      <c r="R337" s="263"/>
      <c r="S337" s="263"/>
      <c r="T337" s="263"/>
      <c r="U337" s="246"/>
      <c r="V337" s="246"/>
      <c r="W337" s="246"/>
      <c r="X337" s="246"/>
      <c r="Y337" s="246"/>
      <c r="Z337" s="246"/>
    </row>
    <row r="338">
      <c r="A338" s="263"/>
      <c r="B338" s="265" t="str">
        <f>IFERROR(__xludf.DUMMYFUNCTION("""COMPUTED_VALUE"""),"Fly")</f>
        <v>Fly</v>
      </c>
      <c r="C338" s="263"/>
      <c r="D338" s="264" t="str">
        <f>IFERROR(__xludf.DUMMYFUNCTION("""COMPUTED_VALUE"""),"Spell, Concentration")</f>
        <v>Spell, Concentration</v>
      </c>
      <c r="E338" s="264" t="str">
        <f>IFERROR(__xludf.DUMMYFUNCTION("""COMPUTED_VALUE"""),"Touch")</f>
        <v>Touch</v>
      </c>
      <c r="F338" s="266" t="str">
        <f>IFERROR(__xludf.DUMMYFUNCTION("""COMPUTED_VALUE"""),"You or the creature you touch gains Fly, which gives them controlled Flight, Hover and their movement speed is doubled while flying until the end of the encounter. If they take damage while flying higher than 5ft above the ground, their altitude drops by "&amp;"20ft. If this would reduce their altitude to the point where they touch the ground, they become rooted and cannot fly again until the end of their next turn. If the attack that reduced your HP came from an flying creature other than yourself, you do not l"&amp;"ose altitude.")</f>
        <v>You or the creature you touch gains Fly, which gives them controlled Flight, Hover and their movement speed is doubled while flying until the end of the encounter. If they take damage while flying higher than 5ft above the ground, their altitude drops by 20ft. If this would reduce their altitude to the point where they touch the ground, they become rooted and cannot fly again until the end of their next turn. If the attack that reduced your HP came from an flying creature other than yourself, you do not lose altitude.</v>
      </c>
      <c r="G338" s="263" t="str">
        <f>IFERROR(__xludf.DUMMYFUNCTION("""COMPUTED_VALUE"""),"")</f>
        <v/>
      </c>
      <c r="H338" s="265" t="str">
        <f>IFERROR(__xludf.DUMMYFUNCTION("""COMPUTED_VALUE"""),"1 AP, 2 MP")</f>
        <v>1 AP, 2 MP</v>
      </c>
      <c r="I338" s="263" t="str">
        <f>IFERROR(__xludf.DUMMYFUNCTION("""COMPUTED_VALUE"""),"1 AP")</f>
        <v>1 AP</v>
      </c>
      <c r="J338" s="264" t="str">
        <f>IFERROR(__xludf.DUMMYFUNCTION("""COMPUTED_VALUE"""),"2 MP")</f>
        <v>2 MP</v>
      </c>
      <c r="K338" s="264" t="str">
        <f>IFERROR(__xludf.DUMMYFUNCTION("""COMPUTED_VALUE"""),"")</f>
        <v/>
      </c>
      <c r="L338" s="263" t="str">
        <f>IFERROR(__xludf.DUMMYFUNCTION("""COMPUTED_VALUE"""),"")</f>
        <v/>
      </c>
      <c r="M338" s="263"/>
      <c r="N338" s="263"/>
      <c r="O338" s="263"/>
      <c r="P338" s="263"/>
      <c r="Q338" s="263"/>
      <c r="R338" s="263"/>
      <c r="S338" s="263"/>
      <c r="T338" s="263"/>
      <c r="U338" s="246"/>
      <c r="V338" s="246"/>
      <c r="W338" s="246"/>
      <c r="X338" s="246"/>
      <c r="Y338" s="246"/>
      <c r="Z338" s="246"/>
    </row>
    <row r="339">
      <c r="A339" s="263"/>
      <c r="B339" s="265" t="str">
        <f>IFERROR(__xludf.DUMMYFUNCTION("""COMPUTED_VALUE"""),"Flyby Attack")</f>
        <v>Flyby Attack</v>
      </c>
      <c r="C339" s="263"/>
      <c r="D339" s="264" t="str">
        <f>IFERROR(__xludf.DUMMYFUNCTION("""COMPUTED_VALUE"""),"Sidestep")</f>
        <v>Sidestep</v>
      </c>
      <c r="E339" s="264" t="str">
        <f>IFERROR(__xludf.DUMMYFUNCTION("""COMPUTED_VALUE"""),"Self")</f>
        <v>Self</v>
      </c>
      <c r="F339" s="266" t="str">
        <f>IFERROR(__xludf.DUMMYFUNCTION("""COMPUTED_VALUE"""),"You sidestep up to your speed. At any point during this movement, you may spend 1 AP to make a Light attack with a weapon or spend 2 AP to make a Heavy attack with a weapon. After this attack, you may change the direction in which you spend the rest of yo"&amp;"ur movement.")</f>
        <v>You sidestep up to your speed. At any point during this movement, you may spend 1 AP to make a Light attack with a weapon or spend 2 AP to make a Heavy attack with a weapon. After this attack, you may change the direction in which you spend the rest of your movement.</v>
      </c>
      <c r="G339" s="264" t="str">
        <f>IFERROR(__xludf.DUMMYFUNCTION("""COMPUTED_VALUE"""),"Must be mounted on a flying mount.")</f>
        <v>Must be mounted on a flying mount.</v>
      </c>
      <c r="H339" s="265" t="str">
        <f>IFERROR(__xludf.DUMMYFUNCTION("""COMPUTED_VALUE"""),"1 AP, 1 MP")</f>
        <v>1 AP, 1 MP</v>
      </c>
      <c r="I339" s="264" t="str">
        <f>IFERROR(__xludf.DUMMYFUNCTION("""COMPUTED_VALUE"""),"1 AP")</f>
        <v>1 AP</v>
      </c>
      <c r="J339" s="263" t="str">
        <f>IFERROR(__xludf.DUMMYFUNCTION("""COMPUTED_VALUE"""),"1 MP")</f>
        <v>1 MP</v>
      </c>
      <c r="K339" s="263" t="str">
        <f>IFERROR(__xludf.DUMMYFUNCTION("""COMPUTED_VALUE"""),"")</f>
        <v/>
      </c>
      <c r="L339" s="263" t="str">
        <f>IFERROR(__xludf.DUMMYFUNCTION("""COMPUTED_VALUE"""),"")</f>
        <v/>
      </c>
      <c r="M339" s="263"/>
      <c r="N339" s="263"/>
      <c r="O339" s="263"/>
      <c r="P339" s="263"/>
      <c r="Q339" s="263"/>
      <c r="R339" s="263"/>
      <c r="S339" s="263"/>
      <c r="T339" s="263"/>
      <c r="U339" s="246"/>
      <c r="V339" s="246"/>
      <c r="W339" s="246"/>
      <c r="X339" s="246"/>
      <c r="Y339" s="246"/>
      <c r="Z339" s="246"/>
    </row>
    <row r="340">
      <c r="A340" s="263"/>
      <c r="B340" s="265" t="str">
        <f>IFERROR(__xludf.DUMMYFUNCTION("""COMPUTED_VALUE"""),"Flying Kick")</f>
        <v>Flying Kick</v>
      </c>
      <c r="C340" s="263"/>
      <c r="D340" s="263" t="str">
        <f>IFERROR(__xludf.DUMMYFUNCTION("""COMPUTED_VALUE"""),"Combo, Unarmed Strike")</f>
        <v>Combo, Unarmed Strike</v>
      </c>
      <c r="E340" s="263" t="str">
        <f>IFERROR(__xludf.DUMMYFUNCTION("""COMPUTED_VALUE"""),"40ft")</f>
        <v>40ft</v>
      </c>
      <c r="F340" s="266" t="str">
        <f>IFERROR(__xludf.DUMMYFUNCTION("""COMPUTED_VALUE"""),"You may Sidestep next to the target within range and make a Light Attack against it. You gain Flight for this movement. Combo: Your Strike of Still Water has its AP cost reduced by 1.")</f>
        <v>You may Sidestep next to the target within range and make a Light Attack against it. You gain Flight for this movement. Combo: Your Strike of Still Water has its AP cost reduced by 1.</v>
      </c>
      <c r="G340" s="263" t="str">
        <f>IFERROR(__xludf.DUMMYFUNCTION("""COMPUTED_VALUE"""),"Must have hit a target with Ki Blast in the previous action.")</f>
        <v>Must have hit a target with Ki Blast in the previous action.</v>
      </c>
      <c r="H340" s="267" t="str">
        <f>IFERROR(__xludf.DUMMYFUNCTION("""COMPUTED_VALUE"""),"1 AP")</f>
        <v>1 AP</v>
      </c>
      <c r="I340" s="263" t="str">
        <f>IFERROR(__xludf.DUMMYFUNCTION("""COMPUTED_VALUE"""),"1 AP")</f>
        <v>1 AP</v>
      </c>
      <c r="J340" s="263" t="str">
        <f>IFERROR(__xludf.DUMMYFUNCTION("""COMPUTED_VALUE"""),"")</f>
        <v/>
      </c>
      <c r="K340" s="263" t="str">
        <f>IFERROR(__xludf.DUMMYFUNCTION("""COMPUTED_VALUE"""),"")</f>
        <v/>
      </c>
      <c r="L340" s="263" t="str">
        <f>IFERROR(__xludf.DUMMYFUNCTION("""COMPUTED_VALUE"""),"")</f>
        <v/>
      </c>
      <c r="M340" s="263"/>
      <c r="N340" s="263"/>
      <c r="O340" s="263"/>
      <c r="P340" s="263"/>
      <c r="Q340" s="263"/>
      <c r="R340" s="263"/>
      <c r="S340" s="263"/>
      <c r="T340" s="263"/>
      <c r="U340" s="246"/>
      <c r="V340" s="246"/>
      <c r="W340" s="246"/>
      <c r="X340" s="246"/>
      <c r="Y340" s="246"/>
      <c r="Z340" s="246"/>
    </row>
    <row r="341">
      <c r="A341" s="263"/>
      <c r="B341" s="265" t="str">
        <f>IFERROR(__xludf.DUMMYFUNCTION("""COMPUTED_VALUE"""),"Focused Detonation")</f>
        <v>Focused Detonation</v>
      </c>
      <c r="C341" s="263"/>
      <c r="D341" s="264" t="str">
        <f>IFERROR(__xludf.DUMMYFUNCTION("""COMPUTED_VALUE"""),"")</f>
        <v/>
      </c>
      <c r="E341" s="264" t="str">
        <f>IFERROR(__xludf.DUMMYFUNCTION("""COMPUTED_VALUE"""),"")</f>
        <v/>
      </c>
      <c r="F341" s="266" t="str">
        <f>IFERROR(__xludf.DUMMYFUNCTION("""COMPUTED_VALUE"""),"Make a gathering check against either Node or Lucky points. If this strike would max it out, you may instead leave it at 1 away from completion and you gain +1 Strike Dice")</f>
        <v>Make a gathering check against either Node or Lucky points. If this strike would max it out, you may instead leave it at 1 away from completion and you gain +1 Strike Dice</v>
      </c>
      <c r="G341" s="263" t="str">
        <f>IFERROR(__xludf.DUMMYFUNCTION("""COMPUTED_VALUE"""),"Must in a gathering session.")</f>
        <v>Must in a gathering session.</v>
      </c>
      <c r="H341" s="265" t="str">
        <f>IFERROR(__xludf.DUMMYFUNCTION("""COMPUTED_VALUE"""),"1 Strike Dice")</f>
        <v>1 Strike Dice</v>
      </c>
      <c r="I341" s="264" t="str">
        <f>IFERROR(__xludf.DUMMYFUNCTION("""COMPUTED_VALUE"""),"")</f>
        <v/>
      </c>
      <c r="J341" s="263" t="str">
        <f>IFERROR(__xludf.DUMMYFUNCTION("""COMPUTED_VALUE"""),"")</f>
        <v/>
      </c>
      <c r="K341" s="263" t="str">
        <f>IFERROR(__xludf.DUMMYFUNCTION("""COMPUTED_VALUE"""),"")</f>
        <v/>
      </c>
      <c r="L341" s="263" t="str">
        <f>IFERROR(__xludf.DUMMYFUNCTION("""COMPUTED_VALUE"""),"")</f>
        <v/>
      </c>
      <c r="M341" s="263"/>
      <c r="N341" s="263"/>
      <c r="O341" s="263"/>
      <c r="P341" s="263"/>
      <c r="Q341" s="263"/>
      <c r="R341" s="263"/>
      <c r="S341" s="263"/>
      <c r="T341" s="263"/>
      <c r="U341" s="246"/>
      <c r="V341" s="246"/>
      <c r="W341" s="246"/>
      <c r="X341" s="246"/>
      <c r="Y341" s="246"/>
      <c r="Z341" s="246"/>
    </row>
    <row r="342">
      <c r="A342" s="263"/>
      <c r="B342" s="265" t="str">
        <f>IFERROR(__xludf.DUMMYFUNCTION("""COMPUTED_VALUE"""),"Focused Power")</f>
        <v>Focused Power</v>
      </c>
      <c r="C342" s="263"/>
      <c r="D342" s="263" t="str">
        <f>IFERROR(__xludf.DUMMYFUNCTION("""COMPUTED_VALUE"""),"")</f>
        <v/>
      </c>
      <c r="E342" s="263" t="str">
        <f>IFERROR(__xludf.DUMMYFUNCTION("""COMPUTED_VALUE"""),"Self")</f>
        <v>Self</v>
      </c>
      <c r="F342" s="266" t="str">
        <f>IFERROR(__xludf.DUMMYFUNCTION("""COMPUTED_VALUE"""),"When you’re about to take the extra damage from Inexorable Shadow Stance, you may choose to maximize the damage instead of rolling. Affects both the self damage and the damage you deal with it.")</f>
        <v>When you’re about to take the extra damage from Inexorable Shadow Stance, you may choose to maximize the damage instead of rolling. Affects both the self damage and the damage you deal with it.</v>
      </c>
      <c r="G342" s="263" t="str">
        <f>IFERROR(__xludf.DUMMYFUNCTION("""COMPUTED_VALUE"""),"Must be in Inexorable Shadow Stance.")</f>
        <v>Must be in Inexorable Shadow Stance.</v>
      </c>
      <c r="H342" s="267" t="str">
        <f>IFERROR(__xludf.DUMMYFUNCTION("""COMPUTED_VALUE"""),"1 MP, 0 RP")</f>
        <v>1 MP, 0 RP</v>
      </c>
      <c r="I342" s="263" t="str">
        <f>IFERROR(__xludf.DUMMYFUNCTION("""COMPUTED_VALUE"""),"")</f>
        <v/>
      </c>
      <c r="J342" s="263" t="str">
        <f>IFERROR(__xludf.DUMMYFUNCTION("""COMPUTED_VALUE"""),"1 MP")</f>
        <v>1 MP</v>
      </c>
      <c r="K342" s="263" t="str">
        <f>IFERROR(__xludf.DUMMYFUNCTION("""COMPUTED_VALUE"""),"0 RP")</f>
        <v>0 RP</v>
      </c>
      <c r="L342" s="263" t="str">
        <f>IFERROR(__xludf.DUMMYFUNCTION("""COMPUTED_VALUE"""),"")</f>
        <v/>
      </c>
      <c r="M342" s="263"/>
      <c r="N342" s="263"/>
      <c r="O342" s="263"/>
      <c r="P342" s="263"/>
      <c r="Q342" s="263"/>
      <c r="R342" s="263"/>
      <c r="S342" s="263"/>
      <c r="T342" s="263"/>
      <c r="U342" s="246"/>
      <c r="V342" s="246"/>
      <c r="W342" s="246"/>
      <c r="X342" s="246"/>
      <c r="Y342" s="246"/>
      <c r="Z342" s="246"/>
    </row>
    <row r="343">
      <c r="A343" s="263"/>
      <c r="B343" s="265" t="str">
        <f>IFERROR(__xludf.DUMMYFUNCTION("""COMPUTED_VALUE"""),"Forager's Eye")</f>
        <v>Forager's Eye</v>
      </c>
      <c r="C343" s="263"/>
      <c r="D343" s="264" t="str">
        <f>IFERROR(__xludf.DUMMYFUNCTION("""COMPUTED_VALUE"""),"")</f>
        <v/>
      </c>
      <c r="E343" s="264" t="str">
        <f>IFERROR(__xludf.DUMMYFUNCTION("""COMPUTED_VALUE"""),"120ft")</f>
        <v>120ft</v>
      </c>
      <c r="F343" s="266" t="str">
        <f>IFERROR(__xludf.DUMMYFUNCTION("""COMPUTED_VALUE"""),"Initiate a sight and sound based search for hidden plants, fungi, creatures or living enemy units in a 30x30 area within range.  You become automatically aware of the targeted species of plants, fungi or creatures or you can choose to be aware of all host"&amp;"ile enemy units.  You must have line of sight to the target in order to spot them.  After revealing the target your Lifebeat Sense gains (if used immediately after):
Combo:  If used after Forager's Eye, the AP and mana cost of this is reduced by 1 and the"&amp;" target's location is known to you and your allies until the end of your next turn. This removes Hiding from them.")</f>
        <v>Initiate a sight and sound based search for hidden plants, fungi, creatures or living enemy units in a 30x30 area within range.  You become automatically aware of the targeted species of plants, fungi or creatures or you can choose to be aware of all hostile enemy units.  You must have line of sight to the target in order to spot them.  After revealing the target your Lifebeat Sense gains (if used immediately after):
Combo:  If used after Forager's Eye, the AP and mana cost of this is reduced by 1 and the target's location is known to you and your allies until the end of your next turn. This removes Hiding from them.</v>
      </c>
      <c r="G343" s="264" t="str">
        <f>IFERROR(__xludf.DUMMYFUNCTION("""COMPUTED_VALUE"""),"Can see or hear the target category.")</f>
        <v>Can see or hear the target category.</v>
      </c>
      <c r="H343" s="265" t="str">
        <f>IFERROR(__xludf.DUMMYFUNCTION("""COMPUTED_VALUE"""),"1 AP")</f>
        <v>1 AP</v>
      </c>
      <c r="I343" s="263" t="str">
        <f>IFERROR(__xludf.DUMMYFUNCTION("""COMPUTED_VALUE"""),"1 AP")</f>
        <v>1 AP</v>
      </c>
      <c r="J343" s="263" t="str">
        <f>IFERROR(__xludf.DUMMYFUNCTION("""COMPUTED_VALUE"""),"")</f>
        <v/>
      </c>
      <c r="K343" s="264" t="str">
        <f>IFERROR(__xludf.DUMMYFUNCTION("""COMPUTED_VALUE"""),"")</f>
        <v/>
      </c>
      <c r="L343" s="263" t="str">
        <f>IFERROR(__xludf.DUMMYFUNCTION("""COMPUTED_VALUE"""),"")</f>
        <v/>
      </c>
      <c r="M343" s="263"/>
      <c r="N343" s="263"/>
      <c r="O343" s="263"/>
      <c r="P343" s="263"/>
      <c r="Q343" s="263"/>
      <c r="R343" s="263"/>
      <c r="S343" s="263"/>
      <c r="T343" s="263"/>
      <c r="U343" s="246"/>
      <c r="V343" s="246"/>
      <c r="W343" s="246"/>
      <c r="X343" s="246"/>
      <c r="Y343" s="246"/>
      <c r="Z343" s="246"/>
    </row>
    <row r="344">
      <c r="A344" s="263"/>
      <c r="B344" s="265" t="str">
        <f>IFERROR(__xludf.DUMMYFUNCTION("""COMPUTED_VALUE"""),"Forest Walker")</f>
        <v>Forest Walker</v>
      </c>
      <c r="C344" s="263"/>
      <c r="D344" s="264" t="str">
        <f>IFERROR(__xludf.DUMMYFUNCTION("""COMPUTED_VALUE"""),"")</f>
        <v/>
      </c>
      <c r="E344" s="264" t="str">
        <f>IFERROR(__xludf.DUMMYFUNCTION("""COMPUTED_VALUE"""),"")</f>
        <v/>
      </c>
      <c r="F344" s="266" t="str">
        <f>IFERROR(__xludf.DUMMYFUNCTION("""COMPUTED_VALUE"""),"You ignore difficult terrain created by vines, foliage and similar natural phenomena.")</f>
        <v>You ignore difficult terrain created by vines, foliage and similar natural phenomena.</v>
      </c>
      <c r="G344" s="263" t="str">
        <f>IFERROR(__xludf.DUMMYFUNCTION("""COMPUTED_VALUE"""),"")</f>
        <v/>
      </c>
      <c r="H344" s="265" t="str">
        <f>IFERROR(__xludf.DUMMYFUNCTION("""COMPUTED_VALUE"""),"")</f>
        <v/>
      </c>
      <c r="I344" s="264" t="str">
        <f>IFERROR(__xludf.DUMMYFUNCTION("""COMPUTED_VALUE"""),"")</f>
        <v/>
      </c>
      <c r="J344" s="264" t="str">
        <f>IFERROR(__xludf.DUMMYFUNCTION("""COMPUTED_VALUE"""),"")</f>
        <v/>
      </c>
      <c r="K344" s="263" t="str">
        <f>IFERROR(__xludf.DUMMYFUNCTION("""COMPUTED_VALUE"""),"")</f>
        <v/>
      </c>
      <c r="L344" s="263" t="str">
        <f>IFERROR(__xludf.DUMMYFUNCTION("""COMPUTED_VALUE"""),"")</f>
        <v/>
      </c>
      <c r="M344" s="263"/>
      <c r="N344" s="263"/>
      <c r="O344" s="263"/>
      <c r="P344" s="263"/>
      <c r="Q344" s="263"/>
      <c r="R344" s="263"/>
      <c r="S344" s="263"/>
      <c r="T344" s="263"/>
      <c r="U344" s="246"/>
      <c r="V344" s="246"/>
      <c r="W344" s="246"/>
      <c r="X344" s="246"/>
      <c r="Y344" s="246"/>
      <c r="Z344" s="246"/>
    </row>
    <row r="345">
      <c r="A345" s="263"/>
      <c r="B345" s="265" t="str">
        <f>IFERROR(__xludf.DUMMYFUNCTION("""COMPUTED_VALUE"""),"Foretell")</f>
        <v>Foretell</v>
      </c>
      <c r="C345" s="263"/>
      <c r="D345" s="263" t="str">
        <f>IFERROR(__xludf.DUMMYFUNCTION("""COMPUTED_VALUE"""),"Divination")</f>
        <v>Divination</v>
      </c>
      <c r="E345" s="263" t="str">
        <f>IFERROR(__xludf.DUMMYFUNCTION("""COMPUTED_VALUE"""),"Self")</f>
        <v>Self</v>
      </c>
      <c r="F345" s="266" t="str">
        <f>IFERROR(__xludf.DUMMYFUNCTION("""COMPUTED_VALUE"""),"You receive a vision of the near future. Roll a d20 and store that number. When you or your allies are going to roll that dice type, you can instead replace it with your dice roll, you then lose your Foretell dice. You can only have one Foretell dice at a"&amp;" time, casting Foretell again overwrites the previous dice. Foretel dice last until the end of your next turn.
After rolling, you may spend 1 mana to reroll the dice once. After doing this, you can't do so again for this use of the ability.")</f>
        <v>You receive a vision of the near future. Roll a d20 and store that number. When you or your allies are going to roll that dice type, you can instead replace it with your dice roll, you then lose your Foretell dice. You can only have one Foretell dice at a time, casting Foretell again overwrites the previous dice. Foretel dice last until the end of your next turn.
After rolling, you may spend 1 mana to reroll the dice once. After doing this, you can't do so again for this use of the ability.</v>
      </c>
      <c r="G345" s="263" t="str">
        <f>IFERROR(__xludf.DUMMYFUNCTION("""COMPUTED_VALUE"""),"")</f>
        <v/>
      </c>
      <c r="H345" s="267" t="str">
        <f>IFERROR(__xludf.DUMMYFUNCTION("""COMPUTED_VALUE"""),"1 AP")</f>
        <v>1 AP</v>
      </c>
      <c r="I345" s="263" t="str">
        <f>IFERROR(__xludf.DUMMYFUNCTION("""COMPUTED_VALUE"""),"1 AP")</f>
        <v>1 AP</v>
      </c>
      <c r="J345" s="263" t="str">
        <f>IFERROR(__xludf.DUMMYFUNCTION("""COMPUTED_VALUE"""),"")</f>
        <v/>
      </c>
      <c r="K345" s="263" t="str">
        <f>IFERROR(__xludf.DUMMYFUNCTION("""COMPUTED_VALUE"""),"")</f>
        <v/>
      </c>
      <c r="L345" s="263" t="str">
        <f>IFERROR(__xludf.DUMMYFUNCTION("""COMPUTED_VALUE"""),"")</f>
        <v/>
      </c>
      <c r="M345" s="263"/>
      <c r="N345" s="263"/>
      <c r="O345" s="263"/>
      <c r="P345" s="263"/>
      <c r="Q345" s="263"/>
      <c r="R345" s="263"/>
      <c r="S345" s="263"/>
      <c r="T345" s="263"/>
      <c r="U345" s="246"/>
      <c r="V345" s="246"/>
      <c r="W345" s="246"/>
      <c r="X345" s="246"/>
      <c r="Y345" s="246"/>
      <c r="Z345" s="246"/>
    </row>
    <row r="346">
      <c r="A346" s="263"/>
      <c r="B346" s="265" t="str">
        <f>IFERROR(__xludf.DUMMYFUNCTION("""COMPUTED_VALUE"""),"Forged Knowledge")</f>
        <v>Forged Knowledge</v>
      </c>
      <c r="C346" s="263"/>
      <c r="D346" s="263" t="str">
        <f>IFERROR(__xludf.DUMMYFUNCTION("""COMPUTED_VALUE"""),"")</f>
        <v/>
      </c>
      <c r="E346" s="263" t="str">
        <f>IFERROR(__xludf.DUMMYFUNCTION("""COMPUTED_VALUE"""),"Self")</f>
        <v>Self</v>
      </c>
      <c r="F346" s="266" t="str">
        <f>IFERROR(__xludf.DUMMYFUNCTION("""COMPUTED_VALUE"""),"Using your knowledge of weapons, you infuse the strongest point of your weapon with mana and then strike at the perfect angle dealing maximum weapon damage.  Maximize one damage dice for the attack.")</f>
        <v>Using your knowledge of weapons, you infuse the strongest point of your weapon with mana and then strike at the perfect angle dealing maximum weapon damage.  Maximize one damage dice for the attack.</v>
      </c>
      <c r="G346" s="263" t="str">
        <f>IFERROR(__xludf.DUMMYFUNCTION("""COMPUTED_VALUE"""),"Attack must be made with a weapon you crafted.")</f>
        <v>Attack must be made with a weapon you crafted.</v>
      </c>
      <c r="H346" s="267" t="str">
        <f>IFERROR(__xludf.DUMMYFUNCTION("""COMPUTED_VALUE"""),"1 MP, 0 RP")</f>
        <v>1 MP, 0 RP</v>
      </c>
      <c r="I346" s="263" t="str">
        <f>IFERROR(__xludf.DUMMYFUNCTION("""COMPUTED_VALUE"""),"")</f>
        <v/>
      </c>
      <c r="J346" s="263" t="str">
        <f>IFERROR(__xludf.DUMMYFUNCTION("""COMPUTED_VALUE"""),"1 MP")</f>
        <v>1 MP</v>
      </c>
      <c r="K346" s="263" t="str">
        <f>IFERROR(__xludf.DUMMYFUNCTION("""COMPUTED_VALUE"""),"0 RP")</f>
        <v>0 RP</v>
      </c>
      <c r="L346" s="263" t="str">
        <f>IFERROR(__xludf.DUMMYFUNCTION("""COMPUTED_VALUE"""),"")</f>
        <v/>
      </c>
      <c r="M346" s="263"/>
      <c r="N346" s="263"/>
      <c r="O346" s="263"/>
      <c r="P346" s="263"/>
      <c r="Q346" s="263"/>
      <c r="R346" s="263"/>
      <c r="S346" s="263"/>
      <c r="T346" s="263"/>
      <c r="U346" s="246"/>
      <c r="V346" s="246"/>
      <c r="W346" s="246"/>
      <c r="X346" s="246"/>
      <c r="Y346" s="246"/>
      <c r="Z346" s="246"/>
    </row>
    <row r="347">
      <c r="A347" s="263"/>
      <c r="B347" s="265" t="str">
        <f>IFERROR(__xludf.DUMMYFUNCTION("""COMPUTED_VALUE"""),"Forged Knowledge II")</f>
        <v>Forged Knowledge II</v>
      </c>
      <c r="C347" s="263"/>
      <c r="D347" s="263" t="str">
        <f>IFERROR(__xludf.DUMMYFUNCTION("""COMPUTED_VALUE"""),"Augment")</f>
        <v>Augment</v>
      </c>
      <c r="E347" s="264" t="str">
        <f>IFERROR(__xludf.DUMMYFUNCTION("""COMPUTED_VALUE"""),"Sight")</f>
        <v>Sight</v>
      </c>
      <c r="F347" s="266" t="str">
        <f>IFERROR(__xludf.DUMMYFUNCTION("""COMPUTED_VALUE"""),"Your bond with the weapon allows you to infuse it with mana at a crucial point. Use when determining attack damage, maximize all weapon dice for that attack.")</f>
        <v>Your bond with the weapon allows you to infuse it with mana at a crucial point. Use when determining attack damage, maximize all weapon dice for that attack.</v>
      </c>
      <c r="G347" s="263" t="str">
        <f>IFERROR(__xludf.DUMMYFUNCTION("""COMPUTED_VALUE"""),"You or an ally attacked with a weapon you crafted.")</f>
        <v>You or an ally attacked with a weapon you crafted.</v>
      </c>
      <c r="H347" s="267" t="str">
        <f>IFERROR(__xludf.DUMMYFUNCTION("""COMPUTED_VALUE"""),"2 MP, 0 RP")</f>
        <v>2 MP, 0 RP</v>
      </c>
      <c r="I347" s="263" t="str">
        <f>IFERROR(__xludf.DUMMYFUNCTION("""COMPUTED_VALUE"""),"")</f>
        <v/>
      </c>
      <c r="J347" s="263" t="str">
        <f>IFERROR(__xludf.DUMMYFUNCTION("""COMPUTED_VALUE"""),"2 MP")</f>
        <v>2 MP</v>
      </c>
      <c r="K347" s="263" t="str">
        <f>IFERROR(__xludf.DUMMYFUNCTION("""COMPUTED_VALUE"""),"0 RP")</f>
        <v>0 RP</v>
      </c>
      <c r="L347" s="263" t="str">
        <f>IFERROR(__xludf.DUMMYFUNCTION("""COMPUTED_VALUE"""),"")</f>
        <v/>
      </c>
      <c r="M347" s="263"/>
      <c r="N347" s="263"/>
      <c r="O347" s="263"/>
      <c r="P347" s="263"/>
      <c r="Q347" s="263"/>
      <c r="R347" s="263"/>
      <c r="S347" s="263"/>
      <c r="T347" s="263"/>
      <c r="U347" s="246"/>
      <c r="V347" s="246"/>
      <c r="W347" s="246"/>
      <c r="X347" s="246"/>
      <c r="Y347" s="246"/>
      <c r="Z347" s="246"/>
    </row>
    <row r="348">
      <c r="A348" s="263"/>
      <c r="B348" s="265" t="str">
        <f>IFERROR(__xludf.DUMMYFUNCTION("""COMPUTED_VALUE"""),"Forgemaster Core Crafting")</f>
        <v>Forgemaster Core Crafting</v>
      </c>
      <c r="C348" s="263"/>
      <c r="D348" s="263" t="str">
        <f>IFERROR(__xludf.DUMMYFUNCTION("""COMPUTED_VALUE"""),"")</f>
        <v/>
      </c>
      <c r="E348" s="264" t="str">
        <f>IFERROR(__xludf.DUMMYFUNCTION("""COMPUTED_VALUE"""),"")</f>
        <v/>
      </c>
      <c r="F348" s="266" t="str">
        <f>IFERROR(__xludf.DUMMYFUNCTION("""COMPUTED_VALUE"""),"Blacksmith’s Modification B
Cost: X Crafting Points
Description:
You add an B-Type modification to the weapon or tool. See the Universal Weapon or Crafting mods page as well as the individual weapon page for details. Each modification has its own cost.")</f>
        <v>Blacksmith’s Modification B
Cost: X Crafting Points
Description:
You add an B-Type modification to the weapon or tool. See the Universal Weapon or Crafting mods page as well as the individual weapon page for details. Each modification has its own cost.</v>
      </c>
      <c r="G348" s="264" t="str">
        <f>IFERROR(__xludf.DUMMYFUNCTION("""COMPUTED_VALUE"""),"")</f>
        <v/>
      </c>
      <c r="H348" s="265" t="str">
        <f>IFERROR(__xludf.DUMMYFUNCTION("""COMPUTED_VALUE"""),"")</f>
        <v/>
      </c>
      <c r="I348" s="264" t="str">
        <f>IFERROR(__xludf.DUMMYFUNCTION("""COMPUTED_VALUE"""),"")</f>
        <v/>
      </c>
      <c r="J348" s="264" t="str">
        <f>IFERROR(__xludf.DUMMYFUNCTION("""COMPUTED_VALUE"""),"")</f>
        <v/>
      </c>
      <c r="K348" s="263" t="str">
        <f>IFERROR(__xludf.DUMMYFUNCTION("""COMPUTED_VALUE"""),"")</f>
        <v/>
      </c>
      <c r="L348" s="263" t="str">
        <f>IFERROR(__xludf.DUMMYFUNCTION("""COMPUTED_VALUE"""),"")</f>
        <v/>
      </c>
      <c r="M348" s="263"/>
      <c r="N348" s="263"/>
      <c r="O348" s="263"/>
      <c r="P348" s="263"/>
      <c r="Q348" s="263"/>
      <c r="R348" s="263"/>
      <c r="S348" s="263"/>
      <c r="T348" s="263"/>
      <c r="U348" s="246"/>
      <c r="V348" s="246"/>
      <c r="W348" s="246"/>
      <c r="X348" s="246"/>
      <c r="Y348" s="246"/>
      <c r="Z348" s="246"/>
    </row>
    <row r="349">
      <c r="A349" s="263"/>
      <c r="B349" s="265" t="str">
        <f>IFERROR(__xludf.DUMMYFUNCTION("""COMPUTED_VALUE"""),"Forked Lightning")</f>
        <v>Forked Lightning</v>
      </c>
      <c r="C349" s="263"/>
      <c r="D349" s="264" t="str">
        <f>IFERROR(__xludf.DUMMYFUNCTION("""COMPUTED_VALUE"""),"Lightning, Spell")</f>
        <v>Lightning, Spell</v>
      </c>
      <c r="E349" s="264" t="str">
        <f>IFERROR(__xludf.DUMMYFUNCTION("""COMPUTED_VALUE"""),"120ft")</f>
        <v>120ft</v>
      </c>
      <c r="F349" s="266" t="str">
        <f>IFERROR(__xludf.DUMMYFUNCTION("""COMPUTED_VALUE"""),"You make a Light Attack against two different targets who can be no further than 20ft apart, dealing Lightning Damage and on damage, inflict Static X where X equals your Focus x 2.")</f>
        <v>You make a Light Attack against two different targets who can be no further than 20ft apart, dealing Lightning Damage and on damage, inflict Static X where X equals your Focus x 2.</v>
      </c>
      <c r="G349" s="264" t="str">
        <f>IFERROR(__xludf.DUMMYFUNCTION("""COMPUTED_VALUE"""),"")</f>
        <v/>
      </c>
      <c r="H349" s="265" t="str">
        <f>IFERROR(__xludf.DUMMYFUNCTION("""COMPUTED_VALUE"""),"2 AP")</f>
        <v>2 AP</v>
      </c>
      <c r="I349" s="264" t="str">
        <f>IFERROR(__xludf.DUMMYFUNCTION("""COMPUTED_VALUE"""),"2 AP")</f>
        <v>2 AP</v>
      </c>
      <c r="J349" s="264" t="str">
        <f>IFERROR(__xludf.DUMMYFUNCTION("""COMPUTED_VALUE"""),"")</f>
        <v/>
      </c>
      <c r="K349" s="263" t="str">
        <f>IFERROR(__xludf.DUMMYFUNCTION("""COMPUTED_VALUE"""),"")</f>
        <v/>
      </c>
      <c r="L349" s="263" t="str">
        <f>IFERROR(__xludf.DUMMYFUNCTION("""COMPUTED_VALUE"""),"")</f>
        <v/>
      </c>
      <c r="M349" s="263"/>
      <c r="N349" s="263"/>
      <c r="O349" s="263"/>
      <c r="P349" s="263"/>
      <c r="Q349" s="263"/>
      <c r="R349" s="263"/>
      <c r="S349" s="263"/>
      <c r="T349" s="263"/>
      <c r="U349" s="246"/>
      <c r="V349" s="246"/>
      <c r="W349" s="246"/>
      <c r="X349" s="246"/>
      <c r="Y349" s="246"/>
      <c r="Z349" s="246"/>
    </row>
    <row r="350">
      <c r="A350" s="263"/>
      <c r="B350" s="265" t="str">
        <f>IFERROR(__xludf.DUMMYFUNCTION("""COMPUTED_VALUE"""),"Forward Momentum")</f>
        <v>Forward Momentum</v>
      </c>
      <c r="C350" s="263"/>
      <c r="D350" s="263" t="str">
        <f>IFERROR(__xludf.DUMMYFUNCTION("""COMPUTED_VALUE"""),"Quick")</f>
        <v>Quick</v>
      </c>
      <c r="E350" s="264" t="str">
        <f>IFERROR(__xludf.DUMMYFUNCTION("""COMPUTED_VALUE"""),"Self")</f>
        <v>Self</v>
      </c>
      <c r="F350" s="266" t="str">
        <f>IFERROR(__xludf.DUMMYFUNCTION("""COMPUTED_VALUE"""),"Until the start of your next turn, on damage of every melee attack you make, you may push the target back 5ft. You must then move 5ft towards that target (if possible to do safely) without provoking attacks of opportunity. This only works with attacks tha"&amp;"t target a single enemy.")</f>
        <v>Until the start of your next turn, on damage of every melee attack you make, you may push the target back 5ft. You must then move 5ft towards that target (if possible to do safely) without provoking attacks of opportunity. This only works with attacks that target a single enemy.</v>
      </c>
      <c r="G350" s="264" t="str">
        <f>IFERROR(__xludf.DUMMYFUNCTION("""COMPUTED_VALUE"""),"")</f>
        <v/>
      </c>
      <c r="H350" s="265" t="str">
        <f>IFERROR(__xludf.DUMMYFUNCTION("""COMPUTED_VALUE"""),"0 AP")</f>
        <v>0 AP</v>
      </c>
      <c r="I350" s="264" t="str">
        <f>IFERROR(__xludf.DUMMYFUNCTION("""COMPUTED_VALUE"""),"0 AP")</f>
        <v>0 AP</v>
      </c>
      <c r="J350" s="264" t="str">
        <f>IFERROR(__xludf.DUMMYFUNCTION("""COMPUTED_VALUE"""),"")</f>
        <v/>
      </c>
      <c r="K350" s="263" t="str">
        <f>IFERROR(__xludf.DUMMYFUNCTION("""COMPUTED_VALUE"""),"")</f>
        <v/>
      </c>
      <c r="L350" s="263" t="str">
        <f>IFERROR(__xludf.DUMMYFUNCTION("""COMPUTED_VALUE"""),"")</f>
        <v/>
      </c>
      <c r="M350" s="263"/>
      <c r="N350" s="263"/>
      <c r="O350" s="263"/>
      <c r="P350" s="263"/>
      <c r="Q350" s="263"/>
      <c r="R350" s="263"/>
      <c r="S350" s="263"/>
      <c r="T350" s="263"/>
      <c r="U350" s="246"/>
      <c r="V350" s="246"/>
      <c r="W350" s="246"/>
      <c r="X350" s="246"/>
      <c r="Y350" s="246"/>
      <c r="Z350" s="246"/>
    </row>
    <row r="351">
      <c r="A351" s="263"/>
      <c r="B351" s="265" t="str">
        <f>IFERROR(__xludf.DUMMYFUNCTION("""COMPUTED_VALUE"""),"Four Field System")</f>
        <v>Four Field System</v>
      </c>
      <c r="C351" s="263"/>
      <c r="D351" s="263" t="str">
        <f>IFERROR(__xludf.DUMMYFUNCTION("""COMPUTED_VALUE"""),"")</f>
        <v/>
      </c>
      <c r="E351" s="264" t="str">
        <f>IFERROR(__xludf.DUMMYFUNCTION("""COMPUTED_VALUE"""),"")</f>
        <v/>
      </c>
      <c r="F351" s="266" t="str">
        <f>IFERROR(__xludf.DUMMYFUNCTION("""COMPUTED_VALUE"""),"Make a crafting check. Afterwards, whenever you use an ability for crafting that you haven’t used before in this crafting session, it gains a +2 bonus to the crafting points it gives.")</f>
        <v>Make a crafting check. Afterwards, whenever you use an ability for crafting that you haven’t used before in this crafting session, it gains a +2 bonus to the crafting points it gives.</v>
      </c>
      <c r="G351" s="263" t="str">
        <f>IFERROR(__xludf.DUMMYFUNCTION("""COMPUTED_VALUE"""),"Must be in a crafting session and costs 1 crafting dice.")</f>
        <v>Must be in a crafting session and costs 1 crafting dice.</v>
      </c>
      <c r="H351" s="265" t="str">
        <f>IFERROR(__xludf.DUMMYFUNCTION("""COMPUTED_VALUE"""),"")</f>
        <v/>
      </c>
      <c r="I351" s="264" t="str">
        <f>IFERROR(__xludf.DUMMYFUNCTION("""COMPUTED_VALUE"""),"")</f>
        <v/>
      </c>
      <c r="J351" s="264" t="str">
        <f>IFERROR(__xludf.DUMMYFUNCTION("""COMPUTED_VALUE"""),"")</f>
        <v/>
      </c>
      <c r="K351" s="263" t="str">
        <f>IFERROR(__xludf.DUMMYFUNCTION("""COMPUTED_VALUE"""),"")</f>
        <v/>
      </c>
      <c r="L351" s="263" t="str">
        <f>IFERROR(__xludf.DUMMYFUNCTION("""COMPUTED_VALUE"""),"")</f>
        <v/>
      </c>
      <c r="M351" s="263"/>
      <c r="N351" s="263"/>
      <c r="O351" s="263"/>
      <c r="P351" s="263"/>
      <c r="Q351" s="263"/>
      <c r="R351" s="263"/>
      <c r="S351" s="263"/>
      <c r="T351" s="263"/>
      <c r="U351" s="246"/>
      <c r="V351" s="246"/>
      <c r="W351" s="246"/>
      <c r="X351" s="246"/>
      <c r="Y351" s="246"/>
      <c r="Z351" s="246"/>
    </row>
    <row r="352">
      <c r="A352" s="263"/>
      <c r="B352" s="265" t="str">
        <f>IFERROR(__xludf.DUMMYFUNCTION("""COMPUTED_VALUE"""),"Four Point Strike")</f>
        <v>Four Point Strike</v>
      </c>
      <c r="C352" s="263"/>
      <c r="D352" s="264" t="str">
        <f>IFERROR(__xludf.DUMMYFUNCTION("""COMPUTED_VALUE"""),"Combo, Unarmed Strike, Mystic Eye")</f>
        <v>Combo, Unarmed Strike, Mystic Eye</v>
      </c>
      <c r="E352" s="264" t="str">
        <f>IFERROR(__xludf.DUMMYFUNCTION("""COMPUTED_VALUE"""),"Melee Weapon Range")</f>
        <v>Melee Weapon Range</v>
      </c>
      <c r="F352" s="266" t="str">
        <f>IFERROR(__xludf.DUMMYFUNCTION("""COMPUTED_VALUE"""),"You may make a Light Attack against the target. On damage, you apply Wave Palm II.
Combo: If used after Two Point Strike or against a target afflicted with Wave Palm I, the mana cost is reduced by 2 and the AP cost by 1. If the target is afflicted with Wa"&amp;"ve Palm I, you apply Wave Palm III instead of Wave Palm II.
Wave Palm increases the mana cost of the afflicted target’s next action that uses mana by an amount equal to the amount of stacks applied. If the triggering attack makes the number of total stack"&amp;"s exceed the target's current mana, they lose mana equal to the amount of total stacks and take true damage equal to triple this amount. Wave Palm does not stack with itself, use only the higher value.
If the target has no mana, they immediately take true"&amp;" damage as if their stacks exceeded their current mana.
When the Wave Palm effect triggers, either by increasing the mana cost or by dealing the true damage, the Wave Palm effect is removed.")</f>
        <v>You may make a Light Attack against the target. On damage, you apply Wave Palm II.
Combo: If used after Two Point Strike or against a target afflicted with Wave Palm I, the mana cost is reduced by 2 and the AP cost by 1. If the target is afflicted with Wave Palm I, you apply Wave Palm III instead of Wave Palm II.
Wave Palm increases the mana cost of the afflicted target’s next action that uses mana by an amount equal to the amount of stacks applied. If the triggering attack makes the number of total stacks exceed the target's current mana, they lose mana equal to the amount of total stacks and take true damage equal to triple this amount. Wave Palm does not stack with itself, use only the higher value.
If the target has no mana, they immediately take true damage as if their stacks exceeded their current mana.
When the Wave Palm effect triggers, either by increasing the mana cost or by dealing the true damage, the Wave Palm effect is removed.</v>
      </c>
      <c r="G352" s="263" t="str">
        <f>IFERROR(__xludf.DUMMYFUNCTION("""COMPUTED_VALUE"""),"")</f>
        <v/>
      </c>
      <c r="H352" s="265" t="str">
        <f>IFERROR(__xludf.DUMMYFUNCTION("""COMPUTED_VALUE"""),"2 AP, 2 MP")</f>
        <v>2 AP, 2 MP</v>
      </c>
      <c r="I352" s="263" t="str">
        <f>IFERROR(__xludf.DUMMYFUNCTION("""COMPUTED_VALUE"""),"2 AP")</f>
        <v>2 AP</v>
      </c>
      <c r="J352" s="263" t="str">
        <f>IFERROR(__xludf.DUMMYFUNCTION("""COMPUTED_VALUE"""),"2 MP")</f>
        <v>2 MP</v>
      </c>
      <c r="K352" s="264" t="str">
        <f>IFERROR(__xludf.DUMMYFUNCTION("""COMPUTED_VALUE"""),"")</f>
        <v/>
      </c>
      <c r="L352" s="263" t="str">
        <f>IFERROR(__xludf.DUMMYFUNCTION("""COMPUTED_VALUE"""),"")</f>
        <v/>
      </c>
      <c r="M352" s="263"/>
      <c r="N352" s="263"/>
      <c r="O352" s="263"/>
      <c r="P352" s="263"/>
      <c r="Q352" s="263"/>
      <c r="R352" s="263"/>
      <c r="S352" s="263"/>
      <c r="T352" s="263"/>
      <c r="U352" s="246"/>
      <c r="V352" s="246"/>
      <c r="W352" s="246"/>
      <c r="X352" s="246"/>
      <c r="Y352" s="246"/>
      <c r="Z352" s="246"/>
    </row>
    <row r="353">
      <c r="A353" s="263"/>
      <c r="B353" s="265" t="str">
        <f>IFERROR(__xludf.DUMMYFUNCTION("""COMPUTED_VALUE"""),"Freerunner")</f>
        <v>Freerunner</v>
      </c>
      <c r="C353" s="263"/>
      <c r="D353" s="264" t="str">
        <f>IFERROR(__xludf.DUMMYFUNCTION("""COMPUTED_VALUE"""),"")</f>
        <v/>
      </c>
      <c r="E353" s="264" t="str">
        <f>IFERROR(__xludf.DUMMYFUNCTION("""COMPUTED_VALUE"""),"")</f>
        <v/>
      </c>
      <c r="F353" s="266" t="str">
        <f>IFERROR(__xludf.DUMMYFUNCTION("""COMPUTED_VALUE"""),"You do not incur difficult terrain penalties in Forest, Cities or Ruins.")</f>
        <v>You do not incur difficult terrain penalties in Forest, Cities or Ruins.</v>
      </c>
      <c r="G353" s="263" t="str">
        <f>IFERROR(__xludf.DUMMYFUNCTION("""COMPUTED_VALUE"""),"")</f>
        <v/>
      </c>
      <c r="H353" s="265" t="str">
        <f>IFERROR(__xludf.DUMMYFUNCTION("""COMPUTED_VALUE"""),"")</f>
        <v/>
      </c>
      <c r="I353" s="264" t="str">
        <f>IFERROR(__xludf.DUMMYFUNCTION("""COMPUTED_VALUE"""),"")</f>
        <v/>
      </c>
      <c r="J353" s="264" t="str">
        <f>IFERROR(__xludf.DUMMYFUNCTION("""COMPUTED_VALUE"""),"")</f>
        <v/>
      </c>
      <c r="K353" s="263" t="str">
        <f>IFERROR(__xludf.DUMMYFUNCTION("""COMPUTED_VALUE"""),"")</f>
        <v/>
      </c>
      <c r="L353" s="263" t="str">
        <f>IFERROR(__xludf.DUMMYFUNCTION("""COMPUTED_VALUE"""),"")</f>
        <v/>
      </c>
      <c r="M353" s="263"/>
      <c r="N353" s="263"/>
      <c r="O353" s="263"/>
      <c r="P353" s="263"/>
      <c r="Q353" s="263"/>
      <c r="R353" s="263"/>
      <c r="S353" s="263"/>
      <c r="T353" s="263"/>
      <c r="U353" s="246"/>
      <c r="V353" s="246"/>
      <c r="W353" s="246"/>
      <c r="X353" s="246"/>
      <c r="Y353" s="246"/>
      <c r="Z353" s="246"/>
    </row>
    <row r="354">
      <c r="A354" s="263"/>
      <c r="B354" s="265" t="str">
        <f>IFERROR(__xludf.DUMMYFUNCTION("""COMPUTED_VALUE"""),"Frost Coffin")</f>
        <v>Frost Coffin</v>
      </c>
      <c r="C354" s="263"/>
      <c r="D354" s="264" t="str">
        <f>IFERROR(__xludf.DUMMYFUNCTION("""COMPUTED_VALUE"""),"Frost, Spell")</f>
        <v>Frost, Spell</v>
      </c>
      <c r="E354" s="264" t="str">
        <f>IFERROR(__xludf.DUMMYFUNCTION("""COMPUTED_VALUE"""),"30ft")</f>
        <v>30ft</v>
      </c>
      <c r="F354" s="266" t="str">
        <f>IFERROR(__xludf.DUMMYFUNCTION("""COMPUTED_VALUE"""),"You cast a Spell that flash freezes a target Grunt, killing them instantly and creates a two Glacial Wall cube stack at their location. These cubes have HP equal to 15 + Focus. These structures can function as cover. Ice wall segments take double damage f"&amp;"rom Fire Attacks.")</f>
        <v>You cast a Spell that flash freezes a target Grunt, killing them instantly and creates a two Glacial Wall cube stack at their location. These cubes have HP equal to 15 + Focus. These structures can function as cover. Ice wall segments take double damage from Fire Attacks.</v>
      </c>
      <c r="G354" s="263" t="str">
        <f>IFERROR(__xludf.DUMMYFUNCTION("""COMPUTED_VALUE"""),"")</f>
        <v/>
      </c>
      <c r="H354" s="265" t="str">
        <f>IFERROR(__xludf.DUMMYFUNCTION("""COMPUTED_VALUE"""),"3 AP, 3 MP")</f>
        <v>3 AP, 3 MP</v>
      </c>
      <c r="I354" s="264" t="str">
        <f>IFERROR(__xludf.DUMMYFUNCTION("""COMPUTED_VALUE"""),"3 AP")</f>
        <v>3 AP</v>
      </c>
      <c r="J354" s="263" t="str">
        <f>IFERROR(__xludf.DUMMYFUNCTION("""COMPUTED_VALUE"""),"3 MP")</f>
        <v>3 MP</v>
      </c>
      <c r="K354" s="263" t="str">
        <f>IFERROR(__xludf.DUMMYFUNCTION("""COMPUTED_VALUE"""),"")</f>
        <v/>
      </c>
      <c r="L354" s="263" t="str">
        <f>IFERROR(__xludf.DUMMYFUNCTION("""COMPUTED_VALUE"""),"")</f>
        <v/>
      </c>
      <c r="M354" s="263"/>
      <c r="N354" s="263"/>
      <c r="O354" s="263"/>
      <c r="P354" s="263"/>
      <c r="Q354" s="263"/>
      <c r="R354" s="263"/>
      <c r="S354" s="263"/>
      <c r="T354" s="263"/>
      <c r="U354" s="246"/>
      <c r="V354" s="246"/>
      <c r="W354" s="246"/>
      <c r="X354" s="246"/>
      <c r="Y354" s="246"/>
      <c r="Z354" s="246"/>
    </row>
    <row r="355">
      <c r="A355" s="263"/>
      <c r="B355" s="265" t="str">
        <f>IFERROR(__xludf.DUMMYFUNCTION("""COMPUTED_VALUE"""),"Frost Driver")</f>
        <v>Frost Driver</v>
      </c>
      <c r="C355" s="263"/>
      <c r="D355" s="264" t="str">
        <f>IFERROR(__xludf.DUMMYFUNCTION("""COMPUTED_VALUE"""),"Frost, Root, Slow, Spell, Combo")</f>
        <v>Frost, Root, Slow, Spell, Combo</v>
      </c>
      <c r="E355" s="264" t="str">
        <f>IFERROR(__xludf.DUMMYFUNCTION("""COMPUTED_VALUE"""),"80ft")</f>
        <v>80ft</v>
      </c>
      <c r="F355" s="266" t="str">
        <f>IFERROR(__xludf.DUMMYFUNCTION("""COMPUTED_VALUE"""),"You send ice spikes along the ground towards a single target, making a Heavy attack that deals Frost Damage. This cannot hit a target higher than 5ft above the ground. On hit, the target is Slowed until the end of their next turn.  If the target is alread"&amp;"y Slowed, they instead become Rooted, making them unable to move until the end of their next turn.
Combo: When used after Icicle Nail or White Thunder hits, reduce the mana cost to 0.")</f>
        <v>You send ice spikes along the ground towards a single target, making a Heavy attack that deals Frost Damage. This cannot hit a target higher than 5ft above the ground. On hit, the target is Slowed until the end of their next turn.  If the target is already Slowed, they instead become Rooted, making them unable to move until the end of their next turn.
Combo: When used after Icicle Nail or White Thunder hits, reduce the mana cost to 0.</v>
      </c>
      <c r="G355" s="264" t="str">
        <f>IFERROR(__xludf.DUMMYFUNCTION("""COMPUTED_VALUE"""),"")</f>
        <v/>
      </c>
      <c r="H355" s="265" t="str">
        <f>IFERROR(__xludf.DUMMYFUNCTION("""COMPUTED_VALUE"""),"2 AP, 1 MP")</f>
        <v>2 AP, 1 MP</v>
      </c>
      <c r="I355" s="264" t="str">
        <f>IFERROR(__xludf.DUMMYFUNCTION("""COMPUTED_VALUE"""),"2 AP")</f>
        <v>2 AP</v>
      </c>
      <c r="J355" s="263" t="str">
        <f>IFERROR(__xludf.DUMMYFUNCTION("""COMPUTED_VALUE"""),"1 MP")</f>
        <v>1 MP</v>
      </c>
      <c r="K355" s="263" t="str">
        <f>IFERROR(__xludf.DUMMYFUNCTION("""COMPUTED_VALUE"""),"")</f>
        <v/>
      </c>
      <c r="L355" s="263" t="str">
        <f>IFERROR(__xludf.DUMMYFUNCTION("""COMPUTED_VALUE"""),"")</f>
        <v/>
      </c>
      <c r="M355" s="263"/>
      <c r="N355" s="263"/>
      <c r="O355" s="263"/>
      <c r="P355" s="263"/>
      <c r="Q355" s="263"/>
      <c r="R355" s="263"/>
      <c r="S355" s="263"/>
      <c r="T355" s="263"/>
      <c r="U355" s="246"/>
      <c r="V355" s="246"/>
      <c r="W355" s="246"/>
      <c r="X355" s="246"/>
      <c r="Y355" s="246"/>
      <c r="Z355" s="246"/>
    </row>
    <row r="356">
      <c r="A356" s="263"/>
      <c r="B356" s="265" t="str">
        <f>IFERROR(__xludf.DUMMYFUNCTION("""COMPUTED_VALUE"""),"Full Bloom")</f>
        <v>Full Bloom</v>
      </c>
      <c r="C356" s="263"/>
      <c r="D356" s="263" t="str">
        <f>IFERROR(__xludf.DUMMYFUNCTION("""COMPUTED_VALUE"""),"Spell, Healing, Active, Regrowth")</f>
        <v>Spell, Healing, Active, Regrowth</v>
      </c>
      <c r="E356" s="263" t="str">
        <f>IFERROR(__xludf.DUMMYFUNCTION("""COMPUTED_VALUE"""),"60ft")</f>
        <v>60ft</v>
      </c>
      <c r="F356" s="266" t="str">
        <f>IFERROR(__xludf.DUMMYFUNCTION("""COMPUTED_VALUE"""),"You consume Regrowth on the target, removing the buff and healing the target immediately for twice its regular value.")</f>
        <v>You consume Regrowth on the target, removing the buff and healing the target immediately for twice its regular value.</v>
      </c>
      <c r="G356" s="263" t="str">
        <f>IFERROR(__xludf.DUMMYFUNCTION("""COMPUTED_VALUE"""),"Target ally must have Regrowth on them.")</f>
        <v>Target ally must have Regrowth on them.</v>
      </c>
      <c r="H356" s="267" t="str">
        <f>IFERROR(__xludf.DUMMYFUNCTION("""COMPUTED_VALUE"""),"1 AP, 1 MP")</f>
        <v>1 AP, 1 MP</v>
      </c>
      <c r="I356" s="263" t="str">
        <f>IFERROR(__xludf.DUMMYFUNCTION("""COMPUTED_VALUE"""),"1 AP")</f>
        <v>1 AP</v>
      </c>
      <c r="J356" s="263" t="str">
        <f>IFERROR(__xludf.DUMMYFUNCTION("""COMPUTED_VALUE"""),"1 MP")</f>
        <v>1 MP</v>
      </c>
      <c r="K356" s="263" t="str">
        <f>IFERROR(__xludf.DUMMYFUNCTION("""COMPUTED_VALUE"""),"")</f>
        <v/>
      </c>
      <c r="L356" s="263" t="str">
        <f>IFERROR(__xludf.DUMMYFUNCTION("""COMPUTED_VALUE"""),"")</f>
        <v/>
      </c>
      <c r="M356" s="263"/>
      <c r="N356" s="263"/>
      <c r="O356" s="263"/>
      <c r="P356" s="263"/>
      <c r="Q356" s="263"/>
      <c r="R356" s="263"/>
      <c r="S356" s="263"/>
      <c r="T356" s="263"/>
      <c r="U356" s="246"/>
      <c r="V356" s="246"/>
      <c r="W356" s="246"/>
      <c r="X356" s="246"/>
      <c r="Y356" s="246"/>
      <c r="Z356" s="246"/>
    </row>
    <row r="357">
      <c r="A357" s="263"/>
      <c r="B357" s="265" t="str">
        <f>IFERROR(__xludf.DUMMYFUNCTION("""COMPUTED_VALUE"""),"Full Dimensional Equip")</f>
        <v>Full Dimensional Equip</v>
      </c>
      <c r="C357" s="263"/>
      <c r="D357" s="263" t="str">
        <f>IFERROR(__xludf.DUMMYFUNCTION("""COMPUTED_VALUE"""),"")</f>
        <v/>
      </c>
      <c r="E357" s="263" t="str">
        <f>IFERROR(__xludf.DUMMYFUNCTION("""COMPUTED_VALUE"""),"Self")</f>
        <v>Self</v>
      </c>
      <c r="F357" s="266" t="str">
        <f>IFERROR(__xludf.DUMMYFUNCTION("""COMPUTED_VALUE"""),"You swap your armor, cloak and weapons currently wielded with a dimensional set.  The weapon and armor you had equipped as you used to this ability become a Dimensional Set, allowing you to switch back to it.")</f>
        <v>You swap your armor, cloak and weapons currently wielded with a dimensional set.  The weapon and armor you had equipped as you used to this ability become a Dimensional Set, allowing you to switch back to it.</v>
      </c>
      <c r="G357" s="263" t="str">
        <f>IFERROR(__xludf.DUMMYFUNCTION("""COMPUTED_VALUE"""),"You have a Dimensional Armory active.")</f>
        <v>You have a Dimensional Armory active.</v>
      </c>
      <c r="H357" s="267" t="str">
        <f>IFERROR(__xludf.DUMMYFUNCTION("""COMPUTED_VALUE"""),"0 AP, 1 MP")</f>
        <v>0 AP, 1 MP</v>
      </c>
      <c r="I357" s="263" t="str">
        <f>IFERROR(__xludf.DUMMYFUNCTION("""COMPUTED_VALUE"""),"0 AP")</f>
        <v>0 AP</v>
      </c>
      <c r="J357" s="263" t="str">
        <f>IFERROR(__xludf.DUMMYFUNCTION("""COMPUTED_VALUE"""),"1 MP")</f>
        <v>1 MP</v>
      </c>
      <c r="K357" s="263" t="str">
        <f>IFERROR(__xludf.DUMMYFUNCTION("""COMPUTED_VALUE"""),"")</f>
        <v/>
      </c>
      <c r="L357" s="263" t="str">
        <f>IFERROR(__xludf.DUMMYFUNCTION("""COMPUTED_VALUE"""),"")</f>
        <v/>
      </c>
      <c r="M357" s="263"/>
      <c r="N357" s="263"/>
      <c r="O357" s="263"/>
      <c r="P357" s="263"/>
      <c r="Q357" s="263"/>
      <c r="R357" s="263"/>
      <c r="S357" s="263"/>
      <c r="T357" s="263"/>
      <c r="U357" s="246"/>
      <c r="V357" s="246"/>
      <c r="W357" s="246"/>
      <c r="X357" s="246"/>
      <c r="Y357" s="246"/>
      <c r="Z357" s="246"/>
    </row>
    <row r="358">
      <c r="A358" s="263"/>
      <c r="B358" s="265" t="str">
        <f>IFERROR(__xludf.DUMMYFUNCTION("""COMPUTED_VALUE"""),"Full Power Swing")</f>
        <v>Full Power Swing</v>
      </c>
      <c r="C358" s="263"/>
      <c r="D358" s="264" t="str">
        <f>IFERROR(__xludf.DUMMYFUNCTION("""COMPUTED_VALUE"""),"")</f>
        <v/>
      </c>
      <c r="E358" s="264" t="str">
        <f>IFERROR(__xludf.DUMMYFUNCTION("""COMPUTED_VALUE"""),"Melee Weapon Range")</f>
        <v>Melee Weapon Range</v>
      </c>
      <c r="F358" s="266" t="str">
        <f>IFERROR(__xludf.DUMMYFUNCTION("""COMPUTED_VALUE"""),"You may make a Heavy attack that does double heavy damage.")</f>
        <v>You may make a Heavy attack that does double heavy damage.</v>
      </c>
      <c r="G358" s="263" t="str">
        <f>IFERROR(__xludf.DUMMYFUNCTION("""COMPUTED_VALUE"""),"Two-handed weapons only.")</f>
        <v>Two-handed weapons only.</v>
      </c>
      <c r="H358" s="265" t="str">
        <f>IFERROR(__xludf.DUMMYFUNCTION("""COMPUTED_VALUE"""),"4 AP")</f>
        <v>4 AP</v>
      </c>
      <c r="I358" s="264" t="str">
        <f>IFERROR(__xludf.DUMMYFUNCTION("""COMPUTED_VALUE"""),"4 AP")</f>
        <v>4 AP</v>
      </c>
      <c r="J358" s="263" t="str">
        <f>IFERROR(__xludf.DUMMYFUNCTION("""COMPUTED_VALUE"""),"")</f>
        <v/>
      </c>
      <c r="K358" s="263" t="str">
        <f>IFERROR(__xludf.DUMMYFUNCTION("""COMPUTED_VALUE"""),"")</f>
        <v/>
      </c>
      <c r="L358" s="263" t="str">
        <f>IFERROR(__xludf.DUMMYFUNCTION("""COMPUTED_VALUE"""),"")</f>
        <v/>
      </c>
      <c r="M358" s="263"/>
      <c r="N358" s="263"/>
      <c r="O358" s="263"/>
      <c r="P358" s="263"/>
      <c r="Q358" s="263"/>
      <c r="R358" s="263"/>
      <c r="S358" s="263"/>
      <c r="T358" s="263"/>
      <c r="U358" s="246"/>
      <c r="V358" s="246"/>
      <c r="W358" s="246"/>
      <c r="X358" s="246"/>
      <c r="Y358" s="246"/>
      <c r="Z358" s="246"/>
    </row>
    <row r="359">
      <c r="A359" s="263"/>
      <c r="B359" s="265" t="str">
        <f>IFERROR(__xludf.DUMMYFUNCTION("""COMPUTED_VALUE"""),"G. Shift")</f>
        <v>G. Shift</v>
      </c>
      <c r="C359" s="263"/>
      <c r="D359" s="264" t="str">
        <f>IFERROR(__xludf.DUMMYFUNCTION("""COMPUTED_VALUE"""),"Encounter Start")</f>
        <v>Encounter Start</v>
      </c>
      <c r="E359" s="264" t="str">
        <f>IFERROR(__xludf.DUMMYFUNCTION("""COMPUTED_VALUE"""),"Self")</f>
        <v>Self</v>
      </c>
      <c r="F359" s="266" t="str">
        <f>IFERROR(__xludf.DUMMYFUNCTION("""COMPUTED_VALUE"""),"You take 11 true damage, then choose to either lose 1 RP or reduce your AP by 1 for your first turn.
You temporarily mutate your body, granting an effect similar to one of the following Alchemy Elixirs:  Rabbit, Reaper, Shark, Tunnel, Bull, Bear. This eff"&amp;"ect does not stack with their corresponding Elixir Effect. This effect cannot be dispelled and lasts until the end of the encounter.")</f>
        <v>You take 11 true damage, then choose to either lose 1 RP or reduce your AP by 1 for your first turn.
You temporarily mutate your body, granting an effect similar to one of the following Alchemy Elixirs:  Rabbit, Reaper, Shark, Tunnel, Bull, Bear. This effect does not stack with their corresponding Elixir Effect. This effect cannot be dispelled and lasts until the end of the encounter.</v>
      </c>
      <c r="G359" s="264" t="str">
        <f>IFERROR(__xludf.DUMMYFUNCTION("""COMPUTED_VALUE"""),"")</f>
        <v/>
      </c>
      <c r="H359" s="265" t="str">
        <f>IFERROR(__xludf.DUMMYFUNCTION("""COMPUTED_VALUE"""),"")</f>
        <v/>
      </c>
      <c r="I359" s="263" t="str">
        <f>IFERROR(__xludf.DUMMYFUNCTION("""COMPUTED_VALUE"""),"")</f>
        <v/>
      </c>
      <c r="J359" s="264" t="str">
        <f>IFERROR(__xludf.DUMMYFUNCTION("""COMPUTED_VALUE"""),"")</f>
        <v/>
      </c>
      <c r="K359" s="264" t="str">
        <f>IFERROR(__xludf.DUMMYFUNCTION("""COMPUTED_VALUE"""),"")</f>
        <v/>
      </c>
      <c r="L359" s="263" t="str">
        <f>IFERROR(__xludf.DUMMYFUNCTION("""COMPUTED_VALUE"""),"")</f>
        <v/>
      </c>
      <c r="M359" s="263"/>
      <c r="N359" s="263"/>
      <c r="O359" s="263"/>
      <c r="P359" s="263"/>
      <c r="Q359" s="263"/>
      <c r="R359" s="263"/>
      <c r="S359" s="263"/>
      <c r="T359" s="263"/>
      <c r="U359" s="246"/>
      <c r="V359" s="246"/>
      <c r="W359" s="246"/>
      <c r="X359" s="246"/>
      <c r="Y359" s="246"/>
      <c r="Z359" s="246"/>
    </row>
    <row r="360">
      <c r="A360" s="263"/>
      <c r="B360" s="265" t="str">
        <f>IFERROR(__xludf.DUMMYFUNCTION("""COMPUTED_VALUE"""),"Gale-Wind Aura")</f>
        <v>Gale-Wind Aura</v>
      </c>
      <c r="C360" s="263"/>
      <c r="D360" s="263" t="str">
        <f>IFERROR(__xludf.DUMMYFUNCTION("""COMPUTED_VALUE"""),"Aura, Upkeep")</f>
        <v>Aura, Upkeep</v>
      </c>
      <c r="E360" s="263" t="str">
        <f>IFERROR(__xludf.DUMMYFUNCTION("""COMPUTED_VALUE"""),"Self")</f>
        <v>Self</v>
      </c>
      <c r="F360" s="266" t="str">
        <f>IFERROR(__xludf.DUMMYFUNCTION("""COMPUTED_VALUE"""),"You project a Gale-Wind Aura around yourself that increases the movement speed of allies (excluding yourself) within 60ft of you by 20ft. An ally that starts their movement in the Aura, keeps the Speed increase for that move even if they leave the aura. U"&amp;"pkeep: You must spend 1 AP at the start of each turn or the aura fades.")</f>
        <v>You project a Gale-Wind Aura around yourself that increases the movement speed of allies (excluding yourself) within 60ft of you by 20ft. An ally that starts their movement in the Aura, keeps the Speed increase for that move even if they leave the aura. Upkeep: You must spend 1 AP at the start of each turn or the aura fades.</v>
      </c>
      <c r="G360" s="263" t="str">
        <f>IFERROR(__xludf.DUMMYFUNCTION("""COMPUTED_VALUE"""),"")</f>
        <v/>
      </c>
      <c r="H360" s="267" t="str">
        <f>IFERROR(__xludf.DUMMYFUNCTION("""COMPUTED_VALUE"""),"2 AP")</f>
        <v>2 AP</v>
      </c>
      <c r="I360" s="263" t="str">
        <f>IFERROR(__xludf.DUMMYFUNCTION("""COMPUTED_VALUE"""),"2 AP")</f>
        <v>2 AP</v>
      </c>
      <c r="J360" s="263" t="str">
        <f>IFERROR(__xludf.DUMMYFUNCTION("""COMPUTED_VALUE"""),"")</f>
        <v/>
      </c>
      <c r="K360" s="263" t="str">
        <f>IFERROR(__xludf.DUMMYFUNCTION("""COMPUTED_VALUE"""),"")</f>
        <v/>
      </c>
      <c r="L360" s="263" t="str">
        <f>IFERROR(__xludf.DUMMYFUNCTION("""COMPUTED_VALUE"""),"")</f>
        <v/>
      </c>
      <c r="M360" s="263"/>
      <c r="N360" s="263"/>
      <c r="O360" s="263"/>
      <c r="P360" s="263"/>
      <c r="Q360" s="263"/>
      <c r="R360" s="263"/>
      <c r="S360" s="263"/>
      <c r="T360" s="263"/>
      <c r="U360" s="246"/>
      <c r="V360" s="246"/>
      <c r="W360" s="246"/>
      <c r="X360" s="246"/>
      <c r="Y360" s="246"/>
      <c r="Z360" s="246"/>
    </row>
    <row r="361">
      <c r="A361" s="263"/>
      <c r="B361" s="265" t="str">
        <f>IFERROR(__xludf.DUMMYFUNCTION("""COMPUTED_VALUE"""),"Gene Activation")</f>
        <v>Gene Activation</v>
      </c>
      <c r="C361" s="263"/>
      <c r="D361" s="264" t="str">
        <f>IFERROR(__xludf.DUMMYFUNCTION("""COMPUTED_VALUE"""),"Transformation")</f>
        <v>Transformation</v>
      </c>
      <c r="E361" s="264" t="str">
        <f>IFERROR(__xludf.DUMMYFUNCTION("""COMPUTED_VALUE"""),"Self")</f>
        <v>Self</v>
      </c>
      <c r="F361" s="266" t="str">
        <f>IFERROR(__xludf.DUMMYFUNCTION("""COMPUTED_VALUE"""),"You transmute yourself, consuming a gene. You transform,  granting yourself a single chimera racial ability that corresponds with the gene.
You are transformed until the end of your next turn. Doing this consumes the gene from your DNA. You can deactivate"&amp;" the transformation for 0 RP.
You cannot obtain and use abilities that require an IP or EP to use through this ability.")</f>
        <v>You transmute yourself, consuming a gene. You transform,  granting yourself a single chimera racial ability that corresponds with the gene.
You are transformed until the end of your next turn. Doing this consumes the gene from your DNA. You can deactivate the transformation for 0 RP.
You cannot obtain and use abilities that require an IP or EP to use through this ability.</v>
      </c>
      <c r="G361" s="264" t="str">
        <f>IFERROR(__xludf.DUMMYFUNCTION("""COMPUTED_VALUE"""),"Must have the required Gene in your gene inventory.")</f>
        <v>Must have the required Gene in your gene inventory.</v>
      </c>
      <c r="H361" s="265" t="str">
        <f>IFERROR(__xludf.DUMMYFUNCTION("""COMPUTED_VALUE"""),"0 RP")</f>
        <v>0 RP</v>
      </c>
      <c r="I361" s="264" t="str">
        <f>IFERROR(__xludf.DUMMYFUNCTION("""COMPUTED_VALUE"""),"")</f>
        <v/>
      </c>
      <c r="J361" s="263" t="str">
        <f>IFERROR(__xludf.DUMMYFUNCTION("""COMPUTED_VALUE"""),"")</f>
        <v/>
      </c>
      <c r="K361" s="263" t="str">
        <f>IFERROR(__xludf.DUMMYFUNCTION("""COMPUTED_VALUE"""),"0 RP")</f>
        <v>0 RP</v>
      </c>
      <c r="L361" s="263" t="str">
        <f>IFERROR(__xludf.DUMMYFUNCTION("""COMPUTED_VALUE"""),"")</f>
        <v/>
      </c>
      <c r="M361" s="263"/>
      <c r="N361" s="263"/>
      <c r="O361" s="263"/>
      <c r="P361" s="263"/>
      <c r="Q361" s="263"/>
      <c r="R361" s="263"/>
      <c r="S361" s="263"/>
      <c r="T361" s="263"/>
      <c r="U361" s="246"/>
      <c r="V361" s="246"/>
      <c r="W361" s="246"/>
      <c r="X361" s="246"/>
      <c r="Y361" s="246"/>
      <c r="Z361" s="246"/>
    </row>
    <row r="362">
      <c r="A362" s="263"/>
      <c r="B362" s="265" t="str">
        <f>IFERROR(__xludf.DUMMYFUNCTION("""COMPUTED_VALUE"""),"Genjutsu Kai")</f>
        <v>Genjutsu Kai</v>
      </c>
      <c r="C362" s="263"/>
      <c r="D362" s="264" t="str">
        <f>IFERROR(__xludf.DUMMYFUNCTION("""COMPUTED_VALUE"""),"Ninjutsu, Stealth")</f>
        <v>Ninjutsu, Stealth</v>
      </c>
      <c r="E362" s="263" t="str">
        <f>IFERROR(__xludf.DUMMYFUNCTION("""COMPUTED_VALUE"""),"5ft")</f>
        <v>5ft</v>
      </c>
      <c r="F362" s="266" t="str">
        <f>IFERROR(__xludf.DUMMYFUNCTION("""COMPUTED_VALUE"""),"You focus your internal energies and dispel any Illusions affecting you or an ally within 5ft of you.")</f>
        <v>You focus your internal energies and dispel any Illusions affecting you or an ally within 5ft of you.</v>
      </c>
      <c r="G362" s="263" t="str">
        <f>IFERROR(__xludf.DUMMYFUNCTION("""COMPUTED_VALUE"""),"Target is under the effects of an Illusion.")</f>
        <v>Target is under the effects of an Illusion.</v>
      </c>
      <c r="H362" s="267" t="str">
        <f>IFERROR(__xludf.DUMMYFUNCTION("""COMPUTED_VALUE"""),"0 AP, 1 MP")</f>
        <v>0 AP, 1 MP</v>
      </c>
      <c r="I362" s="263" t="str">
        <f>IFERROR(__xludf.DUMMYFUNCTION("""COMPUTED_VALUE"""),"0 AP")</f>
        <v>0 AP</v>
      </c>
      <c r="J362" s="263" t="str">
        <f>IFERROR(__xludf.DUMMYFUNCTION("""COMPUTED_VALUE"""),"1 MP")</f>
        <v>1 MP</v>
      </c>
      <c r="K362" s="263" t="str">
        <f>IFERROR(__xludf.DUMMYFUNCTION("""COMPUTED_VALUE"""),"")</f>
        <v/>
      </c>
      <c r="L362" s="263" t="str">
        <f>IFERROR(__xludf.DUMMYFUNCTION("""COMPUTED_VALUE"""),"")</f>
        <v/>
      </c>
      <c r="M362" s="263"/>
      <c r="N362" s="263"/>
      <c r="O362" s="263"/>
      <c r="P362" s="263"/>
      <c r="Q362" s="263"/>
      <c r="R362" s="263"/>
      <c r="S362" s="263"/>
      <c r="T362" s="263"/>
      <c r="U362" s="246"/>
      <c r="V362" s="246"/>
      <c r="W362" s="246"/>
      <c r="X362" s="246"/>
      <c r="Y362" s="246"/>
      <c r="Z362" s="246"/>
    </row>
    <row r="363">
      <c r="A363" s="263"/>
      <c r="B363" s="265" t="str">
        <f>IFERROR(__xludf.DUMMYFUNCTION("""COMPUTED_VALUE"""),"Glacial Bastion")</f>
        <v>Glacial Bastion</v>
      </c>
      <c r="C363" s="263"/>
      <c r="D363" s="263" t="str">
        <f>IFERROR(__xludf.DUMMYFUNCTION("""COMPUTED_VALUE"""),"Frost, Spell")</f>
        <v>Frost, Spell</v>
      </c>
      <c r="E363" s="264" t="str">
        <f>IFERROR(__xludf.DUMMYFUNCTION("""COMPUTED_VALUE"""),"Self")</f>
        <v>Self</v>
      </c>
      <c r="F363" s="266" t="str">
        <f>IFERROR(__xludf.DUMMYFUNCTION("""COMPUTED_VALUE"""),"You encase yourself in a Glacial Wall that fills your space until the start of your next turn, making you untargetable for attacks during the duration. This Glacial Wall has HP equal to 20 + Focus, any remaining damage is transferred to you (mitigated by "&amp;"your armor).  While encased, you can cast White Thunder on your encased Ice for 1 RP which removes Glacial Bastion. Other than White Thunder, you cannot take any other actions while under the effect of Glacial Bastion.
This Spell does not provoke attacks "&amp;"of opportunity.")</f>
        <v>You encase yourself in a Glacial Wall that fills your space until the start of your next turn, making you untargetable for attacks during the duration. This Glacial Wall has HP equal to 20 + Focus, any remaining damage is transferred to you (mitigated by your armor).  While encased, you can cast White Thunder on your encased Ice for 1 RP which removes Glacial Bastion. Other than White Thunder, you cannot take any other actions while under the effect of Glacial Bastion.
This Spell does not provoke attacks of opportunity.</v>
      </c>
      <c r="G363" s="264" t="str">
        <f>IFERROR(__xludf.DUMMYFUNCTION("""COMPUTED_VALUE"""),"")</f>
        <v/>
      </c>
      <c r="H363" s="265" t="str">
        <f>IFERROR(__xludf.DUMMYFUNCTION("""COMPUTED_VALUE"""),"1 MP, 1 RP")</f>
        <v>1 MP, 1 RP</v>
      </c>
      <c r="I363" s="264" t="str">
        <f>IFERROR(__xludf.DUMMYFUNCTION("""COMPUTED_VALUE"""),"")</f>
        <v/>
      </c>
      <c r="J363" s="263" t="str">
        <f>IFERROR(__xludf.DUMMYFUNCTION("""COMPUTED_VALUE"""),"1 MP")</f>
        <v>1 MP</v>
      </c>
      <c r="K363" s="263" t="str">
        <f>IFERROR(__xludf.DUMMYFUNCTION("""COMPUTED_VALUE"""),"1 RP")</f>
        <v>1 RP</v>
      </c>
      <c r="L363" s="263" t="str">
        <f>IFERROR(__xludf.DUMMYFUNCTION("""COMPUTED_VALUE"""),"")</f>
        <v/>
      </c>
      <c r="M363" s="263"/>
      <c r="N363" s="263"/>
      <c r="O363" s="263"/>
      <c r="P363" s="263"/>
      <c r="Q363" s="263"/>
      <c r="R363" s="263"/>
      <c r="S363" s="263"/>
      <c r="T363" s="263"/>
      <c r="U363" s="246"/>
      <c r="V363" s="246"/>
      <c r="W363" s="246"/>
      <c r="X363" s="246"/>
      <c r="Y363" s="246"/>
      <c r="Z363" s="246"/>
    </row>
    <row r="364">
      <c r="A364" s="263"/>
      <c r="B364" s="265" t="str">
        <f>IFERROR(__xludf.DUMMYFUNCTION("""COMPUTED_VALUE"""),"Glacial Wall")</f>
        <v>Glacial Wall</v>
      </c>
      <c r="C364" s="263"/>
      <c r="D364" s="264" t="str">
        <f>IFERROR(__xludf.DUMMYFUNCTION("""COMPUTED_VALUE"""),"Frost, Spell")</f>
        <v>Frost, Spell</v>
      </c>
      <c r="E364" s="264" t="str">
        <f>IFERROR(__xludf.DUMMYFUNCTION("""COMPUTED_VALUE"""),"30ft")</f>
        <v>30ft</v>
      </c>
      <c r="F364" s="266" t="str">
        <f>IFERROR(__xludf.DUMMYFUNCTION("""COMPUTED_VALUE"""),"You create 4 * X connected ice structures that are 5ft x 5ft cubes that last for up to 24 hours. These cubes have HP equal to 20 + Focus. These structures can function as low cover. Ice Wall segments take double damage from Fire Attacks.")</f>
        <v>You create 4 * X connected ice structures that are 5ft x 5ft cubes that last for up to 24 hours. These cubes have HP equal to 20 + Focus. These structures can function as low cover. Ice Wall segments take double damage from Fire Attacks.</v>
      </c>
      <c r="G364" s="264" t="str">
        <f>IFERROR(__xludf.DUMMYFUNCTION("""COMPUTED_VALUE"""),"")</f>
        <v/>
      </c>
      <c r="H364" s="265" t="str">
        <f>IFERROR(__xludf.DUMMYFUNCTION("""COMPUTED_VALUE"""),"2 AP, X MP")</f>
        <v>2 AP, X MP</v>
      </c>
      <c r="I364" s="263" t="str">
        <f>IFERROR(__xludf.DUMMYFUNCTION("""COMPUTED_VALUE"""),"2 AP")</f>
        <v>2 AP</v>
      </c>
      <c r="J364" s="263" t="str">
        <f>IFERROR(__xludf.DUMMYFUNCTION("""COMPUTED_VALUE"""),"X MP")</f>
        <v>X MP</v>
      </c>
      <c r="K364" s="264" t="str">
        <f>IFERROR(__xludf.DUMMYFUNCTION("""COMPUTED_VALUE"""),"")</f>
        <v/>
      </c>
      <c r="L364" s="263" t="str">
        <f>IFERROR(__xludf.DUMMYFUNCTION("""COMPUTED_VALUE"""),"")</f>
        <v/>
      </c>
      <c r="M364" s="263"/>
      <c r="N364" s="263"/>
      <c r="O364" s="263"/>
      <c r="P364" s="263"/>
      <c r="Q364" s="263"/>
      <c r="R364" s="263"/>
      <c r="S364" s="263"/>
      <c r="T364" s="263"/>
      <c r="U364" s="246"/>
      <c r="V364" s="246"/>
      <c r="W364" s="246"/>
      <c r="X364" s="246"/>
      <c r="Y364" s="246"/>
      <c r="Z364" s="246"/>
    </row>
    <row r="365">
      <c r="A365" s="263"/>
      <c r="B365" s="265" t="str">
        <f>IFERROR(__xludf.DUMMYFUNCTION("""COMPUTED_VALUE"""),"Gleaming Cut")</f>
        <v>Gleaming Cut</v>
      </c>
      <c r="C365" s="263"/>
      <c r="D365" s="264" t="str">
        <f>IFERROR(__xludf.DUMMYFUNCTION("""COMPUTED_VALUE"""),"Spell, Light, Rapid, Illumination")</f>
        <v>Spell, Light, Rapid, Illumination</v>
      </c>
      <c r="E365" s="264" t="str">
        <f>IFERROR(__xludf.DUMMYFUNCTION("""COMPUTED_VALUE"""),"60ft")</f>
        <v>60ft</v>
      </c>
      <c r="F365" s="266" t="str">
        <f>IFERROR(__xludf.DUMMYFUNCTION("""COMPUTED_VALUE"""),"You attack with blades of pure light making a light attack against the target, dealing Holy(Light) damage. On damage, inflict Illumination  X where X equals your Focus / 2 (Rounded Down) until the end of your next turn.")</f>
        <v>You attack with blades of pure light making a light attack against the target, dealing Holy(Light) damage. On damage, inflict Illumination  X where X equals your Focus / 2 (Rounded Down) until the end of your next turn.</v>
      </c>
      <c r="G365" s="264" t="str">
        <f>IFERROR(__xludf.DUMMYFUNCTION("""COMPUTED_VALUE"""),"")</f>
        <v/>
      </c>
      <c r="H365" s="265" t="str">
        <f>IFERROR(__xludf.DUMMYFUNCTION("""COMPUTED_VALUE"""),"2 AP")</f>
        <v>2 AP</v>
      </c>
      <c r="I365" s="264" t="str">
        <f>IFERROR(__xludf.DUMMYFUNCTION("""COMPUTED_VALUE"""),"2 AP")</f>
        <v>2 AP</v>
      </c>
      <c r="J365" s="263" t="str">
        <f>IFERROR(__xludf.DUMMYFUNCTION("""COMPUTED_VALUE"""),"")</f>
        <v/>
      </c>
      <c r="K365" s="263" t="str">
        <f>IFERROR(__xludf.DUMMYFUNCTION("""COMPUTED_VALUE"""),"")</f>
        <v/>
      </c>
      <c r="L365" s="263" t="str">
        <f>IFERROR(__xludf.DUMMYFUNCTION("""COMPUTED_VALUE"""),"")</f>
        <v/>
      </c>
      <c r="M365" s="263"/>
      <c r="N365" s="263"/>
      <c r="O365" s="263"/>
      <c r="P365" s="263"/>
      <c r="Q365" s="263"/>
      <c r="R365" s="263"/>
      <c r="S365" s="263"/>
      <c r="T365" s="263"/>
      <c r="U365" s="246"/>
      <c r="V365" s="246"/>
      <c r="W365" s="246"/>
      <c r="X365" s="246"/>
      <c r="Y365" s="246"/>
      <c r="Z365" s="246"/>
    </row>
    <row r="366">
      <c r="A366" s="263"/>
      <c r="B366" s="265" t="str">
        <f>IFERROR(__xludf.DUMMYFUNCTION("""COMPUTED_VALUE"""),"Glide")</f>
        <v>Glide</v>
      </c>
      <c r="C366" s="263"/>
      <c r="D366" s="264" t="str">
        <f>IFERROR(__xludf.DUMMYFUNCTION("""COMPUTED_VALUE"""),"Spell")</f>
        <v>Spell</v>
      </c>
      <c r="E366" s="264" t="str">
        <f>IFERROR(__xludf.DUMMYFUNCTION("""COMPUTED_VALUE"""),"Self")</f>
        <v>Self</v>
      </c>
      <c r="F366" s="266" t="str">
        <f>IFERROR(__xludf.DUMMYFUNCTION("""COMPUTED_VALUE"""),"You slow down your falling speed to 15ft per round and you are able to move horizontally as if normally moving. If you hit the ground while Glide is active, you do not take any falling damage and this effect ends.")</f>
        <v>You slow down your falling speed to 15ft per round and you are able to move horizontally as if normally moving. If you hit the ground while Glide is active, you do not take any falling damage and this effect ends.</v>
      </c>
      <c r="G366" s="263" t="str">
        <f>IFERROR(__xludf.DUMMYFUNCTION("""COMPUTED_VALUE"""),"")</f>
        <v/>
      </c>
      <c r="H366" s="265" t="str">
        <f>IFERROR(__xludf.DUMMYFUNCTION("""COMPUTED_VALUE"""),"1 RP")</f>
        <v>1 RP</v>
      </c>
      <c r="I366" s="264" t="str">
        <f>IFERROR(__xludf.DUMMYFUNCTION("""COMPUTED_VALUE"""),"")</f>
        <v/>
      </c>
      <c r="J366" s="264" t="str">
        <f>IFERROR(__xludf.DUMMYFUNCTION("""COMPUTED_VALUE"""),"")</f>
        <v/>
      </c>
      <c r="K366" s="263" t="str">
        <f>IFERROR(__xludf.DUMMYFUNCTION("""COMPUTED_VALUE"""),"1 RP")</f>
        <v>1 RP</v>
      </c>
      <c r="L366" s="263" t="str">
        <f>IFERROR(__xludf.DUMMYFUNCTION("""COMPUTED_VALUE"""),"")</f>
        <v/>
      </c>
      <c r="M366" s="263"/>
      <c r="N366" s="263"/>
      <c r="O366" s="263"/>
      <c r="P366" s="263"/>
      <c r="Q366" s="263"/>
      <c r="R366" s="263"/>
      <c r="S366" s="263"/>
      <c r="T366" s="263"/>
      <c r="U366" s="246"/>
      <c r="V366" s="246"/>
      <c r="W366" s="246"/>
      <c r="X366" s="246"/>
      <c r="Y366" s="246"/>
      <c r="Z366" s="246"/>
    </row>
    <row r="367">
      <c r="A367" s="263"/>
      <c r="B367" s="265" t="str">
        <f>IFERROR(__xludf.DUMMYFUNCTION("""COMPUTED_VALUE"""),"Glittershards")</f>
        <v>Glittershards</v>
      </c>
      <c r="C367" s="263"/>
      <c r="D367" s="264" t="str">
        <f>IFERROR(__xludf.DUMMYFUNCTION("""COMPUTED_VALUE"""),"Concentration, Spell")</f>
        <v>Concentration, Spell</v>
      </c>
      <c r="E367" s="264" t="str">
        <f>IFERROR(__xludf.DUMMYFUNCTION("""COMPUTED_VALUE"""),"40ft range, 5ft radius")</f>
        <v>40ft range, 5ft radius</v>
      </c>
      <c r="F367" s="266" t="str">
        <f>IFERROR(__xludf.DUMMYFUNCTION("""COMPUTED_VALUE"""),"Numerous sparkling arcane crystals swarm the area and block line of sight. Targets inside of or within 5ft of the Glittershards can only see up to 5ft into or out of Glittershards. Glittershards lasts for up to 10 minutes and you can only have 1 Glittersh"&amp;"ards active at a time. You can end this effect for 0 AP on your turn.")</f>
        <v>Numerous sparkling arcane crystals swarm the area and block line of sight. Targets inside of or within 5ft of the Glittershards can only see up to 5ft into or out of Glittershards. Glittershards lasts for up to 10 minutes and you can only have 1 Glittershards active at a time. You can end this effect for 0 AP on your turn.</v>
      </c>
      <c r="G367" s="263" t="str">
        <f>IFERROR(__xludf.DUMMYFUNCTION("""COMPUTED_VALUE"""),"")</f>
        <v/>
      </c>
      <c r="H367" s="265" t="str">
        <f>IFERROR(__xludf.DUMMYFUNCTION("""COMPUTED_VALUE"""),"2 AP, 1 MP")</f>
        <v>2 AP, 1 MP</v>
      </c>
      <c r="I367" s="263" t="str">
        <f>IFERROR(__xludf.DUMMYFUNCTION("""COMPUTED_VALUE"""),"2 AP")</f>
        <v>2 AP</v>
      </c>
      <c r="J367" s="263" t="str">
        <f>IFERROR(__xludf.DUMMYFUNCTION("""COMPUTED_VALUE"""),"1 MP")</f>
        <v>1 MP</v>
      </c>
      <c r="K367" s="264" t="str">
        <f>IFERROR(__xludf.DUMMYFUNCTION("""COMPUTED_VALUE"""),"")</f>
        <v/>
      </c>
      <c r="L367" s="263" t="str">
        <f>IFERROR(__xludf.DUMMYFUNCTION("""COMPUTED_VALUE"""),"")</f>
        <v/>
      </c>
      <c r="M367" s="263"/>
      <c r="N367" s="263"/>
      <c r="O367" s="263"/>
      <c r="P367" s="263"/>
      <c r="Q367" s="263"/>
      <c r="R367" s="263"/>
      <c r="S367" s="263"/>
      <c r="T367" s="263"/>
      <c r="U367" s="246"/>
      <c r="V367" s="246"/>
      <c r="W367" s="246"/>
      <c r="X367" s="246"/>
      <c r="Y367" s="246"/>
      <c r="Z367" s="246"/>
    </row>
    <row r="368">
      <c r="A368" s="263"/>
      <c r="B368" s="265" t="str">
        <f>IFERROR(__xludf.DUMMYFUNCTION("""COMPUTED_VALUE"""),"Gloom Infusion")</f>
        <v>Gloom Infusion</v>
      </c>
      <c r="C368" s="263"/>
      <c r="D368" s="264" t="str">
        <f>IFERROR(__xludf.DUMMYFUNCTION("""COMPUTED_VALUE"""),"Spell, Dark, Type")</f>
        <v>Spell, Dark, Type</v>
      </c>
      <c r="E368" s="264" t="str">
        <f>IFERROR(__xludf.DUMMYFUNCTION("""COMPUTED_VALUE"""),"30ft")</f>
        <v>30ft</v>
      </c>
      <c r="F368" s="266" t="str">
        <f>IFERROR(__xludf.DUMMYFUNCTION("""COMPUTED_VALUE"""),"You surround a willing target in gloom and shadow, changing their typing to Dark II. As a Dark II type, they take half damage from Dark Damage or attacks with the Dark keywords, unless the attack deals true damage. They take 50% more damage from Holy Dama"&amp;"ge or attacks with the Holy keyword. While the ward lasts, they also gain 60 feet Darkvision and a +4 bonus to saves against mind affecting effects.
The ward lasts until the end of the encounter or until their type is overwritten by a more powerful type.")</f>
        <v>You surround a willing target in gloom and shadow, changing their typing to Dark II. As a Dark II type, they take half damage from Dark Damage or attacks with the Dark keywords, unless the attack deals true damage. They take 50% more damage from Holy Damage or attacks with the Holy keyword. While the ward lasts, they also gain 60 feet Darkvision and a +4 bonus to saves against mind affecting effects.
The ward lasts until the end of the encounter or until their type is overwritten by a more powerful type.</v>
      </c>
      <c r="G368" s="263" t="str">
        <f>IFERROR(__xludf.DUMMYFUNCTION("""COMPUTED_VALUE"""),"")</f>
        <v/>
      </c>
      <c r="H368" s="265" t="str">
        <f>IFERROR(__xludf.DUMMYFUNCTION("""COMPUTED_VALUE"""),"1 AP")</f>
        <v>1 AP</v>
      </c>
      <c r="I368" s="264" t="str">
        <f>IFERROR(__xludf.DUMMYFUNCTION("""COMPUTED_VALUE"""),"1 AP")</f>
        <v>1 AP</v>
      </c>
      <c r="J368" s="264" t="str">
        <f>IFERROR(__xludf.DUMMYFUNCTION("""COMPUTED_VALUE"""),"")</f>
        <v/>
      </c>
      <c r="K368" s="263" t="str">
        <f>IFERROR(__xludf.DUMMYFUNCTION("""COMPUTED_VALUE"""),"")</f>
        <v/>
      </c>
      <c r="L368" s="263" t="str">
        <f>IFERROR(__xludf.DUMMYFUNCTION("""COMPUTED_VALUE"""),"")</f>
        <v/>
      </c>
      <c r="M368" s="263"/>
      <c r="N368" s="263"/>
      <c r="O368" s="263"/>
      <c r="P368" s="263"/>
      <c r="Q368" s="263"/>
      <c r="R368" s="263"/>
      <c r="S368" s="263"/>
      <c r="T368" s="263"/>
      <c r="U368" s="246"/>
      <c r="V368" s="246"/>
      <c r="W368" s="246"/>
      <c r="X368" s="246"/>
      <c r="Y368" s="246"/>
      <c r="Z368" s="246"/>
    </row>
    <row r="369">
      <c r="A369" s="263"/>
      <c r="B369" s="265" t="str">
        <f>IFERROR(__xludf.DUMMYFUNCTION("""COMPUTED_VALUE"""),"Gnome Claws")</f>
        <v>Gnome Claws</v>
      </c>
      <c r="C369" s="263"/>
      <c r="D369" s="264" t="str">
        <f>IFERROR(__xludf.DUMMYFUNCTION("""COMPUTED_VALUE"""),"")</f>
        <v/>
      </c>
      <c r="E369" s="264" t="str">
        <f>IFERROR(__xludf.DUMMYFUNCTION("""COMPUTED_VALUE"""),"Self")</f>
        <v>Self</v>
      </c>
      <c r="F369" s="266" t="str">
        <f>IFERROR(__xludf.DUMMYFUNCTION("""COMPUTED_VALUE"""),"You burrow into natural earth ground, granting Burrow, making you move underground at your normal speed.  While you are not attacking, you gain a +10/+20 bonus to your dodge except against other burrowed creatures. Using any action except movement or basi"&amp;"c defenses cancels Gnome Claws.  Canceling Gnome Claws with a melee attack grants a +2 Accuracy Bonus to the attack.")</f>
        <v>You burrow into natural earth ground, granting Burrow, making you move underground at your normal speed.  While you are not attacking, you gain a +10/+20 bonus to your dodge except against other burrowed creatures. Using any action except movement or basic defenses cancels Gnome Claws.  Canceling Gnome Claws with a melee attack grants a +2 Accuracy Bonus to the attack.</v>
      </c>
      <c r="G369" s="263" t="str">
        <f>IFERROR(__xludf.DUMMYFUNCTION("""COMPUTED_VALUE"""),"")</f>
        <v/>
      </c>
      <c r="H369" s="265" t="str">
        <f>IFERROR(__xludf.DUMMYFUNCTION("""COMPUTED_VALUE"""),"1 AP, 3 MP")</f>
        <v>1 AP, 3 MP</v>
      </c>
      <c r="I369" s="264" t="str">
        <f>IFERROR(__xludf.DUMMYFUNCTION("""COMPUTED_VALUE"""),"1 AP")</f>
        <v>1 AP</v>
      </c>
      <c r="J369" s="263" t="str">
        <f>IFERROR(__xludf.DUMMYFUNCTION("""COMPUTED_VALUE"""),"3 MP")</f>
        <v>3 MP</v>
      </c>
      <c r="K369" s="263" t="str">
        <f>IFERROR(__xludf.DUMMYFUNCTION("""COMPUTED_VALUE"""),"")</f>
        <v/>
      </c>
      <c r="L369" s="263" t="str">
        <f>IFERROR(__xludf.DUMMYFUNCTION("""COMPUTED_VALUE"""),"")</f>
        <v/>
      </c>
      <c r="M369" s="263"/>
      <c r="N369" s="263"/>
      <c r="O369" s="263"/>
      <c r="P369" s="263"/>
      <c r="Q369" s="263"/>
      <c r="R369" s="263"/>
      <c r="S369" s="263"/>
      <c r="T369" s="263"/>
      <c r="U369" s="246"/>
      <c r="V369" s="246"/>
      <c r="W369" s="246"/>
      <c r="X369" s="246"/>
      <c r="Y369" s="246"/>
      <c r="Z369" s="246"/>
    </row>
    <row r="370">
      <c r="A370" s="263"/>
      <c r="B370" s="265" t="str">
        <f>IFERROR(__xludf.DUMMYFUNCTION("""COMPUTED_VALUE"""),"God's Blessing")</f>
        <v>God's Blessing</v>
      </c>
      <c r="C370" s="263"/>
      <c r="D370" s="263" t="str">
        <f>IFERROR(__xludf.DUMMYFUNCTION("""COMPUTED_VALUE"""),"")</f>
        <v/>
      </c>
      <c r="E370" s="264" t="str">
        <f>IFERROR(__xludf.DUMMYFUNCTION("""COMPUTED_VALUE"""),"'-")</f>
        <v>'-</v>
      </c>
      <c r="F370" s="266" t="str">
        <f>IFERROR(__xludf.DUMMYFUNCTION("""COMPUTED_VALUE"""),"The AP cost of True Divine Release I is lowered by 4 and the mana cost upkeep is lowered to 0.")</f>
        <v>The AP cost of True Divine Release I is lowered by 4 and the mana cost upkeep is lowered to 0.</v>
      </c>
      <c r="G370" s="264" t="str">
        <f>IFERROR(__xludf.DUMMYFUNCTION("""COMPUTED_VALUE"""),"")</f>
        <v/>
      </c>
      <c r="H370" s="265" t="str">
        <f>IFERROR(__xludf.DUMMYFUNCTION("""COMPUTED_VALUE"""),"")</f>
        <v/>
      </c>
      <c r="I370" s="263" t="str">
        <f>IFERROR(__xludf.DUMMYFUNCTION("""COMPUTED_VALUE"""),"")</f>
        <v/>
      </c>
      <c r="J370" s="263" t="str">
        <f>IFERROR(__xludf.DUMMYFUNCTION("""COMPUTED_VALUE"""),"")</f>
        <v/>
      </c>
      <c r="K370" s="264" t="str">
        <f>IFERROR(__xludf.DUMMYFUNCTION("""COMPUTED_VALUE"""),"")</f>
        <v/>
      </c>
      <c r="L370" s="263" t="str">
        <f>IFERROR(__xludf.DUMMYFUNCTION("""COMPUTED_VALUE"""),"")</f>
        <v/>
      </c>
      <c r="M370" s="263"/>
      <c r="N370" s="263"/>
      <c r="O370" s="263"/>
      <c r="P370" s="263"/>
      <c r="Q370" s="263"/>
      <c r="R370" s="263"/>
      <c r="S370" s="263"/>
      <c r="T370" s="263"/>
      <c r="U370" s="246"/>
      <c r="V370" s="246"/>
      <c r="W370" s="246"/>
      <c r="X370" s="246"/>
      <c r="Y370" s="246"/>
      <c r="Z370" s="246"/>
    </row>
    <row r="371">
      <c r="A371" s="263"/>
      <c r="B371" s="265" t="str">
        <f>IFERROR(__xludf.DUMMYFUNCTION("""COMPUTED_VALUE"""),"Good Fortune")</f>
        <v>Good Fortune</v>
      </c>
      <c r="C371" s="263"/>
      <c r="D371" s="263" t="str">
        <f>IFERROR(__xludf.DUMMYFUNCTION("""COMPUTED_VALUE"""),"")</f>
        <v/>
      </c>
      <c r="E371" s="263" t="str">
        <f>IFERROR(__xludf.DUMMYFUNCTION("""COMPUTED_VALUE"""),"")</f>
        <v/>
      </c>
      <c r="F371" s="266" t="str">
        <f>IFERROR(__xludf.DUMMYFUNCTION("""COMPUTED_VALUE"""),"You always seem to find money in inexplicable ways.
At the end of an Interlude phase, you gain 500 Clim per Interlude Point spent during the phase.")</f>
        <v>You always seem to find money in inexplicable ways.
At the end of an Interlude phase, you gain 500 Clim per Interlude Point spent during the phase.</v>
      </c>
      <c r="G371" s="264" t="str">
        <f>IFERROR(__xludf.DUMMYFUNCTION("""COMPUTED_VALUE"""),"")</f>
        <v/>
      </c>
      <c r="H371" s="267" t="str">
        <f>IFERROR(__xludf.DUMMYFUNCTION("""COMPUTED_VALUE"""),"")</f>
        <v/>
      </c>
      <c r="I371" s="263" t="str">
        <f>IFERROR(__xludf.DUMMYFUNCTION("""COMPUTED_VALUE"""),"")</f>
        <v/>
      </c>
      <c r="J371" s="263" t="str">
        <f>IFERROR(__xludf.DUMMYFUNCTION("""COMPUTED_VALUE"""),"")</f>
        <v/>
      </c>
      <c r="K371" s="263" t="str">
        <f>IFERROR(__xludf.DUMMYFUNCTION("""COMPUTED_VALUE"""),"")</f>
        <v/>
      </c>
      <c r="L371" s="263" t="str">
        <f>IFERROR(__xludf.DUMMYFUNCTION("""COMPUTED_VALUE"""),"")</f>
        <v/>
      </c>
      <c r="M371" s="263"/>
      <c r="N371" s="263"/>
      <c r="O371" s="263"/>
      <c r="P371" s="263"/>
      <c r="Q371" s="263"/>
      <c r="R371" s="263"/>
      <c r="S371" s="263"/>
      <c r="T371" s="263"/>
      <c r="U371" s="246"/>
      <c r="V371" s="246"/>
      <c r="W371" s="246"/>
      <c r="X371" s="246"/>
      <c r="Y371" s="246"/>
      <c r="Z371" s="246"/>
    </row>
    <row r="372">
      <c r="A372" s="263"/>
      <c r="B372" s="265" t="str">
        <f>IFERROR(__xludf.DUMMYFUNCTION("""COMPUTED_VALUE"""),"Goring Charge")</f>
        <v>Goring Charge</v>
      </c>
      <c r="C372" s="263"/>
      <c r="D372" s="264" t="str">
        <f>IFERROR(__xludf.DUMMYFUNCTION("""COMPUTED_VALUE"""),"")</f>
        <v/>
      </c>
      <c r="E372" s="264" t="str">
        <f>IFERROR(__xludf.DUMMYFUNCTION("""COMPUTED_VALUE"""),"")</f>
        <v/>
      </c>
      <c r="F372" s="266" t="str">
        <f>IFERROR(__xludf.DUMMYFUNCTION("""COMPUTED_VALUE"""),"You lower your head and charge in a direction with your horns. You move X times your speed in a straight line. If you move at least 15 feet, you make a Heavy attack against the first target in your path. They may sidestep this attack for 1 RP.
If a target"&amp;" sidesteps your attack, you continue charging for your maximum distance or until you hit an object. If you charge into another creature, you make a Heavy attack against them as well and the process continues. You do not provoke attacks of opportunity from"&amp;" creatures that sidestepped your attack for this movement.
If the object you charge into is destroyable, the GM may also ask you to make a Heavy attack against it.
These attacks are considered unarmed attacks that you are proficient in, even if you normal"&amp;"ly wouldn't be. It does not benefit from any sort of gauntlet bonuses.")</f>
        <v>You lower your head and charge in a direction with your horns. You move X times your speed in a straight line. If you move at least 15 feet, you make a Heavy attack against the first target in your path. They may sidestep this attack for 1 RP.
If a target sidesteps your attack, you continue charging for your maximum distance or until you hit an object. If you charge into another creature, you make a Heavy attack against them as well and the process continues. You do not provoke attacks of opportunity from creatures that sidestepped your attack for this movement.
If the object you charge into is destroyable, the GM may also ask you to make a Heavy attack against it.
These attacks are considered unarmed attacks that you are proficient in, even if you normally wouldn't be. It does not benefit from any sort of gauntlet bonuses.</v>
      </c>
      <c r="G372" s="263" t="str">
        <f>IFERROR(__xludf.DUMMYFUNCTION("""COMPUTED_VALUE"""),"")</f>
        <v/>
      </c>
      <c r="H372" s="265" t="str">
        <f>IFERROR(__xludf.DUMMYFUNCTION("""COMPUTED_VALUE"""),"X AP")</f>
        <v>X AP</v>
      </c>
      <c r="I372" s="264" t="str">
        <f>IFERROR(__xludf.DUMMYFUNCTION("""COMPUTED_VALUE"""),"X AP")</f>
        <v>X AP</v>
      </c>
      <c r="J372" s="264" t="str">
        <f>IFERROR(__xludf.DUMMYFUNCTION("""COMPUTED_VALUE"""),"")</f>
        <v/>
      </c>
      <c r="K372" s="263" t="str">
        <f>IFERROR(__xludf.DUMMYFUNCTION("""COMPUTED_VALUE"""),"")</f>
        <v/>
      </c>
      <c r="L372" s="263" t="str">
        <f>IFERROR(__xludf.DUMMYFUNCTION("""COMPUTED_VALUE"""),"")</f>
        <v/>
      </c>
      <c r="M372" s="263"/>
      <c r="N372" s="263"/>
      <c r="O372" s="263"/>
      <c r="P372" s="263"/>
      <c r="Q372" s="263"/>
      <c r="R372" s="263"/>
      <c r="S372" s="263"/>
      <c r="T372" s="263"/>
      <c r="U372" s="246"/>
      <c r="V372" s="246"/>
      <c r="W372" s="246"/>
      <c r="X372" s="246"/>
      <c r="Y372" s="246"/>
      <c r="Z372" s="246"/>
    </row>
    <row r="373">
      <c r="A373" s="263"/>
      <c r="B373" s="265" t="str">
        <f>IFERROR(__xludf.DUMMYFUNCTION("""COMPUTED_VALUE"""),"Graceful Landing")</f>
        <v>Graceful Landing</v>
      </c>
      <c r="C373" s="263"/>
      <c r="D373" s="263" t="str">
        <f>IFERROR(__xludf.DUMMYFUNCTION("""COMPUTED_VALUE"""),"")</f>
        <v/>
      </c>
      <c r="E373" s="264" t="str">
        <f>IFERROR(__xludf.DUMMYFUNCTION("""COMPUTED_VALUE"""),"Self")</f>
        <v>Self</v>
      </c>
      <c r="F373" s="266" t="str">
        <f>IFERROR(__xludf.DUMMYFUNCTION("""COMPUTED_VALUE"""),"You gain Graceful Landing until the start of your next turn, treating all fall distance as 50ft lower.")</f>
        <v>You gain Graceful Landing until the start of your next turn, treating all fall distance as 50ft lower.</v>
      </c>
      <c r="G373" s="263" t="str">
        <f>IFERROR(__xludf.DUMMYFUNCTION("""COMPUTED_VALUE"""),"")</f>
        <v/>
      </c>
      <c r="H373" s="265" t="str">
        <f>IFERROR(__xludf.DUMMYFUNCTION("""COMPUTED_VALUE"""),"0 RP")</f>
        <v>0 RP</v>
      </c>
      <c r="I373" s="263" t="str">
        <f>IFERROR(__xludf.DUMMYFUNCTION("""COMPUTED_VALUE"""),"")</f>
        <v/>
      </c>
      <c r="J373" s="264" t="str">
        <f>IFERROR(__xludf.DUMMYFUNCTION("""COMPUTED_VALUE"""),"")</f>
        <v/>
      </c>
      <c r="K373" s="264" t="str">
        <f>IFERROR(__xludf.DUMMYFUNCTION("""COMPUTED_VALUE"""),"0 RP")</f>
        <v>0 RP</v>
      </c>
      <c r="L373" s="263" t="str">
        <f>IFERROR(__xludf.DUMMYFUNCTION("""COMPUTED_VALUE"""),"")</f>
        <v/>
      </c>
      <c r="M373" s="263"/>
      <c r="N373" s="263"/>
      <c r="O373" s="263"/>
      <c r="P373" s="263"/>
      <c r="Q373" s="263"/>
      <c r="R373" s="263"/>
      <c r="S373" s="263"/>
      <c r="T373" s="263"/>
      <c r="U373" s="246"/>
      <c r="V373" s="246"/>
      <c r="W373" s="246"/>
      <c r="X373" s="246"/>
      <c r="Y373" s="246"/>
      <c r="Z373" s="246"/>
    </row>
    <row r="374">
      <c r="A374" s="263"/>
      <c r="B374" s="265" t="str">
        <f>IFERROR(__xludf.DUMMYFUNCTION("""COMPUTED_VALUE"""),"Graceful Service")</f>
        <v>Graceful Service</v>
      </c>
      <c r="C374" s="263"/>
      <c r="D374" s="263" t="str">
        <f>IFERROR(__xludf.DUMMYFUNCTION("""COMPUTED_VALUE"""),"")</f>
        <v/>
      </c>
      <c r="E374" s="264" t="str">
        <f>IFERROR(__xludf.DUMMYFUNCTION("""COMPUTED_VALUE"""),"")</f>
        <v/>
      </c>
      <c r="F374" s="266" t="str">
        <f>IFERROR(__xludf.DUMMYFUNCTION("""COMPUTED_VALUE"""),"You assist a target character, giving them 1 additional encounter conclusion action.
This uses up your own encounter conclusion action.")</f>
        <v>You assist a target character, giving them 1 additional encounter conclusion action.
This uses up your own encounter conclusion action.</v>
      </c>
      <c r="G374" s="264" t="str">
        <f>IFERROR(__xludf.DUMMYFUNCTION("""COMPUTED_VALUE"""),"")</f>
        <v/>
      </c>
      <c r="H374" s="265" t="str">
        <f>IFERROR(__xludf.DUMMYFUNCTION("""COMPUTED_VALUE"""),"")</f>
        <v/>
      </c>
      <c r="I374" s="263" t="str">
        <f>IFERROR(__xludf.DUMMYFUNCTION("""COMPUTED_VALUE"""),"")</f>
        <v/>
      </c>
      <c r="J374" s="263" t="str">
        <f>IFERROR(__xludf.DUMMYFUNCTION("""COMPUTED_VALUE"""),"")</f>
        <v/>
      </c>
      <c r="K374" s="264" t="str">
        <f>IFERROR(__xludf.DUMMYFUNCTION("""COMPUTED_VALUE"""),"")</f>
        <v/>
      </c>
      <c r="L374" s="263" t="str">
        <f>IFERROR(__xludf.DUMMYFUNCTION("""COMPUTED_VALUE"""),"")</f>
        <v/>
      </c>
      <c r="M374" s="263"/>
      <c r="N374" s="263"/>
      <c r="O374" s="263"/>
      <c r="P374" s="263"/>
      <c r="Q374" s="263"/>
      <c r="R374" s="263"/>
      <c r="S374" s="263"/>
      <c r="T374" s="263"/>
      <c r="U374" s="246"/>
      <c r="V374" s="246"/>
      <c r="W374" s="246"/>
      <c r="X374" s="246"/>
      <c r="Y374" s="246"/>
      <c r="Z374" s="246"/>
    </row>
    <row r="375">
      <c r="A375" s="263"/>
      <c r="B375" s="265" t="str">
        <f>IFERROR(__xludf.DUMMYFUNCTION("""COMPUTED_VALUE"""),"Grand Theft Horse")</f>
        <v>Grand Theft Horse</v>
      </c>
      <c r="C375" s="263"/>
      <c r="D375" s="264" t="str">
        <f>IFERROR(__xludf.DUMMYFUNCTION("""COMPUTED_VALUE"""),"")</f>
        <v/>
      </c>
      <c r="E375" s="264" t="str">
        <f>IFERROR(__xludf.DUMMYFUNCTION("""COMPUTED_VALUE"""),"5ft")</f>
        <v>5ft</v>
      </c>
      <c r="F375" s="266" t="str">
        <f>IFERROR(__xludf.DUMMYFUNCTION("""COMPUTED_VALUE"""),"The target must make a save against your Potency or be immediately dismounted and knocked prone next to their mount. You may then spend 0 RP to immediately mount it.
Does not work against creatures that are considered a mount by themselves such as Dullaha"&amp;"ns or Centaurs.")</f>
        <v>The target must make a save against your Potency or be immediately dismounted and knocked prone next to their mount. You may then spend 0 RP to immediately mount it.
Does not work against creatures that are considered a mount by themselves such as Dullahans or Centaurs.</v>
      </c>
      <c r="G375" s="263" t="str">
        <f>IFERROR(__xludf.DUMMYFUNCTION("""COMPUTED_VALUE"""),"Target must be mounted.")</f>
        <v>Target must be mounted.</v>
      </c>
      <c r="H375" s="265" t="str">
        <f>IFERROR(__xludf.DUMMYFUNCTION("""COMPUTED_VALUE"""),"2 AP, 2 MP")</f>
        <v>2 AP, 2 MP</v>
      </c>
      <c r="I375" s="264" t="str">
        <f>IFERROR(__xludf.DUMMYFUNCTION("""COMPUTED_VALUE"""),"2 AP")</f>
        <v>2 AP</v>
      </c>
      <c r="J375" s="264" t="str">
        <f>IFERROR(__xludf.DUMMYFUNCTION("""COMPUTED_VALUE"""),"2 MP")</f>
        <v>2 MP</v>
      </c>
      <c r="K375" s="263" t="str">
        <f>IFERROR(__xludf.DUMMYFUNCTION("""COMPUTED_VALUE"""),"")</f>
        <v/>
      </c>
      <c r="L375" s="263" t="str">
        <f>IFERROR(__xludf.DUMMYFUNCTION("""COMPUTED_VALUE"""),"")</f>
        <v/>
      </c>
      <c r="M375" s="263"/>
      <c r="N375" s="263"/>
      <c r="O375" s="263"/>
      <c r="P375" s="263"/>
      <c r="Q375" s="263"/>
      <c r="R375" s="263"/>
      <c r="S375" s="263"/>
      <c r="T375" s="263"/>
      <c r="U375" s="246"/>
      <c r="V375" s="246"/>
      <c r="W375" s="246"/>
      <c r="X375" s="246"/>
      <c r="Y375" s="246"/>
      <c r="Z375" s="246"/>
    </row>
    <row r="376">
      <c r="A376" s="263"/>
      <c r="B376" s="265" t="str">
        <f>IFERROR(__xludf.DUMMYFUNCTION("""COMPUTED_VALUE"""),"Gravitational Ki")</f>
        <v>Gravitational Ki</v>
      </c>
      <c r="C376" s="263"/>
      <c r="D376" s="264" t="str">
        <f>IFERROR(__xludf.DUMMYFUNCTION("""COMPUTED_VALUE"""),"")</f>
        <v/>
      </c>
      <c r="E376" s="264" t="str">
        <f>IFERROR(__xludf.DUMMYFUNCTION("""COMPUTED_VALUE"""),"10ft")</f>
        <v>10ft</v>
      </c>
      <c r="F376" s="266" t="str">
        <f>IFERROR(__xludf.DUMMYFUNCTION("""COMPUTED_VALUE"""),"You target one unit and either push them away from you 5ft or pull them towards you 5ft. Cannot move a creature or object that’s bigger than 5ft and automatically fails against enemy heroic creatures.")</f>
        <v>You target one unit and either push them away from you 5ft or pull them towards you 5ft. Cannot move a creature or object that’s bigger than 5ft and automatically fails against enemy heroic creatures.</v>
      </c>
      <c r="G376" s="264" t="str">
        <f>IFERROR(__xludf.DUMMYFUNCTION("""COMPUTED_VALUE"""),"")</f>
        <v/>
      </c>
      <c r="H376" s="265" t="str">
        <f>IFERROR(__xludf.DUMMYFUNCTION("""COMPUTED_VALUE"""),"1 RP")</f>
        <v>1 RP</v>
      </c>
      <c r="I376" s="263" t="str">
        <f>IFERROR(__xludf.DUMMYFUNCTION("""COMPUTED_VALUE"""),"")</f>
        <v/>
      </c>
      <c r="J376" s="264" t="str">
        <f>IFERROR(__xludf.DUMMYFUNCTION("""COMPUTED_VALUE"""),"")</f>
        <v/>
      </c>
      <c r="K376" s="264" t="str">
        <f>IFERROR(__xludf.DUMMYFUNCTION("""COMPUTED_VALUE"""),"1 RP")</f>
        <v>1 RP</v>
      </c>
      <c r="L376" s="263" t="str">
        <f>IFERROR(__xludf.DUMMYFUNCTION("""COMPUTED_VALUE"""),"")</f>
        <v/>
      </c>
      <c r="M376" s="263"/>
      <c r="N376" s="263"/>
      <c r="O376" s="263"/>
      <c r="P376" s="263"/>
      <c r="Q376" s="263"/>
      <c r="R376" s="263"/>
      <c r="S376" s="263"/>
      <c r="T376" s="263"/>
      <c r="U376" s="246"/>
      <c r="V376" s="246"/>
      <c r="W376" s="246"/>
      <c r="X376" s="246"/>
      <c r="Y376" s="246"/>
      <c r="Z376" s="246"/>
    </row>
    <row r="377">
      <c r="A377" s="263"/>
      <c r="B377" s="265" t="str">
        <f>IFERROR(__xludf.DUMMYFUNCTION("""COMPUTED_VALUE"""),"Gravitational Push")</f>
        <v>Gravitational Push</v>
      </c>
      <c r="C377" s="263"/>
      <c r="D377" s="263" t="str">
        <f>IFERROR(__xludf.DUMMYFUNCTION("""COMPUTED_VALUE"""),"Spell, Active, Gravity")</f>
        <v>Spell, Active, Gravity</v>
      </c>
      <c r="E377" s="263" t="str">
        <f>IFERROR(__xludf.DUMMYFUNCTION("""COMPUTED_VALUE"""),"40ft")</f>
        <v>40ft</v>
      </c>
      <c r="F377" s="266" t="str">
        <f>IFERROR(__xludf.DUMMYFUNCTION("""COMPUTED_VALUE"""),"You push the target 20ft or pull it 20ft towards you.")</f>
        <v>You push the target 20ft or pull it 20ft towards you.</v>
      </c>
      <c r="G377" s="264" t="str">
        <f>IFERROR(__xludf.DUMMYFUNCTION("""COMPUTED_VALUE"""),"")</f>
        <v/>
      </c>
      <c r="H377" s="267" t="str">
        <f>IFERROR(__xludf.DUMMYFUNCTION("""COMPUTED_VALUE"""),"1 AP")</f>
        <v>1 AP</v>
      </c>
      <c r="I377" s="263" t="str">
        <f>IFERROR(__xludf.DUMMYFUNCTION("""COMPUTED_VALUE"""),"1 AP")</f>
        <v>1 AP</v>
      </c>
      <c r="J377" s="263" t="str">
        <f>IFERROR(__xludf.DUMMYFUNCTION("""COMPUTED_VALUE"""),"")</f>
        <v/>
      </c>
      <c r="K377" s="263" t="str">
        <f>IFERROR(__xludf.DUMMYFUNCTION("""COMPUTED_VALUE"""),"")</f>
        <v/>
      </c>
      <c r="L377" s="263" t="str">
        <f>IFERROR(__xludf.DUMMYFUNCTION("""COMPUTED_VALUE"""),"")</f>
        <v/>
      </c>
      <c r="M377" s="263"/>
      <c r="N377" s="263"/>
      <c r="O377" s="263"/>
      <c r="P377" s="263"/>
      <c r="Q377" s="263"/>
      <c r="R377" s="263"/>
      <c r="S377" s="263"/>
      <c r="T377" s="263"/>
      <c r="U377" s="246"/>
      <c r="V377" s="246"/>
      <c r="W377" s="246"/>
      <c r="X377" s="246"/>
      <c r="Y377" s="246"/>
      <c r="Z377" s="246"/>
    </row>
    <row r="378">
      <c r="A378" s="263"/>
      <c r="B378" s="265" t="str">
        <f>IFERROR(__xludf.DUMMYFUNCTION("""COMPUTED_VALUE"""),"Gravity Crush")</f>
        <v>Gravity Crush</v>
      </c>
      <c r="C378" s="263"/>
      <c r="D378" s="264" t="str">
        <f>IFERROR(__xludf.DUMMYFUNCTION("""COMPUTED_VALUE"""),"Spell, Gravity, Rapid")</f>
        <v>Spell, Gravity, Rapid</v>
      </c>
      <c r="E378" s="264" t="str">
        <f>IFERROR(__xludf.DUMMYFUNCTION("""COMPUTED_VALUE"""),"30ft")</f>
        <v>30ft</v>
      </c>
      <c r="F378" s="266" t="str">
        <f>IFERROR(__xludf.DUMMYFUNCTION("""COMPUTED_VALUE"""),"You make a Light (1 AP), Heavy (2 AP) or Precise (2 AP) attack against the target that deals Physical (Crushing) damage.")</f>
        <v>You make a Light (1 AP), Heavy (2 AP) or Precise (2 AP) attack against the target that deals Physical (Crushing) damage.</v>
      </c>
      <c r="G378" s="263" t="str">
        <f>IFERROR(__xludf.DUMMYFUNCTION("""COMPUTED_VALUE"""),"")</f>
        <v/>
      </c>
      <c r="H378" s="265" t="str">
        <f>IFERROR(__xludf.DUMMYFUNCTION("""COMPUTED_VALUE"""),"1 AP")</f>
        <v>1 AP</v>
      </c>
      <c r="I378" s="264" t="str">
        <f>IFERROR(__xludf.DUMMYFUNCTION("""COMPUTED_VALUE"""),"1 AP")</f>
        <v>1 AP</v>
      </c>
      <c r="J378" s="263" t="str">
        <f>IFERROR(__xludf.DUMMYFUNCTION("""COMPUTED_VALUE"""),"")</f>
        <v/>
      </c>
      <c r="K378" s="263" t="str">
        <f>IFERROR(__xludf.DUMMYFUNCTION("""COMPUTED_VALUE"""),"")</f>
        <v/>
      </c>
      <c r="L378" s="263" t="str">
        <f>IFERROR(__xludf.DUMMYFUNCTION("""COMPUTED_VALUE"""),"")</f>
        <v/>
      </c>
      <c r="M378" s="263"/>
      <c r="N378" s="263"/>
      <c r="O378" s="263"/>
      <c r="P378" s="263"/>
      <c r="Q378" s="263"/>
      <c r="R378" s="263"/>
      <c r="S378" s="263"/>
      <c r="T378" s="263"/>
      <c r="U378" s="246"/>
      <c r="V378" s="246"/>
      <c r="W378" s="246"/>
      <c r="X378" s="246"/>
      <c r="Y378" s="246"/>
      <c r="Z378" s="246"/>
    </row>
    <row r="379">
      <c r="A379" s="263"/>
      <c r="B379" s="265" t="str">
        <f>IFERROR(__xludf.DUMMYFUNCTION("""COMPUTED_VALUE"""),"Greater Imbue Weapon")</f>
        <v>Greater Imbue Weapon</v>
      </c>
      <c r="C379" s="263"/>
      <c r="D379" s="263" t="str">
        <f>IFERROR(__xludf.DUMMYFUNCTION("""COMPUTED_VALUE"""),"Enchantment")</f>
        <v>Enchantment</v>
      </c>
      <c r="E379" s="263" t="str">
        <f>IFERROR(__xludf.DUMMYFUNCTION("""COMPUTED_VALUE"""),"Self")</f>
        <v>Self</v>
      </c>
      <c r="F379" s="266" t="str">
        <f>IFERROR(__xludf.DUMMYFUNCTION("""COMPUTED_VALUE"""),"You may enchant your weapon as though you had used Imbue Weapon, but it also gains a +1 Power bonus in addition to the normal benefits. If you are not holding the enchanted weapon at the start of your turn, your weapon loses this benefit.")</f>
        <v>You may enchant your weapon as though you had used Imbue Weapon, but it also gains a +1 Power bonus in addition to the normal benefits. If you are not holding the enchanted weapon at the start of your turn, your weapon loses this benefit.</v>
      </c>
      <c r="G379" s="263" t="str">
        <f>IFERROR(__xludf.DUMMYFUNCTION("""COMPUTED_VALUE"""),"")</f>
        <v/>
      </c>
      <c r="H379" s="267" t="str">
        <f>IFERROR(__xludf.DUMMYFUNCTION("""COMPUTED_VALUE"""),"1 AP, 1 MP")</f>
        <v>1 AP, 1 MP</v>
      </c>
      <c r="I379" s="263" t="str">
        <f>IFERROR(__xludf.DUMMYFUNCTION("""COMPUTED_VALUE"""),"1 AP")</f>
        <v>1 AP</v>
      </c>
      <c r="J379" s="263" t="str">
        <f>IFERROR(__xludf.DUMMYFUNCTION("""COMPUTED_VALUE"""),"1 MP")</f>
        <v>1 MP</v>
      </c>
      <c r="K379" s="263" t="str">
        <f>IFERROR(__xludf.DUMMYFUNCTION("""COMPUTED_VALUE"""),"")</f>
        <v/>
      </c>
      <c r="L379" s="263" t="str">
        <f>IFERROR(__xludf.DUMMYFUNCTION("""COMPUTED_VALUE"""),"")</f>
        <v/>
      </c>
      <c r="M379" s="263"/>
      <c r="N379" s="263"/>
      <c r="O379" s="263"/>
      <c r="P379" s="263"/>
      <c r="Q379" s="263"/>
      <c r="R379" s="263"/>
      <c r="S379" s="263"/>
      <c r="T379" s="263"/>
      <c r="U379" s="246"/>
      <c r="V379" s="246"/>
      <c r="W379" s="246"/>
      <c r="X379" s="246"/>
      <c r="Y379" s="246"/>
      <c r="Z379" s="246"/>
    </row>
    <row r="380">
      <c r="A380" s="263"/>
      <c r="B380" s="265" t="str">
        <f>IFERROR(__xludf.DUMMYFUNCTION("""COMPUTED_VALUE"""),"Grindstone Echo")</f>
        <v>Grindstone Echo</v>
      </c>
      <c r="C380" s="263"/>
      <c r="D380" s="263" t="str">
        <f>IFERROR(__xludf.DUMMYFUNCTION("""COMPUTED_VALUE"""),"")</f>
        <v/>
      </c>
      <c r="E380" s="264" t="str">
        <f>IFERROR(__xludf.DUMMYFUNCTION("""COMPUTED_VALUE"""),"")</f>
        <v/>
      </c>
      <c r="F380" s="266" t="str">
        <f>IFERROR(__xludf.DUMMYFUNCTION("""COMPUTED_VALUE"""),"You make a crafting check. You may choose the dice result from a previous check this crafting session and use that as your roll value.")</f>
        <v>You make a crafting check. You may choose the dice result from a previous check this crafting session and use that as your roll value.</v>
      </c>
      <c r="G380" s="264" t="str">
        <f>IFERROR(__xludf.DUMMYFUNCTION("""COMPUTED_VALUE"""),"Must be in a crafting session.")</f>
        <v>Must be in a crafting session.</v>
      </c>
      <c r="H380" s="265" t="str">
        <f>IFERROR(__xludf.DUMMYFUNCTION("""COMPUTED_VALUE"""),"1 Crafting Dice")</f>
        <v>1 Crafting Dice</v>
      </c>
      <c r="I380" s="263" t="str">
        <f>IFERROR(__xludf.DUMMYFUNCTION("""COMPUTED_VALUE"""),"")</f>
        <v/>
      </c>
      <c r="J380" s="264" t="str">
        <f>IFERROR(__xludf.DUMMYFUNCTION("""COMPUTED_VALUE"""),"")</f>
        <v/>
      </c>
      <c r="K380" s="264" t="str">
        <f>IFERROR(__xludf.DUMMYFUNCTION("""COMPUTED_VALUE"""),"")</f>
        <v/>
      </c>
      <c r="L380" s="263" t="str">
        <f>IFERROR(__xludf.DUMMYFUNCTION("""COMPUTED_VALUE"""),"")</f>
        <v/>
      </c>
      <c r="M380" s="263"/>
      <c r="N380" s="263"/>
      <c r="O380" s="263"/>
      <c r="P380" s="263"/>
      <c r="Q380" s="263"/>
      <c r="R380" s="263"/>
      <c r="S380" s="263"/>
      <c r="T380" s="263"/>
      <c r="U380" s="246"/>
      <c r="V380" s="246"/>
      <c r="W380" s="246"/>
      <c r="X380" s="246"/>
      <c r="Y380" s="246"/>
      <c r="Z380" s="246"/>
    </row>
    <row r="381">
      <c r="A381" s="263"/>
      <c r="B381" s="265" t="str">
        <f>IFERROR(__xludf.DUMMYFUNCTION("""COMPUTED_VALUE"""),"Grudge")</f>
        <v>Grudge</v>
      </c>
      <c r="C381" s="263"/>
      <c r="D381" s="264" t="str">
        <f>IFERROR(__xludf.DUMMYFUNCTION("""COMPUTED_VALUE"""),"Safe")</f>
        <v>Safe</v>
      </c>
      <c r="E381" s="264" t="str">
        <f>IFERROR(__xludf.DUMMYFUNCTION("""COMPUTED_VALUE"""),"Sight")</f>
        <v>Sight</v>
      </c>
      <c r="F381" s="266" t="str">
        <f>IFERROR(__xludf.DUMMYFUNCTION("""COMPUTED_VALUE"""),"You curse the attacker and make a Light attack that deals Dark(Curse) damage against them.")</f>
        <v>You curse the attacker and make a Light attack that deals Dark(Curse) damage against them.</v>
      </c>
      <c r="G381" s="263" t="str">
        <f>IFERROR(__xludf.DUMMYFUNCTION("""COMPUTED_VALUE"""),"An enemy hits you with an attack.")</f>
        <v>An enemy hits you with an attack.</v>
      </c>
      <c r="H381" s="265" t="str">
        <f>IFERROR(__xludf.DUMMYFUNCTION("""COMPUTED_VALUE"""),"1 MP, 0 RP")</f>
        <v>1 MP, 0 RP</v>
      </c>
      <c r="I381" s="263" t="str">
        <f>IFERROR(__xludf.DUMMYFUNCTION("""COMPUTED_VALUE"""),"")</f>
        <v/>
      </c>
      <c r="J381" s="263" t="str">
        <f>IFERROR(__xludf.DUMMYFUNCTION("""COMPUTED_VALUE"""),"1 MP")</f>
        <v>1 MP</v>
      </c>
      <c r="K381" s="264" t="str">
        <f>IFERROR(__xludf.DUMMYFUNCTION("""COMPUTED_VALUE"""),"0 RP")</f>
        <v>0 RP</v>
      </c>
      <c r="L381" s="263" t="str">
        <f>IFERROR(__xludf.DUMMYFUNCTION("""COMPUTED_VALUE"""),"")</f>
        <v/>
      </c>
      <c r="M381" s="263"/>
      <c r="N381" s="263"/>
      <c r="O381" s="263"/>
      <c r="P381" s="263"/>
      <c r="Q381" s="263"/>
      <c r="R381" s="263"/>
      <c r="S381" s="263"/>
      <c r="T381" s="263"/>
      <c r="U381" s="246"/>
      <c r="V381" s="246"/>
      <c r="W381" s="246"/>
      <c r="X381" s="246"/>
      <c r="Y381" s="246"/>
      <c r="Z381" s="246"/>
    </row>
    <row r="382">
      <c r="A382" s="263"/>
      <c r="B382" s="265" t="str">
        <f>IFERROR(__xludf.DUMMYFUNCTION("""COMPUTED_VALUE"""),"Guard Dog")</f>
        <v>Guard Dog</v>
      </c>
      <c r="C382" s="263"/>
      <c r="D382" s="263" t="str">
        <f>IFERROR(__xludf.DUMMYFUNCTION("""COMPUTED_VALUE"""),"")</f>
        <v/>
      </c>
      <c r="E382" s="264" t="str">
        <f>IFERROR(__xludf.DUMMYFUNCTION("""COMPUTED_VALUE"""),"5ft")</f>
        <v>5ft</v>
      </c>
      <c r="F382" s="266" t="str">
        <f>IFERROR(__xludf.DUMMYFUNCTION("""COMPUTED_VALUE"""),"You redirect the attack towards you instead of your ally and may take the Block action against it for 0 RP.
You may use this even if you’re also a target of the attack and both attacks will resolve against you. Your Block action works against both of thes"&amp;"e attacks.")</f>
        <v>You redirect the attack towards you instead of your ally and may take the Block action against it for 0 RP.
You may use this even if you’re also a target of the attack and both attacks will resolve against you. Your Block action works against both of these attacks.</v>
      </c>
      <c r="G382" s="263" t="str">
        <f>IFERROR(__xludf.DUMMYFUNCTION("""COMPUTED_VALUE"""),"An ally within range is the target of an attack.")</f>
        <v>An ally within range is the target of an attack.</v>
      </c>
      <c r="H382" s="265" t="str">
        <f>IFERROR(__xludf.DUMMYFUNCTION("""COMPUTED_VALUE"""),"1 MP, 1 RP")</f>
        <v>1 MP, 1 RP</v>
      </c>
      <c r="I382" s="264" t="str">
        <f>IFERROR(__xludf.DUMMYFUNCTION("""COMPUTED_VALUE"""),"")</f>
        <v/>
      </c>
      <c r="J382" s="264" t="str">
        <f>IFERROR(__xludf.DUMMYFUNCTION("""COMPUTED_VALUE"""),"1 MP")</f>
        <v>1 MP</v>
      </c>
      <c r="K382" s="263" t="str">
        <f>IFERROR(__xludf.DUMMYFUNCTION("""COMPUTED_VALUE"""),"1 RP")</f>
        <v>1 RP</v>
      </c>
      <c r="L382" s="263" t="str">
        <f>IFERROR(__xludf.DUMMYFUNCTION("""COMPUTED_VALUE"""),"")</f>
        <v/>
      </c>
      <c r="M382" s="263"/>
      <c r="N382" s="263"/>
      <c r="O382" s="263"/>
      <c r="P382" s="263"/>
      <c r="Q382" s="263"/>
      <c r="R382" s="263"/>
      <c r="S382" s="263"/>
      <c r="T382" s="263"/>
      <c r="U382" s="246"/>
      <c r="V382" s="246"/>
      <c r="W382" s="246"/>
      <c r="X382" s="246"/>
      <c r="Y382" s="246"/>
      <c r="Z382" s="246"/>
    </row>
    <row r="383">
      <c r="A383" s="263"/>
      <c r="B383" s="265" t="str">
        <f>IFERROR(__xludf.DUMMYFUNCTION("""COMPUTED_VALUE"""),"Guided Aim")</f>
        <v>Guided Aim</v>
      </c>
      <c r="C383" s="263"/>
      <c r="D383" s="264" t="str">
        <f>IFERROR(__xludf.DUMMYFUNCTION("""COMPUTED_VALUE"""),"")</f>
        <v/>
      </c>
      <c r="E383" s="264" t="str">
        <f>IFERROR(__xludf.DUMMYFUNCTION("""COMPUTED_VALUE"""),"Self")</f>
        <v>Self</v>
      </c>
      <c r="F383" s="266" t="str">
        <f>IFERROR(__xludf.DUMMYFUNCTION("""COMPUTED_VALUE"""),"You gain a bonus to your next accuracy roll equal to the mana spent on this ability. If the attack is a Precise Attack, the bonus gained is doubled.")</f>
        <v>You gain a bonus to your next accuracy roll equal to the mana spent on this ability. If the attack is a Precise Attack, the bonus gained is doubled.</v>
      </c>
      <c r="G383" s="263" t="str">
        <f>IFERROR(__xludf.DUMMYFUNCTION("""COMPUTED_VALUE"""),"")</f>
        <v/>
      </c>
      <c r="H383" s="265" t="str">
        <f>IFERROR(__xludf.DUMMYFUNCTION("""COMPUTED_VALUE"""),"0 AP, X MP")</f>
        <v>0 AP, X MP</v>
      </c>
      <c r="I383" s="264" t="str">
        <f>IFERROR(__xludf.DUMMYFUNCTION("""COMPUTED_VALUE"""),"0 AP")</f>
        <v>0 AP</v>
      </c>
      <c r="J383" s="263" t="str">
        <f>IFERROR(__xludf.DUMMYFUNCTION("""COMPUTED_VALUE"""),"X MP")</f>
        <v>X MP</v>
      </c>
      <c r="K383" s="263" t="str">
        <f>IFERROR(__xludf.DUMMYFUNCTION("""COMPUTED_VALUE"""),"")</f>
        <v/>
      </c>
      <c r="L383" s="263" t="str">
        <f>IFERROR(__xludf.DUMMYFUNCTION("""COMPUTED_VALUE"""),"")</f>
        <v/>
      </c>
      <c r="M383" s="263"/>
      <c r="N383" s="263"/>
      <c r="O383" s="263"/>
      <c r="P383" s="263"/>
      <c r="Q383" s="263"/>
      <c r="R383" s="263"/>
      <c r="S383" s="263"/>
      <c r="T383" s="263"/>
      <c r="U383" s="246"/>
      <c r="V383" s="246"/>
      <c r="W383" s="246"/>
      <c r="X383" s="246"/>
      <c r="Y383" s="246"/>
      <c r="Z383" s="246"/>
    </row>
    <row r="384">
      <c r="A384" s="263"/>
      <c r="B384" s="265" t="str">
        <f>IFERROR(__xludf.DUMMYFUNCTION("""COMPUTED_VALUE"""),"Half Restore")</f>
        <v>Half Restore</v>
      </c>
      <c r="C384" s="263"/>
      <c r="D384" s="264" t="str">
        <f>IFERROR(__xludf.DUMMYFUNCTION("""COMPUTED_VALUE"""),"Healing")</f>
        <v>Healing</v>
      </c>
      <c r="E384" s="264" t="str">
        <f>IFERROR(__xludf.DUMMYFUNCTION("""COMPUTED_VALUE"""),"5ft")</f>
        <v>5ft</v>
      </c>
      <c r="F384" s="266" t="str">
        <f>IFERROR(__xludf.DUMMYFUNCTION("""COMPUTED_VALUE"""),"You heal your summoned animal for 11 + Power x 2 HP. It also removes 1 negative effect from it. If the amount healed exceeds the target’s maximum HP, any extra HP is converted into temporary HP.")</f>
        <v>You heal your summoned animal for 11 + Power x 2 HP. It also removes 1 negative effect from it. If the amount healed exceeds the target’s maximum HP, any extra HP is converted into temporary HP.</v>
      </c>
      <c r="G384" s="264" t="str">
        <f>IFERROR(__xludf.DUMMYFUNCTION("""COMPUTED_VALUE"""),"Can only target your summoned animal.")</f>
        <v>Can only target your summoned animal.</v>
      </c>
      <c r="H384" s="265" t="str">
        <f>IFERROR(__xludf.DUMMYFUNCTION("""COMPUTED_VALUE"""),"2 AP, 2 MP")</f>
        <v>2 AP, 2 MP</v>
      </c>
      <c r="I384" s="264" t="str">
        <f>IFERROR(__xludf.DUMMYFUNCTION("""COMPUTED_VALUE"""),"2 AP")</f>
        <v>2 AP</v>
      </c>
      <c r="J384" s="263" t="str">
        <f>IFERROR(__xludf.DUMMYFUNCTION("""COMPUTED_VALUE"""),"2 MP")</f>
        <v>2 MP</v>
      </c>
      <c r="K384" s="263" t="str">
        <f>IFERROR(__xludf.DUMMYFUNCTION("""COMPUTED_VALUE"""),"")</f>
        <v/>
      </c>
      <c r="L384" s="263" t="str">
        <f>IFERROR(__xludf.DUMMYFUNCTION("""COMPUTED_VALUE"""),"")</f>
        <v/>
      </c>
      <c r="M384" s="263"/>
      <c r="N384" s="263"/>
      <c r="O384" s="263"/>
      <c r="P384" s="263"/>
      <c r="Q384" s="263"/>
      <c r="R384" s="263"/>
      <c r="S384" s="263"/>
      <c r="T384" s="263"/>
      <c r="U384" s="246"/>
      <c r="V384" s="246"/>
      <c r="W384" s="246"/>
      <c r="X384" s="246"/>
      <c r="Y384" s="246"/>
      <c r="Z384" s="246"/>
    </row>
    <row r="385">
      <c r="A385" s="263"/>
      <c r="B385" s="265" t="str">
        <f>IFERROR(__xludf.DUMMYFUNCTION("""COMPUTED_VALUE"""),"Hammer and Nail")</f>
        <v>Hammer and Nail</v>
      </c>
      <c r="C385" s="263"/>
      <c r="D385" s="264" t="str">
        <f>IFERROR(__xludf.DUMMYFUNCTION("""COMPUTED_VALUE"""),"Sure Hit, Full Pierce, Rage")</f>
        <v>Sure Hit, Full Pierce, Rage</v>
      </c>
      <c r="E385" s="264" t="str">
        <f>IFERROR(__xludf.DUMMYFUNCTION("""COMPUTED_VALUE"""),"Melee Weapon Range")</f>
        <v>Melee Weapon Range</v>
      </c>
      <c r="F385" s="266" t="str">
        <f>IFERROR(__xludf.DUMMYFUNCTION("""COMPUTED_VALUE"""),"Make a light attack against the target with Sure Hit and Full Pierce.")</f>
        <v>Make a light attack against the target with Sure Hit and Full Pierce.</v>
      </c>
      <c r="G385" s="263" t="str">
        <f>IFERROR(__xludf.DUMMYFUNCTION("""COMPUTED_VALUE"""),"An ally dealt damage to a target that didn't take a defense action.")</f>
        <v>An ally dealt damage to a target that didn't take a defense action.</v>
      </c>
      <c r="H385" s="265" t="str">
        <f>IFERROR(__xludf.DUMMYFUNCTION("""COMPUTED_VALUE"""),"1 MP, 1 RP")</f>
        <v>1 MP, 1 RP</v>
      </c>
      <c r="I385" s="264" t="str">
        <f>IFERROR(__xludf.DUMMYFUNCTION("""COMPUTED_VALUE"""),"")</f>
        <v/>
      </c>
      <c r="J385" s="263" t="str">
        <f>IFERROR(__xludf.DUMMYFUNCTION("""COMPUTED_VALUE"""),"1 MP")</f>
        <v>1 MP</v>
      </c>
      <c r="K385" s="263" t="str">
        <f>IFERROR(__xludf.DUMMYFUNCTION("""COMPUTED_VALUE"""),"1 RP")</f>
        <v>1 RP</v>
      </c>
      <c r="L385" s="263" t="str">
        <f>IFERROR(__xludf.DUMMYFUNCTION("""COMPUTED_VALUE"""),"")</f>
        <v/>
      </c>
      <c r="M385" s="263"/>
      <c r="N385" s="263"/>
      <c r="O385" s="263"/>
      <c r="P385" s="263"/>
      <c r="Q385" s="263"/>
      <c r="R385" s="263"/>
      <c r="S385" s="263"/>
      <c r="T385" s="263"/>
      <c r="U385" s="246"/>
      <c r="V385" s="246"/>
      <c r="W385" s="246"/>
      <c r="X385" s="246"/>
      <c r="Y385" s="246"/>
      <c r="Z385" s="246"/>
    </row>
    <row r="386">
      <c r="A386" s="263"/>
      <c r="B386" s="265" t="str">
        <f>IFERROR(__xludf.DUMMYFUNCTION("""COMPUTED_VALUE"""),"Hardening Fist")</f>
        <v>Hardening Fist</v>
      </c>
      <c r="C386" s="263"/>
      <c r="D386" s="263" t="str">
        <f>IFERROR(__xludf.DUMMYFUNCTION("""COMPUTED_VALUE"""),"Unarmed Strike, Combo")</f>
        <v>Unarmed Strike, Combo</v>
      </c>
      <c r="E386" s="264" t="str">
        <f>IFERROR(__xludf.DUMMYFUNCTION("""COMPUTED_VALUE"""),"Melee Weapon Range")</f>
        <v>Melee Weapon Range</v>
      </c>
      <c r="F386" s="266" t="str">
        <f>IFERROR(__xludf.DUMMYFUNCTION("""COMPUTED_VALUE"""),"You make a Light attack against the target. Afterwards, you gain Hardening Fist, which gives +2 guard and +8 Block, but lose 4 evasion (including dodge) until the start of your next turn.
Combo: If used after Steadfast Earth Stance, the mana cost is reduc"&amp;"ed by 1.")</f>
        <v>You make a Light attack against the target. Afterwards, you gain Hardening Fist, which gives +2 guard and +8 Block, but lose 4 evasion (including dodge) until the start of your next turn.
Combo: If used after Steadfast Earth Stance, the mana cost is reduced by 1.</v>
      </c>
      <c r="G386" s="264" t="str">
        <f>IFERROR(__xludf.DUMMYFUNCTION("""COMPUTED_VALUE"""),"")</f>
        <v/>
      </c>
      <c r="H386" s="265" t="str">
        <f>IFERROR(__xludf.DUMMYFUNCTION("""COMPUTED_VALUE"""),"1 AP, 1 MP")</f>
        <v>1 AP, 1 MP</v>
      </c>
      <c r="I386" s="264" t="str">
        <f>IFERROR(__xludf.DUMMYFUNCTION("""COMPUTED_VALUE"""),"1 AP")</f>
        <v>1 AP</v>
      </c>
      <c r="J386" s="264" t="str">
        <f>IFERROR(__xludf.DUMMYFUNCTION("""COMPUTED_VALUE"""),"1 MP")</f>
        <v>1 MP</v>
      </c>
      <c r="K386" s="263" t="str">
        <f>IFERROR(__xludf.DUMMYFUNCTION("""COMPUTED_VALUE"""),"")</f>
        <v/>
      </c>
      <c r="L386" s="263" t="str">
        <f>IFERROR(__xludf.DUMMYFUNCTION("""COMPUTED_VALUE"""),"")</f>
        <v/>
      </c>
      <c r="M386" s="263"/>
      <c r="N386" s="263"/>
      <c r="O386" s="263"/>
      <c r="P386" s="263"/>
      <c r="Q386" s="263"/>
      <c r="R386" s="263"/>
      <c r="S386" s="263"/>
      <c r="T386" s="263"/>
      <c r="U386" s="246"/>
      <c r="V386" s="246"/>
      <c r="W386" s="246"/>
      <c r="X386" s="246"/>
      <c r="Y386" s="246"/>
      <c r="Z386" s="246"/>
    </row>
    <row r="387">
      <c r="A387" s="263"/>
      <c r="B387" s="265" t="str">
        <f>IFERROR(__xludf.DUMMYFUNCTION("""COMPUTED_VALUE"""),"Harvest Moon")</f>
        <v>Harvest Moon</v>
      </c>
      <c r="C387" s="263"/>
      <c r="D387" s="264" t="str">
        <f>IFERROR(__xludf.DUMMYFUNCTION("""COMPUTED_VALUE"""),"Slow, Healing, Killing Blow, Concentration, Upkeep")</f>
        <v>Slow, Healing, Killing Blow, Concentration, Upkeep</v>
      </c>
      <c r="E387" s="264" t="str">
        <f>IFERROR(__xludf.DUMMYFUNCTION("""COMPUTED_VALUE"""),"Self")</f>
        <v>Self</v>
      </c>
      <c r="F387" s="266" t="str">
        <f>IFERROR(__xludf.DUMMYFUNCTION("""COMPUTED_VALUE"""),"You call down a harvest moon over the area that shines in a 60ft radius around yourself.
All allies in range may spend 2 Mana at the start of their turn to heal for 15 HP.
All enemies starting their turn in its range must make a Save against your potency "&amp;"or become slowed.
You may end this ability early by choosing to make a 0 AP heavy attack against an enemy slowed by this ability. This attack must be made with a Scythe. On killing blow of that attack, you recover 1 mana.
Upkeep: You must spend 1 mana at "&amp;"the start of your turn to continue this effect.")</f>
        <v>You call down a harvest moon over the area that shines in a 60ft radius around yourself.
All allies in range may spend 2 Mana at the start of their turn to heal for 15 HP.
All enemies starting their turn in its range must make a Save against your potency or become slowed.
You may end this ability early by choosing to make a 0 AP heavy attack against an enemy slowed by this ability. This attack must be made with a Scythe. On killing blow of that attack, you recover 1 mana.
Upkeep: You must spend 1 mana at the start of your turn to continue this effect.</v>
      </c>
      <c r="G387" s="264" t="str">
        <f>IFERROR(__xludf.DUMMYFUNCTION("""COMPUTED_VALUE"""),"")</f>
        <v/>
      </c>
      <c r="H387" s="265" t="str">
        <f>IFERROR(__xludf.DUMMYFUNCTION("""COMPUTED_VALUE"""),"2 AP, 3 MP")</f>
        <v>2 AP, 3 MP</v>
      </c>
      <c r="I387" s="264" t="str">
        <f>IFERROR(__xludf.DUMMYFUNCTION("""COMPUTED_VALUE"""),"2 AP")</f>
        <v>2 AP</v>
      </c>
      <c r="J387" s="263" t="str">
        <f>IFERROR(__xludf.DUMMYFUNCTION("""COMPUTED_VALUE"""),"3 MP")</f>
        <v>3 MP</v>
      </c>
      <c r="K387" s="263" t="str">
        <f>IFERROR(__xludf.DUMMYFUNCTION("""COMPUTED_VALUE"""),"")</f>
        <v/>
      </c>
      <c r="L387" s="263" t="str">
        <f>IFERROR(__xludf.DUMMYFUNCTION("""COMPUTED_VALUE"""),"")</f>
        <v/>
      </c>
      <c r="M387" s="263"/>
      <c r="N387" s="263"/>
      <c r="O387" s="263"/>
      <c r="P387" s="263"/>
      <c r="Q387" s="263"/>
      <c r="R387" s="263"/>
      <c r="S387" s="263"/>
      <c r="T387" s="263"/>
      <c r="U387" s="246"/>
      <c r="V387" s="246"/>
      <c r="W387" s="246"/>
      <c r="X387" s="246"/>
      <c r="Y387" s="246"/>
      <c r="Z387" s="246"/>
    </row>
    <row r="388">
      <c r="A388" s="263"/>
      <c r="B388" s="265" t="str">
        <f>IFERROR(__xludf.DUMMYFUNCTION("""COMPUTED_VALUE"""),"Haste")</f>
        <v>Haste</v>
      </c>
      <c r="C388" s="263"/>
      <c r="D388" s="264" t="str">
        <f>IFERROR(__xludf.DUMMYFUNCTION("""COMPUTED_VALUE"""),"Spell, Circuit")</f>
        <v>Spell, Circuit</v>
      </c>
      <c r="E388" s="264" t="str">
        <f>IFERROR(__xludf.DUMMYFUNCTION("""COMPUTED_VALUE"""),"60ft")</f>
        <v>60ft</v>
      </c>
      <c r="F388" s="266" t="str">
        <f>IFERROR(__xludf.DUMMYFUNCTION("""COMPUTED_VALUE"""),"Grants the target Haste, granting them 2 AP for the rest of this turn.  A target can only be affected by haste once per turn.")</f>
        <v>Grants the target Haste, granting them 2 AP for the rest of this turn.  A target can only be affected by haste once per turn.</v>
      </c>
      <c r="G388" s="264" t="str">
        <f>IFERROR(__xludf.DUMMYFUNCTION("""COMPUTED_VALUE"""),"")</f>
        <v/>
      </c>
      <c r="H388" s="265" t="str">
        <f>IFERROR(__xludf.DUMMYFUNCTION("""COMPUTED_VALUE"""),"2 MP, 1 RP")</f>
        <v>2 MP, 1 RP</v>
      </c>
      <c r="I388" s="264" t="str">
        <f>IFERROR(__xludf.DUMMYFUNCTION("""COMPUTED_VALUE"""),"")</f>
        <v/>
      </c>
      <c r="J388" s="263" t="str">
        <f>IFERROR(__xludf.DUMMYFUNCTION("""COMPUTED_VALUE"""),"2 MP")</f>
        <v>2 MP</v>
      </c>
      <c r="K388" s="263" t="str">
        <f>IFERROR(__xludf.DUMMYFUNCTION("""COMPUTED_VALUE"""),"1 RP")</f>
        <v>1 RP</v>
      </c>
      <c r="L388" s="263" t="str">
        <f>IFERROR(__xludf.DUMMYFUNCTION("""COMPUTED_VALUE"""),"")</f>
        <v/>
      </c>
      <c r="M388" s="263"/>
      <c r="N388" s="263"/>
      <c r="O388" s="263"/>
      <c r="P388" s="263"/>
      <c r="Q388" s="263"/>
      <c r="R388" s="263"/>
      <c r="S388" s="263"/>
      <c r="T388" s="263"/>
      <c r="U388" s="246"/>
      <c r="V388" s="246"/>
      <c r="W388" s="246"/>
      <c r="X388" s="246"/>
      <c r="Y388" s="246"/>
      <c r="Z388" s="246"/>
    </row>
    <row r="389">
      <c r="A389" s="263"/>
      <c r="B389" s="265" t="str">
        <f>IFERROR(__xludf.DUMMYFUNCTION("""COMPUTED_VALUE"""),"Haunting Bark")</f>
        <v>Haunting Bark</v>
      </c>
      <c r="C389" s="263"/>
      <c r="D389" s="264" t="str">
        <f>IFERROR(__xludf.DUMMYFUNCTION("""COMPUTED_VALUE"""),"Mind Affecting, Fear, Shaken, Full Pierce, Sound")</f>
        <v>Mind Affecting, Fear, Shaken, Full Pierce, Sound</v>
      </c>
      <c r="E389" s="264" t="str">
        <f>IFERROR(__xludf.DUMMYFUNCTION("""COMPUTED_VALUE"""),"60ft")</f>
        <v>60ft</v>
      </c>
      <c r="F389" s="266" t="str">
        <f>IFERROR(__xludf.DUMMYFUNCTION("""COMPUTED_VALUE"""),"You bark at an enemy forcing them to make a Save or become shaken until the end of their next turn. The third time in a combat you use this against the same target, they also take Light Full Pierce Lightning damage in addition to the shaken effect if they"&amp;" fail their save.")</f>
        <v>You bark at an enemy forcing them to make a Save or become shaken until the end of their next turn. The third time in a combat you use this against the same target, they also take Light Full Pierce Lightning damage in addition to the shaken effect if they fail their save.</v>
      </c>
      <c r="G389" s="264" t="str">
        <f>IFERROR(__xludf.DUMMYFUNCTION("""COMPUTED_VALUE"""),"Must be in Dog Form.")</f>
        <v>Must be in Dog Form.</v>
      </c>
      <c r="H389" s="265" t="str">
        <f>IFERROR(__xludf.DUMMYFUNCTION("""COMPUTED_VALUE"""),"1 AP")</f>
        <v>1 AP</v>
      </c>
      <c r="I389" s="263" t="str">
        <f>IFERROR(__xludf.DUMMYFUNCTION("""COMPUTED_VALUE"""),"1 AP")</f>
        <v>1 AP</v>
      </c>
      <c r="J389" s="263" t="str">
        <f>IFERROR(__xludf.DUMMYFUNCTION("""COMPUTED_VALUE"""),"")</f>
        <v/>
      </c>
      <c r="K389" s="264" t="str">
        <f>IFERROR(__xludf.DUMMYFUNCTION("""COMPUTED_VALUE"""),"")</f>
        <v/>
      </c>
      <c r="L389" s="263" t="str">
        <f>IFERROR(__xludf.DUMMYFUNCTION("""COMPUTED_VALUE"""),"")</f>
        <v/>
      </c>
      <c r="M389" s="263"/>
      <c r="N389" s="263"/>
      <c r="O389" s="263"/>
      <c r="P389" s="263"/>
      <c r="Q389" s="263"/>
      <c r="R389" s="263"/>
      <c r="S389" s="263"/>
      <c r="T389" s="263"/>
      <c r="U389" s="246"/>
      <c r="V389" s="246"/>
      <c r="W389" s="246"/>
      <c r="X389" s="246"/>
      <c r="Y389" s="246"/>
      <c r="Z389" s="246"/>
    </row>
    <row r="390">
      <c r="A390" s="263"/>
      <c r="B390" s="265" t="str">
        <f>IFERROR(__xludf.DUMMYFUNCTION("""COMPUTED_VALUE"""),"Headless")</f>
        <v>Headless</v>
      </c>
      <c r="C390" s="263"/>
      <c r="D390" s="264" t="str">
        <f>IFERROR(__xludf.DUMMYFUNCTION("""COMPUTED_VALUE"""),"")</f>
        <v/>
      </c>
      <c r="E390" s="264" t="str">
        <f>IFERROR(__xludf.DUMMYFUNCTION("""COMPUTED_VALUE"""),"")</f>
        <v/>
      </c>
      <c r="F390" s="266" t="str">
        <f>IFERROR(__xludf.DUMMYFUNCTION("""COMPUTED_VALUE"""),"Critical hits rolled against you do not gain Full Pierce and do not automatically deal maximum damage.")</f>
        <v>Critical hits rolled against you do not gain Full Pierce and do not automatically deal maximum damage.</v>
      </c>
      <c r="G390" s="263" t="str">
        <f>IFERROR(__xludf.DUMMYFUNCTION("""COMPUTED_VALUE"""),"")</f>
        <v/>
      </c>
      <c r="H390" s="265" t="str">
        <f>IFERROR(__xludf.DUMMYFUNCTION("""COMPUTED_VALUE"""),"")</f>
        <v/>
      </c>
      <c r="I390" s="264" t="str">
        <f>IFERROR(__xludf.DUMMYFUNCTION("""COMPUTED_VALUE"""),"")</f>
        <v/>
      </c>
      <c r="J390" s="263" t="str">
        <f>IFERROR(__xludf.DUMMYFUNCTION("""COMPUTED_VALUE"""),"")</f>
        <v/>
      </c>
      <c r="K390" s="263" t="str">
        <f>IFERROR(__xludf.DUMMYFUNCTION("""COMPUTED_VALUE"""),"")</f>
        <v/>
      </c>
      <c r="L390" s="263" t="str">
        <f>IFERROR(__xludf.DUMMYFUNCTION("""COMPUTED_VALUE"""),"")</f>
        <v/>
      </c>
      <c r="M390" s="263"/>
      <c r="N390" s="263"/>
      <c r="O390" s="263"/>
      <c r="P390" s="263"/>
      <c r="Q390" s="263"/>
      <c r="R390" s="263"/>
      <c r="S390" s="263"/>
      <c r="T390" s="263"/>
      <c r="U390" s="246"/>
      <c r="V390" s="246"/>
      <c r="W390" s="246"/>
      <c r="X390" s="246"/>
      <c r="Y390" s="246"/>
      <c r="Z390" s="246"/>
    </row>
    <row r="391">
      <c r="A391" s="263"/>
      <c r="B391" s="265" t="str">
        <f>IFERROR(__xludf.DUMMYFUNCTION("""COMPUTED_VALUE"""),"Headwind")</f>
        <v>Headwind</v>
      </c>
      <c r="C391" s="263"/>
      <c r="D391" s="264" t="str">
        <f>IFERROR(__xludf.DUMMYFUNCTION("""COMPUTED_VALUE"""),"Aura, Upkeep, Slow")</f>
        <v>Aura, Upkeep, Slow</v>
      </c>
      <c r="E391" s="264" t="str">
        <f>IFERROR(__xludf.DUMMYFUNCTION("""COMPUTED_VALUE"""),"Self")</f>
        <v>Self</v>
      </c>
      <c r="F391" s="266" t="str">
        <f>IFERROR(__xludf.DUMMYFUNCTION("""COMPUTED_VALUE"""),"You project an aura around you that hinders the movements of enemies.
All enemies that start their movement within 30ft of you become slowed. If an enemy takes a Move basic action outside of your zone and spends more than 1 AP, they are still slowed after"&amp;" calculating each individual AP spent on the move.
Upkeep: 1 AP")</f>
        <v>You project an aura around you that hinders the movements of enemies.
All enemies that start their movement within 30ft of you become slowed. If an enemy takes a Move basic action outside of your zone and spends more than 1 AP, they are still slowed after calculating each individual AP spent on the move.
Upkeep: 1 AP</v>
      </c>
      <c r="G391" s="264" t="str">
        <f>IFERROR(__xludf.DUMMYFUNCTION("""COMPUTED_VALUE"""),"")</f>
        <v/>
      </c>
      <c r="H391" s="267" t="str">
        <f>IFERROR(__xludf.DUMMYFUNCTION("""COMPUTED_VALUE"""),"2 AP")</f>
        <v>2 AP</v>
      </c>
      <c r="I391" s="263" t="str">
        <f>IFERROR(__xludf.DUMMYFUNCTION("""COMPUTED_VALUE"""),"2 AP")</f>
        <v>2 AP</v>
      </c>
      <c r="J391" s="263" t="str">
        <f>IFERROR(__xludf.DUMMYFUNCTION("""COMPUTED_VALUE"""),"")</f>
        <v/>
      </c>
      <c r="K391" s="263" t="str">
        <f>IFERROR(__xludf.DUMMYFUNCTION("""COMPUTED_VALUE"""),"")</f>
        <v/>
      </c>
      <c r="L391" s="263" t="str">
        <f>IFERROR(__xludf.DUMMYFUNCTION("""COMPUTED_VALUE"""),"")</f>
        <v/>
      </c>
      <c r="M391" s="263"/>
      <c r="N391" s="263"/>
      <c r="O391" s="263"/>
      <c r="P391" s="263"/>
      <c r="Q391" s="263"/>
      <c r="R391" s="263"/>
      <c r="S391" s="263"/>
      <c r="T391" s="263"/>
      <c r="U391" s="246"/>
      <c r="V391" s="246"/>
      <c r="W391" s="246"/>
      <c r="X391" s="246"/>
      <c r="Y391" s="246"/>
      <c r="Z391" s="246"/>
    </row>
    <row r="392">
      <c r="A392" s="263"/>
      <c r="B392" s="265" t="str">
        <f>IFERROR(__xludf.DUMMYFUNCTION("""COMPUTED_VALUE"""),"Healing Seed")</f>
        <v>Healing Seed</v>
      </c>
      <c r="C392" s="263"/>
      <c r="D392" s="263" t="str">
        <f>IFERROR(__xludf.DUMMYFUNCTION("""COMPUTED_VALUE"""),"Spell")</f>
        <v>Spell</v>
      </c>
      <c r="E392" s="264" t="str">
        <f>IFERROR(__xludf.DUMMYFUNCTION("""COMPUTED_VALUE"""),"60ft")</f>
        <v>60ft</v>
      </c>
      <c r="F392" s="266" t="str">
        <f>IFERROR(__xludf.DUMMYFUNCTION("""COMPUTED_VALUE"""),"The next time Regrowth naturally triggers on that ally and heals them, it also removes all stacks of a debuff on the target.
If the debuff has Persist, you pay this additional mana cost when the Regrowth triggers and not upon using this ability.")</f>
        <v>The next time Regrowth naturally triggers on that ally and heals them, it also removes all stacks of a debuff on the target.
If the debuff has Persist, you pay this additional mana cost when the Regrowth triggers and not upon using this ability.</v>
      </c>
      <c r="G392" s="264" t="str">
        <f>IFERROR(__xludf.DUMMYFUNCTION("""COMPUTED_VALUE"""),"Target ally must have Regrowth on them.")</f>
        <v>Target ally must have Regrowth on them.</v>
      </c>
      <c r="H392" s="265" t="str">
        <f>IFERROR(__xludf.DUMMYFUNCTION("""COMPUTED_VALUE"""),"1 AP")</f>
        <v>1 AP</v>
      </c>
      <c r="I392" s="263" t="str">
        <f>IFERROR(__xludf.DUMMYFUNCTION("""COMPUTED_VALUE"""),"1 AP")</f>
        <v>1 AP</v>
      </c>
      <c r="J392" s="264" t="str">
        <f>IFERROR(__xludf.DUMMYFUNCTION("""COMPUTED_VALUE"""),"")</f>
        <v/>
      </c>
      <c r="K392" s="264" t="str">
        <f>IFERROR(__xludf.DUMMYFUNCTION("""COMPUTED_VALUE"""),"")</f>
        <v/>
      </c>
      <c r="L392" s="263" t="str">
        <f>IFERROR(__xludf.DUMMYFUNCTION("""COMPUTED_VALUE"""),"")</f>
        <v/>
      </c>
      <c r="M392" s="263"/>
      <c r="N392" s="263"/>
      <c r="O392" s="263"/>
      <c r="P392" s="263"/>
      <c r="Q392" s="263"/>
      <c r="R392" s="263"/>
      <c r="S392" s="263"/>
      <c r="T392" s="263"/>
      <c r="U392" s="246"/>
      <c r="V392" s="246"/>
      <c r="W392" s="246"/>
      <c r="X392" s="246"/>
      <c r="Y392" s="246"/>
      <c r="Z392" s="246"/>
    </row>
    <row r="393">
      <c r="A393" s="263"/>
      <c r="B393" s="265" t="str">
        <f>IFERROR(__xludf.DUMMYFUNCTION("""COMPUTED_VALUE"""),"Hearthlight")</f>
        <v>Hearthlight</v>
      </c>
      <c r="C393" s="263"/>
      <c r="D393" s="263" t="str">
        <f>IFERROR(__xludf.DUMMYFUNCTION("""COMPUTED_VALUE"""),"")</f>
        <v/>
      </c>
      <c r="E393" s="264" t="str">
        <f>IFERROR(__xludf.DUMMYFUNCTION("""COMPUTED_VALUE"""),"")</f>
        <v/>
      </c>
      <c r="F393" s="266" t="str">
        <f>IFERROR(__xludf.DUMMYFUNCTION("""COMPUTED_VALUE"""),"You can glow, emitting a comforting light within 30 feet. You can activate or deactivate this light every 1 second.")</f>
        <v>You can glow, emitting a comforting light within 30 feet. You can activate or deactivate this light every 1 second.</v>
      </c>
      <c r="G393" s="263" t="str">
        <f>IFERROR(__xludf.DUMMYFUNCTION("""COMPUTED_VALUE"""),"")</f>
        <v/>
      </c>
      <c r="H393" s="265" t="str">
        <f>IFERROR(__xludf.DUMMYFUNCTION("""COMPUTED_VALUE"""),"")</f>
        <v/>
      </c>
      <c r="I393" s="264" t="str">
        <f>IFERROR(__xludf.DUMMYFUNCTION("""COMPUTED_VALUE"""),"")</f>
        <v/>
      </c>
      <c r="J393" s="264" t="str">
        <f>IFERROR(__xludf.DUMMYFUNCTION("""COMPUTED_VALUE"""),"")</f>
        <v/>
      </c>
      <c r="K393" s="263" t="str">
        <f>IFERROR(__xludf.DUMMYFUNCTION("""COMPUTED_VALUE"""),"")</f>
        <v/>
      </c>
      <c r="L393" s="263" t="str">
        <f>IFERROR(__xludf.DUMMYFUNCTION("""COMPUTED_VALUE"""),"")</f>
        <v/>
      </c>
      <c r="M393" s="263"/>
      <c r="N393" s="263"/>
      <c r="O393" s="263"/>
      <c r="P393" s="263"/>
      <c r="Q393" s="263"/>
      <c r="R393" s="263"/>
      <c r="S393" s="263"/>
      <c r="T393" s="263"/>
      <c r="U393" s="246"/>
      <c r="V393" s="246"/>
      <c r="W393" s="246"/>
      <c r="X393" s="246"/>
      <c r="Y393" s="246"/>
      <c r="Z393" s="246"/>
    </row>
    <row r="394">
      <c r="A394" s="263"/>
      <c r="B394" s="265" t="str">
        <f>IFERROR(__xludf.DUMMYFUNCTION("""COMPUTED_VALUE"""),"Heavenfall Descent")</f>
        <v>Heavenfall Descent</v>
      </c>
      <c r="C394" s="263"/>
      <c r="D394" s="264" t="str">
        <f>IFERROR(__xludf.DUMMYFUNCTION("""COMPUTED_VALUE"""),"Unarmed Strike, Blanketing, Rage")</f>
        <v>Unarmed Strike, Blanketing, Rage</v>
      </c>
      <c r="E394" s="264" t="str">
        <f>IFERROR(__xludf.DUMMYFUNCTION("""COMPUTED_VALUE"""),"Self")</f>
        <v>Self</v>
      </c>
      <c r="F394" s="266" t="str">
        <f>IFERROR(__xludf.DUMMYFUNCTION("""COMPUTED_VALUE"""),"You crash to the ground without taking falling damage and make a Light attack against all enemies within 5ft of you.
May target a point on the floor as long as it’s within 20ft of you horizontally.")</f>
        <v>You crash to the ground without taking falling damage and make a Light attack against all enemies within 5ft of you.
May target a point on the floor as long as it’s within 20ft of you horizontally.</v>
      </c>
      <c r="G394" s="263" t="str">
        <f>IFERROR(__xludf.DUMMYFUNCTION("""COMPUTED_VALUE"""),"Must be airborne and between 20ft and 120ft above the ground.")</f>
        <v>Must be airborne and between 20ft and 120ft above the ground.</v>
      </c>
      <c r="H394" s="267" t="str">
        <f>IFERROR(__xludf.DUMMYFUNCTION("""COMPUTED_VALUE"""),"1 RP")</f>
        <v>1 RP</v>
      </c>
      <c r="I394" s="263" t="str">
        <f>IFERROR(__xludf.DUMMYFUNCTION("""COMPUTED_VALUE"""),"")</f>
        <v/>
      </c>
      <c r="J394" s="263" t="str">
        <f>IFERROR(__xludf.DUMMYFUNCTION("""COMPUTED_VALUE"""),"")</f>
        <v/>
      </c>
      <c r="K394" s="263" t="str">
        <f>IFERROR(__xludf.DUMMYFUNCTION("""COMPUTED_VALUE"""),"1 RP")</f>
        <v>1 RP</v>
      </c>
      <c r="L394" s="263" t="str">
        <f>IFERROR(__xludf.DUMMYFUNCTION("""COMPUTED_VALUE"""),"")</f>
        <v/>
      </c>
      <c r="M394" s="263"/>
      <c r="N394" s="263"/>
      <c r="O394" s="263"/>
      <c r="P394" s="263"/>
      <c r="Q394" s="263"/>
      <c r="R394" s="263"/>
      <c r="S394" s="263"/>
      <c r="T394" s="263"/>
      <c r="U394" s="246"/>
      <c r="V394" s="246"/>
      <c r="W394" s="246"/>
      <c r="X394" s="246"/>
      <c r="Y394" s="246"/>
      <c r="Z394" s="246"/>
    </row>
    <row r="395">
      <c r="A395" s="263"/>
      <c r="B395" s="265" t="str">
        <f>IFERROR(__xludf.DUMMYFUNCTION("""COMPUTED_VALUE"""),"Heavenly Lightning Stance")</f>
        <v>Heavenly Lightning Stance</v>
      </c>
      <c r="C395" s="263"/>
      <c r="D395" s="264" t="str">
        <f>IFERROR(__xludf.DUMMYFUNCTION("""COMPUTED_VALUE"""),"Stance")</f>
        <v>Stance</v>
      </c>
      <c r="E395" s="264" t="str">
        <f>IFERROR(__xludf.DUMMYFUNCTION("""COMPUTED_VALUE"""),"Self")</f>
        <v>Self</v>
      </c>
      <c r="F395" s="266" t="str">
        <f>IFERROR(__xludf.DUMMYFUNCTION("""COMPUTED_VALUE"""),"You enter the Heavenly Lightning Stance, a stance that lets you move with the unpredictability of the heavens. For your first movement of your turn, you may pass through enemies and your movement becomes a Sidestep.
If you have mastered Sky Talon Style, e"&amp;"ntering this stance also counts as your Wind Stance.
This stance lasts until you enter a different stance or make an attack with anything other than a melee attack or an ability with the Unarmed Strike keyword.")</f>
        <v>You enter the Heavenly Lightning Stance, a stance that lets you move with the unpredictability of the heavens. For your first movement of your turn, you may pass through enemies and your movement becomes a Sidestep.
If you have mastered Sky Talon Style, entering this stance also counts as your Wind Stance.
This stance lasts until you enter a different stance or make an attack with anything other than a melee attack or an ability with the Unarmed Strike keyword.</v>
      </c>
      <c r="G395" s="263" t="str">
        <f>IFERROR(__xludf.DUMMYFUNCTION("""COMPUTED_VALUE"""),"")</f>
        <v/>
      </c>
      <c r="H395" s="265" t="str">
        <f>IFERROR(__xludf.DUMMYFUNCTION("""COMPUTED_VALUE"""),"0 AP, 1 MP")</f>
        <v>0 AP, 1 MP</v>
      </c>
      <c r="I395" s="264" t="str">
        <f>IFERROR(__xludf.DUMMYFUNCTION("""COMPUTED_VALUE"""),"0 AP")</f>
        <v>0 AP</v>
      </c>
      <c r="J395" s="264" t="str">
        <f>IFERROR(__xludf.DUMMYFUNCTION("""COMPUTED_VALUE"""),"1 MP")</f>
        <v>1 MP</v>
      </c>
      <c r="K395" s="263" t="str">
        <f>IFERROR(__xludf.DUMMYFUNCTION("""COMPUTED_VALUE"""),"")</f>
        <v/>
      </c>
      <c r="L395" s="263" t="str">
        <f>IFERROR(__xludf.DUMMYFUNCTION("""COMPUTED_VALUE"""),"")</f>
        <v/>
      </c>
      <c r="M395" s="263"/>
      <c r="N395" s="263"/>
      <c r="O395" s="263"/>
      <c r="P395" s="263"/>
      <c r="Q395" s="263"/>
      <c r="R395" s="263"/>
      <c r="S395" s="263"/>
      <c r="T395" s="263"/>
      <c r="U395" s="246"/>
      <c r="V395" s="246"/>
      <c r="W395" s="246"/>
      <c r="X395" s="246"/>
      <c r="Y395" s="246"/>
      <c r="Z395" s="246"/>
    </row>
    <row r="396">
      <c r="A396" s="263"/>
      <c r="B396" s="265" t="str">
        <f>IFERROR(__xludf.DUMMYFUNCTION("""COMPUTED_VALUE"""),"Heavy Trample")</f>
        <v>Heavy Trample</v>
      </c>
      <c r="C396" s="263"/>
      <c r="D396" s="264" t="str">
        <f>IFERROR(__xludf.DUMMYFUNCTION("""COMPUTED_VALUE"""),"")</f>
        <v/>
      </c>
      <c r="E396" s="264" t="str">
        <f>IFERROR(__xludf.DUMMYFUNCTION("""COMPUTED_VALUE"""),"")</f>
        <v/>
      </c>
      <c r="F396" s="266" t="str">
        <f>IFERROR(__xludf.DUMMYFUNCTION("""COMPUTED_VALUE"""),"When using Trample, you may use your Toughness for the damage roll instead of your mount’s power.")</f>
        <v>When using Trample, you may use your Toughness for the damage roll instead of your mount’s power.</v>
      </c>
      <c r="G396" s="264" t="str">
        <f>IFERROR(__xludf.DUMMYFUNCTION("""COMPUTED_VALUE"""),"")</f>
        <v/>
      </c>
      <c r="H396" s="265" t="str">
        <f>IFERROR(__xludf.DUMMYFUNCTION("""COMPUTED_VALUE"""),"")</f>
        <v/>
      </c>
      <c r="I396" s="264" t="str">
        <f>IFERROR(__xludf.DUMMYFUNCTION("""COMPUTED_VALUE"""),"")</f>
        <v/>
      </c>
      <c r="J396" s="263" t="str">
        <f>IFERROR(__xludf.DUMMYFUNCTION("""COMPUTED_VALUE"""),"")</f>
        <v/>
      </c>
      <c r="K396" s="263" t="str">
        <f>IFERROR(__xludf.DUMMYFUNCTION("""COMPUTED_VALUE"""),"")</f>
        <v/>
      </c>
      <c r="L396" s="263" t="str">
        <f>IFERROR(__xludf.DUMMYFUNCTION("""COMPUTED_VALUE"""),"")</f>
        <v/>
      </c>
      <c r="M396" s="263"/>
      <c r="N396" s="263"/>
      <c r="O396" s="263"/>
      <c r="P396" s="263"/>
      <c r="Q396" s="263"/>
      <c r="R396" s="263"/>
      <c r="S396" s="263"/>
      <c r="T396" s="263"/>
      <c r="U396" s="246"/>
      <c r="V396" s="246"/>
      <c r="W396" s="246"/>
      <c r="X396" s="246"/>
      <c r="Y396" s="246"/>
      <c r="Z396" s="246"/>
    </row>
    <row r="397">
      <c r="A397" s="263"/>
      <c r="B397" s="265" t="str">
        <f>IFERROR(__xludf.DUMMYFUNCTION("""COMPUTED_VALUE"""),"Helix Siphon")</f>
        <v>Helix Siphon</v>
      </c>
      <c r="C397" s="263"/>
      <c r="D397" s="264" t="str">
        <f>IFERROR(__xludf.DUMMYFUNCTION("""COMPUTED_VALUE"""),"")</f>
        <v/>
      </c>
      <c r="E397" s="264" t="str">
        <f>IFERROR(__xludf.DUMMYFUNCTION("""COMPUTED_VALUE"""),"Melee Weapon Range or Touch")</f>
        <v>Melee Weapon Range or Touch</v>
      </c>
      <c r="F397" s="266" t="str">
        <f>IFERROR(__xludf.DUMMYFUNCTION("""COMPUTED_VALUE"""),"When you make a melee attack against an enemy that is a Chimera, you copy some of their DNA, granting you a gene for any ability of their race.
This gene is temporary and only lasts until the end of combat. Alternatively, you can touch an ally Chimera or "&amp;"downed enemy and copy a single gene.")</f>
        <v>When you make a melee attack against an enemy that is a Chimera, you copy some of their DNA, granting you a gene for any ability of their race.
This gene is temporary and only lasts until the end of combat. Alternatively, you can touch an ally Chimera or downed enemy and copy a single gene.</v>
      </c>
      <c r="G397" s="264" t="str">
        <f>IFERROR(__xludf.DUMMYFUNCTION("""COMPUTED_VALUE"""),"Melee attack deals damage against a known Chimera.")</f>
        <v>Melee attack deals damage against a known Chimera.</v>
      </c>
      <c r="H397" s="265" t="str">
        <f>IFERROR(__xludf.DUMMYFUNCTION("""COMPUTED_VALUE"""),"1 MP, 0 RP")</f>
        <v>1 MP, 0 RP</v>
      </c>
      <c r="I397" s="264" t="str">
        <f>IFERROR(__xludf.DUMMYFUNCTION("""COMPUTED_VALUE"""),"")</f>
        <v/>
      </c>
      <c r="J397" s="263" t="str">
        <f>IFERROR(__xludf.DUMMYFUNCTION("""COMPUTED_VALUE"""),"1 MP")</f>
        <v>1 MP</v>
      </c>
      <c r="K397" s="263" t="str">
        <f>IFERROR(__xludf.DUMMYFUNCTION("""COMPUTED_VALUE"""),"0 RP")</f>
        <v>0 RP</v>
      </c>
      <c r="L397" s="263" t="str">
        <f>IFERROR(__xludf.DUMMYFUNCTION("""COMPUTED_VALUE"""),"")</f>
        <v/>
      </c>
      <c r="M397" s="263"/>
      <c r="N397" s="263"/>
      <c r="O397" s="263"/>
      <c r="P397" s="263"/>
      <c r="Q397" s="263"/>
      <c r="R397" s="263"/>
      <c r="S397" s="263"/>
      <c r="T397" s="263"/>
      <c r="U397" s="246"/>
      <c r="V397" s="246"/>
      <c r="W397" s="246"/>
      <c r="X397" s="246"/>
      <c r="Y397" s="246"/>
      <c r="Z397" s="246"/>
    </row>
    <row r="398">
      <c r="A398" s="263"/>
      <c r="B398" s="265" t="str">
        <f>IFERROR(__xludf.DUMMYFUNCTION("""COMPUTED_VALUE"""),"Hibernate")</f>
        <v>Hibernate</v>
      </c>
      <c r="C398" s="263"/>
      <c r="D398" s="264" t="str">
        <f>IFERROR(__xludf.DUMMYFUNCTION("""COMPUTED_VALUE"""),"")</f>
        <v/>
      </c>
      <c r="E398" s="264" t="str">
        <f>IFERROR(__xludf.DUMMYFUNCTION("""COMPUTED_VALUE"""),"")</f>
        <v/>
      </c>
      <c r="F398" s="266" t="str">
        <f>IFERROR(__xludf.DUMMYFUNCTION("""COMPUTED_VALUE"""),"When you take the rest IP action, the temporary HP gained is doubled. When you rest during the night as a rest action, you recover an additional toughness HP.")</f>
        <v>When you take the rest IP action, the temporary HP gained is doubled. When you rest during the night as a rest action, you recover an additional toughness HP.</v>
      </c>
      <c r="G398" s="264" t="str">
        <f>IFERROR(__xludf.DUMMYFUNCTION("""COMPUTED_VALUE"""),"")</f>
        <v/>
      </c>
      <c r="H398" s="265" t="str">
        <f>IFERROR(__xludf.DUMMYFUNCTION("""COMPUTED_VALUE"""),"")</f>
        <v/>
      </c>
      <c r="I398" s="264" t="str">
        <f>IFERROR(__xludf.DUMMYFUNCTION("""COMPUTED_VALUE"""),"")</f>
        <v/>
      </c>
      <c r="J398" s="264" t="str">
        <f>IFERROR(__xludf.DUMMYFUNCTION("""COMPUTED_VALUE"""),"")</f>
        <v/>
      </c>
      <c r="K398" s="263" t="str">
        <f>IFERROR(__xludf.DUMMYFUNCTION("""COMPUTED_VALUE"""),"")</f>
        <v/>
      </c>
      <c r="L398" s="263" t="str">
        <f>IFERROR(__xludf.DUMMYFUNCTION("""COMPUTED_VALUE"""),"")</f>
        <v/>
      </c>
      <c r="M398" s="263"/>
      <c r="N398" s="263"/>
      <c r="O398" s="263"/>
      <c r="P398" s="263"/>
      <c r="Q398" s="263"/>
      <c r="R398" s="263"/>
      <c r="S398" s="263"/>
      <c r="T398" s="263"/>
      <c r="U398" s="246"/>
      <c r="V398" s="246"/>
      <c r="W398" s="246"/>
      <c r="X398" s="246"/>
      <c r="Y398" s="246"/>
      <c r="Z398" s="246"/>
    </row>
    <row r="399">
      <c r="A399" s="263"/>
      <c r="B399" s="265" t="str">
        <f>IFERROR(__xludf.DUMMYFUNCTION("""COMPUTED_VALUE"""),"Hidden Wards")</f>
        <v>Hidden Wards</v>
      </c>
      <c r="C399" s="263"/>
      <c r="D399" s="264" t="str">
        <f>IFERROR(__xludf.DUMMYFUNCTION("""COMPUTED_VALUE"""),"")</f>
        <v/>
      </c>
      <c r="E399" s="264" t="str">
        <f>IFERROR(__xludf.DUMMYFUNCTION("""COMPUTED_VALUE"""),"'-")</f>
        <v>'-</v>
      </c>
      <c r="F399" s="266" t="str">
        <f>IFERROR(__xludf.DUMMYFUNCTION("""COMPUTED_VALUE"""),"You may choose to hide your Bounded Fields when casting them by making a Stealth check. The casted ward uses the result of your Stealth check. Hidden Bounded Fields cannot be seen with Sense Magic without a successful perception or insight check.")</f>
        <v>You may choose to hide your Bounded Fields when casting them by making a Stealth check. The casted ward uses the result of your Stealth check. Hidden Bounded Fields cannot be seen with Sense Magic without a successful perception or insight check.</v>
      </c>
      <c r="G399" s="264" t="str">
        <f>IFERROR(__xludf.DUMMYFUNCTION("""COMPUTED_VALUE"""),"")</f>
        <v/>
      </c>
      <c r="H399" s="265" t="str">
        <f>IFERROR(__xludf.DUMMYFUNCTION("""COMPUTED_VALUE"""),"")</f>
        <v/>
      </c>
      <c r="I399" s="264" t="str">
        <f>IFERROR(__xludf.DUMMYFUNCTION("""COMPUTED_VALUE"""),"")</f>
        <v/>
      </c>
      <c r="J399" s="264" t="str">
        <f>IFERROR(__xludf.DUMMYFUNCTION("""COMPUTED_VALUE"""),"")</f>
        <v/>
      </c>
      <c r="K399" s="263" t="str">
        <f>IFERROR(__xludf.DUMMYFUNCTION("""COMPUTED_VALUE"""),"")</f>
        <v/>
      </c>
      <c r="L399" s="263" t="str">
        <f>IFERROR(__xludf.DUMMYFUNCTION("""COMPUTED_VALUE"""),"")</f>
        <v/>
      </c>
      <c r="M399" s="263"/>
      <c r="N399" s="263"/>
      <c r="O399" s="263"/>
      <c r="P399" s="263"/>
      <c r="Q399" s="263"/>
      <c r="R399" s="263"/>
      <c r="S399" s="263"/>
      <c r="T399" s="263"/>
      <c r="U399" s="246"/>
      <c r="V399" s="246"/>
      <c r="W399" s="246"/>
      <c r="X399" s="246"/>
      <c r="Y399" s="246"/>
      <c r="Z399" s="246"/>
    </row>
    <row r="400">
      <c r="A400" s="263"/>
      <c r="B400" s="265" t="str">
        <f>IFERROR(__xludf.DUMMYFUNCTION("""COMPUTED_VALUE"""),"Hide in bush")</f>
        <v>Hide in bush</v>
      </c>
      <c r="C400" s="263"/>
      <c r="D400" s="263" t="str">
        <f>IFERROR(__xludf.DUMMYFUNCTION("""COMPUTED_VALUE"""),"")</f>
        <v/>
      </c>
      <c r="E400" s="264" t="str">
        <f>IFERROR(__xludf.DUMMYFUNCTION("""COMPUTED_VALUE"""),"Self")</f>
        <v>Self</v>
      </c>
      <c r="F400" s="266" t="str">
        <f>IFERROR(__xludf.DUMMYFUNCTION("""COMPUTED_VALUE"""),"You take the Hide action and are considered to be in cover for the purposes of remaining stealthed. This lasts until you take any action or speak.")</f>
        <v>You take the Hide action and are considered to be in cover for the purposes of remaining stealthed. This lasts until you take any action or speak.</v>
      </c>
      <c r="G400" s="263" t="str">
        <f>IFERROR(__xludf.DUMMYFUNCTION("""COMPUTED_VALUE"""),"Must be in natural terrain.")</f>
        <v>Must be in natural terrain.</v>
      </c>
      <c r="H400" s="265" t="str">
        <f>IFERROR(__xludf.DUMMYFUNCTION("""COMPUTED_VALUE"""),"2 AP, 1 MP")</f>
        <v>2 AP, 1 MP</v>
      </c>
      <c r="I400" s="264" t="str">
        <f>IFERROR(__xludf.DUMMYFUNCTION("""COMPUTED_VALUE"""),"2 AP")</f>
        <v>2 AP</v>
      </c>
      <c r="J400" s="264" t="str">
        <f>IFERROR(__xludf.DUMMYFUNCTION("""COMPUTED_VALUE"""),"1 MP")</f>
        <v>1 MP</v>
      </c>
      <c r="K400" s="263" t="str">
        <f>IFERROR(__xludf.DUMMYFUNCTION("""COMPUTED_VALUE"""),"")</f>
        <v/>
      </c>
      <c r="L400" s="263" t="str">
        <f>IFERROR(__xludf.DUMMYFUNCTION("""COMPUTED_VALUE"""),"")</f>
        <v/>
      </c>
      <c r="M400" s="263"/>
      <c r="N400" s="263"/>
      <c r="O400" s="263"/>
      <c r="P400" s="263"/>
      <c r="Q400" s="263"/>
      <c r="R400" s="263"/>
      <c r="S400" s="263"/>
      <c r="T400" s="263"/>
      <c r="U400" s="246"/>
      <c r="V400" s="246"/>
      <c r="W400" s="246"/>
      <c r="X400" s="246"/>
      <c r="Y400" s="246"/>
      <c r="Z400" s="246"/>
    </row>
    <row r="401">
      <c r="A401" s="263"/>
      <c r="B401" s="265" t="str">
        <f>IFERROR(__xludf.DUMMYFUNCTION("""COMPUTED_VALUE"""),"Hide in Shadows")</f>
        <v>Hide in Shadows</v>
      </c>
      <c r="C401" s="263"/>
      <c r="D401" s="263" t="str">
        <f>IFERROR(__xludf.DUMMYFUNCTION("""COMPUTED_VALUE"""),"Teleport, Full Pierce, Stealth")</f>
        <v>Teleport, Full Pierce, Stealth</v>
      </c>
      <c r="E401" s="264" t="str">
        <f>IFERROR(__xludf.DUMMYFUNCTION("""COMPUTED_VALUE"""),"40ft")</f>
        <v>40ft</v>
      </c>
      <c r="F401" s="266" t="str">
        <f>IFERROR(__xludf.DUMMYFUNCTION("""COMPUTED_VALUE"""),"You jump into a target’s shadow. If you were hidden before using this ability, you remain hidden inside the shadow. Else, the target or any other enemy may attack the shadow as if they were attacking you. If you take damage, you are forced out. While you’"&amp;"re inside the shadow, you travel with the target when it moves, including if it teleports, but cannot take actions other than exiting it.
You may exit the shadow willingly for 0 RP. When you exit it, if you were hidden, your next basic attack that turn ag"&amp;"ainst the target whose shadow you were hiding in gains Full Pierce.")</f>
        <v>You jump into a target’s shadow. If you were hidden before using this ability, you remain hidden inside the shadow. Else, the target or any other enemy may attack the shadow as if they were attacking you. If you take damage, you are forced out. While you’re inside the shadow, you travel with the target when it moves, including if it teleports, but cannot take actions other than exiting it.
You may exit the shadow willingly for 0 RP. When you exit it, if you were hidden, your next basic attack that turn against the target whose shadow you were hiding in gains Full Pierce.</v>
      </c>
      <c r="G401" s="264" t="str">
        <f>IFERROR(__xludf.DUMMYFUNCTION("""COMPUTED_VALUE"""),"Must be day.")</f>
        <v>Must be day.</v>
      </c>
      <c r="H401" s="265" t="str">
        <f>IFERROR(__xludf.DUMMYFUNCTION("""COMPUTED_VALUE"""),"2 AP, 2 MP")</f>
        <v>2 AP, 2 MP</v>
      </c>
      <c r="I401" s="264" t="str">
        <f>IFERROR(__xludf.DUMMYFUNCTION("""COMPUTED_VALUE"""),"2 AP")</f>
        <v>2 AP</v>
      </c>
      <c r="J401" s="263" t="str">
        <f>IFERROR(__xludf.DUMMYFUNCTION("""COMPUTED_VALUE"""),"2 MP")</f>
        <v>2 MP</v>
      </c>
      <c r="K401" s="263" t="str">
        <f>IFERROR(__xludf.DUMMYFUNCTION("""COMPUTED_VALUE"""),"")</f>
        <v/>
      </c>
      <c r="L401" s="263" t="str">
        <f>IFERROR(__xludf.DUMMYFUNCTION("""COMPUTED_VALUE"""),"")</f>
        <v/>
      </c>
      <c r="M401" s="263"/>
      <c r="N401" s="263"/>
      <c r="O401" s="263"/>
      <c r="P401" s="263"/>
      <c r="Q401" s="263"/>
      <c r="R401" s="263"/>
      <c r="S401" s="263"/>
      <c r="T401" s="263"/>
      <c r="U401" s="246"/>
      <c r="V401" s="246"/>
      <c r="W401" s="246"/>
      <c r="X401" s="246"/>
      <c r="Y401" s="246"/>
      <c r="Z401" s="246"/>
    </row>
    <row r="402">
      <c r="A402" s="263"/>
      <c r="B402" s="265" t="str">
        <f>IFERROR(__xludf.DUMMYFUNCTION("""COMPUTED_VALUE"""),"High Power Shell")</f>
        <v>High Power Shell</v>
      </c>
      <c r="C402" s="263"/>
      <c r="D402" s="264" t="str">
        <f>IFERROR(__xludf.DUMMYFUNCTION("""COMPUTED_VALUE"""),"Cannon, Artillery")</f>
        <v>Cannon, Artillery</v>
      </c>
      <c r="E402" s="264" t="str">
        <f>IFERROR(__xludf.DUMMYFUNCTION("""COMPUTED_VALUE"""),"Ranged Weapon Range")</f>
        <v>Ranged Weapon Range</v>
      </c>
      <c r="F402" s="266" t="str">
        <f>IFERROR(__xludf.DUMMYFUNCTION("""COMPUTED_VALUE"""),"You make a Heavy attack against the target. On damage, they are pushed back 10ft.
You are pushed back 5ft away from the target regardless of whether it hits or not.")</f>
        <v>You make a Heavy attack against the target. On damage, they are pushed back 10ft.
You are pushed back 5ft away from the target regardless of whether it hits or not.</v>
      </c>
      <c r="G402" s="263" t="str">
        <f>IFERROR(__xludf.DUMMYFUNCTION("""COMPUTED_VALUE"""),"Cannon only.")</f>
        <v>Cannon only.</v>
      </c>
      <c r="H402" s="265" t="str">
        <f>IFERROR(__xludf.DUMMYFUNCTION("""COMPUTED_VALUE"""),"2 AP, 1 MP")</f>
        <v>2 AP, 1 MP</v>
      </c>
      <c r="I402" s="264" t="str">
        <f>IFERROR(__xludf.DUMMYFUNCTION("""COMPUTED_VALUE"""),"2 AP")</f>
        <v>2 AP</v>
      </c>
      <c r="J402" s="263" t="str">
        <f>IFERROR(__xludf.DUMMYFUNCTION("""COMPUTED_VALUE"""),"1 MP")</f>
        <v>1 MP</v>
      </c>
      <c r="K402" s="263" t="str">
        <f>IFERROR(__xludf.DUMMYFUNCTION("""COMPUTED_VALUE"""),"")</f>
        <v/>
      </c>
      <c r="L402" s="263" t="str">
        <f>IFERROR(__xludf.DUMMYFUNCTION("""COMPUTED_VALUE"""),"")</f>
        <v/>
      </c>
      <c r="M402" s="263"/>
      <c r="N402" s="263"/>
      <c r="O402" s="263"/>
      <c r="P402" s="263"/>
      <c r="Q402" s="263"/>
      <c r="R402" s="263"/>
      <c r="S402" s="263"/>
      <c r="T402" s="263"/>
      <c r="U402" s="246"/>
      <c r="V402" s="246"/>
      <c r="W402" s="246"/>
      <c r="X402" s="246"/>
      <c r="Y402" s="246"/>
      <c r="Z402" s="246"/>
    </row>
    <row r="403">
      <c r="A403" s="263"/>
      <c r="B403" s="265" t="str">
        <f>IFERROR(__xludf.DUMMYFUNCTION("""COMPUTED_VALUE"""),"Highly Sensitive to Magic")</f>
        <v>Highly Sensitive to Magic</v>
      </c>
      <c r="C403" s="263"/>
      <c r="D403" s="264" t="str">
        <f>IFERROR(__xludf.DUMMYFUNCTION("""COMPUTED_VALUE"""),"")</f>
        <v/>
      </c>
      <c r="E403" s="264" t="str">
        <f>IFERROR(__xludf.DUMMYFUNCTION("""COMPUTED_VALUE"""),"")</f>
        <v/>
      </c>
      <c r="F403" s="266" t="str">
        <f>IFERROR(__xludf.DUMMYFUNCTION("""COMPUTED_VALUE"""),"You may enter the Aetherie class without meeting its requirements and the cost for doing so is reduced by 100 exp.")</f>
        <v>You may enter the Aetherie class without meeting its requirements and the cost for doing so is reduced by 100 exp.</v>
      </c>
      <c r="G403" s="264" t="str">
        <f>IFERROR(__xludf.DUMMYFUNCTION("""COMPUTED_VALUE"""),"")</f>
        <v/>
      </c>
      <c r="H403" s="265" t="str">
        <f>IFERROR(__xludf.DUMMYFUNCTION("""COMPUTED_VALUE"""),"")</f>
        <v/>
      </c>
      <c r="I403" s="264" t="str">
        <f>IFERROR(__xludf.DUMMYFUNCTION("""COMPUTED_VALUE"""),"")</f>
        <v/>
      </c>
      <c r="J403" s="263" t="str">
        <f>IFERROR(__xludf.DUMMYFUNCTION("""COMPUTED_VALUE"""),"")</f>
        <v/>
      </c>
      <c r="K403" s="263" t="str">
        <f>IFERROR(__xludf.DUMMYFUNCTION("""COMPUTED_VALUE"""),"")</f>
        <v/>
      </c>
      <c r="L403" s="263" t="str">
        <f>IFERROR(__xludf.DUMMYFUNCTION("""COMPUTED_VALUE"""),"")</f>
        <v/>
      </c>
      <c r="M403" s="263"/>
      <c r="N403" s="263"/>
      <c r="O403" s="263"/>
      <c r="P403" s="263"/>
      <c r="Q403" s="263"/>
      <c r="R403" s="263"/>
      <c r="S403" s="263"/>
      <c r="T403" s="263"/>
      <c r="U403" s="246"/>
      <c r="V403" s="246"/>
      <c r="W403" s="246"/>
      <c r="X403" s="246"/>
      <c r="Y403" s="246"/>
      <c r="Z403" s="246"/>
    </row>
    <row r="404">
      <c r="A404" s="263"/>
      <c r="B404" s="265" t="str">
        <f>IFERROR(__xludf.DUMMYFUNCTION("""COMPUTED_VALUE"""),"Hit &amp; Run")</f>
        <v>Hit &amp; Run</v>
      </c>
      <c r="C404" s="263"/>
      <c r="D404" s="263" t="str">
        <f>IFERROR(__xludf.DUMMYFUNCTION("""COMPUTED_VALUE"""),"")</f>
        <v/>
      </c>
      <c r="E404" s="263" t="str">
        <f>IFERROR(__xludf.DUMMYFUNCTION("""COMPUTED_VALUE"""),"Weapon Range")</f>
        <v>Weapon Range</v>
      </c>
      <c r="F404" s="266" t="str">
        <f>IFERROR(__xludf.DUMMYFUNCTION("""COMPUTED_VALUE"""),"You make a Light attack against the target. Afterwards, you may move up to your speed.")</f>
        <v>You make a Light attack against the target. Afterwards, you may move up to your speed.</v>
      </c>
      <c r="G404" s="263" t="str">
        <f>IFERROR(__xludf.DUMMYFUNCTION("""COMPUTED_VALUE"""),"Must be mounted.")</f>
        <v>Must be mounted.</v>
      </c>
      <c r="H404" s="267" t="str">
        <f>IFERROR(__xludf.DUMMYFUNCTION("""COMPUTED_VALUE"""),"1 AP, 1 MP")</f>
        <v>1 AP, 1 MP</v>
      </c>
      <c r="I404" s="263" t="str">
        <f>IFERROR(__xludf.DUMMYFUNCTION("""COMPUTED_VALUE"""),"1 AP")</f>
        <v>1 AP</v>
      </c>
      <c r="J404" s="263" t="str">
        <f>IFERROR(__xludf.DUMMYFUNCTION("""COMPUTED_VALUE"""),"1 MP")</f>
        <v>1 MP</v>
      </c>
      <c r="K404" s="263" t="str">
        <f>IFERROR(__xludf.DUMMYFUNCTION("""COMPUTED_VALUE"""),"")</f>
        <v/>
      </c>
      <c r="L404" s="263" t="str">
        <f>IFERROR(__xludf.DUMMYFUNCTION("""COMPUTED_VALUE"""),"")</f>
        <v/>
      </c>
      <c r="M404" s="263"/>
      <c r="N404" s="263"/>
      <c r="O404" s="263"/>
      <c r="P404" s="263"/>
      <c r="Q404" s="263"/>
      <c r="R404" s="263"/>
      <c r="S404" s="263"/>
      <c r="T404" s="263"/>
      <c r="U404" s="246"/>
      <c r="V404" s="246"/>
      <c r="W404" s="246"/>
      <c r="X404" s="246"/>
      <c r="Y404" s="246"/>
      <c r="Z404" s="246"/>
    </row>
    <row r="405">
      <c r="A405" s="263"/>
      <c r="B405" s="265" t="str">
        <f>IFERROR(__xludf.DUMMYFUNCTION("""COMPUTED_VALUE"""),"Hold the line")</f>
        <v>Hold the line</v>
      </c>
      <c r="C405" s="263"/>
      <c r="D405" s="264" t="str">
        <f>IFERROR(__xludf.DUMMYFUNCTION("""COMPUTED_VALUE"""),"Immovable")</f>
        <v>Immovable</v>
      </c>
      <c r="E405" s="264" t="str">
        <f>IFERROR(__xludf.DUMMYFUNCTION("""COMPUTED_VALUE"""),"Self")</f>
        <v>Self</v>
      </c>
      <c r="F405" s="266" t="str">
        <f>IFERROR(__xludf.DUMMYFUNCTION("""COMPUTED_VALUE"""),"Your next Block action costs 0 RP. Until the start of your next turn, unless you use the Dodge action, you become Immovable.")</f>
        <v>Your next Block action costs 0 RP. Until the start of your next turn, unless you use the Dodge action, you become Immovable.</v>
      </c>
      <c r="G405" s="263" t="str">
        <f>IFERROR(__xludf.DUMMYFUNCTION("""COMPUTED_VALUE"""),"")</f>
        <v/>
      </c>
      <c r="H405" s="265" t="str">
        <f>IFERROR(__xludf.DUMMYFUNCTION("""COMPUTED_VALUE"""),"1 AP, 1 MP")</f>
        <v>1 AP, 1 MP</v>
      </c>
      <c r="I405" s="263" t="str">
        <f>IFERROR(__xludf.DUMMYFUNCTION("""COMPUTED_VALUE"""),"1 AP")</f>
        <v>1 AP</v>
      </c>
      <c r="J405" s="264" t="str">
        <f>IFERROR(__xludf.DUMMYFUNCTION("""COMPUTED_VALUE"""),"1 MP")</f>
        <v>1 MP</v>
      </c>
      <c r="K405" s="264" t="str">
        <f>IFERROR(__xludf.DUMMYFUNCTION("""COMPUTED_VALUE"""),"")</f>
        <v/>
      </c>
      <c r="L405" s="263" t="str">
        <f>IFERROR(__xludf.DUMMYFUNCTION("""COMPUTED_VALUE"""),"")</f>
        <v/>
      </c>
      <c r="M405" s="263"/>
      <c r="N405" s="263"/>
      <c r="O405" s="263"/>
      <c r="P405" s="263"/>
      <c r="Q405" s="263"/>
      <c r="R405" s="263"/>
      <c r="S405" s="263"/>
      <c r="T405" s="263"/>
      <c r="U405" s="246"/>
      <c r="V405" s="246"/>
      <c r="W405" s="246"/>
      <c r="X405" s="246"/>
      <c r="Y405" s="246"/>
      <c r="Z405" s="246"/>
    </row>
    <row r="406">
      <c r="A406" s="263"/>
      <c r="B406" s="265" t="str">
        <f>IFERROR(__xludf.DUMMYFUNCTION("""COMPUTED_VALUE"""),"Holy Declaration")</f>
        <v>Holy Declaration</v>
      </c>
      <c r="C406" s="263"/>
      <c r="D406" s="264" t="str">
        <f>IFERROR(__xludf.DUMMYFUNCTION("""COMPUTED_VALUE"""),"Challenge")</f>
        <v>Challenge</v>
      </c>
      <c r="E406" s="264" t="str">
        <f>IFERROR(__xludf.DUMMYFUNCTION("""COMPUTED_VALUE"""),"Self")</f>
        <v>Self</v>
      </c>
      <c r="F406" s="266" t="str">
        <f>IFERROR(__xludf.DUMMYFUNCTION("""COMPUTED_VALUE"""),"You take the Block action against the attack. Afterwards, you challenge all enemies within 5ft of you until the start of your next turn.")</f>
        <v>You take the Block action against the attack. Afterwards, you challenge all enemies within 5ft of you until the start of your next turn.</v>
      </c>
      <c r="G406" s="263" t="str">
        <f>IFERROR(__xludf.DUMMYFUNCTION("""COMPUTED_VALUE"""),"")</f>
        <v/>
      </c>
      <c r="H406" s="265" t="str">
        <f>IFERROR(__xludf.DUMMYFUNCTION("""COMPUTED_VALUE"""),"1 RP")</f>
        <v>1 RP</v>
      </c>
      <c r="I406" s="264" t="str">
        <f>IFERROR(__xludf.DUMMYFUNCTION("""COMPUTED_VALUE"""),"")</f>
        <v/>
      </c>
      <c r="J406" s="264" t="str">
        <f>IFERROR(__xludf.DUMMYFUNCTION("""COMPUTED_VALUE"""),"")</f>
        <v/>
      </c>
      <c r="K406" s="263" t="str">
        <f>IFERROR(__xludf.DUMMYFUNCTION("""COMPUTED_VALUE"""),"1 RP")</f>
        <v>1 RP</v>
      </c>
      <c r="L406" s="263" t="str">
        <f>IFERROR(__xludf.DUMMYFUNCTION("""COMPUTED_VALUE"""),"")</f>
        <v/>
      </c>
      <c r="M406" s="263"/>
      <c r="N406" s="263"/>
      <c r="O406" s="263"/>
      <c r="P406" s="263"/>
      <c r="Q406" s="263"/>
      <c r="R406" s="263"/>
      <c r="S406" s="263"/>
      <c r="T406" s="263"/>
      <c r="U406" s="246"/>
      <c r="V406" s="246"/>
      <c r="W406" s="246"/>
      <c r="X406" s="246"/>
      <c r="Y406" s="246"/>
      <c r="Z406" s="246"/>
    </row>
    <row r="407">
      <c r="A407" s="263"/>
      <c r="B407" s="265" t="str">
        <f>IFERROR(__xludf.DUMMYFUNCTION("""COMPUTED_VALUE"""),"Holy Light")</f>
        <v>Holy Light</v>
      </c>
      <c r="C407" s="263"/>
      <c r="D407" s="264" t="str">
        <f>IFERROR(__xludf.DUMMYFUNCTION("""COMPUTED_VALUE"""),"Healing, Spell")</f>
        <v>Healing, Spell</v>
      </c>
      <c r="E407" s="264" t="str">
        <f>IFERROR(__xludf.DUMMYFUNCTION("""COMPUTED_VALUE"""),"60ft")</f>
        <v>60ft</v>
      </c>
      <c r="F407" s="266" t="str">
        <f>IFERROR(__xludf.DUMMYFUNCTION("""COMPUTED_VALUE"""),"You Heal the target for 8 + Power")</f>
        <v>You Heal the target for 8 + Power</v>
      </c>
      <c r="G407" s="264" t="str">
        <f>IFERROR(__xludf.DUMMYFUNCTION("""COMPUTED_VALUE"""),"")</f>
        <v/>
      </c>
      <c r="H407" s="265" t="str">
        <f>IFERROR(__xludf.DUMMYFUNCTION("""COMPUTED_VALUE"""),"1 AP, 2 MP")</f>
        <v>1 AP, 2 MP</v>
      </c>
      <c r="I407" s="264" t="str">
        <f>IFERROR(__xludf.DUMMYFUNCTION("""COMPUTED_VALUE"""),"1 AP")</f>
        <v>1 AP</v>
      </c>
      <c r="J407" s="263" t="str">
        <f>IFERROR(__xludf.DUMMYFUNCTION("""COMPUTED_VALUE"""),"2 MP")</f>
        <v>2 MP</v>
      </c>
      <c r="K407" s="263" t="str">
        <f>IFERROR(__xludf.DUMMYFUNCTION("""COMPUTED_VALUE"""),"")</f>
        <v/>
      </c>
      <c r="L407" s="263" t="str">
        <f>IFERROR(__xludf.DUMMYFUNCTION("""COMPUTED_VALUE"""),"")</f>
        <v/>
      </c>
      <c r="M407" s="263"/>
      <c r="N407" s="263"/>
      <c r="O407" s="263"/>
      <c r="P407" s="263"/>
      <c r="Q407" s="263"/>
      <c r="R407" s="263"/>
      <c r="S407" s="263"/>
      <c r="T407" s="263"/>
      <c r="U407" s="246"/>
      <c r="V407" s="246"/>
      <c r="W407" s="246"/>
      <c r="X407" s="246"/>
      <c r="Y407" s="246"/>
      <c r="Z407" s="246"/>
    </row>
    <row r="408">
      <c r="A408" s="263"/>
      <c r="B408" s="265" t="str">
        <f>IFERROR(__xludf.DUMMYFUNCTION("""COMPUTED_VALUE"""),"Holy Orders")</f>
        <v>Holy Orders</v>
      </c>
      <c r="C408" s="263"/>
      <c r="D408" s="264" t="str">
        <f>IFERROR(__xludf.DUMMYFUNCTION("""COMPUTED_VALUE"""),"Sidestep")</f>
        <v>Sidestep</v>
      </c>
      <c r="E408" s="264" t="str">
        <f>IFERROR(__xludf.DUMMYFUNCTION("""COMPUTED_VALUE"""),"60ft")</f>
        <v>60ft</v>
      </c>
      <c r="F408" s="266" t="str">
        <f>IFERROR(__xludf.DUMMYFUNCTION("""COMPUTED_VALUE"""),"You target an enemy unit within range, causing the target to become your Holy Order until the start of your next turn.
While active, only your Holy Order may be chosen as the target for any offensive ability, or must be included as a target to use an offe"&amp;"nsive action.
If you make an attack of opportunity against your Holy Order, or if they move away from you while in your melee range, you can Sidestep up to twice your Speed towards them for 0 RP after their movement finishes.
Can only be used on your turn"&amp;" before you use an offensive action.")</f>
        <v>You target an enemy unit within range, causing the target to become your Holy Order until the start of your next turn.
While active, only your Holy Order may be chosen as the target for any offensive ability, or must be included as a target to use an offensive action.
If you make an attack of opportunity against your Holy Order, or if they move away from you while in your melee range, you can Sidestep up to twice your Speed towards them for 0 RP after their movement finishes.
Can only be used on your turn before you use an offensive action.</v>
      </c>
      <c r="G408" s="263" t="str">
        <f>IFERROR(__xludf.DUMMYFUNCTION("""COMPUTED_VALUE"""),"")</f>
        <v/>
      </c>
      <c r="H408" s="265" t="str">
        <f>IFERROR(__xludf.DUMMYFUNCTION("""COMPUTED_VALUE"""),"0 AP")</f>
        <v>0 AP</v>
      </c>
      <c r="I408" s="264" t="str">
        <f>IFERROR(__xludf.DUMMYFUNCTION("""COMPUTED_VALUE"""),"0 AP")</f>
        <v>0 AP</v>
      </c>
      <c r="J408" s="263" t="str">
        <f>IFERROR(__xludf.DUMMYFUNCTION("""COMPUTED_VALUE"""),"")</f>
        <v/>
      </c>
      <c r="K408" s="263" t="str">
        <f>IFERROR(__xludf.DUMMYFUNCTION("""COMPUTED_VALUE"""),"")</f>
        <v/>
      </c>
      <c r="L408" s="263" t="str">
        <f>IFERROR(__xludf.DUMMYFUNCTION("""COMPUTED_VALUE"""),"")</f>
        <v/>
      </c>
      <c r="M408" s="263"/>
      <c r="N408" s="263"/>
      <c r="O408" s="263"/>
      <c r="P408" s="263"/>
      <c r="Q408" s="263"/>
      <c r="R408" s="263"/>
      <c r="S408" s="263"/>
      <c r="T408" s="263"/>
      <c r="U408" s="246"/>
      <c r="V408" s="246"/>
      <c r="W408" s="246"/>
      <c r="X408" s="246"/>
      <c r="Y408" s="246"/>
      <c r="Z408" s="246"/>
    </row>
    <row r="409">
      <c r="A409" s="263"/>
      <c r="B409" s="265" t="str">
        <f>IFERROR(__xludf.DUMMYFUNCTION("""COMPUTED_VALUE"""),"Holy Shield")</f>
        <v>Holy Shield</v>
      </c>
      <c r="C409" s="263"/>
      <c r="D409" s="264" t="str">
        <f>IFERROR(__xludf.DUMMYFUNCTION("""COMPUTED_VALUE"""),"Overcharge")</f>
        <v>Overcharge</v>
      </c>
      <c r="E409" s="264" t="str">
        <f>IFERROR(__xludf.DUMMYFUNCTION("""COMPUTED_VALUE"""),"Self")</f>
        <v>Self</v>
      </c>
      <c r="F409" s="266" t="str">
        <f>IFERROR(__xludf.DUMMYFUNCTION("""COMPUTED_VALUE"""),"Your gain Holy Shield, which gives your next Block action gains a +2 guard bonus (not doubled again). If you reduce the damage you take with your next Block action to 0, you gain 3 temporary HP.
Overcharge: You may spend up to 3 additional AP on this abil"&amp;"ity. Each extra AP spent increases the Guard bonus and temporary HP gained by 3.")</f>
        <v>Your gain Holy Shield, which gives your next Block action gains a +2 guard bonus (not doubled again). If you reduce the damage you take with your next Block action to 0, you gain 3 temporary HP.
Overcharge: You may spend up to 3 additional AP on this ability. Each extra AP spent increases the Guard bonus and temporary HP gained by 3.</v>
      </c>
      <c r="G409" s="263" t="str">
        <f>IFERROR(__xludf.DUMMYFUNCTION("""COMPUTED_VALUE"""),"Must be using a shield.")</f>
        <v>Must be using a shield.</v>
      </c>
      <c r="H409" s="265" t="str">
        <f>IFERROR(__xludf.DUMMYFUNCTION("""COMPUTED_VALUE"""),"1 AP")</f>
        <v>1 AP</v>
      </c>
      <c r="I409" s="264" t="str">
        <f>IFERROR(__xludf.DUMMYFUNCTION("""COMPUTED_VALUE"""),"1 AP")</f>
        <v>1 AP</v>
      </c>
      <c r="J409" s="263" t="str">
        <f>IFERROR(__xludf.DUMMYFUNCTION("""COMPUTED_VALUE"""),"")</f>
        <v/>
      </c>
      <c r="K409" s="263" t="str">
        <f>IFERROR(__xludf.DUMMYFUNCTION("""COMPUTED_VALUE"""),"")</f>
        <v/>
      </c>
      <c r="L409" s="263" t="str">
        <f>IFERROR(__xludf.DUMMYFUNCTION("""COMPUTED_VALUE"""),"")</f>
        <v/>
      </c>
      <c r="M409" s="263"/>
      <c r="N409" s="263"/>
      <c r="O409" s="263"/>
      <c r="P409" s="263"/>
      <c r="Q409" s="263"/>
      <c r="R409" s="263"/>
      <c r="S409" s="263"/>
      <c r="T409" s="263"/>
      <c r="U409" s="246"/>
      <c r="V409" s="246"/>
      <c r="W409" s="246"/>
      <c r="X409" s="246"/>
      <c r="Y409" s="246"/>
      <c r="Z409" s="246"/>
    </row>
    <row r="410">
      <c r="A410" s="263"/>
      <c r="B410" s="265" t="str">
        <f>IFERROR(__xludf.DUMMYFUNCTION("""COMPUTED_VALUE"""),"HONK!")</f>
        <v>HONK!</v>
      </c>
      <c r="C410" s="263"/>
      <c r="D410" s="264" t="str">
        <f>IFERROR(__xludf.DUMMYFUNCTION("""COMPUTED_VALUE"""),"Quick")</f>
        <v>Quick</v>
      </c>
      <c r="E410" s="264" t="str">
        <f>IFERROR(__xludf.DUMMYFUNCTION("""COMPUTED_VALUE"""),"5ft")</f>
        <v>5ft</v>
      </c>
      <c r="F410" s="266" t="str">
        <f>IFERROR(__xludf.DUMMYFUNCTION("""COMPUTED_VALUE"""),"You place a clown nose on the target and honk it. The target must succeed at a Save or become challenged by you until the start of your next turn.")</f>
        <v>You place a clown nose on the target and honk it. The target must succeed at a Save or become challenged by you until the start of your next turn.</v>
      </c>
      <c r="G410" s="263" t="str">
        <f>IFERROR(__xludf.DUMMYFUNCTION("""COMPUTED_VALUE"""),"")</f>
        <v/>
      </c>
      <c r="H410" s="265" t="str">
        <f>IFERROR(__xludf.DUMMYFUNCTION("""COMPUTED_VALUE"""),"0 AP")</f>
        <v>0 AP</v>
      </c>
      <c r="I410" s="264" t="str">
        <f>IFERROR(__xludf.DUMMYFUNCTION("""COMPUTED_VALUE"""),"0 AP")</f>
        <v>0 AP</v>
      </c>
      <c r="J410" s="264" t="str">
        <f>IFERROR(__xludf.DUMMYFUNCTION("""COMPUTED_VALUE"""),"")</f>
        <v/>
      </c>
      <c r="K410" s="263" t="str">
        <f>IFERROR(__xludf.DUMMYFUNCTION("""COMPUTED_VALUE"""),"")</f>
        <v/>
      </c>
      <c r="L410" s="263" t="str">
        <f>IFERROR(__xludf.DUMMYFUNCTION("""COMPUTED_VALUE"""),"")</f>
        <v/>
      </c>
      <c r="M410" s="263"/>
      <c r="N410" s="263"/>
      <c r="O410" s="263"/>
      <c r="P410" s="263"/>
      <c r="Q410" s="263"/>
      <c r="R410" s="263"/>
      <c r="S410" s="263"/>
      <c r="T410" s="263"/>
      <c r="U410" s="246"/>
      <c r="V410" s="246"/>
      <c r="W410" s="246"/>
      <c r="X410" s="246"/>
      <c r="Y410" s="246"/>
      <c r="Z410" s="246"/>
    </row>
    <row r="411">
      <c r="A411" s="263"/>
      <c r="B411" s="265" t="str">
        <f>IFERROR(__xludf.DUMMYFUNCTION("""COMPUTED_VALUE"""),"Hopping Zombie")</f>
        <v>Hopping Zombie</v>
      </c>
      <c r="C411" s="263"/>
      <c r="D411" s="263" t="str">
        <f>IFERROR(__xludf.DUMMYFUNCTION("""COMPUTED_VALUE"""),"")</f>
        <v/>
      </c>
      <c r="E411" s="264" t="str">
        <f>IFERROR(__xludf.DUMMYFUNCTION("""COMPUTED_VALUE"""),"")</f>
        <v/>
      </c>
      <c r="F411" s="266" t="str">
        <f>IFERROR(__xludf.DUMMYFUNCTION("""COMPUTED_VALUE"""),"You gain +20 to any checks that involve jumping.")</f>
        <v>You gain +20 to any checks that involve jumping.</v>
      </c>
      <c r="G411" s="263" t="str">
        <f>IFERROR(__xludf.DUMMYFUNCTION("""COMPUTED_VALUE"""),"")</f>
        <v/>
      </c>
      <c r="H411" s="265" t="str">
        <f>IFERROR(__xludf.DUMMYFUNCTION("""COMPUTED_VALUE"""),"")</f>
        <v/>
      </c>
      <c r="I411" s="264" t="str">
        <f>IFERROR(__xludf.DUMMYFUNCTION("""COMPUTED_VALUE"""),"")</f>
        <v/>
      </c>
      <c r="J411" s="263" t="str">
        <f>IFERROR(__xludf.DUMMYFUNCTION("""COMPUTED_VALUE"""),"")</f>
        <v/>
      </c>
      <c r="K411" s="263" t="str">
        <f>IFERROR(__xludf.DUMMYFUNCTION("""COMPUTED_VALUE"""),"")</f>
        <v/>
      </c>
      <c r="L411" s="263" t="str">
        <f>IFERROR(__xludf.DUMMYFUNCTION("""COMPUTED_VALUE"""),"")</f>
        <v/>
      </c>
      <c r="M411" s="263"/>
      <c r="N411" s="263"/>
      <c r="O411" s="263"/>
      <c r="P411" s="263"/>
      <c r="Q411" s="263"/>
      <c r="R411" s="263"/>
      <c r="S411" s="263"/>
      <c r="T411" s="263"/>
      <c r="U411" s="246"/>
      <c r="V411" s="246"/>
      <c r="W411" s="246"/>
      <c r="X411" s="246"/>
      <c r="Y411" s="246"/>
      <c r="Z411" s="246"/>
    </row>
    <row r="412">
      <c r="A412" s="263"/>
      <c r="B412" s="265" t="str">
        <f>IFERROR(__xludf.DUMMYFUNCTION("""COMPUTED_VALUE"""),"Horse Body")</f>
        <v>Horse Body</v>
      </c>
      <c r="C412" s="263"/>
      <c r="D412" s="263" t="str">
        <f>IFERROR(__xludf.DUMMYFUNCTION("""COMPUTED_VALUE"""),"")</f>
        <v/>
      </c>
      <c r="E412" s="263" t="str">
        <f>IFERROR(__xludf.DUMMYFUNCTION("""COMPUTED_VALUE"""),"")</f>
        <v/>
      </c>
      <c r="F412" s="266" t="str">
        <f>IFERROR(__xludf.DUMMYFUNCTION("""COMPUTED_VALUE"""),"You may carry an ally on your back without lowering your movement speed and your Burden is increased by 2. However, you are considered a large creature. When attempting to move through 5ft wide spaces, it is considered difficult terrain for you and many h"&amp;"umanoid buildings will struggle to accommodate you. You also suffer a -10 penalty on most finesse athletics checks, as well as a -10 penalty on climbing and swimming checks.
Picking up an ally takes 1 AP and they cannot take AP actions while on your back."&amp;" You or they may spend 1 AP to dismount and act like normal.")</f>
        <v>You may carry an ally on your back without lowering your movement speed and your Burden is increased by 2. However, you are considered a large creature. When attempting to move through 5ft wide spaces, it is considered difficult terrain for you and many humanoid buildings will struggle to accommodate you. You also suffer a -10 penalty on most finesse athletics checks, as well as a -10 penalty on climbing and swimming checks.
Picking up an ally takes 1 AP and they cannot take AP actions while on your back. You or they may spend 1 AP to dismount and act like normal.</v>
      </c>
      <c r="G412" s="264" t="str">
        <f>IFERROR(__xludf.DUMMYFUNCTION("""COMPUTED_VALUE"""),"")</f>
        <v/>
      </c>
      <c r="H412" s="267" t="str">
        <f>IFERROR(__xludf.DUMMYFUNCTION("""COMPUTED_VALUE"""),"")</f>
        <v/>
      </c>
      <c r="I412" s="263" t="str">
        <f>IFERROR(__xludf.DUMMYFUNCTION("""COMPUTED_VALUE"""),"")</f>
        <v/>
      </c>
      <c r="J412" s="263" t="str">
        <f>IFERROR(__xludf.DUMMYFUNCTION("""COMPUTED_VALUE"""),"")</f>
        <v/>
      </c>
      <c r="K412" s="263" t="str">
        <f>IFERROR(__xludf.DUMMYFUNCTION("""COMPUTED_VALUE"""),"")</f>
        <v/>
      </c>
      <c r="L412" s="263" t="str">
        <f>IFERROR(__xludf.DUMMYFUNCTION("""COMPUTED_VALUE"""),"")</f>
        <v/>
      </c>
      <c r="M412" s="263"/>
      <c r="N412" s="263"/>
      <c r="O412" s="263"/>
      <c r="P412" s="263"/>
      <c r="Q412" s="263"/>
      <c r="R412" s="263"/>
      <c r="S412" s="263"/>
      <c r="T412" s="263"/>
      <c r="U412" s="246"/>
      <c r="V412" s="246"/>
      <c r="W412" s="246"/>
      <c r="X412" s="246"/>
      <c r="Y412" s="246"/>
      <c r="Z412" s="246"/>
    </row>
    <row r="413">
      <c r="A413" s="263"/>
      <c r="B413" s="265" t="str">
        <f>IFERROR(__xludf.DUMMYFUNCTION("""COMPUTED_VALUE"""),"Horse Step Acceleration")</f>
        <v>Horse Step Acceleration</v>
      </c>
      <c r="C413" s="263"/>
      <c r="D413" s="264" t="str">
        <f>IFERROR(__xludf.DUMMYFUNCTION("""COMPUTED_VALUE"""),"Opener")</f>
        <v>Opener</v>
      </c>
      <c r="E413" s="264" t="str">
        <f>IFERROR(__xludf.DUMMYFUNCTION("""COMPUTED_VALUE"""),"Self")</f>
        <v>Self</v>
      </c>
      <c r="F413" s="266" t="str">
        <f>IFERROR(__xludf.DUMMYFUNCTION("""COMPUTED_VALUE"""),"You gain Horse Step Acceleration until the start of your next turn, which increases movement speed by 30.  All of your movement is now Line Movement (You may only move in a straight line when making a movement action).")</f>
        <v>You gain Horse Step Acceleration until the start of your next turn, which increases movement speed by 30.  All of your movement is now Line Movement (You may only move in a straight line when making a movement action).</v>
      </c>
      <c r="G413" s="263" t="str">
        <f>IFERROR(__xludf.DUMMYFUNCTION("""COMPUTED_VALUE"""),"")</f>
        <v/>
      </c>
      <c r="H413" s="265" t="str">
        <f>IFERROR(__xludf.DUMMYFUNCTION("""COMPUTED_VALUE"""),"0 AP")</f>
        <v>0 AP</v>
      </c>
      <c r="I413" s="263" t="str">
        <f>IFERROR(__xludf.DUMMYFUNCTION("""COMPUTED_VALUE"""),"0 AP")</f>
        <v>0 AP</v>
      </c>
      <c r="J413" s="264" t="str">
        <f>IFERROR(__xludf.DUMMYFUNCTION("""COMPUTED_VALUE"""),"")</f>
        <v/>
      </c>
      <c r="K413" s="263" t="str">
        <f>IFERROR(__xludf.DUMMYFUNCTION("""COMPUTED_VALUE"""),"")</f>
        <v/>
      </c>
      <c r="L413" s="263" t="str">
        <f>IFERROR(__xludf.DUMMYFUNCTION("""COMPUTED_VALUE"""),"")</f>
        <v/>
      </c>
      <c r="M413" s="263"/>
      <c r="N413" s="263"/>
      <c r="O413" s="263"/>
      <c r="P413" s="263"/>
      <c r="Q413" s="263"/>
      <c r="R413" s="263"/>
      <c r="S413" s="263"/>
      <c r="T413" s="263"/>
      <c r="U413" s="246"/>
      <c r="V413" s="246"/>
      <c r="W413" s="246"/>
      <c r="X413" s="246"/>
      <c r="Y413" s="246"/>
      <c r="Z413" s="246"/>
    </row>
    <row r="414">
      <c r="A414" s="263"/>
      <c r="B414" s="265" t="str">
        <f>IFERROR(__xludf.DUMMYFUNCTION("""COMPUTED_VALUE"""),"Horse Whistle")</f>
        <v>Horse Whistle</v>
      </c>
      <c r="C414" s="263"/>
      <c r="D414" s="264" t="str">
        <f>IFERROR(__xludf.DUMMYFUNCTION("""COMPUTED_VALUE"""),"Sidestep")</f>
        <v>Sidestep</v>
      </c>
      <c r="E414" s="264" t="str">
        <f>IFERROR(__xludf.DUMMYFUNCTION("""COMPUTED_VALUE"""),"Sight")</f>
        <v>Sight</v>
      </c>
      <c r="F414" s="266" t="str">
        <f>IFERROR(__xludf.DUMMYFUNCTION("""COMPUTED_VALUE"""),"Your mount (the last mount you were riding on this arc) may sidestep up to its speed towards you and it gains Trample (as per the ability, if you have it) for this movement. If this movement moves your mount onto your square, you may mount it for 0 RP. If"&amp;" you were prone and mount your mount, you are no longer prone.")</f>
        <v>Your mount (the last mount you were riding on this arc) may sidestep up to its speed towards you and it gains Trample (as per the ability, if you have it) for this movement. If this movement moves your mount onto your square, you may mount it for 0 RP. If you were prone and mount your mount, you are no longer prone.</v>
      </c>
      <c r="G414" s="263" t="str">
        <f>IFERROR(__xludf.DUMMYFUNCTION("""COMPUTED_VALUE"""),"Must NOT be mounted.")</f>
        <v>Must NOT be mounted.</v>
      </c>
      <c r="H414" s="265" t="str">
        <f>IFERROR(__xludf.DUMMYFUNCTION("""COMPUTED_VALUE"""),"1 MP, 0 RP")</f>
        <v>1 MP, 0 RP</v>
      </c>
      <c r="I414" s="264" t="str">
        <f>IFERROR(__xludf.DUMMYFUNCTION("""COMPUTED_VALUE"""),"")</f>
        <v/>
      </c>
      <c r="J414" s="264" t="str">
        <f>IFERROR(__xludf.DUMMYFUNCTION("""COMPUTED_VALUE"""),"1 MP")</f>
        <v>1 MP</v>
      </c>
      <c r="K414" s="263" t="str">
        <f>IFERROR(__xludf.DUMMYFUNCTION("""COMPUTED_VALUE"""),"0 RP")</f>
        <v>0 RP</v>
      </c>
      <c r="L414" s="263" t="str">
        <f>IFERROR(__xludf.DUMMYFUNCTION("""COMPUTED_VALUE"""),"")</f>
        <v/>
      </c>
      <c r="M414" s="263"/>
      <c r="N414" s="263"/>
      <c r="O414" s="263"/>
      <c r="P414" s="263"/>
      <c r="Q414" s="263"/>
      <c r="R414" s="263"/>
      <c r="S414" s="263"/>
      <c r="T414" s="263"/>
      <c r="U414" s="246"/>
      <c r="V414" s="246"/>
      <c r="W414" s="246"/>
      <c r="X414" s="246"/>
      <c r="Y414" s="246"/>
      <c r="Z414" s="246"/>
    </row>
    <row r="415">
      <c r="A415" s="263"/>
      <c r="B415" s="265" t="str">
        <f>IFERROR(__xludf.DUMMYFUNCTION("""COMPUTED_VALUE"""),"Hover")</f>
        <v>Hover</v>
      </c>
      <c r="C415" s="263"/>
      <c r="D415" s="264" t="str">
        <f>IFERROR(__xludf.DUMMYFUNCTION("""COMPUTED_VALUE"""),"")</f>
        <v/>
      </c>
      <c r="E415" s="264" t="str">
        <f>IFERROR(__xludf.DUMMYFUNCTION("""COMPUTED_VALUE"""),"")</f>
        <v/>
      </c>
      <c r="F415" s="266" t="str">
        <f>IFERROR(__xludf.DUMMYFUNCTION("""COMPUTED_VALUE"""),"You can passively hover up to 5ft above the ground. While hovering, you are not an eligible target for abilities that require a target to be flying or airborne unless you'd meet those conditions normally.")</f>
        <v>You can passively hover up to 5ft above the ground. While hovering, you are not an eligible target for abilities that require a target to be flying or airborne unless you'd meet those conditions normally.</v>
      </c>
      <c r="G415" s="264" t="str">
        <f>IFERROR(__xludf.DUMMYFUNCTION("""COMPUTED_VALUE"""),"")</f>
        <v/>
      </c>
      <c r="H415" s="265" t="str">
        <f>IFERROR(__xludf.DUMMYFUNCTION("""COMPUTED_VALUE"""),"")</f>
        <v/>
      </c>
      <c r="I415" s="263" t="str">
        <f>IFERROR(__xludf.DUMMYFUNCTION("""COMPUTED_VALUE"""),"")</f>
        <v/>
      </c>
      <c r="J415" s="263" t="str">
        <f>IFERROR(__xludf.DUMMYFUNCTION("""COMPUTED_VALUE"""),"")</f>
        <v/>
      </c>
      <c r="K415" s="264" t="str">
        <f>IFERROR(__xludf.DUMMYFUNCTION("""COMPUTED_VALUE"""),"")</f>
        <v/>
      </c>
      <c r="L415" s="263" t="str">
        <f>IFERROR(__xludf.DUMMYFUNCTION("""COMPUTED_VALUE"""),"")</f>
        <v/>
      </c>
      <c r="M415" s="263"/>
      <c r="N415" s="263"/>
      <c r="O415" s="263"/>
      <c r="P415" s="263"/>
      <c r="Q415" s="263"/>
      <c r="R415" s="263"/>
      <c r="S415" s="263"/>
      <c r="T415" s="263"/>
      <c r="U415" s="246"/>
      <c r="V415" s="246"/>
      <c r="W415" s="246"/>
      <c r="X415" s="246"/>
      <c r="Y415" s="246"/>
      <c r="Z415" s="246"/>
    </row>
    <row r="416">
      <c r="A416" s="263"/>
      <c r="B416" s="265" t="str">
        <f>IFERROR(__xludf.DUMMYFUNCTION("""COMPUTED_VALUE"""),"Hug tight")</f>
        <v>Hug tight</v>
      </c>
      <c r="C416" s="263"/>
      <c r="D416" s="263" t="str">
        <f>IFERROR(__xludf.DUMMYFUNCTION("""COMPUTED_VALUE"""),"Full Pierce, Sure Hit, Rapid")</f>
        <v>Full Pierce, Sure Hit, Rapid</v>
      </c>
      <c r="E416" s="263" t="str">
        <f>IFERROR(__xludf.DUMMYFUNCTION("""COMPUTED_VALUE"""),"10ft")</f>
        <v>10ft</v>
      </c>
      <c r="F416" s="266" t="str">
        <f>IFERROR(__xludf.DUMMYFUNCTION("""COMPUTED_VALUE"""),"You deal Light Damage to the target.")</f>
        <v>You deal Light Damage to the target.</v>
      </c>
      <c r="G416" s="263" t="str">
        <f>IFERROR(__xludf.DUMMYFUNCTION("""COMPUTED_VALUE"""),"Enemy Unit Affected By “Just A Hug”.")</f>
        <v>Enemy Unit Affected By “Just A Hug”.</v>
      </c>
      <c r="H416" s="267" t="str">
        <f>IFERROR(__xludf.DUMMYFUNCTION("""COMPUTED_VALUE"""),"1 AP")</f>
        <v>1 AP</v>
      </c>
      <c r="I416" s="263" t="str">
        <f>IFERROR(__xludf.DUMMYFUNCTION("""COMPUTED_VALUE"""),"1 AP")</f>
        <v>1 AP</v>
      </c>
      <c r="J416" s="263" t="str">
        <f>IFERROR(__xludf.DUMMYFUNCTION("""COMPUTED_VALUE"""),"")</f>
        <v/>
      </c>
      <c r="K416" s="263" t="str">
        <f>IFERROR(__xludf.DUMMYFUNCTION("""COMPUTED_VALUE"""),"")</f>
        <v/>
      </c>
      <c r="L416" s="263" t="str">
        <f>IFERROR(__xludf.DUMMYFUNCTION("""COMPUTED_VALUE"""),"")</f>
        <v/>
      </c>
      <c r="M416" s="263"/>
      <c r="N416" s="263"/>
      <c r="O416" s="263"/>
      <c r="P416" s="263"/>
      <c r="Q416" s="263"/>
      <c r="R416" s="263"/>
      <c r="S416" s="263"/>
      <c r="T416" s="263"/>
      <c r="U416" s="246"/>
      <c r="V416" s="246"/>
      <c r="W416" s="246"/>
      <c r="X416" s="246"/>
      <c r="Y416" s="246"/>
      <c r="Z416" s="246"/>
    </row>
    <row r="417">
      <c r="A417" s="263"/>
      <c r="B417" s="265" t="str">
        <f>IFERROR(__xludf.DUMMYFUNCTION("""COMPUTED_VALUE"""),"Human Adaptability")</f>
        <v>Human Adaptability</v>
      </c>
      <c r="C417" s="263"/>
      <c r="D417" s="264" t="str">
        <f>IFERROR(__xludf.DUMMYFUNCTION("""COMPUTED_VALUE"""),"Errand")</f>
        <v>Errand</v>
      </c>
      <c r="E417" s="264" t="str">
        <f>IFERROR(__xludf.DUMMYFUNCTION("""COMPUTED_VALUE"""),"")</f>
        <v/>
      </c>
      <c r="F417" s="266" t="str">
        <f>IFERROR(__xludf.DUMMYFUNCTION("""COMPUTED_VALUE"""),"As an errand action, you may refund an ability and choose to learn another ability. You cannot pick an ability that makes you ineligible for any of your prerequisites. Your new ability must cost the same as your unlearned one, or you must pay additional n"&amp;"ormal EXP to make up for the cost difference. If you choose to unlearn a class and learn a new one with this ability, you must spend IP for that new class as normal. Any previous IP spent on learning the class you unlearn is NOT refunded.
If you choose to"&amp;" refund primary stats, secondary stats or skill points and then level up the class again, you must put those points back in the same things you originally put them in.
Does not work on breakthroughs.")</f>
        <v>As an errand action, you may refund an ability and choose to learn another ability. You cannot pick an ability that makes you ineligible for any of your prerequisites. Your new ability must cost the same as your unlearned one, or you must pay additional normal EXP to make up for the cost difference. If you choose to unlearn a class and learn a new one with this ability, you must spend IP for that new class as normal. Any previous IP spent on learning the class you unlearn is NOT refunded.
If you choose to refund primary stats, secondary stats or skill points and then level up the class again, you must put those points back in the same things you originally put them in.
Does not work on breakthroughs.</v>
      </c>
      <c r="G417" s="264" t="str">
        <f>IFERROR(__xludf.DUMMYFUNCTION("""COMPUTED_VALUE"""),"")</f>
        <v/>
      </c>
      <c r="H417" s="265" t="str">
        <f>IFERROR(__xludf.DUMMYFUNCTION("""COMPUTED_VALUE"""),"")</f>
        <v/>
      </c>
      <c r="I417" s="264" t="str">
        <f>IFERROR(__xludf.DUMMYFUNCTION("""COMPUTED_VALUE"""),"")</f>
        <v/>
      </c>
      <c r="J417" s="264" t="str">
        <f>IFERROR(__xludf.DUMMYFUNCTION("""COMPUTED_VALUE"""),"")</f>
        <v/>
      </c>
      <c r="K417" s="263" t="str">
        <f>IFERROR(__xludf.DUMMYFUNCTION("""COMPUTED_VALUE"""),"")</f>
        <v/>
      </c>
      <c r="L417" s="263" t="str">
        <f>IFERROR(__xludf.DUMMYFUNCTION("""COMPUTED_VALUE"""),"")</f>
        <v/>
      </c>
      <c r="M417" s="263"/>
      <c r="N417" s="263"/>
      <c r="O417" s="263"/>
      <c r="P417" s="263"/>
      <c r="Q417" s="263"/>
      <c r="R417" s="263"/>
      <c r="S417" s="263"/>
      <c r="T417" s="263"/>
      <c r="U417" s="246"/>
      <c r="V417" s="246"/>
      <c r="W417" s="246"/>
      <c r="X417" s="246"/>
      <c r="Y417" s="246"/>
      <c r="Z417" s="246"/>
    </row>
    <row r="418">
      <c r="A418" s="263"/>
      <c r="B418" s="265" t="str">
        <f>IFERROR(__xludf.DUMMYFUNCTION("""COMPUTED_VALUE"""),"Hunting Wolf")</f>
        <v>Hunting Wolf</v>
      </c>
      <c r="C418" s="263"/>
      <c r="D418" s="264" t="str">
        <f>IFERROR(__xludf.DUMMYFUNCTION("""COMPUTED_VALUE"""),"")</f>
        <v/>
      </c>
      <c r="E418" s="264" t="str">
        <f>IFERROR(__xludf.DUMMYFUNCTION("""COMPUTED_VALUE"""),"Self")</f>
        <v>Self</v>
      </c>
      <c r="F418" s="266" t="str">
        <f>IFERROR(__xludf.DUMMYFUNCTION("""COMPUTED_VALUE"""),"You may move towards the target as if you had spent X AP on movement. Your movement speed is doubled for this movement.")</f>
        <v>You may move towards the target as if you had spent X AP on movement. Your movement speed is doubled for this movement.</v>
      </c>
      <c r="G418" s="264" t="str">
        <f>IFERROR(__xludf.DUMMYFUNCTION("""COMPUTED_VALUE"""),"The target enemy is below half HP.")</f>
        <v>The target enemy is below half HP.</v>
      </c>
      <c r="H418" s="265" t="str">
        <f>IFERROR(__xludf.DUMMYFUNCTION("""COMPUTED_VALUE"""),"X AP")</f>
        <v>X AP</v>
      </c>
      <c r="I418" s="263" t="str">
        <f>IFERROR(__xludf.DUMMYFUNCTION("""COMPUTED_VALUE"""),"X AP")</f>
        <v>X AP</v>
      </c>
      <c r="J418" s="263" t="str">
        <f>IFERROR(__xludf.DUMMYFUNCTION("""COMPUTED_VALUE"""),"")</f>
        <v/>
      </c>
      <c r="K418" s="264" t="str">
        <f>IFERROR(__xludf.DUMMYFUNCTION("""COMPUTED_VALUE"""),"")</f>
        <v/>
      </c>
      <c r="L418" s="263" t="str">
        <f>IFERROR(__xludf.DUMMYFUNCTION("""COMPUTED_VALUE"""),"")</f>
        <v/>
      </c>
      <c r="M418" s="263"/>
      <c r="N418" s="263"/>
      <c r="O418" s="263"/>
      <c r="P418" s="263"/>
      <c r="Q418" s="263"/>
      <c r="R418" s="263"/>
      <c r="S418" s="263"/>
      <c r="T418" s="263"/>
      <c r="U418" s="246"/>
      <c r="V418" s="246"/>
      <c r="W418" s="246"/>
      <c r="X418" s="246"/>
      <c r="Y418" s="246"/>
      <c r="Z418" s="246"/>
    </row>
    <row r="419">
      <c r="A419" s="263"/>
      <c r="B419" s="265" t="str">
        <f>IFERROR(__xludf.DUMMYFUNCTION("""COMPUTED_VALUE"""),"Hyphal Force")</f>
        <v>Hyphal Force</v>
      </c>
      <c r="C419" s="263"/>
      <c r="D419" s="264" t="str">
        <f>IFERROR(__xludf.DUMMYFUNCTION("""COMPUTED_VALUE"""),"Earth, Spell, Augment")</f>
        <v>Earth, Spell, Augment</v>
      </c>
      <c r="E419" s="264" t="str">
        <f>IFERROR(__xludf.DUMMYFUNCTION("""COMPUTED_VALUE"""),"Sight")</f>
        <v>Sight</v>
      </c>
      <c r="F419" s="266" t="str">
        <f>IFERROR(__xludf.DUMMYFUNCTION("""COMPUTED_VALUE"""),"Your spore symbiote surges the host’s muscles with temporary power. When the host of Spore Symbiote is making a melee attack, increase the damage by your Light Attack Damage. The extra damage dealt is Earth Damage.
This spell does not provoke attacks of o"&amp;"pportunity.")</f>
        <v>Your spore symbiote surges the host’s muscles with temporary power. When the host of Spore Symbiote is making a melee attack, increase the damage by your Light Attack Damage. The extra damage dealt is Earth Damage.
This spell does not provoke attacks of opportunity.</v>
      </c>
      <c r="G419" s="263" t="str">
        <f>IFERROR(__xludf.DUMMYFUNCTION("""COMPUTED_VALUE"""),"The host of your Spore Symbiote is making a melee attack.")</f>
        <v>The host of your Spore Symbiote is making a melee attack.</v>
      </c>
      <c r="H419" s="265" t="str">
        <f>IFERROR(__xludf.DUMMYFUNCTION("""COMPUTED_VALUE"""),"1 RP")</f>
        <v>1 RP</v>
      </c>
      <c r="I419" s="264" t="str">
        <f>IFERROR(__xludf.DUMMYFUNCTION("""COMPUTED_VALUE"""),"")</f>
        <v/>
      </c>
      <c r="J419" s="264" t="str">
        <f>IFERROR(__xludf.DUMMYFUNCTION("""COMPUTED_VALUE"""),"")</f>
        <v/>
      </c>
      <c r="K419" s="263" t="str">
        <f>IFERROR(__xludf.DUMMYFUNCTION("""COMPUTED_VALUE"""),"1 RP")</f>
        <v>1 RP</v>
      </c>
      <c r="L419" s="263" t="str">
        <f>IFERROR(__xludf.DUMMYFUNCTION("""COMPUTED_VALUE"""),"")</f>
        <v/>
      </c>
      <c r="M419" s="263"/>
      <c r="N419" s="263"/>
      <c r="O419" s="263"/>
      <c r="P419" s="263"/>
      <c r="Q419" s="263"/>
      <c r="R419" s="263"/>
      <c r="S419" s="263"/>
      <c r="T419" s="263"/>
      <c r="U419" s="246"/>
      <c r="V419" s="246"/>
      <c r="W419" s="246"/>
      <c r="X419" s="246"/>
      <c r="Y419" s="246"/>
      <c r="Z419" s="246"/>
    </row>
    <row r="420">
      <c r="A420" s="263"/>
      <c r="B420" s="265" t="str">
        <f>IFERROR(__xludf.DUMMYFUNCTION("""COMPUTED_VALUE"""),"Iai Strike")</f>
        <v>Iai Strike</v>
      </c>
      <c r="C420" s="263"/>
      <c r="D420" s="263" t="str">
        <f>IFERROR(__xludf.DUMMYFUNCTION("""COMPUTED_VALUE"""),"Iaijutsu, Lock On")</f>
        <v>Iaijutsu, Lock On</v>
      </c>
      <c r="E420" s="264" t="str">
        <f>IFERROR(__xludf.DUMMYFUNCTION("""COMPUTED_VALUE"""),"Melee Weapon Range")</f>
        <v>Melee Weapon Range</v>
      </c>
      <c r="F420" s="266" t="str">
        <f>IFERROR(__xludf.DUMMYFUNCTION("""COMPUTED_VALUE"""),"You draw your weapon and attack with lightning speed, making a Heavy Attack. You lose the Sheathed state afterwards.")</f>
        <v>You draw your weapon and attack with lightning speed, making a Heavy Attack. You lose the Sheathed state afterwards.</v>
      </c>
      <c r="G420" s="264" t="str">
        <f>IFERROR(__xludf.DUMMYFUNCTION("""COMPUTED_VALUE"""),"Katana only. Must be in the Iai state.")</f>
        <v>Katana only. Must be in the Iai state.</v>
      </c>
      <c r="H420" s="265" t="str">
        <f>IFERROR(__xludf.DUMMYFUNCTION("""COMPUTED_VALUE"""),"1 AP")</f>
        <v>1 AP</v>
      </c>
      <c r="I420" s="264" t="str">
        <f>IFERROR(__xludf.DUMMYFUNCTION("""COMPUTED_VALUE"""),"1 AP")</f>
        <v>1 AP</v>
      </c>
      <c r="J420" s="263" t="str">
        <f>IFERROR(__xludf.DUMMYFUNCTION("""COMPUTED_VALUE"""),"")</f>
        <v/>
      </c>
      <c r="K420" s="263" t="str">
        <f>IFERROR(__xludf.DUMMYFUNCTION("""COMPUTED_VALUE"""),"")</f>
        <v/>
      </c>
      <c r="L420" s="263" t="str">
        <f>IFERROR(__xludf.DUMMYFUNCTION("""COMPUTED_VALUE"""),"")</f>
        <v/>
      </c>
      <c r="M420" s="263"/>
      <c r="N420" s="263"/>
      <c r="O420" s="263"/>
      <c r="P420" s="263"/>
      <c r="Q420" s="263"/>
      <c r="R420" s="263"/>
      <c r="S420" s="263"/>
      <c r="T420" s="263"/>
      <c r="U420" s="246"/>
      <c r="V420" s="246"/>
      <c r="W420" s="246"/>
      <c r="X420" s="246"/>
      <c r="Y420" s="246"/>
      <c r="Z420" s="246"/>
    </row>
    <row r="421">
      <c r="A421" s="263"/>
      <c r="B421" s="265" t="str">
        <f>IFERROR(__xludf.DUMMYFUNCTION("""COMPUTED_VALUE"""),"Icicle Nail")</f>
        <v>Icicle Nail</v>
      </c>
      <c r="C421" s="263"/>
      <c r="D421" s="263" t="str">
        <f>IFERROR(__xludf.DUMMYFUNCTION("""COMPUTED_VALUE"""),"Frost, Slow, Spell")</f>
        <v>Frost, Slow, Spell</v>
      </c>
      <c r="E421" s="263" t="str">
        <f>IFERROR(__xludf.DUMMYFUNCTION("""COMPUTED_VALUE"""),"60ft")</f>
        <v>60ft</v>
      </c>
      <c r="F421" s="266" t="str">
        <f>IFERROR(__xludf.DUMMYFUNCTION("""COMPUTED_VALUE"""),"You fire a shard of ice at a target unit, making a Light Attack that deals Frost Damage. On hit, the target is Slowed until the end of their next turn.")</f>
        <v>You fire a shard of ice at a target unit, making a Light Attack that deals Frost Damage. On hit, the target is Slowed until the end of their next turn.</v>
      </c>
      <c r="G421" s="263" t="str">
        <f>IFERROR(__xludf.DUMMYFUNCTION("""COMPUTED_VALUE"""),"")</f>
        <v/>
      </c>
      <c r="H421" s="267" t="str">
        <f>IFERROR(__xludf.DUMMYFUNCTION("""COMPUTED_VALUE"""),"1 AP, 1 MP")</f>
        <v>1 AP, 1 MP</v>
      </c>
      <c r="I421" s="263" t="str">
        <f>IFERROR(__xludf.DUMMYFUNCTION("""COMPUTED_VALUE"""),"1 AP")</f>
        <v>1 AP</v>
      </c>
      <c r="J421" s="263" t="str">
        <f>IFERROR(__xludf.DUMMYFUNCTION("""COMPUTED_VALUE"""),"1 MP")</f>
        <v>1 MP</v>
      </c>
      <c r="K421" s="263" t="str">
        <f>IFERROR(__xludf.DUMMYFUNCTION("""COMPUTED_VALUE"""),"")</f>
        <v/>
      </c>
      <c r="L421" s="263" t="str">
        <f>IFERROR(__xludf.DUMMYFUNCTION("""COMPUTED_VALUE"""),"")</f>
        <v/>
      </c>
      <c r="M421" s="263"/>
      <c r="N421" s="263"/>
      <c r="O421" s="263"/>
      <c r="P421" s="263"/>
      <c r="Q421" s="263"/>
      <c r="R421" s="263"/>
      <c r="S421" s="263"/>
      <c r="T421" s="263"/>
      <c r="U421" s="246"/>
      <c r="V421" s="246"/>
      <c r="W421" s="246"/>
      <c r="X421" s="246"/>
      <c r="Y421" s="246"/>
      <c r="Z421" s="246"/>
    </row>
    <row r="422">
      <c r="A422" s="263"/>
      <c r="B422" s="265" t="str">
        <f>IFERROR(__xludf.DUMMYFUNCTION("""COMPUTED_VALUE"""),"Ignite")</f>
        <v>Ignite</v>
      </c>
      <c r="C422" s="263"/>
      <c r="D422" s="263" t="str">
        <f>IFERROR(__xludf.DUMMYFUNCTION("""COMPUTED_VALUE"""),"Fire, Overcharge, Spell")</f>
        <v>Fire, Overcharge, Spell</v>
      </c>
      <c r="E422" s="263" t="str">
        <f>IFERROR(__xludf.DUMMYFUNCTION("""COMPUTED_VALUE"""),"40ft")</f>
        <v>40ft</v>
      </c>
      <c r="F422" s="266" t="str">
        <f>IFERROR(__xludf.DUMMYFUNCTION("""COMPUTED_VALUE"""),"You may use this as a reaction after you deal Fire Damage to an enemy to set them on fire, causing them to become Burning X, where X equals your Power x 3. Overcharge: You may target additional enemies with this ability if you hit them with the same abili"&amp;"ty or attack. You may pay 1 mana per target beyond the first to also affect them with this ability.")</f>
        <v>You may use this as a reaction after you deal Fire Damage to an enemy to set them on fire, causing them to become Burning X, where X equals your Power x 3. Overcharge: You may target additional enemies with this ability if you hit them with the same ability or attack. You may pay 1 mana per target beyond the first to also affect them with this ability.</v>
      </c>
      <c r="G422" s="263" t="str">
        <f>IFERROR(__xludf.DUMMYFUNCTION("""COMPUTED_VALUE"""),"")</f>
        <v/>
      </c>
      <c r="H422" s="267" t="str">
        <f>IFERROR(__xludf.DUMMYFUNCTION("""COMPUTED_VALUE"""),"1 RP")</f>
        <v>1 RP</v>
      </c>
      <c r="I422" s="263" t="str">
        <f>IFERROR(__xludf.DUMMYFUNCTION("""COMPUTED_VALUE"""),"")</f>
        <v/>
      </c>
      <c r="J422" s="263" t="str">
        <f>IFERROR(__xludf.DUMMYFUNCTION("""COMPUTED_VALUE"""),"")</f>
        <v/>
      </c>
      <c r="K422" s="263" t="str">
        <f>IFERROR(__xludf.DUMMYFUNCTION("""COMPUTED_VALUE"""),"1 RP")</f>
        <v>1 RP</v>
      </c>
      <c r="L422" s="263" t="str">
        <f>IFERROR(__xludf.DUMMYFUNCTION("""COMPUTED_VALUE"""),"")</f>
        <v/>
      </c>
      <c r="M422" s="263"/>
      <c r="N422" s="263"/>
      <c r="O422" s="263"/>
      <c r="P422" s="263"/>
      <c r="Q422" s="263"/>
      <c r="R422" s="263"/>
      <c r="S422" s="263"/>
      <c r="T422" s="263"/>
      <c r="U422" s="246"/>
      <c r="V422" s="246"/>
      <c r="W422" s="246"/>
      <c r="X422" s="246"/>
      <c r="Y422" s="246"/>
      <c r="Z422" s="246"/>
    </row>
    <row r="423">
      <c r="A423" s="263"/>
      <c r="B423" s="265" t="str">
        <f>IFERROR(__xludf.DUMMYFUNCTION("""COMPUTED_VALUE"""),"Illuminating Flash")</f>
        <v>Illuminating Flash</v>
      </c>
      <c r="C423" s="263"/>
      <c r="D423" s="264" t="str">
        <f>IFERROR(__xludf.DUMMYFUNCTION("""COMPUTED_VALUE"""),"Spell, Light, Blinded, Illumination")</f>
        <v>Spell, Light, Blinded, Illumination</v>
      </c>
      <c r="E423" s="264" t="str">
        <f>IFERROR(__xludf.DUMMYFUNCTION("""COMPUTED_VALUE"""),"60ft.")</f>
        <v>60ft.</v>
      </c>
      <c r="F423" s="266" t="str">
        <f>IFERROR(__xludf.DUMMYFUNCTION("""COMPUTED_VALUE"""),"You select a point within range. All targets in a 15x15 area centered on the point must make a save against your Potency or be inflicted with Illumination X where X  your Focus / 2 (Rounded Down) until the end of your next turn. They also become Blinded 5"&amp;" for their next attack.")</f>
        <v>You select a point within range. All targets in a 15x15 area centered on the point must make a save against your Potency or be inflicted with Illumination X where X  your Focus / 2 (Rounded Down) until the end of your next turn. They also become Blinded 5 for their next attack.</v>
      </c>
      <c r="G423" s="263" t="str">
        <f>IFERROR(__xludf.DUMMYFUNCTION("""COMPUTED_VALUE"""),"")</f>
        <v/>
      </c>
      <c r="H423" s="265" t="str">
        <f>IFERROR(__xludf.DUMMYFUNCTION("""COMPUTED_VALUE"""),"2 AP, 1 MP")</f>
        <v>2 AP, 1 MP</v>
      </c>
      <c r="I423" s="264" t="str">
        <f>IFERROR(__xludf.DUMMYFUNCTION("""COMPUTED_VALUE"""),"2 AP")</f>
        <v>2 AP</v>
      </c>
      <c r="J423" s="264" t="str">
        <f>IFERROR(__xludf.DUMMYFUNCTION("""COMPUTED_VALUE"""),"1 MP")</f>
        <v>1 MP</v>
      </c>
      <c r="K423" s="263" t="str">
        <f>IFERROR(__xludf.DUMMYFUNCTION("""COMPUTED_VALUE"""),"")</f>
        <v/>
      </c>
      <c r="L423" s="263" t="str">
        <f>IFERROR(__xludf.DUMMYFUNCTION("""COMPUTED_VALUE"""),"")</f>
        <v/>
      </c>
      <c r="M423" s="263"/>
      <c r="N423" s="263"/>
      <c r="O423" s="263"/>
      <c r="P423" s="263"/>
      <c r="Q423" s="263"/>
      <c r="R423" s="263"/>
      <c r="S423" s="263"/>
      <c r="T423" s="263"/>
      <c r="U423" s="246"/>
      <c r="V423" s="246"/>
      <c r="W423" s="246"/>
      <c r="X423" s="246"/>
      <c r="Y423" s="246"/>
      <c r="Z423" s="246"/>
    </row>
    <row r="424">
      <c r="A424" s="263"/>
      <c r="B424" s="265" t="str">
        <f>IFERROR(__xludf.DUMMYFUNCTION("""COMPUTED_VALUE"""),"Imaginary Consumables")</f>
        <v>Imaginary Consumables</v>
      </c>
      <c r="C424" s="263"/>
      <c r="D424" s="263" t="str">
        <f>IFERROR(__xludf.DUMMYFUNCTION("""COMPUTED_VALUE"""),"Illusion")</f>
        <v>Illusion</v>
      </c>
      <c r="E424" s="264" t="str">
        <f>IFERROR(__xludf.DUMMYFUNCTION("""COMPUTED_VALUE"""),"Self")</f>
        <v>Self</v>
      </c>
      <c r="F424" s="266" t="str">
        <f>IFERROR(__xludf.DUMMYFUNCTION("""COMPUTED_VALUE"""),"You ‘draw’ an imaginary basic consumable alchemy item or minor item that can cost no more than 100c per mana spent on this ability and no more than 500c total.
This consumable works like regular consumables would, but only you can use it, normal people ca"&amp;"n’t see it and it doesn’t work with abilities that require you to use real consumables like counter-potion.
Any items created with this ability only last until the end of the encounter, or for 5 minutes outside of one.")</f>
        <v>You ‘draw’ an imaginary basic consumable alchemy item or minor item that can cost no more than 100c per mana spent on this ability and no more than 500c total.
This consumable works like regular consumables would, but only you can use it, normal people can’t see it and it doesn’t work with abilities that require you to use real consumables like counter-potion.
Any items created with this ability only last until the end of the encounter, or for 5 minutes outside of one.</v>
      </c>
      <c r="G424" s="263" t="str">
        <f>IFERROR(__xludf.DUMMYFUNCTION("""COMPUTED_VALUE"""),"")</f>
        <v/>
      </c>
      <c r="H424" s="265" t="str">
        <f>IFERROR(__xludf.DUMMYFUNCTION("""COMPUTED_VALUE"""),"1 AP, X MP")</f>
        <v>1 AP, X MP</v>
      </c>
      <c r="I424" s="264" t="str">
        <f>IFERROR(__xludf.DUMMYFUNCTION("""COMPUTED_VALUE"""),"1 AP")</f>
        <v>1 AP</v>
      </c>
      <c r="J424" s="263" t="str">
        <f>IFERROR(__xludf.DUMMYFUNCTION("""COMPUTED_VALUE"""),"X MP")</f>
        <v>X MP</v>
      </c>
      <c r="K424" s="263" t="str">
        <f>IFERROR(__xludf.DUMMYFUNCTION("""COMPUTED_VALUE"""),"")</f>
        <v/>
      </c>
      <c r="L424" s="263" t="str">
        <f>IFERROR(__xludf.DUMMYFUNCTION("""COMPUTED_VALUE"""),"")</f>
        <v/>
      </c>
      <c r="M424" s="263"/>
      <c r="N424" s="263"/>
      <c r="O424" s="263"/>
      <c r="P424" s="263"/>
      <c r="Q424" s="263"/>
      <c r="R424" s="263"/>
      <c r="S424" s="263"/>
      <c r="T424" s="263"/>
      <c r="U424" s="246"/>
      <c r="V424" s="246"/>
      <c r="W424" s="246"/>
      <c r="X424" s="246"/>
      <c r="Y424" s="246"/>
      <c r="Z424" s="246"/>
    </row>
    <row r="425">
      <c r="A425" s="263"/>
      <c r="B425" s="265" t="str">
        <f>IFERROR(__xludf.DUMMYFUNCTION("""COMPUTED_VALUE"""),"Imaginary Weapon")</f>
        <v>Imaginary Weapon</v>
      </c>
      <c r="C425" s="263"/>
      <c r="D425" s="264" t="str">
        <f>IFERROR(__xludf.DUMMYFUNCTION("""COMPUTED_VALUE"""),"Quick, Illusion")</f>
        <v>Quick, Illusion</v>
      </c>
      <c r="E425" s="264" t="str">
        <f>IFERROR(__xludf.DUMMYFUNCTION("""COMPUTED_VALUE"""),"Self")</f>
        <v>Self</v>
      </c>
      <c r="F425" s="266" t="str">
        <f>IFERROR(__xludf.DUMMYFUNCTION("""COMPUTED_VALUE"""),"You ‘draw’ an imaginary weapon or shield in which you are proficient.
This weapon works exactly like a normal weapon would, but only you can wield it and normal people can't see it.")</f>
        <v>You ‘draw’ an imaginary weapon or shield in which you are proficient.
This weapon works exactly like a normal weapon would, but only you can wield it and normal people can't see it.</v>
      </c>
      <c r="G425" s="263" t="str">
        <f>IFERROR(__xludf.DUMMYFUNCTION("""COMPUTED_VALUE"""),"")</f>
        <v/>
      </c>
      <c r="H425" s="267" t="str">
        <f>IFERROR(__xludf.DUMMYFUNCTION("""COMPUTED_VALUE"""),"0 AP")</f>
        <v>0 AP</v>
      </c>
      <c r="I425" s="263" t="str">
        <f>IFERROR(__xludf.DUMMYFUNCTION("""COMPUTED_VALUE"""),"0 AP")</f>
        <v>0 AP</v>
      </c>
      <c r="J425" s="263" t="str">
        <f>IFERROR(__xludf.DUMMYFUNCTION("""COMPUTED_VALUE"""),"")</f>
        <v/>
      </c>
      <c r="K425" s="263" t="str">
        <f>IFERROR(__xludf.DUMMYFUNCTION("""COMPUTED_VALUE"""),"")</f>
        <v/>
      </c>
      <c r="L425" s="263" t="str">
        <f>IFERROR(__xludf.DUMMYFUNCTION("""COMPUTED_VALUE"""),"")</f>
        <v/>
      </c>
      <c r="M425" s="263"/>
      <c r="N425" s="263"/>
      <c r="O425" s="263"/>
      <c r="P425" s="263"/>
      <c r="Q425" s="263"/>
      <c r="R425" s="263"/>
      <c r="S425" s="263"/>
      <c r="T425" s="263"/>
      <c r="U425" s="246"/>
      <c r="V425" s="246"/>
      <c r="W425" s="246"/>
      <c r="X425" s="246"/>
      <c r="Y425" s="246"/>
      <c r="Z425" s="246"/>
    </row>
    <row r="426">
      <c r="A426" s="263"/>
      <c r="B426" s="265" t="str">
        <f>IFERROR(__xludf.DUMMYFUNCTION("""COMPUTED_VALUE"""),"Imbue Weapon")</f>
        <v>Imbue Weapon</v>
      </c>
      <c r="C426" s="263"/>
      <c r="D426" s="264" t="str">
        <f>IFERROR(__xludf.DUMMYFUNCTION("""COMPUTED_VALUE"""),"Enchantment")</f>
        <v>Enchantment</v>
      </c>
      <c r="E426" s="264" t="str">
        <f>IFERROR(__xludf.DUMMYFUNCTION("""COMPUTED_VALUE"""),"Self")</f>
        <v>Self</v>
      </c>
      <c r="F426" s="266" t="str">
        <f>IFERROR(__xludf.DUMMYFUNCTION("""COMPUTED_VALUE"""),"You enchant your melee weapon with an element you mastered. Your weapon now deals the chosen element’s damage instead of its normal damage. If you are not holding the enchanted weapon at the start of your turn, your weapon loses this benefit.")</f>
        <v>You enchant your melee weapon with an element you mastered. Your weapon now deals the chosen element’s damage instead of its normal damage. If you are not holding the enchanted weapon at the start of your turn, your weapon loses this benefit.</v>
      </c>
      <c r="G426" s="263" t="str">
        <f>IFERROR(__xludf.DUMMYFUNCTION("""COMPUTED_VALUE"""),"")</f>
        <v/>
      </c>
      <c r="H426" s="265" t="str">
        <f>IFERROR(__xludf.DUMMYFUNCTION("""COMPUTED_VALUE"""),"1 AP")</f>
        <v>1 AP</v>
      </c>
      <c r="I426" s="264" t="str">
        <f>IFERROR(__xludf.DUMMYFUNCTION("""COMPUTED_VALUE"""),"1 AP")</f>
        <v>1 AP</v>
      </c>
      <c r="J426" s="264" t="str">
        <f>IFERROR(__xludf.DUMMYFUNCTION("""COMPUTED_VALUE"""),"")</f>
        <v/>
      </c>
      <c r="K426" s="263" t="str">
        <f>IFERROR(__xludf.DUMMYFUNCTION("""COMPUTED_VALUE"""),"")</f>
        <v/>
      </c>
      <c r="L426" s="263" t="str">
        <f>IFERROR(__xludf.DUMMYFUNCTION("""COMPUTED_VALUE"""),"")</f>
        <v/>
      </c>
      <c r="M426" s="263"/>
      <c r="N426" s="263"/>
      <c r="O426" s="263"/>
      <c r="P426" s="263"/>
      <c r="Q426" s="263"/>
      <c r="R426" s="263"/>
      <c r="S426" s="263"/>
      <c r="T426" s="263"/>
      <c r="U426" s="246"/>
      <c r="V426" s="246"/>
      <c r="W426" s="246"/>
      <c r="X426" s="246"/>
      <c r="Y426" s="246"/>
      <c r="Z426" s="246"/>
    </row>
    <row r="427">
      <c r="A427" s="263"/>
      <c r="B427" s="265" t="str">
        <f>IFERROR(__xludf.DUMMYFUNCTION("""COMPUTED_VALUE"""),"Improvised Defense")</f>
        <v>Improvised Defense</v>
      </c>
      <c r="C427" s="263"/>
      <c r="D427" s="264" t="str">
        <f>IFERROR(__xludf.DUMMYFUNCTION("""COMPUTED_VALUE"""),"")</f>
        <v/>
      </c>
      <c r="E427" s="264" t="str">
        <f>IFERROR(__xludf.DUMMYFUNCTION("""COMPUTED_VALUE"""),"Self")</f>
        <v>Self</v>
      </c>
      <c r="F427" s="266" t="str">
        <f>IFERROR(__xludf.DUMMYFUNCTION("""COMPUTED_VALUE"""),"You grab a nearby item and use it as cover against the triggering attack while taking the Dodge or Block action. The type of item used determines whether it is light, heavy or full cover.")</f>
        <v>You grab a nearby item and use it as cover against the triggering attack while taking the Dodge or Block action. The type of item used determines whether it is light, heavy or full cover.</v>
      </c>
      <c r="G427" s="263" t="str">
        <f>IFERROR(__xludf.DUMMYFUNCTION("""COMPUTED_VALUE"""),"You become the target of an attack.")</f>
        <v>You become the target of an attack.</v>
      </c>
      <c r="H427" s="265" t="str">
        <f>IFERROR(__xludf.DUMMYFUNCTION("""COMPUTED_VALUE"""),"1 RP")</f>
        <v>1 RP</v>
      </c>
      <c r="I427" s="264" t="str">
        <f>IFERROR(__xludf.DUMMYFUNCTION("""COMPUTED_VALUE"""),"")</f>
        <v/>
      </c>
      <c r="J427" s="264" t="str">
        <f>IFERROR(__xludf.DUMMYFUNCTION("""COMPUTED_VALUE"""),"")</f>
        <v/>
      </c>
      <c r="K427" s="263" t="str">
        <f>IFERROR(__xludf.DUMMYFUNCTION("""COMPUTED_VALUE"""),"1 RP")</f>
        <v>1 RP</v>
      </c>
      <c r="L427" s="263" t="str">
        <f>IFERROR(__xludf.DUMMYFUNCTION("""COMPUTED_VALUE"""),"")</f>
        <v/>
      </c>
      <c r="M427" s="263"/>
      <c r="N427" s="263"/>
      <c r="O427" s="263"/>
      <c r="P427" s="263"/>
      <c r="Q427" s="263"/>
      <c r="R427" s="263"/>
      <c r="S427" s="263"/>
      <c r="T427" s="263"/>
      <c r="U427" s="246"/>
      <c r="V427" s="246"/>
      <c r="W427" s="246"/>
      <c r="X427" s="246"/>
      <c r="Y427" s="246"/>
      <c r="Z427" s="246"/>
    </row>
    <row r="428">
      <c r="A428" s="263"/>
      <c r="B428" s="265" t="str">
        <f>IFERROR(__xludf.DUMMYFUNCTION("""COMPUTED_VALUE"""),"In The Zone")</f>
        <v>In The Zone</v>
      </c>
      <c r="C428" s="263"/>
      <c r="D428" s="264" t="str">
        <f>IFERROR(__xludf.DUMMYFUNCTION("""COMPUTED_VALUE"""),"")</f>
        <v/>
      </c>
      <c r="E428" s="264" t="str">
        <f>IFERROR(__xludf.DUMMYFUNCTION("""COMPUTED_VALUE"""),"")</f>
        <v/>
      </c>
      <c r="F428" s="266" t="str">
        <f>IFERROR(__xludf.DUMMYFUNCTION("""COMPUTED_VALUE"""),"You add a crafting check to the item. This craft gains a +X bonus where X is equal to the amount of crafting dice spent this session.")</f>
        <v>You add a crafting check to the item. This craft gains a +X bonus where X is equal to the amount of crafting dice spent this session.</v>
      </c>
      <c r="G428" s="264" t="str">
        <f>IFERROR(__xludf.DUMMYFUNCTION("""COMPUTED_VALUE"""),"Must be in a crafting session. Costs 1 Crafting Dice")</f>
        <v>Must be in a crafting session. Costs 1 Crafting Dice</v>
      </c>
      <c r="H428" s="265" t="str">
        <f>IFERROR(__xludf.DUMMYFUNCTION("""COMPUTED_VALUE"""),"")</f>
        <v/>
      </c>
      <c r="I428" s="264" t="str">
        <f>IFERROR(__xludf.DUMMYFUNCTION("""COMPUTED_VALUE"""),"")</f>
        <v/>
      </c>
      <c r="J428" s="264" t="str">
        <f>IFERROR(__xludf.DUMMYFUNCTION("""COMPUTED_VALUE"""),"")</f>
        <v/>
      </c>
      <c r="K428" s="263" t="str">
        <f>IFERROR(__xludf.DUMMYFUNCTION("""COMPUTED_VALUE"""),"")</f>
        <v/>
      </c>
      <c r="L428" s="263" t="str">
        <f>IFERROR(__xludf.DUMMYFUNCTION("""COMPUTED_VALUE"""),"")</f>
        <v/>
      </c>
      <c r="M428" s="263"/>
      <c r="N428" s="263"/>
      <c r="O428" s="263"/>
      <c r="P428" s="263"/>
      <c r="Q428" s="263"/>
      <c r="R428" s="263"/>
      <c r="S428" s="263"/>
      <c r="T428" s="263"/>
      <c r="U428" s="246"/>
      <c r="V428" s="246"/>
      <c r="W428" s="246"/>
      <c r="X428" s="246"/>
      <c r="Y428" s="246"/>
      <c r="Z428" s="246"/>
    </row>
    <row r="429">
      <c r="A429" s="263"/>
      <c r="B429" s="265" t="str">
        <f>IFERROR(__xludf.DUMMYFUNCTION("""COMPUTED_VALUE"""),"Incendiary Ray")</f>
        <v>Incendiary Ray</v>
      </c>
      <c r="C429" s="263"/>
      <c r="D429" s="263" t="str">
        <f>IFERROR(__xludf.DUMMYFUNCTION("""COMPUTED_VALUE"""),"Fire, Spell, Scatter")</f>
        <v>Fire, Spell, Scatter</v>
      </c>
      <c r="E429" s="264" t="str">
        <f>IFERROR(__xludf.DUMMYFUNCTION("""COMPUTED_VALUE"""),"40ft")</f>
        <v>40ft</v>
      </c>
      <c r="F429" s="266" t="str">
        <f>IFERROR(__xludf.DUMMYFUNCTION("""COMPUTED_VALUE"""),"You may make a Light Attack that deals Fire damage against all targets in a 10ft wide line up to the range. On damage, inflict Burning X where X is your Power x 3.")</f>
        <v>You may make a Light Attack that deals Fire damage against all targets in a 10ft wide line up to the range. On damage, inflict Burning X where X is your Power x 3.</v>
      </c>
      <c r="G429" s="263" t="str">
        <f>IFERROR(__xludf.DUMMYFUNCTION("""COMPUTED_VALUE"""),"")</f>
        <v/>
      </c>
      <c r="H429" s="265" t="str">
        <f>IFERROR(__xludf.DUMMYFUNCTION("""COMPUTED_VALUE"""),"2 AP, 2 MP")</f>
        <v>2 AP, 2 MP</v>
      </c>
      <c r="I429" s="263" t="str">
        <f>IFERROR(__xludf.DUMMYFUNCTION("""COMPUTED_VALUE"""),"2 AP")</f>
        <v>2 AP</v>
      </c>
      <c r="J429" s="264" t="str">
        <f>IFERROR(__xludf.DUMMYFUNCTION("""COMPUTED_VALUE"""),"2 MP")</f>
        <v>2 MP</v>
      </c>
      <c r="K429" s="264" t="str">
        <f>IFERROR(__xludf.DUMMYFUNCTION("""COMPUTED_VALUE"""),"")</f>
        <v/>
      </c>
      <c r="L429" s="263" t="str">
        <f>IFERROR(__xludf.DUMMYFUNCTION("""COMPUTED_VALUE"""),"")</f>
        <v/>
      </c>
      <c r="M429" s="263"/>
      <c r="N429" s="263"/>
      <c r="O429" s="263"/>
      <c r="P429" s="263"/>
      <c r="Q429" s="263"/>
      <c r="R429" s="263"/>
      <c r="S429" s="263"/>
      <c r="T429" s="263"/>
      <c r="U429" s="246"/>
      <c r="V429" s="246"/>
      <c r="W429" s="246"/>
      <c r="X429" s="246"/>
      <c r="Y429" s="246"/>
      <c r="Z429" s="246"/>
    </row>
    <row r="430">
      <c r="A430" s="263"/>
      <c r="B430" s="265" t="str">
        <f>IFERROR(__xludf.DUMMYFUNCTION("""COMPUTED_VALUE"""),"Increased Reach")</f>
        <v>Increased Reach</v>
      </c>
      <c r="C430" s="263"/>
      <c r="D430" s="263" t="str">
        <f>IFERROR(__xludf.DUMMYFUNCTION("""COMPUTED_VALUE"""),"")</f>
        <v/>
      </c>
      <c r="E430" s="263" t="str">
        <f>IFERROR(__xludf.DUMMYFUNCTION("""COMPUTED_VALUE"""),"Self")</f>
        <v>Self</v>
      </c>
      <c r="F430" s="266" t="str">
        <f>IFERROR(__xludf.DUMMYFUNCTION("""COMPUTED_VALUE"""),"The range of the next Spell you cast is doubled. Only works on Spells that have a range listed in ft.")</f>
        <v>The range of the next Spell you cast is doubled. Only works on Spells that have a range listed in ft.</v>
      </c>
      <c r="G430" s="263" t="str">
        <f>IFERROR(__xludf.DUMMYFUNCTION("""COMPUTED_VALUE"""),"")</f>
        <v/>
      </c>
      <c r="H430" s="267" t="str">
        <f>IFERROR(__xludf.DUMMYFUNCTION("""COMPUTED_VALUE"""),"1 MP, 0 RP")</f>
        <v>1 MP, 0 RP</v>
      </c>
      <c r="I430" s="263" t="str">
        <f>IFERROR(__xludf.DUMMYFUNCTION("""COMPUTED_VALUE"""),"")</f>
        <v/>
      </c>
      <c r="J430" s="263" t="str">
        <f>IFERROR(__xludf.DUMMYFUNCTION("""COMPUTED_VALUE"""),"1 MP")</f>
        <v>1 MP</v>
      </c>
      <c r="K430" s="263" t="str">
        <f>IFERROR(__xludf.DUMMYFUNCTION("""COMPUTED_VALUE"""),"0 RP")</f>
        <v>0 RP</v>
      </c>
      <c r="L430" s="263" t="str">
        <f>IFERROR(__xludf.DUMMYFUNCTION("""COMPUTED_VALUE"""),"")</f>
        <v/>
      </c>
      <c r="M430" s="263"/>
      <c r="N430" s="263"/>
      <c r="O430" s="263"/>
      <c r="P430" s="263"/>
      <c r="Q430" s="263"/>
      <c r="R430" s="263"/>
      <c r="S430" s="263"/>
      <c r="T430" s="263"/>
      <c r="U430" s="246"/>
      <c r="V430" s="246"/>
      <c r="W430" s="246"/>
      <c r="X430" s="246"/>
      <c r="Y430" s="246"/>
      <c r="Z430" s="246"/>
    </row>
    <row r="431">
      <c r="A431" s="263"/>
      <c r="B431" s="265" t="str">
        <f>IFERROR(__xludf.DUMMYFUNCTION("""COMPUTED_VALUE"""),"Independent Action")</f>
        <v>Independent Action</v>
      </c>
      <c r="C431" s="263"/>
      <c r="D431" s="264" t="str">
        <f>IFERROR(__xludf.DUMMYFUNCTION("""COMPUTED_VALUE"""),"")</f>
        <v/>
      </c>
      <c r="E431" s="264" t="str">
        <f>IFERROR(__xludf.DUMMYFUNCTION("""COMPUTED_VALUE"""),"Sight")</f>
        <v>Sight</v>
      </c>
      <c r="F431" s="266" t="str">
        <f>IFERROR(__xludf.DUMMYFUNCTION("""COMPUTED_VALUE"""),"Your animal summoned through the Summon Animal ability gains the ability to act independently. It acts at initiative 0, though you may still control its action. A summon with Independent Action starts with 2 AP and 1 RP and may use those as normal. If the"&amp;"y have an ability that costs mana, then you still have to pay that mana cost.
While it is under the effects of Independent Action, you cannot command your summon through the use of your own AP.
A summon targeted by this ability takes up 2 slots towards th"&amp;"e summon limit. If this would put you past your limit, you cannot use this ability.")</f>
        <v>Your animal summoned through the Summon Animal ability gains the ability to act independently. It acts at initiative 0, though you may still control its action. A summon with Independent Action starts with 2 AP and 1 RP and may use those as normal. If they have an ability that costs mana, then you still have to pay that mana cost.
While it is under the effects of Independent Action, you cannot command your summon through the use of your own AP.
A summon targeted by this ability takes up 2 slots towards the summon limit. If this would put you past your limit, you cannot use this ability.</v>
      </c>
      <c r="G431" s="263" t="str">
        <f>IFERROR(__xludf.DUMMYFUNCTION("""COMPUTED_VALUE"""),"Can only target your summoned animal.")</f>
        <v>Can only target your summoned animal.</v>
      </c>
      <c r="H431" s="265" t="str">
        <f>IFERROR(__xludf.DUMMYFUNCTION("""COMPUTED_VALUE"""),"0 RP")</f>
        <v>0 RP</v>
      </c>
      <c r="I431" s="264" t="str">
        <f>IFERROR(__xludf.DUMMYFUNCTION("""COMPUTED_VALUE"""),"")</f>
        <v/>
      </c>
      <c r="J431" s="263" t="str">
        <f>IFERROR(__xludf.DUMMYFUNCTION("""COMPUTED_VALUE"""),"")</f>
        <v/>
      </c>
      <c r="K431" s="263" t="str">
        <f>IFERROR(__xludf.DUMMYFUNCTION("""COMPUTED_VALUE"""),"0 RP")</f>
        <v>0 RP</v>
      </c>
      <c r="L431" s="263" t="str">
        <f>IFERROR(__xludf.DUMMYFUNCTION("""COMPUTED_VALUE"""),"")</f>
        <v/>
      </c>
      <c r="M431" s="263"/>
      <c r="N431" s="263"/>
      <c r="O431" s="263"/>
      <c r="P431" s="263"/>
      <c r="Q431" s="263"/>
      <c r="R431" s="263"/>
      <c r="S431" s="263"/>
      <c r="T431" s="263"/>
      <c r="U431" s="246"/>
      <c r="V431" s="246"/>
      <c r="W431" s="246"/>
      <c r="X431" s="246"/>
      <c r="Y431" s="246"/>
      <c r="Z431" s="246"/>
    </row>
    <row r="432">
      <c r="A432" s="263"/>
      <c r="B432" s="265" t="str">
        <f>IFERROR(__xludf.DUMMYFUNCTION("""COMPUTED_VALUE"""),"Inexorable Shadow Stance")</f>
        <v>Inexorable Shadow Stance</v>
      </c>
      <c r="C432" s="263"/>
      <c r="D432" s="264" t="str">
        <f>IFERROR(__xludf.DUMMYFUNCTION("""COMPUTED_VALUE"""),"Stance, Augment")</f>
        <v>Stance, Augment</v>
      </c>
      <c r="E432" s="264" t="str">
        <f>IFERROR(__xludf.DUMMYFUNCTION("""COMPUTED_VALUE"""),"Self")</f>
        <v>Self</v>
      </c>
      <c r="F432" s="266" t="str">
        <f>IFERROR(__xludf.DUMMYFUNCTION("""COMPUTED_VALUE"""),"You enter a stance that enhances your attacks at the cost of your own life. Whenever you hit an enemy with an unarmed attack, you may deal Light or Heavy true damage to yourself to increase the damage of the attack by the same amount. This may be done aft"&amp;"er reactions to the attack have been declared, though an enemy may still choose to react to it again or differently afterwards.
If used with an attack that hits more than 1 target, this extra damage only applies to one of the damage rolls.
You may do this"&amp;" effect twice per round. If an enemy dodges to make you miss and refund the effect, it still counts as one of your uses. When enhanced, these attacks gain the Augment keyword.
This stance lasts until you enter a different stance.")</f>
        <v>You enter a stance that enhances your attacks at the cost of your own life. Whenever you hit an enemy with an unarmed attack, you may deal Light or Heavy true damage to yourself to increase the damage of the attack by the same amount. This may be done after reactions to the attack have been declared, though an enemy may still choose to react to it again or differently afterwards.
If used with an attack that hits more than 1 target, this extra damage only applies to one of the damage rolls.
You may do this effect twice per round. If an enemy dodges to make you miss and refund the effect, it still counts as one of your uses. When enhanced, these attacks gain the Augment keyword.
This stance lasts until you enter a different stance.</v>
      </c>
      <c r="G432" s="263" t="str">
        <f>IFERROR(__xludf.DUMMYFUNCTION("""COMPUTED_VALUE"""),"")</f>
        <v/>
      </c>
      <c r="H432" s="267" t="str">
        <f>IFERROR(__xludf.DUMMYFUNCTION("""COMPUTED_VALUE"""),"0 AP, 1 MP")</f>
        <v>0 AP, 1 MP</v>
      </c>
      <c r="I432" s="263" t="str">
        <f>IFERROR(__xludf.DUMMYFUNCTION("""COMPUTED_VALUE"""),"0 AP")</f>
        <v>0 AP</v>
      </c>
      <c r="J432" s="263" t="str">
        <f>IFERROR(__xludf.DUMMYFUNCTION("""COMPUTED_VALUE"""),"1 MP")</f>
        <v>1 MP</v>
      </c>
      <c r="K432" s="263" t="str">
        <f>IFERROR(__xludf.DUMMYFUNCTION("""COMPUTED_VALUE"""),"")</f>
        <v/>
      </c>
      <c r="L432" s="263" t="str">
        <f>IFERROR(__xludf.DUMMYFUNCTION("""COMPUTED_VALUE"""),"")</f>
        <v/>
      </c>
      <c r="M432" s="263"/>
      <c r="N432" s="263"/>
      <c r="O432" s="263"/>
      <c r="P432" s="263"/>
      <c r="Q432" s="263"/>
      <c r="R432" s="263"/>
      <c r="S432" s="263"/>
      <c r="T432" s="263"/>
      <c r="U432" s="246"/>
      <c r="V432" s="246"/>
      <c r="W432" s="246"/>
      <c r="X432" s="246"/>
      <c r="Y432" s="246"/>
      <c r="Z432" s="246"/>
    </row>
    <row r="433">
      <c r="A433" s="263"/>
      <c r="B433" s="265" t="str">
        <f>IFERROR(__xludf.DUMMYFUNCTION("""COMPUTED_VALUE"""),"Infernal Bastion")</f>
        <v>Infernal Bastion</v>
      </c>
      <c r="C433" s="263"/>
      <c r="D433" s="264" t="str">
        <f>IFERROR(__xludf.DUMMYFUNCTION("""COMPUTED_VALUE"""),"Burning")</f>
        <v>Burning</v>
      </c>
      <c r="E433" s="264" t="str">
        <f>IFERROR(__xludf.DUMMYFUNCTION("""COMPUTED_VALUE"""),"Self")</f>
        <v>Self</v>
      </c>
      <c r="F433" s="266" t="str">
        <f>IFERROR(__xludf.DUMMYFUNCTION("""COMPUTED_VALUE"""),"You surround yourself with flames and take the Block action against the attack. If you reduce damage of this attack to 0, inflict Burning X on the target where X is your focus x 3.")</f>
        <v>You surround yourself with flames and take the Block action against the attack. If you reduce damage of this attack to 0, inflict Burning X on the target where X is your focus x 3.</v>
      </c>
      <c r="G433" s="263" t="str">
        <f>IFERROR(__xludf.DUMMYFUNCTION("""COMPUTED_VALUE"""),"You are targeted by a melee attack.")</f>
        <v>You are targeted by a melee attack.</v>
      </c>
      <c r="H433" s="265" t="str">
        <f>IFERROR(__xludf.DUMMYFUNCTION("""COMPUTED_VALUE"""),"1 MP, 1 RP")</f>
        <v>1 MP, 1 RP</v>
      </c>
      <c r="I433" s="264" t="str">
        <f>IFERROR(__xludf.DUMMYFUNCTION("""COMPUTED_VALUE"""),"")</f>
        <v/>
      </c>
      <c r="J433" s="263" t="str">
        <f>IFERROR(__xludf.DUMMYFUNCTION("""COMPUTED_VALUE"""),"1 MP")</f>
        <v>1 MP</v>
      </c>
      <c r="K433" s="263" t="str">
        <f>IFERROR(__xludf.DUMMYFUNCTION("""COMPUTED_VALUE"""),"1 RP")</f>
        <v>1 RP</v>
      </c>
      <c r="L433" s="263" t="str">
        <f>IFERROR(__xludf.DUMMYFUNCTION("""COMPUTED_VALUE"""),"")</f>
        <v/>
      </c>
      <c r="M433" s="263"/>
      <c r="N433" s="263"/>
      <c r="O433" s="263"/>
      <c r="P433" s="263"/>
      <c r="Q433" s="263"/>
      <c r="R433" s="263"/>
      <c r="S433" s="263"/>
      <c r="T433" s="263"/>
      <c r="U433" s="246"/>
      <c r="V433" s="246"/>
      <c r="W433" s="246"/>
      <c r="X433" s="246"/>
      <c r="Y433" s="246"/>
      <c r="Z433" s="246"/>
    </row>
    <row r="434">
      <c r="A434" s="263"/>
      <c r="B434" s="265" t="str">
        <f>IFERROR(__xludf.DUMMYFUNCTION("""COMPUTED_VALUE"""),"Inspired Finish")</f>
        <v>Inspired Finish</v>
      </c>
      <c r="C434" s="263"/>
      <c r="D434" s="264" t="str">
        <f>IFERROR(__xludf.DUMMYFUNCTION("""COMPUTED_VALUE"""),"")</f>
        <v/>
      </c>
      <c r="E434" s="264" t="str">
        <f>IFERROR(__xludf.DUMMYFUNCTION("""COMPUTED_VALUE"""),"")</f>
        <v/>
      </c>
      <c r="F434" s="266" t="str">
        <f>IFERROR(__xludf.DUMMYFUNCTION("""COMPUTED_VALUE"""),"Make a crafting check. The dice is upgraded to 3d10 and you still add your crafting bonus to this. The crafting immediately ends after using this ability and you may not spend Crafting Points to add artisan bonuses, alloys or similar things.")</f>
        <v>Make a crafting check. The dice is upgraded to 3d10 and you still add your crafting bonus to this. The crafting immediately ends after using this ability and you may not spend Crafting Points to add artisan bonuses, alloys or similar things.</v>
      </c>
      <c r="G434" s="264" t="str">
        <f>IFERROR(__xludf.DUMMYFUNCTION("""COMPUTED_VALUE"""),"This is your last crafting dice. Costs 1 Crafting Dice.")</f>
        <v>This is your last crafting dice. Costs 1 Crafting Dice.</v>
      </c>
      <c r="H434" s="265" t="str">
        <f>IFERROR(__xludf.DUMMYFUNCTION("""COMPUTED_VALUE"""),"")</f>
        <v/>
      </c>
      <c r="I434" s="264" t="str">
        <f>IFERROR(__xludf.DUMMYFUNCTION("""COMPUTED_VALUE"""),"")</f>
        <v/>
      </c>
      <c r="J434" s="263" t="str">
        <f>IFERROR(__xludf.DUMMYFUNCTION("""COMPUTED_VALUE"""),"")</f>
        <v/>
      </c>
      <c r="K434" s="263" t="str">
        <f>IFERROR(__xludf.DUMMYFUNCTION("""COMPUTED_VALUE"""),"")</f>
        <v/>
      </c>
      <c r="L434" s="263" t="str">
        <f>IFERROR(__xludf.DUMMYFUNCTION("""COMPUTED_VALUE"""),"")</f>
        <v/>
      </c>
      <c r="M434" s="263"/>
      <c r="N434" s="263"/>
      <c r="O434" s="263"/>
      <c r="P434" s="263"/>
      <c r="Q434" s="263"/>
      <c r="R434" s="263"/>
      <c r="S434" s="263"/>
      <c r="T434" s="263"/>
      <c r="U434" s="246"/>
      <c r="V434" s="246"/>
      <c r="W434" s="246"/>
      <c r="X434" s="246"/>
      <c r="Y434" s="246"/>
      <c r="Z434" s="246"/>
    </row>
    <row r="435">
      <c r="A435" s="263"/>
      <c r="B435" s="265" t="str">
        <f>IFERROR(__xludf.DUMMYFUNCTION("""COMPUTED_VALUE"""),"Inspiring Song")</f>
        <v>Inspiring Song</v>
      </c>
      <c r="C435" s="263"/>
      <c r="D435" s="264" t="str">
        <f>IFERROR(__xludf.DUMMYFUNCTION("""COMPUTED_VALUE"""),"Song, Sound, Upkeep")</f>
        <v>Song, Sound, Upkeep</v>
      </c>
      <c r="E435" s="264" t="str">
        <f>IFERROR(__xludf.DUMMYFUNCTION("""COMPUTED_VALUE"""),"30ft")</f>
        <v>30ft</v>
      </c>
      <c r="F435" s="266" t="str">
        <f>IFERROR(__xludf.DUMMYFUNCTION("""COMPUTED_VALUE"""),"All allies within range (including yourself) may add 1d4 to a single roll they make until the start of your next turn. They may choose to add this after seeing the roll.
Upkeep: At the start of your next turn and every turn thereafter, you may spend 1 AP "&amp;"to continue this performance, granting all allies within range the benefit once again.")</f>
        <v>All allies within range (including yourself) may add 1d4 to a single roll they make until the start of your next turn. They may choose to add this after seeing the roll.
Upkeep: At the start of your next turn and every turn thereafter, you may spend 1 AP to continue this performance, granting all allies within range the benefit once again.</v>
      </c>
      <c r="G435" s="264" t="str">
        <f>IFERROR(__xludf.DUMMYFUNCTION("""COMPUTED_VALUE"""),"")</f>
        <v/>
      </c>
      <c r="H435" s="265" t="str">
        <f>IFERROR(__xludf.DUMMYFUNCTION("""COMPUTED_VALUE"""),"2 AP")</f>
        <v>2 AP</v>
      </c>
      <c r="I435" s="264" t="str">
        <f>IFERROR(__xludf.DUMMYFUNCTION("""COMPUTED_VALUE"""),"2 AP")</f>
        <v>2 AP</v>
      </c>
      <c r="J435" s="263" t="str">
        <f>IFERROR(__xludf.DUMMYFUNCTION("""COMPUTED_VALUE"""),"")</f>
        <v/>
      </c>
      <c r="K435" s="263" t="str">
        <f>IFERROR(__xludf.DUMMYFUNCTION("""COMPUTED_VALUE"""),"")</f>
        <v/>
      </c>
      <c r="L435" s="263" t="str">
        <f>IFERROR(__xludf.DUMMYFUNCTION("""COMPUTED_VALUE"""),"")</f>
        <v/>
      </c>
      <c r="M435" s="263"/>
      <c r="N435" s="263"/>
      <c r="O435" s="263"/>
      <c r="P435" s="263"/>
      <c r="Q435" s="263"/>
      <c r="R435" s="263"/>
      <c r="S435" s="263"/>
      <c r="T435" s="263"/>
      <c r="U435" s="246"/>
      <c r="V435" s="246"/>
      <c r="W435" s="246"/>
      <c r="X435" s="246"/>
      <c r="Y435" s="246"/>
      <c r="Z435" s="246"/>
    </row>
    <row r="436">
      <c r="A436" s="263"/>
      <c r="B436" s="265" t="str">
        <f>IFERROR(__xludf.DUMMYFUNCTION("""COMPUTED_VALUE"""),"Instinct")</f>
        <v>Instinct</v>
      </c>
      <c r="C436" s="263"/>
      <c r="D436" s="263" t="str">
        <f>IFERROR(__xludf.DUMMYFUNCTION("""COMPUTED_VALUE"""),"")</f>
        <v/>
      </c>
      <c r="E436" s="264" t="str">
        <f>IFERROR(__xludf.DUMMYFUNCTION("""COMPUTED_VALUE"""),"")</f>
        <v/>
      </c>
      <c r="F436" s="266" t="str">
        <f>IFERROR(__xludf.DUMMYFUNCTION("""COMPUTED_VALUE"""),"The first time per encounter that you are attacked by a Stealth attack, that attack does not gain the Trick Attack benefit. If you become the target of an attack while you're surprised, you may still react to it and any special properties of an attack tha"&amp;"t require you to be unaware of the attack (such as Killshot) do not apply to it.
In addition, when you are about to take an action that leads to grave harm or death (example: The enemy has an instant death ability), you can receive a premonition from the "&amp;"DM.")</f>
        <v>The first time per encounter that you are attacked by a Stealth attack, that attack does not gain the Trick Attack benefit. If you become the target of an attack while you're surprised, you may still react to it and any special properties of an attack that require you to be unaware of the attack (such as Killshot) do not apply to it.
In addition, when you are about to take an action that leads to grave harm or death (example: The enemy has an instant death ability), you can receive a premonition from the DM.</v>
      </c>
      <c r="G436" s="263" t="str">
        <f>IFERROR(__xludf.DUMMYFUNCTION("""COMPUTED_VALUE"""),"")</f>
        <v/>
      </c>
      <c r="H436" s="265" t="str">
        <f>IFERROR(__xludf.DUMMYFUNCTION("""COMPUTED_VALUE"""),"")</f>
        <v/>
      </c>
      <c r="I436" s="264" t="str">
        <f>IFERROR(__xludf.DUMMYFUNCTION("""COMPUTED_VALUE"""),"")</f>
        <v/>
      </c>
      <c r="J436" s="263" t="str">
        <f>IFERROR(__xludf.DUMMYFUNCTION("""COMPUTED_VALUE"""),"")</f>
        <v/>
      </c>
      <c r="K436" s="263" t="str">
        <f>IFERROR(__xludf.DUMMYFUNCTION("""COMPUTED_VALUE"""),"")</f>
        <v/>
      </c>
      <c r="L436" s="263" t="str">
        <f>IFERROR(__xludf.DUMMYFUNCTION("""COMPUTED_VALUE"""),"")</f>
        <v/>
      </c>
      <c r="M436" s="263"/>
      <c r="N436" s="263"/>
      <c r="O436" s="263"/>
      <c r="P436" s="263"/>
      <c r="Q436" s="263"/>
      <c r="R436" s="263"/>
      <c r="S436" s="263"/>
      <c r="T436" s="263"/>
      <c r="U436" s="246"/>
      <c r="V436" s="246"/>
      <c r="W436" s="246"/>
      <c r="X436" s="246"/>
      <c r="Y436" s="246"/>
      <c r="Z436" s="246"/>
    </row>
    <row r="437">
      <c r="A437" s="263"/>
      <c r="B437" s="265" t="str">
        <f>IFERROR(__xludf.DUMMYFUNCTION("""COMPUTED_VALUE"""),"Intercept")</f>
        <v>Intercept</v>
      </c>
      <c r="C437" s="263"/>
      <c r="D437" s="263" t="str">
        <f>IFERROR(__xludf.DUMMYFUNCTION("""COMPUTED_VALUE"""),"")</f>
        <v/>
      </c>
      <c r="E437" s="264" t="str">
        <f>IFERROR(__xludf.DUMMYFUNCTION("""COMPUTED_VALUE"""),"Your movement speed.")</f>
        <v>Your movement speed.</v>
      </c>
      <c r="F437" s="266" t="str">
        <f>IFERROR(__xludf.DUMMYFUNCTION("""COMPUTED_VALUE"""),"You move towards an ally, Sidestepping them 5ft in a direction of their choice and occupying their square. The triggering attack is made against you and you automatically take the Block action against it.
Mounted move rules apply to your movement for this"&amp;" action.")</f>
        <v>You move towards an ally, Sidestepping them 5ft in a direction of their choice and occupying their square. The triggering attack is made against you and you automatically take the Block action against it.
Mounted move rules apply to your movement for this action.</v>
      </c>
      <c r="G437" s="264" t="str">
        <f>IFERROR(__xludf.DUMMYFUNCTION("""COMPUTED_VALUE"""),"Must be mounted and an ally is the target of an attack.")</f>
        <v>Must be mounted and an ally is the target of an attack.</v>
      </c>
      <c r="H437" s="265" t="str">
        <f>IFERROR(__xludf.DUMMYFUNCTION("""COMPUTED_VALUE"""),"1 MP, 1 RP")</f>
        <v>1 MP, 1 RP</v>
      </c>
      <c r="I437" s="264" t="str">
        <f>IFERROR(__xludf.DUMMYFUNCTION("""COMPUTED_VALUE"""),"")</f>
        <v/>
      </c>
      <c r="J437" s="264" t="str">
        <f>IFERROR(__xludf.DUMMYFUNCTION("""COMPUTED_VALUE"""),"1 MP")</f>
        <v>1 MP</v>
      </c>
      <c r="K437" s="263" t="str">
        <f>IFERROR(__xludf.DUMMYFUNCTION("""COMPUTED_VALUE"""),"1 RP")</f>
        <v>1 RP</v>
      </c>
      <c r="L437" s="263" t="str">
        <f>IFERROR(__xludf.DUMMYFUNCTION("""COMPUTED_VALUE"""),"")</f>
        <v/>
      </c>
      <c r="M437" s="263"/>
      <c r="N437" s="263"/>
      <c r="O437" s="263"/>
      <c r="P437" s="263"/>
      <c r="Q437" s="263"/>
      <c r="R437" s="263"/>
      <c r="S437" s="263"/>
      <c r="T437" s="263"/>
      <c r="U437" s="246"/>
      <c r="V437" s="246"/>
      <c r="W437" s="246"/>
      <c r="X437" s="246"/>
      <c r="Y437" s="246"/>
      <c r="Z437" s="246"/>
    </row>
    <row r="438">
      <c r="A438" s="263"/>
      <c r="B438" s="265" t="str">
        <f>IFERROR(__xludf.DUMMYFUNCTION("""COMPUTED_VALUE"""),"Into the Fray")</f>
        <v>Into the Fray</v>
      </c>
      <c r="C438" s="263"/>
      <c r="D438" s="264" t="str">
        <f>IFERROR(__xludf.DUMMYFUNCTION("""COMPUTED_VALUE"""),"Rage")</f>
        <v>Rage</v>
      </c>
      <c r="E438" s="264" t="str">
        <f>IFERROR(__xludf.DUMMYFUNCTION("""COMPUTED_VALUE"""),"Self")</f>
        <v>Self</v>
      </c>
      <c r="F438" s="266" t="str">
        <f>IFERROR(__xludf.DUMMYFUNCTION("""COMPUTED_VALUE"""),"You may move up to twice your movement speed. You must end this movement in range to make a melee attack against an enemy. Can only be used on your turn.")</f>
        <v>You may move up to twice your movement speed. You must end this movement in range to make a melee attack against an enemy. Can only be used on your turn.</v>
      </c>
      <c r="G438" s="263" t="str">
        <f>IFERROR(__xludf.DUMMYFUNCTION("""COMPUTED_VALUE"""),"")</f>
        <v/>
      </c>
      <c r="H438" s="265" t="str">
        <f>IFERROR(__xludf.DUMMYFUNCTION("""COMPUTED_VALUE"""),"1 RP")</f>
        <v>1 RP</v>
      </c>
      <c r="I438" s="264" t="str">
        <f>IFERROR(__xludf.DUMMYFUNCTION("""COMPUTED_VALUE"""),"")</f>
        <v/>
      </c>
      <c r="J438" s="263" t="str">
        <f>IFERROR(__xludf.DUMMYFUNCTION("""COMPUTED_VALUE"""),"")</f>
        <v/>
      </c>
      <c r="K438" s="263" t="str">
        <f>IFERROR(__xludf.DUMMYFUNCTION("""COMPUTED_VALUE"""),"1 RP")</f>
        <v>1 RP</v>
      </c>
      <c r="L438" s="263" t="str">
        <f>IFERROR(__xludf.DUMMYFUNCTION("""COMPUTED_VALUE"""),"")</f>
        <v/>
      </c>
      <c r="M438" s="263"/>
      <c r="N438" s="263"/>
      <c r="O438" s="263"/>
      <c r="P438" s="263"/>
      <c r="Q438" s="263"/>
      <c r="R438" s="263"/>
      <c r="S438" s="263"/>
      <c r="T438" s="263"/>
      <c r="U438" s="246"/>
      <c r="V438" s="246"/>
      <c r="W438" s="246"/>
      <c r="X438" s="246"/>
      <c r="Y438" s="246"/>
      <c r="Z438" s="246"/>
    </row>
    <row r="439">
      <c r="A439" s="263"/>
      <c r="B439" s="265" t="str">
        <f>IFERROR(__xludf.DUMMYFUNCTION("""COMPUTED_VALUE"""),"Invisible Wall")</f>
        <v>Invisible Wall</v>
      </c>
      <c r="C439" s="263"/>
      <c r="D439" s="263" t="str">
        <f>IFERROR(__xludf.DUMMYFUNCTION("""COMPUTED_VALUE"""),"Illusion")</f>
        <v>Illusion</v>
      </c>
      <c r="E439" s="263" t="str">
        <f>IFERROR(__xludf.DUMMYFUNCTION("""COMPUTED_VALUE"""),"5ft")</f>
        <v>5ft</v>
      </c>
      <c r="F439" s="266" t="str">
        <f>IFERROR(__xludf.DUMMYFUNCTION("""COMPUTED_VALUE"""),"You create an invisible 5ft wide and high wall within range. It gives Low Cover, but it counts as High Cover against the first ranged attacks the wall gives cover from.")</f>
        <v>You create an invisible 5ft wide and high wall within range. It gives Low Cover, but it counts as High Cover against the first ranged attacks the wall gives cover from.</v>
      </c>
      <c r="G439" s="264" t="str">
        <f>IFERROR(__xludf.DUMMYFUNCTION("""COMPUTED_VALUE"""),"")</f>
        <v/>
      </c>
      <c r="H439" s="267" t="str">
        <f>IFERROR(__xludf.DUMMYFUNCTION("""COMPUTED_VALUE"""),"1 AP")</f>
        <v>1 AP</v>
      </c>
      <c r="I439" s="263" t="str">
        <f>IFERROR(__xludf.DUMMYFUNCTION("""COMPUTED_VALUE"""),"1 AP")</f>
        <v>1 AP</v>
      </c>
      <c r="J439" s="263" t="str">
        <f>IFERROR(__xludf.DUMMYFUNCTION("""COMPUTED_VALUE"""),"")</f>
        <v/>
      </c>
      <c r="K439" s="263" t="str">
        <f>IFERROR(__xludf.DUMMYFUNCTION("""COMPUTED_VALUE"""),"")</f>
        <v/>
      </c>
      <c r="L439" s="263" t="str">
        <f>IFERROR(__xludf.DUMMYFUNCTION("""COMPUTED_VALUE"""),"")</f>
        <v/>
      </c>
      <c r="M439" s="263"/>
      <c r="N439" s="263"/>
      <c r="O439" s="263"/>
      <c r="P439" s="263"/>
      <c r="Q439" s="263"/>
      <c r="R439" s="263"/>
      <c r="S439" s="263"/>
      <c r="T439" s="263"/>
      <c r="U439" s="246"/>
      <c r="V439" s="246"/>
      <c r="W439" s="246"/>
      <c r="X439" s="246"/>
      <c r="Y439" s="246"/>
      <c r="Z439" s="246"/>
    </row>
    <row r="440">
      <c r="A440" s="263"/>
      <c r="B440" s="265" t="str">
        <f>IFERROR(__xludf.DUMMYFUNCTION("""COMPUTED_VALUE"""),"Judgement Shot")</f>
        <v>Judgement Shot</v>
      </c>
      <c r="C440" s="263"/>
      <c r="D440" s="264" t="str">
        <f>IFERROR(__xludf.DUMMYFUNCTION("""COMPUTED_VALUE"""),"")</f>
        <v/>
      </c>
      <c r="E440" s="264" t="str">
        <f>IFERROR(__xludf.DUMMYFUNCTION("""COMPUTED_VALUE"""),"Ranged Weapon Range")</f>
        <v>Ranged Weapon Range</v>
      </c>
      <c r="F440" s="266" t="str">
        <f>IFERROR(__xludf.DUMMYFUNCTION("""COMPUTED_VALUE"""),"You make a Light attack against the target.
Afterwards, an ally other than you within 30ft of you may make a Light attack against the target. They may spend 1 RP to make this a Heavy or Precise attack instead.")</f>
        <v>You make a Light attack against the target.
Afterwards, an ally other than you within 30ft of you may make a Light attack against the target. They may spend 1 RP to make this a Heavy or Precise attack instead.</v>
      </c>
      <c r="G440" s="264" t="str">
        <f>IFERROR(__xludf.DUMMYFUNCTION("""COMPUTED_VALUE"""),"")</f>
        <v/>
      </c>
      <c r="H440" s="265" t="str">
        <f>IFERROR(__xludf.DUMMYFUNCTION("""COMPUTED_VALUE"""),"2 AP, 1 MP")</f>
        <v>2 AP, 1 MP</v>
      </c>
      <c r="I440" s="264" t="str">
        <f>IFERROR(__xludf.DUMMYFUNCTION("""COMPUTED_VALUE"""),"2 AP")</f>
        <v>2 AP</v>
      </c>
      <c r="J440" s="264" t="str">
        <f>IFERROR(__xludf.DUMMYFUNCTION("""COMPUTED_VALUE"""),"1 MP")</f>
        <v>1 MP</v>
      </c>
      <c r="K440" s="263" t="str">
        <f>IFERROR(__xludf.DUMMYFUNCTION("""COMPUTED_VALUE"""),"")</f>
        <v/>
      </c>
      <c r="L440" s="263" t="str">
        <f>IFERROR(__xludf.DUMMYFUNCTION("""COMPUTED_VALUE"""),"")</f>
        <v/>
      </c>
      <c r="M440" s="263"/>
      <c r="N440" s="263"/>
      <c r="O440" s="263"/>
      <c r="P440" s="263"/>
      <c r="Q440" s="263"/>
      <c r="R440" s="263"/>
      <c r="S440" s="263"/>
      <c r="T440" s="263"/>
      <c r="U440" s="246"/>
      <c r="V440" s="246"/>
      <c r="W440" s="246"/>
      <c r="X440" s="246"/>
      <c r="Y440" s="246"/>
      <c r="Z440" s="246"/>
    </row>
    <row r="441">
      <c r="A441" s="263"/>
      <c r="B441" s="265" t="str">
        <f>IFERROR(__xludf.DUMMYFUNCTION("""COMPUTED_VALUE"""),"Jump")</f>
        <v>Jump</v>
      </c>
      <c r="C441" s="263"/>
      <c r="D441" s="263" t="str">
        <f>IFERROR(__xludf.DUMMYFUNCTION("""COMPUTED_VALUE"""),"Jump, Sidestep")</f>
        <v>Jump, Sidestep</v>
      </c>
      <c r="E441" s="264" t="str">
        <f>IFERROR(__xludf.DUMMYFUNCTION("""COMPUTED_VALUE"""),"'-")</f>
        <v>'-</v>
      </c>
      <c r="F441" s="266" t="str">
        <f>IFERROR(__xludf.DUMMYFUNCTION("""COMPUTED_VALUE"""),"You leap up to 30ft into the air and then Sidestep up to twice your Speed. You may use Skydive at any point during this movement.")</f>
        <v>You leap up to 30ft into the air and then Sidestep up to twice your Speed. You may use Skydive at any point during this movement.</v>
      </c>
      <c r="G441" s="263" t="str">
        <f>IFERROR(__xludf.DUMMYFUNCTION("""COMPUTED_VALUE"""),"")</f>
        <v/>
      </c>
      <c r="H441" s="265" t="str">
        <f>IFERROR(__xludf.DUMMYFUNCTION("""COMPUTED_VALUE"""),"2 AP")</f>
        <v>2 AP</v>
      </c>
      <c r="I441" s="264" t="str">
        <f>IFERROR(__xludf.DUMMYFUNCTION("""COMPUTED_VALUE"""),"2 AP")</f>
        <v>2 AP</v>
      </c>
      <c r="J441" s="264" t="str">
        <f>IFERROR(__xludf.DUMMYFUNCTION("""COMPUTED_VALUE"""),"")</f>
        <v/>
      </c>
      <c r="K441" s="263" t="str">
        <f>IFERROR(__xludf.DUMMYFUNCTION("""COMPUTED_VALUE"""),"")</f>
        <v/>
      </c>
      <c r="L441" s="263" t="str">
        <f>IFERROR(__xludf.DUMMYFUNCTION("""COMPUTED_VALUE"""),"")</f>
        <v/>
      </c>
      <c r="M441" s="263"/>
      <c r="N441" s="263"/>
      <c r="O441" s="263"/>
      <c r="P441" s="263"/>
      <c r="Q441" s="263"/>
      <c r="R441" s="263"/>
      <c r="S441" s="263"/>
      <c r="T441" s="263"/>
      <c r="U441" s="246"/>
      <c r="V441" s="246"/>
      <c r="W441" s="246"/>
      <c r="X441" s="246"/>
      <c r="Y441" s="246"/>
      <c r="Z441" s="246"/>
    </row>
    <row r="442">
      <c r="A442" s="263"/>
      <c r="B442" s="265" t="str">
        <f>IFERROR(__xludf.DUMMYFUNCTION("""COMPUTED_VALUE"""),"Jump Back")</f>
        <v>Jump Back</v>
      </c>
      <c r="C442" s="263"/>
      <c r="D442" s="263" t="str">
        <f>IFERROR(__xludf.DUMMYFUNCTION("""COMPUTED_VALUE"""),"Jump, Quick")</f>
        <v>Jump, Quick</v>
      </c>
      <c r="E442" s="264" t="str">
        <f>IFERROR(__xludf.DUMMYFUNCTION("""COMPUTED_VALUE"""),"120ft")</f>
        <v>120ft</v>
      </c>
      <c r="F442" s="266" t="str">
        <f>IFERROR(__xludf.DUMMYFUNCTION("""COMPUTED_VALUE"""),"You Jump Back to your previous location. This movement does not provoke any attacks of opportunity.")</f>
        <v>You Jump Back to your previous location. This movement does not provoke any attacks of opportunity.</v>
      </c>
      <c r="G442" s="263" t="str">
        <f>IFERROR(__xludf.DUMMYFUNCTION("""COMPUTED_VALUE"""),"Previous action had the jump keyword.")</f>
        <v>Previous action had the jump keyword.</v>
      </c>
      <c r="H442" s="265" t="str">
        <f>IFERROR(__xludf.DUMMYFUNCTION("""COMPUTED_VALUE"""),"0 AP")</f>
        <v>0 AP</v>
      </c>
      <c r="I442" s="264" t="str">
        <f>IFERROR(__xludf.DUMMYFUNCTION("""COMPUTED_VALUE"""),"0 AP")</f>
        <v>0 AP</v>
      </c>
      <c r="J442" s="264" t="str">
        <f>IFERROR(__xludf.DUMMYFUNCTION("""COMPUTED_VALUE"""),"")</f>
        <v/>
      </c>
      <c r="K442" s="263" t="str">
        <f>IFERROR(__xludf.DUMMYFUNCTION("""COMPUTED_VALUE"""),"")</f>
        <v/>
      </c>
      <c r="L442" s="263" t="str">
        <f>IFERROR(__xludf.DUMMYFUNCTION("""COMPUTED_VALUE"""),"")</f>
        <v/>
      </c>
      <c r="M442" s="263"/>
      <c r="N442" s="263"/>
      <c r="O442" s="263"/>
      <c r="P442" s="263"/>
      <c r="Q442" s="263"/>
      <c r="R442" s="263"/>
      <c r="S442" s="263"/>
      <c r="T442" s="263"/>
      <c r="U442" s="246"/>
      <c r="V442" s="246"/>
      <c r="W442" s="246"/>
      <c r="X442" s="246"/>
      <c r="Y442" s="246"/>
      <c r="Z442" s="246"/>
    </row>
    <row r="443">
      <c r="A443" s="263"/>
      <c r="B443" s="265" t="str">
        <f>IFERROR(__xludf.DUMMYFUNCTION("""COMPUTED_VALUE"""),"Just a hug")</f>
        <v>Just a hug</v>
      </c>
      <c r="C443" s="263"/>
      <c r="D443" s="263" t="str">
        <f>IFERROR(__xludf.DUMMYFUNCTION("""COMPUTED_VALUE"""),"Grapple")</f>
        <v>Grapple</v>
      </c>
      <c r="E443" s="263" t="str">
        <f>IFERROR(__xludf.DUMMYFUNCTION("""COMPUTED_VALUE"""),"5ft")</f>
        <v>5ft</v>
      </c>
      <c r="F443" s="266" t="str">
        <f>IFERROR(__xludf.DUMMYFUNCTION("""COMPUTED_VALUE"""),"You coil and grapple a non-heroic enemy that is not larger than you, rooting both of you and rendering the target incapable of any attacks.  You automatically guard against any attacks made towards the target as if using Block.  You can also use this on a"&amp;" willing ally target.
The target may spend 1 Ap or 1 RP to attempt to escape, granting them escape power equal to their power.  Further escape attempts continue to add escape power.  When the escape power is equal to 8, then the target successfully escape"&amp;"s.  You may end this effect at any time for 0 RP.")</f>
        <v>You coil and grapple a non-heroic enemy that is not larger than you, rooting both of you and rendering the target incapable of any attacks.  You automatically guard against any attacks made towards the target as if using Block.  You can also use this on a willing ally target.
The target may spend 1 Ap or 1 RP to attempt to escape, granting them escape power equal to their power.  Further escape attempts continue to add escape power.  When the escape power is equal to 8, then the target successfully escapes.  You may end this effect at any time for 0 RP.</v>
      </c>
      <c r="G443" s="263" t="str">
        <f>IFERROR(__xludf.DUMMYFUNCTION("""COMPUTED_VALUE"""),"")</f>
        <v/>
      </c>
      <c r="H443" s="267" t="str">
        <f>IFERROR(__xludf.DUMMYFUNCTION("""COMPUTED_VALUE"""),"2 AP")</f>
        <v>2 AP</v>
      </c>
      <c r="I443" s="263" t="str">
        <f>IFERROR(__xludf.DUMMYFUNCTION("""COMPUTED_VALUE"""),"2 AP")</f>
        <v>2 AP</v>
      </c>
      <c r="J443" s="263" t="str">
        <f>IFERROR(__xludf.DUMMYFUNCTION("""COMPUTED_VALUE"""),"")</f>
        <v/>
      </c>
      <c r="K443" s="263" t="str">
        <f>IFERROR(__xludf.DUMMYFUNCTION("""COMPUTED_VALUE"""),"")</f>
        <v/>
      </c>
      <c r="L443" s="263" t="str">
        <f>IFERROR(__xludf.DUMMYFUNCTION("""COMPUTED_VALUE"""),"")</f>
        <v/>
      </c>
      <c r="M443" s="263"/>
      <c r="N443" s="263"/>
      <c r="O443" s="263"/>
      <c r="P443" s="263"/>
      <c r="Q443" s="263"/>
      <c r="R443" s="263"/>
      <c r="S443" s="263"/>
      <c r="T443" s="263"/>
      <c r="U443" s="246"/>
      <c r="V443" s="246"/>
      <c r="W443" s="246"/>
      <c r="X443" s="246"/>
      <c r="Y443" s="246"/>
      <c r="Z443" s="246"/>
    </row>
    <row r="444">
      <c r="A444" s="263"/>
      <c r="B444" s="265" t="str">
        <f>IFERROR(__xludf.DUMMYFUNCTION("""COMPUTED_VALUE"""),"Justice Blade")</f>
        <v>Justice Blade</v>
      </c>
      <c r="C444" s="263"/>
      <c r="D444" s="264" t="str">
        <f>IFERROR(__xludf.DUMMYFUNCTION("""COMPUTED_VALUE"""),"")</f>
        <v/>
      </c>
      <c r="E444" s="264" t="str">
        <f>IFERROR(__xludf.DUMMYFUNCTION("""COMPUTED_VALUE"""),"Melee Weapon Range")</f>
        <v>Melee Weapon Range</v>
      </c>
      <c r="F444" s="266" t="str">
        <f>IFERROR(__xludf.DUMMYFUNCTION("""COMPUTED_VALUE"""),"You make a Heavy Attack against the target.")</f>
        <v>You make a Heavy Attack against the target.</v>
      </c>
      <c r="G444" s="263" t="str">
        <f>IFERROR(__xludf.DUMMYFUNCTION("""COMPUTED_VALUE"""),"Target has your Mark of Justice on them.")</f>
        <v>Target has your Mark of Justice on them.</v>
      </c>
      <c r="H444" s="265" t="str">
        <f>IFERROR(__xludf.DUMMYFUNCTION("""COMPUTED_VALUE"""),"1 AP, 1 MP")</f>
        <v>1 AP, 1 MP</v>
      </c>
      <c r="I444" s="264" t="str">
        <f>IFERROR(__xludf.DUMMYFUNCTION("""COMPUTED_VALUE"""),"1 AP")</f>
        <v>1 AP</v>
      </c>
      <c r="J444" s="264" t="str">
        <f>IFERROR(__xludf.DUMMYFUNCTION("""COMPUTED_VALUE"""),"1 MP")</f>
        <v>1 MP</v>
      </c>
      <c r="K444" s="263" t="str">
        <f>IFERROR(__xludf.DUMMYFUNCTION("""COMPUTED_VALUE"""),"")</f>
        <v/>
      </c>
      <c r="L444" s="263" t="str">
        <f>IFERROR(__xludf.DUMMYFUNCTION("""COMPUTED_VALUE"""),"")</f>
        <v/>
      </c>
      <c r="M444" s="263"/>
      <c r="N444" s="263"/>
      <c r="O444" s="263"/>
      <c r="P444" s="263"/>
      <c r="Q444" s="263"/>
      <c r="R444" s="263"/>
      <c r="S444" s="263"/>
      <c r="T444" s="263"/>
      <c r="U444" s="246"/>
      <c r="V444" s="246"/>
      <c r="W444" s="246"/>
      <c r="X444" s="246"/>
      <c r="Y444" s="246"/>
      <c r="Z444" s="246"/>
    </row>
    <row r="445">
      <c r="A445" s="263"/>
      <c r="B445" s="265" t="str">
        <f>IFERROR(__xludf.DUMMYFUNCTION("""COMPUTED_VALUE"""),"Kage Bunshin: Kyomei")</f>
        <v>Kage Bunshin: Kyomei</v>
      </c>
      <c r="C445" s="263"/>
      <c r="D445" s="263" t="str">
        <f>IFERROR(__xludf.DUMMYFUNCTION("""COMPUTED_VALUE"""),"Ninjutsu, Stealth")</f>
        <v>Ninjutsu, Stealth</v>
      </c>
      <c r="E445" s="264" t="str">
        <f>IFERROR(__xludf.DUMMYFUNCTION("""COMPUTED_VALUE"""),"5ft")</f>
        <v>5ft</v>
      </c>
      <c r="F445" s="266" t="str">
        <f>IFERROR(__xludf.DUMMYFUNCTION("""COMPUTED_VALUE"""),"Your clone assists in the preparation of your next Ninjutsu, reducing the AP cost of it by 1.")</f>
        <v>Your clone assists in the preparation of your next Ninjutsu, reducing the AP cost of it by 1.</v>
      </c>
      <c r="G445" s="264" t="str">
        <f>IFERROR(__xludf.DUMMYFUNCTION("""COMPUTED_VALUE"""),"You must have a Bunshin clone active and within range.")</f>
        <v>You must have a Bunshin clone active and within range.</v>
      </c>
      <c r="H445" s="265" t="str">
        <f>IFERROR(__xludf.DUMMYFUNCTION("""COMPUTED_VALUE"""),"0 AP")</f>
        <v>0 AP</v>
      </c>
      <c r="I445" s="263" t="str">
        <f>IFERROR(__xludf.DUMMYFUNCTION("""COMPUTED_VALUE"""),"0 AP")</f>
        <v>0 AP</v>
      </c>
      <c r="J445" s="264" t="str">
        <f>IFERROR(__xludf.DUMMYFUNCTION("""COMPUTED_VALUE"""),"")</f>
        <v/>
      </c>
      <c r="K445" s="264" t="str">
        <f>IFERROR(__xludf.DUMMYFUNCTION("""COMPUTED_VALUE"""),"")</f>
        <v/>
      </c>
      <c r="L445" s="263" t="str">
        <f>IFERROR(__xludf.DUMMYFUNCTION("""COMPUTED_VALUE"""),"")</f>
        <v/>
      </c>
      <c r="M445" s="263"/>
      <c r="N445" s="263"/>
      <c r="O445" s="263"/>
      <c r="P445" s="263"/>
      <c r="Q445" s="263"/>
      <c r="R445" s="263"/>
      <c r="S445" s="263"/>
      <c r="T445" s="263"/>
      <c r="U445" s="246"/>
      <c r="V445" s="246"/>
      <c r="W445" s="246"/>
      <c r="X445" s="246"/>
      <c r="Y445" s="246"/>
      <c r="Z445" s="246"/>
    </row>
    <row r="446">
      <c r="A446" s="263"/>
      <c r="B446" s="265" t="str">
        <f>IFERROR(__xludf.DUMMYFUNCTION("""COMPUTED_VALUE"""),"Kage Shuriken no Jutsu")</f>
        <v>Kage Shuriken no Jutsu</v>
      </c>
      <c r="C446" s="263"/>
      <c r="D446" s="264" t="str">
        <f>IFERROR(__xludf.DUMMYFUNCTION("""COMPUTED_VALUE"""),"Ninjutsu")</f>
        <v>Ninjutsu</v>
      </c>
      <c r="E446" s="264" t="str">
        <f>IFERROR(__xludf.DUMMYFUNCTION("""COMPUTED_VALUE"""),"Weapon Range")</f>
        <v>Weapon Range</v>
      </c>
      <c r="F446" s="266" t="str">
        <f>IFERROR(__xludf.DUMMYFUNCTION("""COMPUTED_VALUE"""),"You attack by throwing two weapons at the target, one hidden in the shadow of the other. Both of these are considered Light Attacks. If you fail your Accuracy roll on the first one, the second gains Sure Hit.")</f>
        <v>You attack by throwing two weapons at the target, one hidden in the shadow of the other. Both of these are considered Light Attacks. If you fail your Accuracy roll on the first one, the second gains Sure Hit.</v>
      </c>
      <c r="G446" s="264" t="str">
        <f>IFERROR(__xludf.DUMMYFUNCTION("""COMPUTED_VALUE"""),"Set of Missiles, Throwing Weapon or Thrown attack with small weapon only.")</f>
        <v>Set of Missiles, Throwing Weapon or Thrown attack with small weapon only.</v>
      </c>
      <c r="H446" s="265" t="str">
        <f>IFERROR(__xludf.DUMMYFUNCTION("""COMPUTED_VALUE"""),"2 AP")</f>
        <v>2 AP</v>
      </c>
      <c r="I446" s="264" t="str">
        <f>IFERROR(__xludf.DUMMYFUNCTION("""COMPUTED_VALUE"""),"2 AP")</f>
        <v>2 AP</v>
      </c>
      <c r="J446" s="264" t="str">
        <f>IFERROR(__xludf.DUMMYFUNCTION("""COMPUTED_VALUE"""),"")</f>
        <v/>
      </c>
      <c r="K446" s="263" t="str">
        <f>IFERROR(__xludf.DUMMYFUNCTION("""COMPUTED_VALUE"""),"")</f>
        <v/>
      </c>
      <c r="L446" s="263" t="str">
        <f>IFERROR(__xludf.DUMMYFUNCTION("""COMPUTED_VALUE"""),"")</f>
        <v/>
      </c>
      <c r="M446" s="263"/>
      <c r="N446" s="263"/>
      <c r="O446" s="263"/>
      <c r="P446" s="263"/>
      <c r="Q446" s="263"/>
      <c r="R446" s="263"/>
      <c r="S446" s="263"/>
      <c r="T446" s="263"/>
      <c r="U446" s="246"/>
      <c r="V446" s="246"/>
      <c r="W446" s="246"/>
      <c r="X446" s="246"/>
      <c r="Y446" s="246"/>
      <c r="Z446" s="246"/>
    </row>
    <row r="447">
      <c r="A447" s="263"/>
      <c r="B447" s="265" t="str">
        <f>IFERROR(__xludf.DUMMYFUNCTION("""COMPUTED_VALUE"""),"Kawarimi no Jutsu")</f>
        <v>Kawarimi no Jutsu</v>
      </c>
      <c r="C447" s="263"/>
      <c r="D447" s="264" t="str">
        <f>IFERROR(__xludf.DUMMYFUNCTION("""COMPUTED_VALUE"""),"Ninjutsu, Hiding, Stealth")</f>
        <v>Ninjutsu, Hiding, Stealth</v>
      </c>
      <c r="E447" s="264" t="str">
        <f>IFERROR(__xludf.DUMMYFUNCTION("""COMPUTED_VALUE"""),"Self")</f>
        <v>Self</v>
      </c>
      <c r="F447" s="266" t="str">
        <f>IFERROR(__xludf.DUMMYFUNCTION("""COMPUTED_VALUE"""),"The triggering attack automatically misses and you may move up to your Speed without provoking attacks of opportunity. You then gain the Hiding state from anyone you have cover or concealment from.")</f>
        <v>The triggering attack automatically misses and you may move up to your Speed without provoking attacks of opportunity. You then gain the Hiding state from anyone you have cover or concealment from.</v>
      </c>
      <c r="G447" s="263" t="str">
        <f>IFERROR(__xludf.DUMMYFUNCTION("""COMPUTED_VALUE"""),"Targeted by an attack.")</f>
        <v>Targeted by an attack.</v>
      </c>
      <c r="H447" s="265" t="str">
        <f>IFERROR(__xludf.DUMMYFUNCTION("""COMPUTED_VALUE"""),"2 RP")</f>
        <v>2 RP</v>
      </c>
      <c r="I447" s="264" t="str">
        <f>IFERROR(__xludf.DUMMYFUNCTION("""COMPUTED_VALUE"""),"")</f>
        <v/>
      </c>
      <c r="J447" s="263" t="str">
        <f>IFERROR(__xludf.DUMMYFUNCTION("""COMPUTED_VALUE"""),"")</f>
        <v/>
      </c>
      <c r="K447" s="263" t="str">
        <f>IFERROR(__xludf.DUMMYFUNCTION("""COMPUTED_VALUE"""),"2 RP")</f>
        <v>2 RP</v>
      </c>
      <c r="L447" s="263" t="str">
        <f>IFERROR(__xludf.DUMMYFUNCTION("""COMPUTED_VALUE"""),"")</f>
        <v/>
      </c>
      <c r="M447" s="263"/>
      <c r="N447" s="263"/>
      <c r="O447" s="263"/>
      <c r="P447" s="263"/>
      <c r="Q447" s="263"/>
      <c r="R447" s="263"/>
      <c r="S447" s="263"/>
      <c r="T447" s="263"/>
      <c r="U447" s="246"/>
      <c r="V447" s="246"/>
      <c r="W447" s="246"/>
      <c r="X447" s="246"/>
      <c r="Y447" s="246"/>
      <c r="Z447" s="246"/>
    </row>
    <row r="448">
      <c r="A448" s="263"/>
      <c r="B448" s="265" t="str">
        <f>IFERROR(__xludf.DUMMYFUNCTION("""COMPUTED_VALUE"""),"Ki Blast")</f>
        <v>Ki Blast</v>
      </c>
      <c r="C448" s="263"/>
      <c r="D448" s="263" t="str">
        <f>IFERROR(__xludf.DUMMYFUNCTION("""COMPUTED_VALUE"""),"Arcane, Rapid")</f>
        <v>Arcane, Rapid</v>
      </c>
      <c r="E448" s="264" t="str">
        <f>IFERROR(__xludf.DUMMYFUNCTION("""COMPUTED_VALUE"""),"120ft")</f>
        <v>120ft</v>
      </c>
      <c r="F448" s="266" t="str">
        <f>IFERROR(__xludf.DUMMYFUNCTION("""COMPUTED_VALUE"""),"You may make a Heavy Attack against the target. This attack deals Arcane damage.")</f>
        <v>You may make a Heavy Attack against the target. This attack deals Arcane damage.</v>
      </c>
      <c r="G448" s="264" t="str">
        <f>IFERROR(__xludf.DUMMYFUNCTION("""COMPUTED_VALUE"""),"")</f>
        <v/>
      </c>
      <c r="H448" s="265" t="str">
        <f>IFERROR(__xludf.DUMMYFUNCTION("""COMPUTED_VALUE"""),"2 AP")</f>
        <v>2 AP</v>
      </c>
      <c r="I448" s="264" t="str">
        <f>IFERROR(__xludf.DUMMYFUNCTION("""COMPUTED_VALUE"""),"2 AP")</f>
        <v>2 AP</v>
      </c>
      <c r="J448" s="264" t="str">
        <f>IFERROR(__xludf.DUMMYFUNCTION("""COMPUTED_VALUE"""),"")</f>
        <v/>
      </c>
      <c r="K448" s="263" t="str">
        <f>IFERROR(__xludf.DUMMYFUNCTION("""COMPUTED_VALUE"""),"")</f>
        <v/>
      </c>
      <c r="L448" s="263" t="str">
        <f>IFERROR(__xludf.DUMMYFUNCTION("""COMPUTED_VALUE"""),"")</f>
        <v/>
      </c>
      <c r="M448" s="263"/>
      <c r="N448" s="263"/>
      <c r="O448" s="263"/>
      <c r="P448" s="263"/>
      <c r="Q448" s="263"/>
      <c r="R448" s="263"/>
      <c r="S448" s="263"/>
      <c r="T448" s="263"/>
      <c r="U448" s="246"/>
      <c r="V448" s="246"/>
      <c r="W448" s="246"/>
      <c r="X448" s="246"/>
      <c r="Y448" s="246"/>
      <c r="Z448" s="246"/>
    </row>
    <row r="449">
      <c r="A449" s="263"/>
      <c r="B449" s="265" t="str">
        <f>IFERROR(__xludf.DUMMYFUNCTION("""COMPUTED_VALUE"""),"Ki Blast II")</f>
        <v>Ki Blast II</v>
      </c>
      <c r="C449" s="263"/>
      <c r="D449" s="264" t="str">
        <f>IFERROR(__xludf.DUMMYFUNCTION("""COMPUTED_VALUE"""),"Arcane, Rapid")</f>
        <v>Arcane, Rapid</v>
      </c>
      <c r="E449" s="264" t="str">
        <f>IFERROR(__xludf.DUMMYFUNCTION("""COMPUTED_VALUE"""),"120ft")</f>
        <v>120ft</v>
      </c>
      <c r="F449" s="266" t="str">
        <f>IFERROR(__xludf.DUMMYFUNCTION("""COMPUTED_VALUE"""),"You may make a Light (1 AP), Precise (2 AP) or Heavy (2 AP) Attack against the target. This attack deals Arcane Damage.")</f>
        <v>You may make a Light (1 AP), Precise (2 AP) or Heavy (2 AP) Attack against the target. This attack deals Arcane Damage.</v>
      </c>
      <c r="G449" s="264" t="str">
        <f>IFERROR(__xludf.DUMMYFUNCTION("""COMPUTED_VALUE"""),"")</f>
        <v/>
      </c>
      <c r="H449" s="265" t="str">
        <f>IFERROR(__xludf.DUMMYFUNCTION("""COMPUTED_VALUE"""),"1 or 2 AP")</f>
        <v>1 or 2 AP</v>
      </c>
      <c r="I449" s="264" t="str">
        <f>IFERROR(__xludf.DUMMYFUNCTION("""COMPUTED_VALUE"""),"")</f>
        <v/>
      </c>
      <c r="J449" s="264" t="str">
        <f>IFERROR(__xludf.DUMMYFUNCTION("""COMPUTED_VALUE"""),"")</f>
        <v/>
      </c>
      <c r="K449" s="263" t="str">
        <f>IFERROR(__xludf.DUMMYFUNCTION("""COMPUTED_VALUE"""),"")</f>
        <v/>
      </c>
      <c r="L449" s="263" t="str">
        <f>IFERROR(__xludf.DUMMYFUNCTION("""COMPUTED_VALUE"""),"")</f>
        <v/>
      </c>
      <c r="M449" s="263"/>
      <c r="N449" s="263"/>
      <c r="O449" s="263"/>
      <c r="P449" s="263"/>
      <c r="Q449" s="263"/>
      <c r="R449" s="263"/>
      <c r="S449" s="263"/>
      <c r="T449" s="263"/>
      <c r="U449" s="246"/>
      <c r="V449" s="246"/>
      <c r="W449" s="246"/>
      <c r="X449" s="246"/>
      <c r="Y449" s="246"/>
      <c r="Z449" s="246"/>
    </row>
    <row r="450">
      <c r="A450" s="263"/>
      <c r="B450" s="265" t="str">
        <f>IFERROR(__xludf.DUMMYFUNCTION("""COMPUTED_VALUE"""),"Ki Burst")</f>
        <v>Ki Burst</v>
      </c>
      <c r="C450" s="263"/>
      <c r="D450" s="264" t="str">
        <f>IFERROR(__xludf.DUMMYFUNCTION("""COMPUTED_VALUE"""),"")</f>
        <v/>
      </c>
      <c r="E450" s="264" t="str">
        <f>IFERROR(__xludf.DUMMYFUNCTION("""COMPUTED_VALUE"""),"Self")</f>
        <v>Self</v>
      </c>
      <c r="F450" s="266" t="str">
        <f>IFERROR(__xludf.DUMMYFUNCTION("""COMPUTED_VALUE"""),"Your attack deals an extra X damage.
If used with a basic attack or double punch, deal 2X extra damage instead up to a maximum of +10 damage. Only affects 1 damage roll even if an attack makes multiple attacks.")</f>
        <v>Your attack deals an extra X damage.
If used with a basic attack or double punch, deal 2X extra damage instead up to a maximum of +10 damage. Only affects 1 damage roll even if an attack makes multiple attacks.</v>
      </c>
      <c r="G450" s="264" t="str">
        <f>IFERROR(__xludf.DUMMYFUNCTION("""COMPUTED_VALUE"""),"Can be used after damaging a single opponent with an Unarmed Strike attack.")</f>
        <v>Can be used after damaging a single opponent with an Unarmed Strike attack.</v>
      </c>
      <c r="H450" s="265" t="str">
        <f>IFERROR(__xludf.DUMMYFUNCTION("""COMPUTED_VALUE"""),"X MP, 0 RP")</f>
        <v>X MP, 0 RP</v>
      </c>
      <c r="I450" s="264" t="str">
        <f>IFERROR(__xludf.DUMMYFUNCTION("""COMPUTED_VALUE"""),"")</f>
        <v/>
      </c>
      <c r="J450" s="263" t="str">
        <f>IFERROR(__xludf.DUMMYFUNCTION("""COMPUTED_VALUE"""),"X MP")</f>
        <v>X MP</v>
      </c>
      <c r="K450" s="263" t="str">
        <f>IFERROR(__xludf.DUMMYFUNCTION("""COMPUTED_VALUE"""),"0 RP")</f>
        <v>0 RP</v>
      </c>
      <c r="L450" s="263" t="str">
        <f>IFERROR(__xludf.DUMMYFUNCTION("""COMPUTED_VALUE"""),"")</f>
        <v/>
      </c>
      <c r="M450" s="263"/>
      <c r="N450" s="263"/>
      <c r="O450" s="263"/>
      <c r="P450" s="263"/>
      <c r="Q450" s="263"/>
      <c r="R450" s="263"/>
      <c r="S450" s="263"/>
      <c r="T450" s="263"/>
      <c r="U450" s="246"/>
      <c r="V450" s="246"/>
      <c r="W450" s="246"/>
      <c r="X450" s="246"/>
      <c r="Y450" s="246"/>
      <c r="Z450" s="246"/>
    </row>
    <row r="451">
      <c r="A451" s="263"/>
      <c r="B451" s="265" t="str">
        <f>IFERROR(__xludf.DUMMYFUNCTION("""COMPUTED_VALUE"""),"Ki Circulation")</f>
        <v>Ki Circulation</v>
      </c>
      <c r="C451" s="263"/>
      <c r="D451" s="263" t="str">
        <f>IFERROR(__xludf.DUMMYFUNCTION("""COMPUTED_VALUE"""),"")</f>
        <v/>
      </c>
      <c r="E451" s="264" t="str">
        <f>IFERROR(__xludf.DUMMYFUNCTION("""COMPUTED_VALUE"""),"Self")</f>
        <v>Self</v>
      </c>
      <c r="F451" s="266" t="str">
        <f>IFERROR(__xludf.DUMMYFUNCTION("""COMPUTED_VALUE"""),"You cycle the Ki inside your body and purge it from negative energy. You remove Bleeding, Shaken, Unbalanced or any Poison effect from yourself.")</f>
        <v>You cycle the Ki inside your body and purge it from negative energy. You remove Bleeding, Shaken, Unbalanced or any Poison effect from yourself.</v>
      </c>
      <c r="G451" s="264" t="str">
        <f>IFERROR(__xludf.DUMMYFUNCTION("""COMPUTED_VALUE"""),"")</f>
        <v/>
      </c>
      <c r="H451" s="265" t="str">
        <f>IFERROR(__xludf.DUMMYFUNCTION("""COMPUTED_VALUE"""),"0 AP, 1 MP")</f>
        <v>0 AP, 1 MP</v>
      </c>
      <c r="I451" s="263" t="str">
        <f>IFERROR(__xludf.DUMMYFUNCTION("""COMPUTED_VALUE"""),"0 AP")</f>
        <v>0 AP</v>
      </c>
      <c r="J451" s="263" t="str">
        <f>IFERROR(__xludf.DUMMYFUNCTION("""COMPUTED_VALUE"""),"1 MP")</f>
        <v>1 MP</v>
      </c>
      <c r="K451" s="264" t="str">
        <f>IFERROR(__xludf.DUMMYFUNCTION("""COMPUTED_VALUE"""),"")</f>
        <v/>
      </c>
      <c r="L451" s="263" t="str">
        <f>IFERROR(__xludf.DUMMYFUNCTION("""COMPUTED_VALUE"""),"")</f>
        <v/>
      </c>
      <c r="M451" s="263"/>
      <c r="N451" s="263"/>
      <c r="O451" s="263"/>
      <c r="P451" s="263"/>
      <c r="Q451" s="263"/>
      <c r="R451" s="263"/>
      <c r="S451" s="263"/>
      <c r="T451" s="263"/>
      <c r="U451" s="246"/>
      <c r="V451" s="246"/>
      <c r="W451" s="246"/>
      <c r="X451" s="246"/>
      <c r="Y451" s="246"/>
      <c r="Z451" s="246"/>
    </row>
    <row r="452">
      <c r="A452" s="263"/>
      <c r="B452" s="265" t="str">
        <f>IFERROR(__xludf.DUMMYFUNCTION("""COMPUTED_VALUE"""),"Ki Recovery")</f>
        <v>Ki Recovery</v>
      </c>
      <c r="C452" s="263"/>
      <c r="D452" s="264" t="str">
        <f>IFERROR(__xludf.DUMMYFUNCTION("""COMPUTED_VALUE"""),"Encounter Conclusion")</f>
        <v>Encounter Conclusion</v>
      </c>
      <c r="E452" s="264" t="str">
        <f>IFERROR(__xludf.DUMMYFUNCTION("""COMPUTED_VALUE"""),"Self")</f>
        <v>Self</v>
      </c>
      <c r="F452" s="266" t="str">
        <f>IFERROR(__xludf.DUMMYFUNCTION("""COMPUTED_VALUE"""),"You spend your Encounter Conclusion action to regain 2 mana.")</f>
        <v>You spend your Encounter Conclusion action to regain 2 mana.</v>
      </c>
      <c r="G452" s="263" t="str">
        <f>IFERROR(__xludf.DUMMYFUNCTION("""COMPUTED_VALUE"""),"")</f>
        <v/>
      </c>
      <c r="H452" s="265" t="str">
        <f>IFERROR(__xludf.DUMMYFUNCTION("""COMPUTED_VALUE"""),"")</f>
        <v/>
      </c>
      <c r="I452" s="264" t="str">
        <f>IFERROR(__xludf.DUMMYFUNCTION("""COMPUTED_VALUE"""),"")</f>
        <v/>
      </c>
      <c r="J452" s="264" t="str">
        <f>IFERROR(__xludf.DUMMYFUNCTION("""COMPUTED_VALUE"""),"")</f>
        <v/>
      </c>
      <c r="K452" s="263" t="str">
        <f>IFERROR(__xludf.DUMMYFUNCTION("""COMPUTED_VALUE"""),"")</f>
        <v/>
      </c>
      <c r="L452" s="263" t="str">
        <f>IFERROR(__xludf.DUMMYFUNCTION("""COMPUTED_VALUE"""),"")</f>
        <v/>
      </c>
      <c r="M452" s="263"/>
      <c r="N452" s="263"/>
      <c r="O452" s="263"/>
      <c r="P452" s="263"/>
      <c r="Q452" s="263"/>
      <c r="R452" s="263"/>
      <c r="S452" s="263"/>
      <c r="T452" s="263"/>
      <c r="U452" s="246"/>
      <c r="V452" s="246"/>
      <c r="W452" s="246"/>
      <c r="X452" s="246"/>
      <c r="Y452" s="246"/>
      <c r="Z452" s="246"/>
    </row>
    <row r="453">
      <c r="A453" s="263"/>
      <c r="B453" s="265" t="str">
        <f>IFERROR(__xludf.DUMMYFUNCTION("""COMPUTED_VALUE"""),"Ki Sense")</f>
        <v>Ki Sense</v>
      </c>
      <c r="C453" s="263"/>
      <c r="D453" s="264" t="str">
        <f>IFERROR(__xludf.DUMMYFUNCTION("""COMPUTED_VALUE"""),"Stealth")</f>
        <v>Stealth</v>
      </c>
      <c r="E453" s="264" t="str">
        <f>IFERROR(__xludf.DUMMYFUNCTION("""COMPUTED_VALUE"""),"40ft")</f>
        <v>40ft</v>
      </c>
      <c r="F453" s="266" t="str">
        <f>IFERROR(__xludf.DUMMYFUNCTION("""COMPUTED_VALUE"""),"You send out your Ki and become aware of any creatures without presence concealment within 40ft of you, giving you a rough idea of their location. This does not remove Hiding from them, but their attacks against you do not gain Trick Attack or any other s"&amp;"tealth or surprise bonuses until the start of your next turn.")</f>
        <v>You send out your Ki and become aware of any creatures without presence concealment within 40ft of you, giving you a rough idea of their location. This does not remove Hiding from them, but their attacks against you do not gain Trick Attack or any other stealth or surprise bonuses until the start of your next turn.</v>
      </c>
      <c r="G453" s="263" t="str">
        <f>IFERROR(__xludf.DUMMYFUNCTION("""COMPUTED_VALUE"""),"")</f>
        <v/>
      </c>
      <c r="H453" s="265" t="str">
        <f>IFERROR(__xludf.DUMMYFUNCTION("""COMPUTED_VALUE"""),"0 AP, 1 MP")</f>
        <v>0 AP, 1 MP</v>
      </c>
      <c r="I453" s="264" t="str">
        <f>IFERROR(__xludf.DUMMYFUNCTION("""COMPUTED_VALUE"""),"0 AP")</f>
        <v>0 AP</v>
      </c>
      <c r="J453" s="264" t="str">
        <f>IFERROR(__xludf.DUMMYFUNCTION("""COMPUTED_VALUE"""),"1 MP")</f>
        <v>1 MP</v>
      </c>
      <c r="K453" s="263" t="str">
        <f>IFERROR(__xludf.DUMMYFUNCTION("""COMPUTED_VALUE"""),"")</f>
        <v/>
      </c>
      <c r="L453" s="263" t="str">
        <f>IFERROR(__xludf.DUMMYFUNCTION("""COMPUTED_VALUE"""),"")</f>
        <v/>
      </c>
      <c r="M453" s="263"/>
      <c r="N453" s="263"/>
      <c r="O453" s="263"/>
      <c r="P453" s="263"/>
      <c r="Q453" s="263"/>
      <c r="R453" s="263"/>
      <c r="S453" s="263"/>
      <c r="T453" s="263"/>
      <c r="U453" s="246"/>
      <c r="V453" s="246"/>
      <c r="W453" s="246"/>
      <c r="X453" s="246"/>
      <c r="Y453" s="246"/>
      <c r="Z453" s="246"/>
    </row>
    <row r="454">
      <c r="A454" s="263"/>
      <c r="B454" s="265" t="str">
        <f>IFERROR(__xludf.DUMMYFUNCTION("""COMPUTED_VALUE"""),"Kibaku Fuda Shuriken")</f>
        <v>Kibaku Fuda Shuriken</v>
      </c>
      <c r="C454" s="263"/>
      <c r="D454" s="264" t="str">
        <f>IFERROR(__xludf.DUMMYFUNCTION("""COMPUTED_VALUE"""),"Ninjutsu, Blanketing")</f>
        <v>Ninjutsu, Blanketing</v>
      </c>
      <c r="E454" s="264" t="str">
        <f>IFERROR(__xludf.DUMMYFUNCTION("""COMPUTED_VALUE"""),"60ft")</f>
        <v>60ft</v>
      </c>
      <c r="F454" s="266" t="str">
        <f>IFERROR(__xludf.DUMMYFUNCTION("""COMPUTED_VALUE"""),"You may make a Heavy Attack by throwing a weapon with an explosive tag attached at a target. Regardless of whether it hits, the target and others within 5ft of the target must then make a save against Potency or take Light Fire Damage.")</f>
        <v>You may make a Heavy Attack by throwing a weapon with an explosive tag attached at a target. Regardless of whether it hits, the target and others within 5ft of the target must then make a save against Potency or take Light Fire Damage.</v>
      </c>
      <c r="G454" s="263" t="str">
        <f>IFERROR(__xludf.DUMMYFUNCTION("""COMPUTED_VALUE"""),"Set of Missiles, Throwing Weapon or Thrown attack with small weapon only.")</f>
        <v>Set of Missiles, Throwing Weapon or Thrown attack with small weapon only.</v>
      </c>
      <c r="H454" s="265" t="str">
        <f>IFERROR(__xludf.DUMMYFUNCTION("""COMPUTED_VALUE"""),"3 AP")</f>
        <v>3 AP</v>
      </c>
      <c r="I454" s="264" t="str">
        <f>IFERROR(__xludf.DUMMYFUNCTION("""COMPUTED_VALUE"""),"3 AP")</f>
        <v>3 AP</v>
      </c>
      <c r="J454" s="263" t="str">
        <f>IFERROR(__xludf.DUMMYFUNCTION("""COMPUTED_VALUE"""),"")</f>
        <v/>
      </c>
      <c r="K454" s="263" t="str">
        <f>IFERROR(__xludf.DUMMYFUNCTION("""COMPUTED_VALUE"""),"")</f>
        <v/>
      </c>
      <c r="L454" s="263" t="str">
        <f>IFERROR(__xludf.DUMMYFUNCTION("""COMPUTED_VALUE"""),"")</f>
        <v/>
      </c>
      <c r="M454" s="263"/>
      <c r="N454" s="263"/>
      <c r="O454" s="263"/>
      <c r="P454" s="263"/>
      <c r="Q454" s="263"/>
      <c r="R454" s="263"/>
      <c r="S454" s="263"/>
      <c r="T454" s="263"/>
      <c r="U454" s="246"/>
      <c r="V454" s="246"/>
      <c r="W454" s="246"/>
      <c r="X454" s="246"/>
      <c r="Y454" s="246"/>
      <c r="Z454" s="246"/>
    </row>
    <row r="455">
      <c r="A455" s="263"/>
      <c r="B455" s="265" t="str">
        <f>IFERROR(__xludf.DUMMYFUNCTION("""COMPUTED_VALUE"""),"Killshot")</f>
        <v>Killshot</v>
      </c>
      <c r="C455" s="263"/>
      <c r="D455" s="264" t="str">
        <f>IFERROR(__xludf.DUMMYFUNCTION("""COMPUTED_VALUE"""),"Trick Attack")</f>
        <v>Trick Attack</v>
      </c>
      <c r="E455" s="264" t="str">
        <f>IFERROR(__xludf.DUMMYFUNCTION("""COMPUTED_VALUE"""),"Ranged Weapon Range")</f>
        <v>Ranged Weapon Range</v>
      </c>
      <c r="F455" s="266" t="str">
        <f>IFERROR(__xludf.DUMMYFUNCTION("""COMPUTED_VALUE"""),"You may make a Heavy Attack against the target that deals double Heavy Damage instead.
If fired in the first round of combat while all enemies are unaware of you, the target has to spend an additional RP to react to your attack. This stacks with the Trick"&amp;" Attack keyword, but is ineffective against abilities that negate surprise or stealth attacks such as Instinct.")</f>
        <v>You may make a Heavy Attack against the target that deals double Heavy Damage instead.
If fired in the first round of combat while all enemies are unaware of you, the target has to spend an additional RP to react to your attack. This stacks with the Trick Attack keyword, but is ineffective against abilities that negate surprise or stealth attacks such as Instinct.</v>
      </c>
      <c r="G455" s="264" t="str">
        <f>IFERROR(__xludf.DUMMYFUNCTION("""COMPUTED_VALUE"""),"Sniper Rifles only")</f>
        <v>Sniper Rifles only</v>
      </c>
      <c r="H455" s="265" t="str">
        <f>IFERROR(__xludf.DUMMYFUNCTION("""COMPUTED_VALUE"""),"4 AP")</f>
        <v>4 AP</v>
      </c>
      <c r="I455" s="264" t="str">
        <f>IFERROR(__xludf.DUMMYFUNCTION("""COMPUTED_VALUE"""),"4 AP")</f>
        <v>4 AP</v>
      </c>
      <c r="J455" s="264" t="str">
        <f>IFERROR(__xludf.DUMMYFUNCTION("""COMPUTED_VALUE"""),"")</f>
        <v/>
      </c>
      <c r="K455" s="263" t="str">
        <f>IFERROR(__xludf.DUMMYFUNCTION("""COMPUTED_VALUE"""),"")</f>
        <v/>
      </c>
      <c r="L455" s="263" t="str">
        <f>IFERROR(__xludf.DUMMYFUNCTION("""COMPUTED_VALUE"""),"")</f>
        <v/>
      </c>
      <c r="M455" s="263"/>
      <c r="N455" s="263"/>
      <c r="O455" s="263"/>
      <c r="P455" s="263"/>
      <c r="Q455" s="263"/>
      <c r="R455" s="263"/>
      <c r="S455" s="263"/>
      <c r="T455" s="263"/>
      <c r="U455" s="246"/>
      <c r="V455" s="246"/>
      <c r="W455" s="246"/>
      <c r="X455" s="246"/>
      <c r="Y455" s="246"/>
      <c r="Z455" s="246"/>
    </row>
    <row r="456">
      <c r="A456" s="263"/>
      <c r="B456" s="265" t="str">
        <f>IFERROR(__xludf.DUMMYFUNCTION("""COMPUTED_VALUE"""),"Kiri-tsuke")</f>
        <v>Kiri-tsuke</v>
      </c>
      <c r="C456" s="263"/>
      <c r="D456" s="264" t="str">
        <f>IFERROR(__xludf.DUMMYFUNCTION("""COMPUTED_VALUE"""),"Killing Blow")</f>
        <v>Killing Blow</v>
      </c>
      <c r="E456" s="264" t="str">
        <f>IFERROR(__xludf.DUMMYFUNCTION("""COMPUTED_VALUE"""),"Melee Weapon Range")</f>
        <v>Melee Weapon Range</v>
      </c>
      <c r="F456" s="266" t="str">
        <f>IFERROR(__xludf.DUMMYFUNCTION("""COMPUTED_VALUE"""),"You may make a Heavy Attack against the target. On Killing Blow, you regain the Iai state.")</f>
        <v>You may make a Heavy Attack against the target. On Killing Blow, you regain the Iai state.</v>
      </c>
      <c r="G456" s="263" t="str">
        <f>IFERROR(__xludf.DUMMYFUNCTION("""COMPUTED_VALUE"""),"Katana only")</f>
        <v>Katana only</v>
      </c>
      <c r="H456" s="265" t="str">
        <f>IFERROR(__xludf.DUMMYFUNCTION("""COMPUTED_VALUE"""),"2 AP, 1 MP")</f>
        <v>2 AP, 1 MP</v>
      </c>
      <c r="I456" s="264" t="str">
        <f>IFERROR(__xludf.DUMMYFUNCTION("""COMPUTED_VALUE"""),"2 AP")</f>
        <v>2 AP</v>
      </c>
      <c r="J456" s="264" t="str">
        <f>IFERROR(__xludf.DUMMYFUNCTION("""COMPUTED_VALUE"""),"1 MP")</f>
        <v>1 MP</v>
      </c>
      <c r="K456" s="263" t="str">
        <f>IFERROR(__xludf.DUMMYFUNCTION("""COMPUTED_VALUE"""),"")</f>
        <v/>
      </c>
      <c r="L456" s="263" t="str">
        <f>IFERROR(__xludf.DUMMYFUNCTION("""COMPUTED_VALUE"""),"")</f>
        <v/>
      </c>
      <c r="M456" s="263"/>
      <c r="N456" s="263"/>
      <c r="O456" s="263"/>
      <c r="P456" s="263"/>
      <c r="Q456" s="263"/>
      <c r="R456" s="263"/>
      <c r="S456" s="263"/>
      <c r="T456" s="263"/>
      <c r="U456" s="246"/>
      <c r="V456" s="246"/>
      <c r="W456" s="246"/>
      <c r="X456" s="246"/>
      <c r="Y456" s="246"/>
      <c r="Z456" s="246"/>
    </row>
    <row r="457">
      <c r="A457" s="263"/>
      <c r="B457" s="265" t="str">
        <f>IFERROR(__xludf.DUMMYFUNCTION("""COMPUTED_VALUE"""),"Kiri-tsuke II")</f>
        <v>Kiri-tsuke II</v>
      </c>
      <c r="C457" s="263"/>
      <c r="D457" s="264" t="str">
        <f>IFERROR(__xludf.DUMMYFUNCTION("""COMPUTED_VALUE"""),"Combo, Killing Blow")</f>
        <v>Combo, Killing Blow</v>
      </c>
      <c r="E457" s="264" t="str">
        <f>IFERROR(__xludf.DUMMYFUNCTION("""COMPUTED_VALUE"""),"Melee Weapon Range")</f>
        <v>Melee Weapon Range</v>
      </c>
      <c r="F457" s="266" t="str">
        <f>IFERROR(__xludf.DUMMYFUNCTION("""COMPUTED_VALUE"""),"You may make a Heavy Attack against the target. On Killing Blow, you regain the Iai state. Combo: If used after Iai Strike, the AP cost is reduced by 1.")</f>
        <v>You may make a Heavy Attack against the target. On Killing Blow, you regain the Iai state. Combo: If used after Iai Strike, the AP cost is reduced by 1.</v>
      </c>
      <c r="G457" s="263" t="str">
        <f>IFERROR(__xludf.DUMMYFUNCTION("""COMPUTED_VALUE"""),"Katana only.")</f>
        <v>Katana only.</v>
      </c>
      <c r="H457" s="265" t="str">
        <f>IFERROR(__xludf.DUMMYFUNCTION("""COMPUTED_VALUE"""),"2 AP, 1 MP")</f>
        <v>2 AP, 1 MP</v>
      </c>
      <c r="I457" s="264" t="str">
        <f>IFERROR(__xludf.DUMMYFUNCTION("""COMPUTED_VALUE"""),"2 AP")</f>
        <v>2 AP</v>
      </c>
      <c r="J457" s="264" t="str">
        <f>IFERROR(__xludf.DUMMYFUNCTION("""COMPUTED_VALUE"""),"1 MP")</f>
        <v>1 MP</v>
      </c>
      <c r="K457" s="263" t="str">
        <f>IFERROR(__xludf.DUMMYFUNCTION("""COMPUTED_VALUE"""),"")</f>
        <v/>
      </c>
      <c r="L457" s="263" t="str">
        <f>IFERROR(__xludf.DUMMYFUNCTION("""COMPUTED_VALUE"""),"")</f>
        <v/>
      </c>
      <c r="M457" s="263"/>
      <c r="N457" s="263"/>
      <c r="O457" s="263"/>
      <c r="P457" s="263"/>
      <c r="Q457" s="263"/>
      <c r="R457" s="263"/>
      <c r="S457" s="263"/>
      <c r="T457" s="263"/>
      <c r="U457" s="246"/>
      <c r="V457" s="246"/>
      <c r="W457" s="246"/>
      <c r="X457" s="246"/>
      <c r="Y457" s="246"/>
      <c r="Z457" s="246"/>
    </row>
    <row r="458">
      <c r="A458" s="263"/>
      <c r="B458" s="265" t="str">
        <f>IFERROR(__xludf.DUMMYFUNCTION("""COMPUTED_VALUE"""),"Kneel")</f>
        <v>Kneel</v>
      </c>
      <c r="C458" s="263"/>
      <c r="D458" s="264" t="str">
        <f>IFERROR(__xludf.DUMMYFUNCTION("""COMPUTED_VALUE"""),"Mystic Eye, Mind Affecting")</f>
        <v>Mystic Eye, Mind Affecting</v>
      </c>
      <c r="E458" s="264" t="str">
        <f>IFERROR(__xludf.DUMMYFUNCTION("""COMPUTED_VALUE"""),"60ft")</f>
        <v>60ft</v>
      </c>
      <c r="F458" s="266" t="str">
        <f>IFERROR(__xludf.DUMMYFUNCTION("""COMPUTED_VALUE"""),"The target must make a Save or fall prone.")</f>
        <v>The target must make a Save or fall prone.</v>
      </c>
      <c r="G458" s="263" t="str">
        <f>IFERROR(__xludf.DUMMYFUNCTION("""COMPUTED_VALUE"""),"")</f>
        <v/>
      </c>
      <c r="H458" s="265" t="str">
        <f>IFERROR(__xludf.DUMMYFUNCTION("""COMPUTED_VALUE"""),"1 AP")</f>
        <v>1 AP</v>
      </c>
      <c r="I458" s="264" t="str">
        <f>IFERROR(__xludf.DUMMYFUNCTION("""COMPUTED_VALUE"""),"1 AP")</f>
        <v>1 AP</v>
      </c>
      <c r="J458" s="264" t="str">
        <f>IFERROR(__xludf.DUMMYFUNCTION("""COMPUTED_VALUE"""),"")</f>
        <v/>
      </c>
      <c r="K458" s="263" t="str">
        <f>IFERROR(__xludf.DUMMYFUNCTION("""COMPUTED_VALUE"""),"")</f>
        <v/>
      </c>
      <c r="L458" s="263" t="str">
        <f>IFERROR(__xludf.DUMMYFUNCTION("""COMPUTED_VALUE"""),"")</f>
        <v/>
      </c>
      <c r="M458" s="263"/>
      <c r="N458" s="263"/>
      <c r="O458" s="263"/>
      <c r="P458" s="263"/>
      <c r="Q458" s="263"/>
      <c r="R458" s="263"/>
      <c r="S458" s="263"/>
      <c r="T458" s="263"/>
      <c r="U458" s="246"/>
      <c r="V458" s="246"/>
      <c r="W458" s="246"/>
      <c r="X458" s="246"/>
      <c r="Y458" s="246"/>
      <c r="Z458" s="246"/>
    </row>
    <row r="459">
      <c r="A459" s="263"/>
      <c r="B459" s="265" t="str">
        <f>IFERROR(__xludf.DUMMYFUNCTION("""COMPUTED_VALUE"""),"Knockback Shot")</f>
        <v>Knockback Shot</v>
      </c>
      <c r="C459" s="263"/>
      <c r="D459" s="263" t="str">
        <f>IFERROR(__xludf.DUMMYFUNCTION("""COMPUTED_VALUE"""),"")</f>
        <v/>
      </c>
      <c r="E459" s="263" t="str">
        <f>IFERROR(__xludf.DUMMYFUNCTION("""COMPUTED_VALUE"""),"Ranged Weapon Range (Up to 60ft)")</f>
        <v>Ranged Weapon Range (Up to 60ft)</v>
      </c>
      <c r="F459" s="266" t="str">
        <f>IFERROR(__xludf.DUMMYFUNCTION("""COMPUTED_VALUE"""),"You make a Light attack against the target. On damage, the target is pushed back 20ft.")</f>
        <v>You make a Light attack against the target. On damage, the target is pushed back 20ft.</v>
      </c>
      <c r="G459" s="263" t="str">
        <f>IFERROR(__xludf.DUMMYFUNCTION("""COMPUTED_VALUE"""),"")</f>
        <v/>
      </c>
      <c r="H459" s="267" t="str">
        <f>IFERROR(__xludf.DUMMYFUNCTION("""COMPUTED_VALUE"""),"1 AP, 1 MP")</f>
        <v>1 AP, 1 MP</v>
      </c>
      <c r="I459" s="263" t="str">
        <f>IFERROR(__xludf.DUMMYFUNCTION("""COMPUTED_VALUE"""),"1 AP")</f>
        <v>1 AP</v>
      </c>
      <c r="J459" s="263" t="str">
        <f>IFERROR(__xludf.DUMMYFUNCTION("""COMPUTED_VALUE"""),"1 MP")</f>
        <v>1 MP</v>
      </c>
      <c r="K459" s="263" t="str">
        <f>IFERROR(__xludf.DUMMYFUNCTION("""COMPUTED_VALUE"""),"")</f>
        <v/>
      </c>
      <c r="L459" s="263" t="str">
        <f>IFERROR(__xludf.DUMMYFUNCTION("""COMPUTED_VALUE"""),"")</f>
        <v/>
      </c>
      <c r="M459" s="263"/>
      <c r="N459" s="263"/>
      <c r="O459" s="263"/>
      <c r="P459" s="263"/>
      <c r="Q459" s="263"/>
      <c r="R459" s="263"/>
      <c r="S459" s="263"/>
      <c r="T459" s="263"/>
      <c r="U459" s="246"/>
      <c r="V459" s="246"/>
      <c r="W459" s="246"/>
      <c r="X459" s="246"/>
      <c r="Y459" s="246"/>
      <c r="Z459" s="246"/>
    </row>
    <row r="460">
      <c r="A460" s="263"/>
      <c r="B460" s="265" t="str">
        <f>IFERROR(__xludf.DUMMYFUNCTION("""COMPUTED_VALUE"""),"Knockout Punch")</f>
        <v>Knockout Punch</v>
      </c>
      <c r="C460" s="263"/>
      <c r="D460" s="264" t="str">
        <f>IFERROR(__xludf.DUMMYFUNCTION("""COMPUTED_VALUE"""),"Unarmed Strike")</f>
        <v>Unarmed Strike</v>
      </c>
      <c r="E460" s="264" t="str">
        <f>IFERROR(__xludf.DUMMYFUNCTION("""COMPUTED_VALUE"""),"Melee Weapon Range")</f>
        <v>Melee Weapon Range</v>
      </c>
      <c r="F460" s="266" t="str">
        <f>IFERROR(__xludf.DUMMYFUNCTION("""COMPUTED_VALUE"""),"You may make a Heavy Attack against the target. On damage if the enemy is a Grunt, they immediately drop to 0 HP and fall unconscious.")</f>
        <v>You may make a Heavy Attack against the target. On damage if the enemy is a Grunt, they immediately drop to 0 HP and fall unconscious.</v>
      </c>
      <c r="G460" s="263" t="str">
        <f>IFERROR(__xludf.DUMMYFUNCTION("""COMPUTED_VALUE"""),"")</f>
        <v/>
      </c>
      <c r="H460" s="265" t="str">
        <f>IFERROR(__xludf.DUMMYFUNCTION("""COMPUTED_VALUE"""),"4 AP")</f>
        <v>4 AP</v>
      </c>
      <c r="I460" s="264" t="str">
        <f>IFERROR(__xludf.DUMMYFUNCTION("""COMPUTED_VALUE"""),"4 AP")</f>
        <v>4 AP</v>
      </c>
      <c r="J460" s="263" t="str">
        <f>IFERROR(__xludf.DUMMYFUNCTION("""COMPUTED_VALUE"""),"")</f>
        <v/>
      </c>
      <c r="K460" s="263" t="str">
        <f>IFERROR(__xludf.DUMMYFUNCTION("""COMPUTED_VALUE"""),"")</f>
        <v/>
      </c>
      <c r="L460" s="263" t="str">
        <f>IFERROR(__xludf.DUMMYFUNCTION("""COMPUTED_VALUE"""),"")</f>
        <v/>
      </c>
      <c r="M460" s="263"/>
      <c r="N460" s="263"/>
      <c r="O460" s="263"/>
      <c r="P460" s="263"/>
      <c r="Q460" s="263"/>
      <c r="R460" s="263"/>
      <c r="S460" s="263"/>
      <c r="T460" s="263"/>
      <c r="U460" s="246"/>
      <c r="V460" s="246"/>
      <c r="W460" s="246"/>
      <c r="X460" s="246"/>
      <c r="Y460" s="246"/>
      <c r="Z460" s="246"/>
    </row>
    <row r="461">
      <c r="A461" s="263"/>
      <c r="B461" s="265" t="str">
        <f>IFERROR(__xludf.DUMMYFUNCTION("""COMPUTED_VALUE"""),"Kugeki-zan")</f>
        <v>Kugeki-zan</v>
      </c>
      <c r="C461" s="263"/>
      <c r="D461" s="264" t="str">
        <f>IFERROR(__xludf.DUMMYFUNCTION("""COMPUTED_VALUE"""),"Ninjutsu, Sure Hit, Full Pierce")</f>
        <v>Ninjutsu, Sure Hit, Full Pierce</v>
      </c>
      <c r="E461" s="264" t="str">
        <f>IFERROR(__xludf.DUMMYFUNCTION("""COMPUTED_VALUE"""),"Ranged Weapon Range")</f>
        <v>Ranged Weapon Range</v>
      </c>
      <c r="F461" s="266" t="str">
        <f>IFERROR(__xludf.DUMMYFUNCTION("""COMPUTED_VALUE"""),"You make a Light attack against the target.")</f>
        <v>You make a Light attack against the target.</v>
      </c>
      <c r="G461" s="264" t="str">
        <f>IFERROR(__xludf.DUMMYFUNCTION("""COMPUTED_VALUE"""),"Target must have 0 RP remaining.")</f>
        <v>Target must have 0 RP remaining.</v>
      </c>
      <c r="H461" s="265" t="str">
        <f>IFERROR(__xludf.DUMMYFUNCTION("""COMPUTED_VALUE"""),"1 AP")</f>
        <v>1 AP</v>
      </c>
      <c r="I461" s="263" t="str">
        <f>IFERROR(__xludf.DUMMYFUNCTION("""COMPUTED_VALUE"""),"1 AP")</f>
        <v>1 AP</v>
      </c>
      <c r="J461" s="263" t="str">
        <f>IFERROR(__xludf.DUMMYFUNCTION("""COMPUTED_VALUE"""),"")</f>
        <v/>
      </c>
      <c r="K461" s="264" t="str">
        <f>IFERROR(__xludf.DUMMYFUNCTION("""COMPUTED_VALUE"""),"")</f>
        <v/>
      </c>
      <c r="L461" s="263" t="str">
        <f>IFERROR(__xludf.DUMMYFUNCTION("""COMPUTED_VALUE"""),"")</f>
        <v/>
      </c>
      <c r="M461" s="263"/>
      <c r="N461" s="263"/>
      <c r="O461" s="263"/>
      <c r="P461" s="263"/>
      <c r="Q461" s="263"/>
      <c r="R461" s="263"/>
      <c r="S461" s="263"/>
      <c r="T461" s="263"/>
      <c r="U461" s="246"/>
      <c r="V461" s="246"/>
      <c r="W461" s="246"/>
      <c r="X461" s="246"/>
      <c r="Y461" s="246"/>
      <c r="Z461" s="246"/>
    </row>
    <row r="462">
      <c r="A462" s="263"/>
      <c r="B462" s="265" t="str">
        <f>IFERROR(__xludf.DUMMYFUNCTION("""COMPUTED_VALUE"""),"Last Rites")</f>
        <v>Last Rites</v>
      </c>
      <c r="C462" s="263"/>
      <c r="D462" s="263" t="str">
        <f>IFERROR(__xludf.DUMMYFUNCTION("""COMPUTED_VALUE"""),"")</f>
        <v/>
      </c>
      <c r="E462" s="264" t="str">
        <f>IFERROR(__xludf.DUMMYFUNCTION("""COMPUTED_VALUE"""),"")</f>
        <v/>
      </c>
      <c r="F462" s="266" t="str">
        <f>IFERROR(__xludf.DUMMYFUNCTION("""COMPUTED_VALUE"""),"You deal +1 damage to undead creatures. This is increased to a +2 bonus on Heavy attacks.")</f>
        <v>You deal +1 damage to undead creatures. This is increased to a +2 bonus on Heavy attacks.</v>
      </c>
      <c r="G462" s="263" t="str">
        <f>IFERROR(__xludf.DUMMYFUNCTION("""COMPUTED_VALUE"""),"")</f>
        <v/>
      </c>
      <c r="H462" s="265" t="str">
        <f>IFERROR(__xludf.DUMMYFUNCTION("""COMPUTED_VALUE"""),"")</f>
        <v/>
      </c>
      <c r="I462" s="264" t="str">
        <f>IFERROR(__xludf.DUMMYFUNCTION("""COMPUTED_VALUE"""),"")</f>
        <v/>
      </c>
      <c r="J462" s="264" t="str">
        <f>IFERROR(__xludf.DUMMYFUNCTION("""COMPUTED_VALUE"""),"")</f>
        <v/>
      </c>
      <c r="K462" s="263" t="str">
        <f>IFERROR(__xludf.DUMMYFUNCTION("""COMPUTED_VALUE"""),"")</f>
        <v/>
      </c>
      <c r="L462" s="263" t="str">
        <f>IFERROR(__xludf.DUMMYFUNCTION("""COMPUTED_VALUE"""),"")</f>
        <v/>
      </c>
      <c r="M462" s="263"/>
      <c r="N462" s="263"/>
      <c r="O462" s="263"/>
      <c r="P462" s="263"/>
      <c r="Q462" s="263"/>
      <c r="R462" s="263"/>
      <c r="S462" s="263"/>
      <c r="T462" s="263"/>
      <c r="U462" s="246"/>
      <c r="V462" s="246"/>
      <c r="W462" s="246"/>
      <c r="X462" s="246"/>
      <c r="Y462" s="246"/>
      <c r="Z462" s="246"/>
    </row>
    <row r="463">
      <c r="A463" s="263"/>
      <c r="B463" s="265" t="str">
        <f>IFERROR(__xludf.DUMMYFUNCTION("""COMPUTED_VALUE"""),"Last Stand")</f>
        <v>Last Stand</v>
      </c>
      <c r="C463" s="263"/>
      <c r="D463" s="264" t="str">
        <f>IFERROR(__xludf.DUMMYFUNCTION("""COMPUTED_VALUE"""),"Stance")</f>
        <v>Stance</v>
      </c>
      <c r="E463" s="264" t="str">
        <f>IFERROR(__xludf.DUMMYFUNCTION("""COMPUTED_VALUE"""),"Self")</f>
        <v>Self</v>
      </c>
      <c r="F463" s="266" t="str">
        <f>IFERROR(__xludf.DUMMYFUNCTION("""COMPUTED_VALUE"""),"Until the start of your next turn, you may use the Block action for 0 RP and you gain additional Guard equal to the mana spent on this ability. Once you use this ability, you cannot use it again in this encounter.")</f>
        <v>Until the start of your next turn, you may use the Block action for 0 RP and you gain additional Guard equal to the mana spent on this ability. Once you use this ability, you cannot use it again in this encounter.</v>
      </c>
      <c r="G463" s="263" t="str">
        <f>IFERROR(__xludf.DUMMYFUNCTION("""COMPUTED_VALUE"""),"")</f>
        <v/>
      </c>
      <c r="H463" s="265" t="str">
        <f>IFERROR(__xludf.DUMMYFUNCTION("""COMPUTED_VALUE"""),"X MP, 2 RP")</f>
        <v>X MP, 2 RP</v>
      </c>
      <c r="I463" s="264" t="str">
        <f>IFERROR(__xludf.DUMMYFUNCTION("""COMPUTED_VALUE"""),"")</f>
        <v/>
      </c>
      <c r="J463" s="263" t="str">
        <f>IFERROR(__xludf.DUMMYFUNCTION("""COMPUTED_VALUE"""),"X MP")</f>
        <v>X MP</v>
      </c>
      <c r="K463" s="263" t="str">
        <f>IFERROR(__xludf.DUMMYFUNCTION("""COMPUTED_VALUE"""),"2 RP")</f>
        <v>2 RP</v>
      </c>
      <c r="L463" s="263" t="str">
        <f>IFERROR(__xludf.DUMMYFUNCTION("""COMPUTED_VALUE"""),"")</f>
        <v/>
      </c>
      <c r="M463" s="263"/>
      <c r="N463" s="263"/>
      <c r="O463" s="263"/>
      <c r="P463" s="263"/>
      <c r="Q463" s="263"/>
      <c r="R463" s="263"/>
      <c r="S463" s="263"/>
      <c r="T463" s="263"/>
      <c r="U463" s="246"/>
      <c r="V463" s="246"/>
      <c r="W463" s="246"/>
      <c r="X463" s="246"/>
      <c r="Y463" s="246"/>
      <c r="Z463" s="246"/>
    </row>
    <row r="464">
      <c r="A464" s="263"/>
      <c r="B464" s="265" t="str">
        <f>IFERROR(__xludf.DUMMYFUNCTION("""COMPUTED_VALUE"""),"Lay on Hands")</f>
        <v>Lay on Hands</v>
      </c>
      <c r="C464" s="263"/>
      <c r="D464" s="263" t="str">
        <f>IFERROR(__xludf.DUMMYFUNCTION("""COMPUTED_VALUE"""),"Healing, Overcharge")</f>
        <v>Healing, Overcharge</v>
      </c>
      <c r="E464" s="264" t="str">
        <f>IFERROR(__xludf.DUMMYFUNCTION("""COMPUTED_VALUE"""),"Touch")</f>
        <v>Touch</v>
      </c>
      <c r="F464" s="266" t="str">
        <f>IFERROR(__xludf.DUMMYFUNCTION("""COMPUTED_VALUE"""),"You Heal the target for 4 + Power. Overcharge: You may spend an additional mana to remove a negative effect from the target. Injuries and Mortal Wounds cannot be removed with this.")</f>
        <v>You Heal the target for 4 + Power. Overcharge: You may spend an additional mana to remove a negative effect from the target. Injuries and Mortal Wounds cannot be removed with this.</v>
      </c>
      <c r="G464" s="263" t="str">
        <f>IFERROR(__xludf.DUMMYFUNCTION("""COMPUTED_VALUE"""),"")</f>
        <v/>
      </c>
      <c r="H464" s="265" t="str">
        <f>IFERROR(__xludf.DUMMYFUNCTION("""COMPUTED_VALUE"""),"1 AP, 1 MP")</f>
        <v>1 AP, 1 MP</v>
      </c>
      <c r="I464" s="264" t="str">
        <f>IFERROR(__xludf.DUMMYFUNCTION("""COMPUTED_VALUE"""),"1 AP")</f>
        <v>1 AP</v>
      </c>
      <c r="J464" s="263" t="str">
        <f>IFERROR(__xludf.DUMMYFUNCTION("""COMPUTED_VALUE"""),"1 MP")</f>
        <v>1 MP</v>
      </c>
      <c r="K464" s="263" t="str">
        <f>IFERROR(__xludf.DUMMYFUNCTION("""COMPUTED_VALUE"""),"")</f>
        <v/>
      </c>
      <c r="L464" s="263" t="str">
        <f>IFERROR(__xludf.DUMMYFUNCTION("""COMPUTED_VALUE"""),"")</f>
        <v/>
      </c>
      <c r="M464" s="263"/>
      <c r="N464" s="263"/>
      <c r="O464" s="263"/>
      <c r="P464" s="263"/>
      <c r="Q464" s="263"/>
      <c r="R464" s="263"/>
      <c r="S464" s="263"/>
      <c r="T464" s="263"/>
      <c r="U464" s="246"/>
      <c r="V464" s="246"/>
      <c r="W464" s="246"/>
      <c r="X464" s="246"/>
      <c r="Y464" s="246"/>
      <c r="Z464" s="246"/>
    </row>
    <row r="465">
      <c r="A465" s="263"/>
      <c r="B465" s="265" t="str">
        <f>IFERROR(__xludf.DUMMYFUNCTION("""COMPUTED_VALUE"""),"Leashing")</f>
        <v>Leashing</v>
      </c>
      <c r="C465" s="263"/>
      <c r="D465" s="264" t="str">
        <f>IFERROR(__xludf.DUMMYFUNCTION("""COMPUTED_VALUE"""),"Teleport")</f>
        <v>Teleport</v>
      </c>
      <c r="E465" s="264" t="str">
        <f>IFERROR(__xludf.DUMMYFUNCTION("""COMPUTED_VALUE"""),"Sight")</f>
        <v>Sight</v>
      </c>
      <c r="F465" s="266" t="str">
        <f>IFERROR(__xludf.DUMMYFUNCTION("""COMPUTED_VALUE"""),"You teleport your summoned animal to an empty square within 5ft of you.")</f>
        <v>You teleport your summoned animal to an empty square within 5ft of you.</v>
      </c>
      <c r="G465" s="263" t="str">
        <f>IFERROR(__xludf.DUMMYFUNCTION("""COMPUTED_VALUE"""),"Can only target your summoned animal.")</f>
        <v>Can only target your summoned animal.</v>
      </c>
      <c r="H465" s="265" t="str">
        <f>IFERROR(__xludf.DUMMYFUNCTION("""COMPUTED_VALUE"""),"1 AP")</f>
        <v>1 AP</v>
      </c>
      <c r="I465" s="264" t="str">
        <f>IFERROR(__xludf.DUMMYFUNCTION("""COMPUTED_VALUE"""),"1 AP")</f>
        <v>1 AP</v>
      </c>
      <c r="J465" s="264" t="str">
        <f>IFERROR(__xludf.DUMMYFUNCTION("""COMPUTED_VALUE"""),"")</f>
        <v/>
      </c>
      <c r="K465" s="263" t="str">
        <f>IFERROR(__xludf.DUMMYFUNCTION("""COMPUTED_VALUE"""),"")</f>
        <v/>
      </c>
      <c r="L465" s="263" t="str">
        <f>IFERROR(__xludf.DUMMYFUNCTION("""COMPUTED_VALUE"""),"")</f>
        <v/>
      </c>
      <c r="M465" s="263"/>
      <c r="N465" s="263"/>
      <c r="O465" s="263"/>
      <c r="P465" s="263"/>
      <c r="Q465" s="263"/>
      <c r="R465" s="263"/>
      <c r="S465" s="263"/>
      <c r="T465" s="263"/>
      <c r="U465" s="246"/>
      <c r="V465" s="246"/>
      <c r="W465" s="246"/>
      <c r="X465" s="246"/>
      <c r="Y465" s="246"/>
      <c r="Z465" s="246"/>
    </row>
    <row r="466">
      <c r="A466" s="263"/>
      <c r="B466" s="265" t="str">
        <f>IFERROR(__xludf.DUMMYFUNCTION("""COMPUTED_VALUE"""),"Leg Sweep")</f>
        <v>Leg Sweep</v>
      </c>
      <c r="C466" s="263"/>
      <c r="D466" s="263" t="str">
        <f>IFERROR(__xludf.DUMMYFUNCTION("""COMPUTED_VALUE"""),"Unarmed Strike")</f>
        <v>Unarmed Strike</v>
      </c>
      <c r="E466" s="263" t="str">
        <f>IFERROR(__xludf.DUMMYFUNCTION("""COMPUTED_VALUE"""),"Melee Weapon Range")</f>
        <v>Melee Weapon Range</v>
      </c>
      <c r="F466" s="266" t="str">
        <f>IFERROR(__xludf.DUMMYFUNCTION("""COMPUTED_VALUE"""),"You may make a Light Attack against the target. On damage, the target falls Prone.")</f>
        <v>You may make a Light Attack against the target. On damage, the target falls Prone.</v>
      </c>
      <c r="G466" s="264" t="str">
        <f>IFERROR(__xludf.DUMMYFUNCTION("""COMPUTED_VALUE"""),"")</f>
        <v/>
      </c>
      <c r="H466" s="267" t="str">
        <f>IFERROR(__xludf.DUMMYFUNCTION("""COMPUTED_VALUE"""),"2 AP")</f>
        <v>2 AP</v>
      </c>
      <c r="I466" s="263" t="str">
        <f>IFERROR(__xludf.DUMMYFUNCTION("""COMPUTED_VALUE"""),"2 AP")</f>
        <v>2 AP</v>
      </c>
      <c r="J466" s="263" t="str">
        <f>IFERROR(__xludf.DUMMYFUNCTION("""COMPUTED_VALUE"""),"")</f>
        <v/>
      </c>
      <c r="K466" s="263" t="str">
        <f>IFERROR(__xludf.DUMMYFUNCTION("""COMPUTED_VALUE"""),"")</f>
        <v/>
      </c>
      <c r="L466" s="263" t="str">
        <f>IFERROR(__xludf.DUMMYFUNCTION("""COMPUTED_VALUE"""),"")</f>
        <v/>
      </c>
      <c r="M466" s="263"/>
      <c r="N466" s="263"/>
      <c r="O466" s="263"/>
      <c r="P466" s="263"/>
      <c r="Q466" s="263"/>
      <c r="R466" s="263"/>
      <c r="S466" s="263"/>
      <c r="T466" s="263"/>
      <c r="U466" s="246"/>
      <c r="V466" s="246"/>
      <c r="W466" s="246"/>
      <c r="X466" s="246"/>
      <c r="Y466" s="246"/>
      <c r="Z466" s="246"/>
    </row>
    <row r="467">
      <c r="A467" s="263"/>
      <c r="B467" s="265" t="str">
        <f>IFERROR(__xludf.DUMMYFUNCTION("""COMPUTED_VALUE"""),"Lengthened Incantation")</f>
        <v>Lengthened Incantation</v>
      </c>
      <c r="C467" s="263"/>
      <c r="D467" s="264" t="str">
        <f>IFERROR(__xludf.DUMMYFUNCTION("""COMPUTED_VALUE"""),"Arcane")</f>
        <v>Arcane</v>
      </c>
      <c r="E467" s="264" t="str">
        <f>IFERROR(__xludf.DUMMYFUNCTION("""COMPUTED_VALUE"""),"Self")</f>
        <v>Self</v>
      </c>
      <c r="F467" s="266" t="str">
        <f>IFERROR(__xludf.DUMMYFUNCTION("""COMPUTED_VALUE"""),"You lengthen the time it takes to cast your next Spell to empower it. You may add 2 AP to the cost of your next spell with the Spell gaining additional Light Damage on it. If you cannot pay this AP cost this turn, the Spell also gains the Setup keyword.
I"&amp;"f the Spell has multiple attack rolls or different damage rolls, this bonus only applies to one of them.
However, if the spell is a Scattering AoE spell then the bonus damage applies to all targets of that spell. If that Scattering spell hits a target mor"&amp;"e than once it only applies to one damage roll. If the spell lasts for multiple turns, it only applies to the initial casting.")</f>
        <v>You lengthen the time it takes to cast your next Spell to empower it. You may add 2 AP to the cost of your next spell with the Spell gaining additional Light Damage on it. If you cannot pay this AP cost this turn, the Spell also gains the Setup keyword.
If the Spell has multiple attack rolls or different damage rolls, this bonus only applies to one of them.
However, if the spell is a Scattering AoE spell then the bonus damage applies to all targets of that spell. If that Scattering spell hits a target more than once it only applies to one damage roll. If the spell lasts for multiple turns, it only applies to the initial casting.</v>
      </c>
      <c r="G467" s="264" t="str">
        <f>IFERROR(__xludf.DUMMYFUNCTION("""COMPUTED_VALUE"""),"")</f>
        <v/>
      </c>
      <c r="H467" s="265" t="str">
        <f>IFERROR(__xludf.DUMMYFUNCTION("""COMPUTED_VALUE"""),"0 AP")</f>
        <v>0 AP</v>
      </c>
      <c r="I467" s="264" t="str">
        <f>IFERROR(__xludf.DUMMYFUNCTION("""COMPUTED_VALUE"""),"0 AP")</f>
        <v>0 AP</v>
      </c>
      <c r="J467" s="264" t="str">
        <f>IFERROR(__xludf.DUMMYFUNCTION("""COMPUTED_VALUE"""),"")</f>
        <v/>
      </c>
      <c r="K467" s="263" t="str">
        <f>IFERROR(__xludf.DUMMYFUNCTION("""COMPUTED_VALUE"""),"")</f>
        <v/>
      </c>
      <c r="L467" s="263" t="str">
        <f>IFERROR(__xludf.DUMMYFUNCTION("""COMPUTED_VALUE"""),"")</f>
        <v/>
      </c>
      <c r="M467" s="263"/>
      <c r="N467" s="263"/>
      <c r="O467" s="263"/>
      <c r="P467" s="263"/>
      <c r="Q467" s="263"/>
      <c r="R467" s="263"/>
      <c r="S467" s="263"/>
      <c r="T467" s="263"/>
      <c r="U467" s="246"/>
      <c r="V467" s="246"/>
      <c r="W467" s="246"/>
      <c r="X467" s="246"/>
      <c r="Y467" s="246"/>
      <c r="Z467" s="246"/>
    </row>
    <row r="468">
      <c r="A468" s="263"/>
      <c r="B468" s="265" t="str">
        <f>IFERROR(__xludf.DUMMYFUNCTION("""COMPUTED_VALUE"""),"Lifebeat Sense")</f>
        <v>Lifebeat Sense</v>
      </c>
      <c r="C468" s="263"/>
      <c r="D468" s="263" t="str">
        <f>IFERROR(__xludf.DUMMYFUNCTION("""COMPUTED_VALUE"""),"Expose, Analyze")</f>
        <v>Expose, Analyze</v>
      </c>
      <c r="E468" s="263" t="str">
        <f>IFERROR(__xludf.DUMMYFUNCTION("""COMPUTED_VALUE"""),"30ft")</f>
        <v>30ft</v>
      </c>
      <c r="F468" s="266" t="str">
        <f>IFERROR(__xludf.DUMMYFUNCTION("""COMPUTED_VALUE"""),"You can assess the approximate HP percentage of the target until the end of combat.  (The DM should enable health bars for the unit, or you can ask for an approximate percentage). In addition, the target is afflicted by Expose 1, reducing the target’s cri"&amp;"t threshold by 1. (20 to crit becomes 19.) Expose is removed once the target is critically hit (regardless of if they defend or not)")</f>
        <v>You can assess the approximate HP percentage of the target until the end of combat.  (The DM should enable health bars for the unit, or you can ask for an approximate percentage). In addition, the target is afflicted by Expose 1, reducing the target’s crit threshold by 1. (20 to crit becomes 19.) Expose is removed once the target is critically hit (regardless of if they defend or not)</v>
      </c>
      <c r="G468" s="263" t="str">
        <f>IFERROR(__xludf.DUMMYFUNCTION("""COMPUTED_VALUE"""),"")</f>
        <v/>
      </c>
      <c r="H468" s="267" t="str">
        <f>IFERROR(__xludf.DUMMYFUNCTION("""COMPUTED_VALUE"""),"1 AP, 1 MP")</f>
        <v>1 AP, 1 MP</v>
      </c>
      <c r="I468" s="263" t="str">
        <f>IFERROR(__xludf.DUMMYFUNCTION("""COMPUTED_VALUE"""),"1 AP")</f>
        <v>1 AP</v>
      </c>
      <c r="J468" s="263" t="str">
        <f>IFERROR(__xludf.DUMMYFUNCTION("""COMPUTED_VALUE"""),"1 MP")</f>
        <v>1 MP</v>
      </c>
      <c r="K468" s="263" t="str">
        <f>IFERROR(__xludf.DUMMYFUNCTION("""COMPUTED_VALUE"""),"")</f>
        <v/>
      </c>
      <c r="L468" s="263" t="str">
        <f>IFERROR(__xludf.DUMMYFUNCTION("""COMPUTED_VALUE"""),"")</f>
        <v/>
      </c>
      <c r="M468" s="263"/>
      <c r="N468" s="263"/>
      <c r="O468" s="263"/>
      <c r="P468" s="263"/>
      <c r="Q468" s="263"/>
      <c r="R468" s="263"/>
      <c r="S468" s="263"/>
      <c r="T468" s="263"/>
      <c r="U468" s="246"/>
      <c r="V468" s="246"/>
      <c r="W468" s="246"/>
      <c r="X468" s="246"/>
      <c r="Y468" s="246"/>
      <c r="Z468" s="246"/>
    </row>
    <row r="469">
      <c r="A469" s="263"/>
      <c r="B469" s="265" t="str">
        <f>IFERROR(__xludf.DUMMYFUNCTION("""COMPUTED_VALUE"""),"Lifesense")</f>
        <v>Lifesense</v>
      </c>
      <c r="C469" s="263"/>
      <c r="D469" s="263" t="str">
        <f>IFERROR(__xludf.DUMMYFUNCTION("""COMPUTED_VALUE"""),"")</f>
        <v/>
      </c>
      <c r="E469" s="263" t="str">
        <f>IFERROR(__xludf.DUMMYFUNCTION("""COMPUTED_VALUE"""),"Unlimited")</f>
        <v>Unlimited</v>
      </c>
      <c r="F469" s="266" t="str">
        <f>IFERROR(__xludf.DUMMYFUNCTION("""COMPUTED_VALUE"""),"You know the direction your Soulmate is in and if you’re within 300 feet of them, you know their exact location.
You also know their current HP, Mana and RP.")</f>
        <v>You know the direction your Soulmate is in and if you’re within 300 feet of them, you know their exact location.
You also know their current HP, Mana and RP.</v>
      </c>
      <c r="G469" s="263" t="str">
        <f>IFERROR(__xludf.DUMMYFUNCTION("""COMPUTED_VALUE"""),"")</f>
        <v/>
      </c>
      <c r="H469" s="267" t="str">
        <f>IFERROR(__xludf.DUMMYFUNCTION("""COMPUTED_VALUE"""),"1 AP")</f>
        <v>1 AP</v>
      </c>
      <c r="I469" s="263" t="str">
        <f>IFERROR(__xludf.DUMMYFUNCTION("""COMPUTED_VALUE"""),"1 AP")</f>
        <v>1 AP</v>
      </c>
      <c r="J469" s="263" t="str">
        <f>IFERROR(__xludf.DUMMYFUNCTION("""COMPUTED_VALUE"""),"")</f>
        <v/>
      </c>
      <c r="K469" s="263" t="str">
        <f>IFERROR(__xludf.DUMMYFUNCTION("""COMPUTED_VALUE"""),"")</f>
        <v/>
      </c>
      <c r="L469" s="263" t="str">
        <f>IFERROR(__xludf.DUMMYFUNCTION("""COMPUTED_VALUE"""),"")</f>
        <v/>
      </c>
      <c r="M469" s="263"/>
      <c r="N469" s="263"/>
      <c r="O469" s="263"/>
      <c r="P469" s="263"/>
      <c r="Q469" s="263"/>
      <c r="R469" s="263"/>
      <c r="S469" s="263"/>
      <c r="T469" s="263"/>
      <c r="U469" s="246"/>
      <c r="V469" s="246"/>
      <c r="W469" s="246"/>
      <c r="X469" s="246"/>
      <c r="Y469" s="246"/>
      <c r="Z469" s="246"/>
    </row>
    <row r="470">
      <c r="A470" s="263"/>
      <c r="B470" s="265" t="str">
        <f>IFERROR(__xludf.DUMMYFUNCTION("""COMPUTED_VALUE"""),"Light Work")</f>
        <v>Light Work</v>
      </c>
      <c r="C470" s="263"/>
      <c r="D470" s="264" t="str">
        <f>IFERROR(__xludf.DUMMYFUNCTION("""COMPUTED_VALUE"""),"")</f>
        <v/>
      </c>
      <c r="E470" s="264" t="str">
        <f>IFERROR(__xludf.DUMMYFUNCTION("""COMPUTED_VALUE"""),"")</f>
        <v/>
      </c>
      <c r="F470" s="266" t="str">
        <f>IFERROR(__xludf.DUMMYFUNCTION("""COMPUTED_VALUE"""),"Only usable as the first crafting action. All material costs are doubled and all produced items are doubled. You may only use basic crafting actions for the rest of the craft. Make a crafting attempt.")</f>
        <v>Only usable as the first crafting action. All material costs are doubled and all produced items are doubled. You may only use basic crafting actions for the rest of the craft. Make a crafting attempt.</v>
      </c>
      <c r="G470" s="263" t="str">
        <f>IFERROR(__xludf.DUMMYFUNCTION("""COMPUTED_VALUE"""),"Costs 1 Crafting Dice.")</f>
        <v>Costs 1 Crafting Dice.</v>
      </c>
      <c r="H470" s="265" t="str">
        <f>IFERROR(__xludf.DUMMYFUNCTION("""COMPUTED_VALUE"""),"")</f>
        <v/>
      </c>
      <c r="I470" s="264" t="str">
        <f>IFERROR(__xludf.DUMMYFUNCTION("""COMPUTED_VALUE"""),"")</f>
        <v/>
      </c>
      <c r="J470" s="263" t="str">
        <f>IFERROR(__xludf.DUMMYFUNCTION("""COMPUTED_VALUE"""),"")</f>
        <v/>
      </c>
      <c r="K470" s="263" t="str">
        <f>IFERROR(__xludf.DUMMYFUNCTION("""COMPUTED_VALUE"""),"")</f>
        <v/>
      </c>
      <c r="L470" s="263" t="str">
        <f>IFERROR(__xludf.DUMMYFUNCTION("""COMPUTED_VALUE"""),"")</f>
        <v/>
      </c>
      <c r="M470" s="263"/>
      <c r="N470" s="263"/>
      <c r="O470" s="263"/>
      <c r="P470" s="263"/>
      <c r="Q470" s="263"/>
      <c r="R470" s="263"/>
      <c r="S470" s="263"/>
      <c r="T470" s="263"/>
      <c r="U470" s="246"/>
      <c r="V470" s="246"/>
      <c r="W470" s="246"/>
      <c r="X470" s="246"/>
      <c r="Y470" s="246"/>
      <c r="Z470" s="246"/>
    </row>
    <row r="471">
      <c r="A471" s="263"/>
      <c r="B471" s="265" t="str">
        <f>IFERROR(__xludf.DUMMYFUNCTION("""COMPUTED_VALUE"""),"Light's Care")</f>
        <v>Light's Care</v>
      </c>
      <c r="C471" s="263"/>
      <c r="D471" s="263" t="str">
        <f>IFERROR(__xludf.DUMMYFUNCTION("""COMPUTED_VALUE"""),"Encounter Conclusion, Healing")</f>
        <v>Encounter Conclusion, Healing</v>
      </c>
      <c r="E471" s="264" t="str">
        <f>IFERROR(__xludf.DUMMYFUNCTION("""COMPUTED_VALUE"""),"Touch")</f>
        <v>Touch</v>
      </c>
      <c r="F471" s="266" t="str">
        <f>IFERROR(__xludf.DUMMYFUNCTION("""COMPUTED_VALUE"""),"At the end of combat you may use 1 Encounter Conclusion action to heal a single target for 11 + Power x 2 and grant them First Aid. First Aid: The target can expend an Encounter Conclusion Action to prevent one injury to themself.")</f>
        <v>At the end of combat you may use 1 Encounter Conclusion action to heal a single target for 11 + Power x 2 and grant them First Aid. First Aid: The target can expend an Encounter Conclusion Action to prevent one injury to themself.</v>
      </c>
      <c r="G471" s="263" t="str">
        <f>IFERROR(__xludf.DUMMYFUNCTION("""COMPUTED_VALUE"""),"")</f>
        <v/>
      </c>
      <c r="H471" s="265" t="str">
        <f>IFERROR(__xludf.DUMMYFUNCTION("""COMPUTED_VALUE"""),"1 MP")</f>
        <v>1 MP</v>
      </c>
      <c r="I471" s="264" t="str">
        <f>IFERROR(__xludf.DUMMYFUNCTION("""COMPUTED_VALUE"""),"")</f>
        <v/>
      </c>
      <c r="J471" s="263" t="str">
        <f>IFERROR(__xludf.DUMMYFUNCTION("""COMPUTED_VALUE"""),"1 MP")</f>
        <v>1 MP</v>
      </c>
      <c r="K471" s="263" t="str">
        <f>IFERROR(__xludf.DUMMYFUNCTION("""COMPUTED_VALUE"""),"")</f>
        <v/>
      </c>
      <c r="L471" s="263" t="str">
        <f>IFERROR(__xludf.DUMMYFUNCTION("""COMPUTED_VALUE"""),"")</f>
        <v/>
      </c>
      <c r="M471" s="263"/>
      <c r="N471" s="263"/>
      <c r="O471" s="263"/>
      <c r="P471" s="263"/>
      <c r="Q471" s="263"/>
      <c r="R471" s="263"/>
      <c r="S471" s="263"/>
      <c r="T471" s="263"/>
      <c r="U471" s="246"/>
      <c r="V471" s="246"/>
      <c r="W471" s="246"/>
      <c r="X471" s="246"/>
      <c r="Y471" s="246"/>
      <c r="Z471" s="246"/>
    </row>
    <row r="472">
      <c r="A472" s="263"/>
      <c r="B472" s="265" t="str">
        <f>IFERROR(__xludf.DUMMYFUNCTION("""COMPUTED_VALUE"""),"Lightning Lariat")</f>
        <v>Lightning Lariat</v>
      </c>
      <c r="C472" s="263"/>
      <c r="D472" s="264" t="str">
        <f>IFERROR(__xludf.DUMMYFUNCTION("""COMPUTED_VALUE"""),"Unarmed Strike, Overcharge, Combo, Trick Attack")</f>
        <v>Unarmed Strike, Overcharge, Combo, Trick Attack</v>
      </c>
      <c r="E472" s="264" t="str">
        <f>IFERROR(__xludf.DUMMYFUNCTION("""COMPUTED_VALUE"""),"Self")</f>
        <v>Self</v>
      </c>
      <c r="F472" s="266" t="str">
        <f>IFERROR(__xludf.DUMMYFUNCTION("""COMPUTED_VALUE"""),"You gather lightning energy and move up to your speed in a direct line and make a Heavy attack against a target. If you moved more than 60ft before making the attack, your attack gains the Trick Attack keyword.
Overcharge: You may spend X mana to move an "&amp;"additional 2 x X times your speed.
Combo: If used after Heavenly Lightning Stance or Secret Art: Lightning Release, the mana cost is reduced by 1.")</f>
        <v>You gather lightning energy and move up to your speed in a direct line and make a Heavy attack against a target. If you moved more than 60ft before making the attack, your attack gains the Trick Attack keyword.
Overcharge: You may spend X mana to move an additional 2 x X times your speed.
Combo: If used after Heavenly Lightning Stance or Secret Art: Lightning Release, the mana cost is reduced by 1.</v>
      </c>
      <c r="G472" s="263" t="str">
        <f>IFERROR(__xludf.DUMMYFUNCTION("""COMPUTED_VALUE"""),"")</f>
        <v/>
      </c>
      <c r="H472" s="265" t="str">
        <f>IFERROR(__xludf.DUMMYFUNCTION("""COMPUTED_VALUE"""),"2 AP, 1 MP")</f>
        <v>2 AP, 1 MP</v>
      </c>
      <c r="I472" s="264" t="str">
        <f>IFERROR(__xludf.DUMMYFUNCTION("""COMPUTED_VALUE"""),"2 AP")</f>
        <v>2 AP</v>
      </c>
      <c r="J472" s="263" t="str">
        <f>IFERROR(__xludf.DUMMYFUNCTION("""COMPUTED_VALUE"""),"1 MP")</f>
        <v>1 MP</v>
      </c>
      <c r="K472" s="264" t="str">
        <f>IFERROR(__xludf.DUMMYFUNCTION("""COMPUTED_VALUE"""),"")</f>
        <v/>
      </c>
      <c r="L472" s="263" t="str">
        <f>IFERROR(__xludf.DUMMYFUNCTION("""COMPUTED_VALUE"""),"")</f>
        <v/>
      </c>
      <c r="M472" s="263"/>
      <c r="N472" s="263"/>
      <c r="O472" s="263"/>
      <c r="P472" s="263"/>
      <c r="Q472" s="263"/>
      <c r="R472" s="263"/>
      <c r="S472" s="263"/>
      <c r="T472" s="263"/>
      <c r="U472" s="246"/>
      <c r="V472" s="246"/>
      <c r="W472" s="246"/>
      <c r="X472" s="246"/>
      <c r="Y472" s="246"/>
      <c r="Z472" s="246"/>
    </row>
    <row r="473">
      <c r="A473" s="263"/>
      <c r="B473" s="265" t="str">
        <f>IFERROR(__xludf.DUMMYFUNCTION("""COMPUTED_VALUE"""),"Lightning Rod")</f>
        <v>Lightning Rod</v>
      </c>
      <c r="C473" s="263"/>
      <c r="D473" s="263" t="str">
        <f>IFERROR(__xludf.DUMMYFUNCTION("""COMPUTED_VALUE"""),"Rapid")</f>
        <v>Rapid</v>
      </c>
      <c r="E473" s="264" t="str">
        <f>IFERROR(__xludf.DUMMYFUNCTION("""COMPUTED_VALUE"""),"Self")</f>
        <v>Self</v>
      </c>
      <c r="F473" s="266" t="str">
        <f>IFERROR(__xludf.DUMMYFUNCTION("""COMPUTED_VALUE"""),"You gain Damage Reduction 100 Lightning for the triggering attack. If you reduce damage in any way from this ability and the attacker isn't you, you gain a Power Bonus on your next Lightning Elemental Attack equal to the attacker’s Power.")</f>
        <v>You gain Damage Reduction 100 Lightning for the triggering attack. If you reduce damage in any way from this ability and the attacker isn't you, you gain a Power Bonus on your next Lightning Elemental Attack equal to the attacker’s Power.</v>
      </c>
      <c r="G473" s="263" t="str">
        <f>IFERROR(__xludf.DUMMYFUNCTION("""COMPUTED_VALUE"""),"Attack Deals Lightning Damage,")</f>
        <v>Attack Deals Lightning Damage,</v>
      </c>
      <c r="H473" s="265" t="str">
        <f>IFERROR(__xludf.DUMMYFUNCTION("""COMPUTED_VALUE"""),"1 RP")</f>
        <v>1 RP</v>
      </c>
      <c r="I473" s="263" t="str">
        <f>IFERROR(__xludf.DUMMYFUNCTION("""COMPUTED_VALUE"""),"")</f>
        <v/>
      </c>
      <c r="J473" s="263" t="str">
        <f>IFERROR(__xludf.DUMMYFUNCTION("""COMPUTED_VALUE"""),"")</f>
        <v/>
      </c>
      <c r="K473" s="264" t="str">
        <f>IFERROR(__xludf.DUMMYFUNCTION("""COMPUTED_VALUE"""),"1 RP")</f>
        <v>1 RP</v>
      </c>
      <c r="L473" s="263" t="str">
        <f>IFERROR(__xludf.DUMMYFUNCTION("""COMPUTED_VALUE"""),"")</f>
        <v/>
      </c>
      <c r="M473" s="263"/>
      <c r="N473" s="263"/>
      <c r="O473" s="263"/>
      <c r="P473" s="263"/>
      <c r="Q473" s="263"/>
      <c r="R473" s="263"/>
      <c r="S473" s="263"/>
      <c r="T473" s="263"/>
      <c r="U473" s="246"/>
      <c r="V473" s="246"/>
      <c r="W473" s="246"/>
      <c r="X473" s="246"/>
      <c r="Y473" s="246"/>
      <c r="Z473" s="246"/>
    </row>
    <row r="474">
      <c r="A474" s="263"/>
      <c r="B474" s="265" t="str">
        <f>IFERROR(__xludf.DUMMYFUNCTION("""COMPUTED_VALUE"""),"Lightning Weapon")</f>
        <v>Lightning Weapon</v>
      </c>
      <c r="C474" s="263"/>
      <c r="D474" s="263" t="str">
        <f>IFERROR(__xludf.DUMMYFUNCTION("""COMPUTED_VALUE"""),"")</f>
        <v/>
      </c>
      <c r="E474" s="264" t="str">
        <f>IFERROR(__xludf.DUMMYFUNCTION("""COMPUTED_VALUE"""),"")</f>
        <v/>
      </c>
      <c r="F474" s="266" t="str">
        <f>IFERROR(__xludf.DUMMYFUNCTION("""COMPUTED_VALUE"""),"When attacking with a weapon, you may choose to have the weapon deal Lightning Damage instead of its normal damage type. You must declare you chosen damage type before making the accuracy roll.")</f>
        <v>When attacking with a weapon, you may choose to have the weapon deal Lightning Damage instead of its normal damage type. You must declare you chosen damage type before making the accuracy roll.</v>
      </c>
      <c r="G474" s="264" t="str">
        <f>IFERROR(__xludf.DUMMYFUNCTION("""COMPUTED_VALUE"""),"")</f>
        <v/>
      </c>
      <c r="H474" s="265" t="str">
        <f>IFERROR(__xludf.DUMMYFUNCTION("""COMPUTED_VALUE"""),"")</f>
        <v/>
      </c>
      <c r="I474" s="263" t="str">
        <f>IFERROR(__xludf.DUMMYFUNCTION("""COMPUTED_VALUE"""),"")</f>
        <v/>
      </c>
      <c r="J474" s="264" t="str">
        <f>IFERROR(__xludf.DUMMYFUNCTION("""COMPUTED_VALUE"""),"")</f>
        <v/>
      </c>
      <c r="K474" s="264" t="str">
        <f>IFERROR(__xludf.DUMMYFUNCTION("""COMPUTED_VALUE"""),"")</f>
        <v/>
      </c>
      <c r="L474" s="263" t="str">
        <f>IFERROR(__xludf.DUMMYFUNCTION("""COMPUTED_VALUE"""),"")</f>
        <v/>
      </c>
      <c r="M474" s="263"/>
      <c r="N474" s="263"/>
      <c r="O474" s="263"/>
      <c r="P474" s="263"/>
      <c r="Q474" s="263"/>
      <c r="R474" s="263"/>
      <c r="S474" s="263"/>
      <c r="T474" s="263"/>
      <c r="U474" s="246"/>
      <c r="V474" s="246"/>
      <c r="W474" s="246"/>
      <c r="X474" s="246"/>
      <c r="Y474" s="246"/>
      <c r="Z474" s="246"/>
    </row>
    <row r="475">
      <c r="A475" s="263"/>
      <c r="B475" s="265" t="str">
        <f>IFERROR(__xludf.DUMMYFUNCTION("""COMPUTED_VALUE"""),"Line of Death")</f>
        <v>Line of Death</v>
      </c>
      <c r="C475" s="263"/>
      <c r="D475" s="264" t="str">
        <f>IFERROR(__xludf.DUMMYFUNCTION("""COMPUTED_VALUE"""),"Half Pierce, Overcharge")</f>
        <v>Half Pierce, Overcharge</v>
      </c>
      <c r="E475" s="264" t="str">
        <f>IFERROR(__xludf.DUMMYFUNCTION("""COMPUTED_VALUE"""),"Melee Weapon Range")</f>
        <v>Melee Weapon Range</v>
      </c>
      <c r="F475" s="266" t="str">
        <f>IFERROR(__xludf.DUMMYFUNCTION("""COMPUTED_VALUE"""),"You may make a Light Attack against the target. Overcharge: You may spend 1 additional mana and AP to make another Light Attack against the same target.")</f>
        <v>You may make a Light Attack against the target. Overcharge: You may spend 1 additional mana and AP to make another Light Attack against the same target.</v>
      </c>
      <c r="G475" s="263" t="str">
        <f>IFERROR(__xludf.DUMMYFUNCTION("""COMPUTED_VALUE"""),"Slashing weapons only.")</f>
        <v>Slashing weapons only.</v>
      </c>
      <c r="H475" s="265" t="str">
        <f>IFERROR(__xludf.DUMMYFUNCTION("""COMPUTED_VALUE"""),"1 AP, 1 MP")</f>
        <v>1 AP, 1 MP</v>
      </c>
      <c r="I475" s="264" t="str">
        <f>IFERROR(__xludf.DUMMYFUNCTION("""COMPUTED_VALUE"""),"1 AP")</f>
        <v>1 AP</v>
      </c>
      <c r="J475" s="263" t="str">
        <f>IFERROR(__xludf.DUMMYFUNCTION("""COMPUTED_VALUE"""),"1 MP")</f>
        <v>1 MP</v>
      </c>
      <c r="K475" s="263" t="str">
        <f>IFERROR(__xludf.DUMMYFUNCTION("""COMPUTED_VALUE"""),"")</f>
        <v/>
      </c>
      <c r="L475" s="263" t="str">
        <f>IFERROR(__xludf.DUMMYFUNCTION("""COMPUTED_VALUE"""),"")</f>
        <v/>
      </c>
      <c r="M475" s="263"/>
      <c r="N475" s="263"/>
      <c r="O475" s="263"/>
      <c r="P475" s="263"/>
      <c r="Q475" s="263"/>
      <c r="R475" s="263"/>
      <c r="S475" s="263"/>
      <c r="T475" s="263"/>
      <c r="U475" s="246"/>
      <c r="V475" s="246"/>
      <c r="W475" s="246"/>
      <c r="X475" s="246"/>
      <c r="Y475" s="246"/>
      <c r="Z475" s="246"/>
    </row>
    <row r="476">
      <c r="A476" s="263"/>
      <c r="B476" s="265" t="str">
        <f>IFERROR(__xludf.DUMMYFUNCTION("""COMPUTED_VALUE"""),"Living Lightning")</f>
        <v>Living Lightning</v>
      </c>
      <c r="C476" s="263"/>
      <c r="D476" s="264" t="str">
        <f>IFERROR(__xludf.DUMMYFUNCTION("""COMPUTED_VALUE"""),"Sure Hit, Full Pierce, Blanketing")</f>
        <v>Sure Hit, Full Pierce, Blanketing</v>
      </c>
      <c r="E476" s="264" t="str">
        <f>IFERROR(__xludf.DUMMYFUNCTION("""COMPUTED_VALUE"""),"Self")</f>
        <v>Self</v>
      </c>
      <c r="F476" s="266" t="str">
        <f>IFERROR(__xludf.DUMMYFUNCTION("""COMPUTED_VALUE"""),"You turn into a spark of lightning as you move. For this movement action, you deal Light Lightning damage to all creatures you pass through.")</f>
        <v>You turn into a spark of lightning as you move. For this movement action, you deal Light Lightning damage to all creatures you pass through.</v>
      </c>
      <c r="G476" s="263" t="str">
        <f>IFERROR(__xludf.DUMMYFUNCTION("""COMPUTED_VALUE"""),"Not mounted and must move entirely in a straight line.")</f>
        <v>Not mounted and must move entirely in a straight line.</v>
      </c>
      <c r="H476" s="265" t="str">
        <f>IFERROR(__xludf.DUMMYFUNCTION("""COMPUTED_VALUE"""),"1 RP")</f>
        <v>1 RP</v>
      </c>
      <c r="I476" s="264" t="str">
        <f>IFERROR(__xludf.DUMMYFUNCTION("""COMPUTED_VALUE"""),"")</f>
        <v/>
      </c>
      <c r="J476" s="263" t="str">
        <f>IFERROR(__xludf.DUMMYFUNCTION("""COMPUTED_VALUE"""),"")</f>
        <v/>
      </c>
      <c r="K476" s="263" t="str">
        <f>IFERROR(__xludf.DUMMYFUNCTION("""COMPUTED_VALUE"""),"1 RP")</f>
        <v>1 RP</v>
      </c>
      <c r="L476" s="263" t="str">
        <f>IFERROR(__xludf.DUMMYFUNCTION("""COMPUTED_VALUE"""),"")</f>
        <v/>
      </c>
      <c r="M476" s="263"/>
      <c r="N476" s="263"/>
      <c r="O476" s="263"/>
      <c r="P476" s="263"/>
      <c r="Q476" s="263"/>
      <c r="R476" s="263"/>
      <c r="S476" s="263"/>
      <c r="T476" s="263"/>
      <c r="U476" s="246"/>
      <c r="V476" s="246"/>
      <c r="W476" s="246"/>
      <c r="X476" s="246"/>
      <c r="Y476" s="246"/>
      <c r="Z476" s="246"/>
    </row>
    <row r="477">
      <c r="A477" s="263"/>
      <c r="B477" s="265" t="str">
        <f>IFERROR(__xludf.DUMMYFUNCTION("""COMPUTED_VALUE"""),"Localized Collapse")</f>
        <v>Localized Collapse</v>
      </c>
      <c r="C477" s="263"/>
      <c r="D477" s="263" t="str">
        <f>IFERROR(__xludf.DUMMYFUNCTION("""COMPUTED_VALUE"""),"Gravity, Full Pierce")</f>
        <v>Gravity, Full Pierce</v>
      </c>
      <c r="E477" s="264" t="str">
        <f>IFERROR(__xludf.DUMMYFUNCTION("""COMPUTED_VALUE"""),"60ft")</f>
        <v>60ft</v>
      </c>
      <c r="F477" s="266" t="str">
        <f>IFERROR(__xludf.DUMMYFUNCTION("""COMPUTED_VALUE"""),"You target a 15x15ft square. All in the area take damage equal to your Focus / 2. If a creature occupies multiple squares in your target square, they take damage for each square they occupy.
A creature caught in it may spend 1 RP to avoid the effect.")</f>
        <v>You target a 15x15ft square. All in the area take damage equal to your Focus / 2. If a creature occupies multiple squares in your target square, they take damage for each square they occupy.
A creature caught in it may spend 1 RP to avoid the effect.</v>
      </c>
      <c r="G477" s="264" t="str">
        <f>IFERROR(__xludf.DUMMYFUNCTION("""COMPUTED_VALUE"""),"")</f>
        <v/>
      </c>
      <c r="H477" s="265" t="str">
        <f>IFERROR(__xludf.DUMMYFUNCTION("""COMPUTED_VALUE"""),"2 AP, 1 MP")</f>
        <v>2 AP, 1 MP</v>
      </c>
      <c r="I477" s="264" t="str">
        <f>IFERROR(__xludf.DUMMYFUNCTION("""COMPUTED_VALUE"""),"2 AP")</f>
        <v>2 AP</v>
      </c>
      <c r="J477" s="264" t="str">
        <f>IFERROR(__xludf.DUMMYFUNCTION("""COMPUTED_VALUE"""),"1 MP")</f>
        <v>1 MP</v>
      </c>
      <c r="K477" s="263" t="str">
        <f>IFERROR(__xludf.DUMMYFUNCTION("""COMPUTED_VALUE"""),"")</f>
        <v/>
      </c>
      <c r="L477" s="263" t="str">
        <f>IFERROR(__xludf.DUMMYFUNCTION("""COMPUTED_VALUE"""),"")</f>
        <v/>
      </c>
      <c r="M477" s="263"/>
      <c r="N477" s="263"/>
      <c r="O477" s="263"/>
      <c r="P477" s="263"/>
      <c r="Q477" s="263"/>
      <c r="R477" s="263"/>
      <c r="S477" s="263"/>
      <c r="T477" s="263"/>
      <c r="U477" s="246"/>
      <c r="V477" s="246"/>
      <c r="W477" s="246"/>
      <c r="X477" s="246"/>
      <c r="Y477" s="246"/>
      <c r="Z477" s="246"/>
    </row>
    <row r="478">
      <c r="A478" s="263"/>
      <c r="B478" s="265" t="str">
        <f>IFERROR(__xludf.DUMMYFUNCTION("""COMPUTED_VALUE"""),"Long Toss")</f>
        <v>Long Toss</v>
      </c>
      <c r="C478" s="263"/>
      <c r="D478" s="264" t="str">
        <f>IFERROR(__xludf.DUMMYFUNCTION("""COMPUTED_VALUE"""),"")</f>
        <v/>
      </c>
      <c r="E478" s="264" t="str">
        <f>IFERROR(__xludf.DUMMYFUNCTION("""COMPUTED_VALUE"""),"Ranged Weapon Range")</f>
        <v>Ranged Weapon Range</v>
      </c>
      <c r="F478" s="266" t="str">
        <f>IFERROR(__xludf.DUMMYFUNCTION("""COMPUTED_VALUE"""),"You may make a Heavy Attack against the target. This attack has triple the range it would normally have.")</f>
        <v>You may make a Heavy Attack against the target. This attack has triple the range it would normally have.</v>
      </c>
      <c r="G478" s="263" t="str">
        <f>IFERROR(__xludf.DUMMYFUNCTION("""COMPUTED_VALUE"""),"Throwing Weapon, Set of Missiles or Thrown attack only.")</f>
        <v>Throwing Weapon, Set of Missiles or Thrown attack only.</v>
      </c>
      <c r="H478" s="265" t="str">
        <f>IFERROR(__xludf.DUMMYFUNCTION("""COMPUTED_VALUE"""),"2 AP")</f>
        <v>2 AP</v>
      </c>
      <c r="I478" s="264" t="str">
        <f>IFERROR(__xludf.DUMMYFUNCTION("""COMPUTED_VALUE"""),"2 AP")</f>
        <v>2 AP</v>
      </c>
      <c r="J478" s="264" t="str">
        <f>IFERROR(__xludf.DUMMYFUNCTION("""COMPUTED_VALUE"""),"")</f>
        <v/>
      </c>
      <c r="K478" s="263" t="str">
        <f>IFERROR(__xludf.DUMMYFUNCTION("""COMPUTED_VALUE"""),"")</f>
        <v/>
      </c>
      <c r="L478" s="263" t="str">
        <f>IFERROR(__xludf.DUMMYFUNCTION("""COMPUTED_VALUE"""),"")</f>
        <v/>
      </c>
      <c r="M478" s="263"/>
      <c r="N478" s="263"/>
      <c r="O478" s="263"/>
      <c r="P478" s="263"/>
      <c r="Q478" s="263"/>
      <c r="R478" s="263"/>
      <c r="S478" s="263"/>
      <c r="T478" s="263"/>
      <c r="U478" s="246"/>
      <c r="V478" s="246"/>
      <c r="W478" s="246"/>
      <c r="X478" s="246"/>
      <c r="Y478" s="246"/>
      <c r="Z478" s="246"/>
    </row>
    <row r="479">
      <c r="A479" s="263"/>
      <c r="B479" s="265" t="str">
        <f>IFERROR(__xludf.DUMMYFUNCTION("""COMPUTED_VALUE"""),"Lord of Mercenary")</f>
        <v>Lord of Mercenary</v>
      </c>
      <c r="C479" s="263"/>
      <c r="D479" s="264" t="str">
        <f>IFERROR(__xludf.DUMMYFUNCTION("""COMPUTED_VALUE"""),"Flashback")</f>
        <v>Flashback</v>
      </c>
      <c r="E479" s="263" t="str">
        <f>IFERROR(__xludf.DUMMYFUNCTION("""COMPUTED_VALUE"""),"Self")</f>
        <v>Self</v>
      </c>
      <c r="F479" s="266" t="str">
        <f>IFERROR(__xludf.DUMMYFUNCTION("""COMPUTED_VALUE"""),"At the start of a new adventure, you can hire an NPC to help you for the entire adventure. You can also use this ability at other times that the DM allows you to. When you summon them, choose a name and appearance for the character unless the DM does.
The"&amp;" cost is per week and depends on the NPC. If your hired help dies, you cannot use this ability until you complete a new separate adventure. This ability counts as 1 towards your summon limit as long as the mercenary is in your employ, unless specified. Th"&amp;"ese mercs can be modified through Expert Summoner breakthrough, but this must be done the moment you hire them.
Refer to the Monster guide for stats of mercenaries. The mercenaries and costs are:
Archer: 250/ Week
Acolyte: 750c / Week
Tank: 500c / Week
Ap"&amp;"prentice: 750c/ Week
Rogue: 200c / Week
Brute: 200c / Week")</f>
        <v>At the start of a new adventure, you can hire an NPC to help you for the entire adventure. You can also use this ability at other times that the DM allows you to. When you summon them, choose a name and appearance for the character unless the DM does.
The cost is per week and depends on the NPC. If your hired help dies, you cannot use this ability until you complete a new separate adventure. This ability counts as 1 towards your summon limit as long as the mercenary is in your employ, unless specified. These mercs can be modified through Expert Summoner breakthrough, but this must be done the moment you hire them.
Refer to the Monster guide for stats of mercenaries. The mercenaries and costs are:
Archer: 250/ Week
Acolyte: 750c / Week
Tank: 500c / Week
Apprentice: 750c/ Week
Rogue: 200c / Week
Brute: 200c / Week</v>
      </c>
      <c r="G479" s="264" t="str">
        <f>IFERROR(__xludf.DUMMYFUNCTION("""COMPUTED_VALUE"""),"")</f>
        <v/>
      </c>
      <c r="H479" s="267" t="str">
        <f>IFERROR(__xludf.DUMMYFUNCTION("""COMPUTED_VALUE"""),"")</f>
        <v/>
      </c>
      <c r="I479" s="263" t="str">
        <f>IFERROR(__xludf.DUMMYFUNCTION("""COMPUTED_VALUE"""),"")</f>
        <v/>
      </c>
      <c r="J479" s="263" t="str">
        <f>IFERROR(__xludf.DUMMYFUNCTION("""COMPUTED_VALUE"""),"")</f>
        <v/>
      </c>
      <c r="K479" s="263" t="str">
        <f>IFERROR(__xludf.DUMMYFUNCTION("""COMPUTED_VALUE"""),"")</f>
        <v/>
      </c>
      <c r="L479" s="263" t="str">
        <f>IFERROR(__xludf.DUMMYFUNCTION("""COMPUTED_VALUE"""),"")</f>
        <v/>
      </c>
      <c r="M479" s="263"/>
      <c r="N479" s="263"/>
      <c r="O479" s="263"/>
      <c r="P479" s="263"/>
      <c r="Q479" s="263"/>
      <c r="R479" s="263"/>
      <c r="S479" s="263"/>
      <c r="T479" s="263"/>
      <c r="U479" s="246"/>
      <c r="V479" s="246"/>
      <c r="W479" s="246"/>
      <c r="X479" s="246"/>
      <c r="Y479" s="246"/>
      <c r="Z479" s="246"/>
    </row>
    <row r="480">
      <c r="A480" s="263"/>
      <c r="B480" s="265" t="str">
        <f>IFERROR(__xludf.DUMMYFUNCTION("""COMPUTED_VALUE"""),"Loyalty")</f>
        <v>Loyalty</v>
      </c>
      <c r="C480" s="263"/>
      <c r="D480" s="264" t="str">
        <f>IFERROR(__xludf.DUMMYFUNCTION("""COMPUTED_VALUE"""),"")</f>
        <v/>
      </c>
      <c r="E480" s="264" t="str">
        <f>IFERROR(__xludf.DUMMYFUNCTION("""COMPUTED_VALUE"""),"")</f>
        <v/>
      </c>
      <c r="F480" s="266" t="str">
        <f>IFERROR(__xludf.DUMMYFUNCTION("""COMPUTED_VALUE"""),"When standing within 5ft of a heroic ally, your Guard is increased by 1 and your Block is increased by 2.")</f>
        <v>When standing within 5ft of a heroic ally, your Guard is increased by 1 and your Block is increased by 2.</v>
      </c>
      <c r="G480" s="263" t="str">
        <f>IFERROR(__xludf.DUMMYFUNCTION("""COMPUTED_VALUE"""),"")</f>
        <v/>
      </c>
      <c r="H480" s="265" t="str">
        <f>IFERROR(__xludf.DUMMYFUNCTION("""COMPUTED_VALUE"""),"")</f>
        <v/>
      </c>
      <c r="I480" s="264" t="str">
        <f>IFERROR(__xludf.DUMMYFUNCTION("""COMPUTED_VALUE"""),"")</f>
        <v/>
      </c>
      <c r="J480" s="263" t="str">
        <f>IFERROR(__xludf.DUMMYFUNCTION("""COMPUTED_VALUE"""),"")</f>
        <v/>
      </c>
      <c r="K480" s="263" t="str">
        <f>IFERROR(__xludf.DUMMYFUNCTION("""COMPUTED_VALUE"""),"")</f>
        <v/>
      </c>
      <c r="L480" s="263" t="str">
        <f>IFERROR(__xludf.DUMMYFUNCTION("""COMPUTED_VALUE"""),"")</f>
        <v/>
      </c>
      <c r="M480" s="263"/>
      <c r="N480" s="263"/>
      <c r="O480" s="263"/>
      <c r="P480" s="263"/>
      <c r="Q480" s="263"/>
      <c r="R480" s="263"/>
      <c r="S480" s="263"/>
      <c r="T480" s="263"/>
      <c r="U480" s="246"/>
      <c r="V480" s="246"/>
      <c r="W480" s="246"/>
      <c r="X480" s="246"/>
      <c r="Y480" s="246"/>
      <c r="Z480" s="246"/>
    </row>
    <row r="481">
      <c r="A481" s="263"/>
      <c r="B481" s="265" t="str">
        <f>IFERROR(__xludf.DUMMYFUNCTION("""COMPUTED_VALUE"""),"Lucid Sleep")</f>
        <v>Lucid Sleep</v>
      </c>
      <c r="C481" s="263"/>
      <c r="D481" s="263" t="str">
        <f>IFERROR(__xludf.DUMMYFUNCTION("""COMPUTED_VALUE"""),"")</f>
        <v/>
      </c>
      <c r="E481" s="264" t="str">
        <f>IFERROR(__xludf.DUMMYFUNCTION("""COMPUTED_VALUE"""),"")</f>
        <v/>
      </c>
      <c r="F481" s="266" t="str">
        <f>IFERROR(__xludf.DUMMYFUNCTION("""COMPUTED_VALUE"""),"High Fae remain aware of their surroundings while they sleep and do not suffer from Surprised from being asleep.")</f>
        <v>High Fae remain aware of their surroundings while they sleep and do not suffer from Surprised from being asleep.</v>
      </c>
      <c r="G481" s="263" t="str">
        <f>IFERROR(__xludf.DUMMYFUNCTION("""COMPUTED_VALUE"""),"")</f>
        <v/>
      </c>
      <c r="H481" s="265" t="str">
        <f>IFERROR(__xludf.DUMMYFUNCTION("""COMPUTED_VALUE"""),"")</f>
        <v/>
      </c>
      <c r="I481" s="264" t="str">
        <f>IFERROR(__xludf.DUMMYFUNCTION("""COMPUTED_VALUE"""),"")</f>
        <v/>
      </c>
      <c r="J481" s="264" t="str">
        <f>IFERROR(__xludf.DUMMYFUNCTION("""COMPUTED_VALUE"""),"")</f>
        <v/>
      </c>
      <c r="K481" s="263" t="str">
        <f>IFERROR(__xludf.DUMMYFUNCTION("""COMPUTED_VALUE"""),"")</f>
        <v/>
      </c>
      <c r="L481" s="263" t="str">
        <f>IFERROR(__xludf.DUMMYFUNCTION("""COMPUTED_VALUE"""),"")</f>
        <v/>
      </c>
      <c r="M481" s="263"/>
      <c r="N481" s="263"/>
      <c r="O481" s="263"/>
      <c r="P481" s="263"/>
      <c r="Q481" s="263"/>
      <c r="R481" s="263"/>
      <c r="S481" s="263"/>
      <c r="T481" s="263"/>
      <c r="U481" s="246"/>
      <c r="V481" s="246"/>
      <c r="W481" s="246"/>
      <c r="X481" s="246"/>
      <c r="Y481" s="246"/>
      <c r="Z481" s="246"/>
    </row>
    <row r="482">
      <c r="A482" s="263"/>
      <c r="B482" s="265" t="str">
        <f>IFERROR(__xludf.DUMMYFUNCTION("""COMPUTED_VALUE"""),"Luminous Form Stance")</f>
        <v>Luminous Form Stance</v>
      </c>
      <c r="C482" s="263"/>
      <c r="D482" s="264" t="str">
        <f>IFERROR(__xludf.DUMMYFUNCTION("""COMPUTED_VALUE"""),"Stance, Stacking")</f>
        <v>Stance, Stacking</v>
      </c>
      <c r="E482" s="264" t="str">
        <f>IFERROR(__xludf.DUMMYFUNCTION("""COMPUTED_VALUE"""),"Self")</f>
        <v>Self</v>
      </c>
      <c r="F482" s="266" t="str">
        <f>IFERROR(__xludf.DUMMYFUNCTION("""COMPUTED_VALUE"""),"You enter the Luminous Form Stance and create the Threads of Light. These manifest spiritual cloth, spectral arms or something similar that enhances your reach.
While in this stance, you gain an additional 10ft range on your unarmed attacks and your threa"&amp;"tened range becomes 5-15ft. Whenever you deal damage to an enemy with an unarmed strike ability (not basic attacks), you gain 1 stack of Harmony up to a maximum of 5. You cannot gain more than 1 Harmony per use of ability.
When you leave this stance all s"&amp;"tacks are lost.
This stance lasts until you enter a different stance or you willingly move, with the exception of movement abilities with the unarmed strike keyword. Abilities from allies that allow you to move, such as Gravitional Ki, count as willing mo"&amp;"vement.")</f>
        <v>You enter the Luminous Form Stance and create the Threads of Light. These manifest spiritual cloth, spectral arms or something similar that enhances your reach.
While in this stance, you gain an additional 10ft range on your unarmed attacks and your threatened range becomes 5-15ft. Whenever you deal damage to an enemy with an unarmed strike ability (not basic attacks), you gain 1 stack of Harmony up to a maximum of 5. You cannot gain more than 1 Harmony per use of ability.
When you leave this stance all stacks are lost.
This stance lasts until you enter a different stance or you willingly move, with the exception of movement abilities with the unarmed strike keyword. Abilities from allies that allow you to move, such as Gravitional Ki, count as willing movement.</v>
      </c>
      <c r="G482" s="264" t="str">
        <f>IFERROR(__xludf.DUMMYFUNCTION("""COMPUTED_VALUE"""),"")</f>
        <v/>
      </c>
      <c r="H482" s="265" t="str">
        <f>IFERROR(__xludf.DUMMYFUNCTION("""COMPUTED_VALUE"""),"0 AP, 1 MP")</f>
        <v>0 AP, 1 MP</v>
      </c>
      <c r="I482" s="264" t="str">
        <f>IFERROR(__xludf.DUMMYFUNCTION("""COMPUTED_VALUE"""),"0 AP")</f>
        <v>0 AP</v>
      </c>
      <c r="J482" s="263" t="str">
        <f>IFERROR(__xludf.DUMMYFUNCTION("""COMPUTED_VALUE"""),"1 MP")</f>
        <v>1 MP</v>
      </c>
      <c r="K482" s="263" t="str">
        <f>IFERROR(__xludf.DUMMYFUNCTION("""COMPUTED_VALUE"""),"")</f>
        <v/>
      </c>
      <c r="L482" s="263" t="str">
        <f>IFERROR(__xludf.DUMMYFUNCTION("""COMPUTED_VALUE"""),"")</f>
        <v/>
      </c>
      <c r="M482" s="263"/>
      <c r="N482" s="263"/>
      <c r="O482" s="263"/>
      <c r="P482" s="263"/>
      <c r="Q482" s="263"/>
      <c r="R482" s="263"/>
      <c r="S482" s="263"/>
      <c r="T482" s="263"/>
      <c r="U482" s="246"/>
      <c r="V482" s="246"/>
      <c r="W482" s="246"/>
      <c r="X482" s="246"/>
      <c r="Y482" s="246"/>
      <c r="Z482" s="246"/>
    </row>
    <row r="483">
      <c r="A483" s="263"/>
      <c r="B483" s="265" t="str">
        <f>IFERROR(__xludf.DUMMYFUNCTION("""COMPUTED_VALUE"""),"Lunge")</f>
        <v>Lunge</v>
      </c>
      <c r="C483" s="263"/>
      <c r="D483" s="264" t="str">
        <f>IFERROR(__xludf.DUMMYFUNCTION("""COMPUTED_VALUE"""),"")</f>
        <v/>
      </c>
      <c r="E483" s="264" t="str">
        <f>IFERROR(__xludf.DUMMYFUNCTION("""COMPUTED_VALUE"""),"Self")</f>
        <v>Self</v>
      </c>
      <c r="F483" s="266" t="str">
        <f>IFERROR(__xludf.DUMMYFUNCTION("""COMPUTED_VALUE"""),"The attack range of your next basic Light, Heavy or Precise Attack with a melee weapon is doubled.")</f>
        <v>The attack range of your next basic Light, Heavy or Precise Attack with a melee weapon is doubled.</v>
      </c>
      <c r="G483" s="263" t="str">
        <f>IFERROR(__xludf.DUMMYFUNCTION("""COMPUTED_VALUE"""),"")</f>
        <v/>
      </c>
      <c r="H483" s="267" t="str">
        <f>IFERROR(__xludf.DUMMYFUNCTION("""COMPUTED_VALUE"""),"0 AP")</f>
        <v>0 AP</v>
      </c>
      <c r="I483" s="263" t="str">
        <f>IFERROR(__xludf.DUMMYFUNCTION("""COMPUTED_VALUE"""),"0 AP")</f>
        <v>0 AP</v>
      </c>
      <c r="J483" s="263" t="str">
        <f>IFERROR(__xludf.DUMMYFUNCTION("""COMPUTED_VALUE"""),"")</f>
        <v/>
      </c>
      <c r="K483" s="263" t="str">
        <f>IFERROR(__xludf.DUMMYFUNCTION("""COMPUTED_VALUE"""),"")</f>
        <v/>
      </c>
      <c r="L483" s="263" t="str">
        <f>IFERROR(__xludf.DUMMYFUNCTION("""COMPUTED_VALUE"""),"")</f>
        <v/>
      </c>
      <c r="M483" s="263"/>
      <c r="N483" s="263"/>
      <c r="O483" s="263"/>
      <c r="P483" s="263"/>
      <c r="Q483" s="263"/>
      <c r="R483" s="263"/>
      <c r="S483" s="263"/>
      <c r="T483" s="263"/>
      <c r="U483" s="246"/>
      <c r="V483" s="246"/>
      <c r="W483" s="246"/>
      <c r="X483" s="246"/>
      <c r="Y483" s="246"/>
      <c r="Z483" s="246"/>
    </row>
    <row r="484">
      <c r="A484" s="263"/>
      <c r="B484" s="265" t="str">
        <f>IFERROR(__xludf.DUMMYFUNCTION("""COMPUTED_VALUE"""),"Mage Armor")</f>
        <v>Mage Armor</v>
      </c>
      <c r="C484" s="263"/>
      <c r="D484" s="264" t="str">
        <f>IFERROR(__xludf.DUMMYFUNCTION("""COMPUTED_VALUE"""),"Arcane, Encounter Start, Spell")</f>
        <v>Arcane, Encounter Start, Spell</v>
      </c>
      <c r="E484" s="264" t="str">
        <f>IFERROR(__xludf.DUMMYFUNCTION("""COMPUTED_VALUE"""),"Self")</f>
        <v>Self</v>
      </c>
      <c r="F484" s="266" t="str">
        <f>IFERROR(__xludf.DUMMYFUNCTION("""COMPUTED_VALUE"""),"You gain magical Light Armor, Medium Armor or Heavy Armor until the end of the encounter. This function just as normal armor of that type would, giving the same benefits and penalties. Does not stack with other armor, apply the effects of the Mage Armor T"&amp;"his magical armor does not require proficiency of any sort and does not cost any Burden to wear and carry.
You may apply the effects of Barrier, Fortress, Manaweave, Protective Coating or Spidersilk to this armor (It must still meet the requirements, you "&amp;"cannot put fortress on a light armor for example). This can only be done when you first apply it, not if you later change your armor during combat.
If Mage Armor is active, you may spend 2 AP to change its type or to remove it.")</f>
        <v>You gain magical Light Armor, Medium Armor or Heavy Armor until the end of the encounter. This function just as normal armor of that type would, giving the same benefits and penalties. Does not stack with other armor, apply the effects of the Mage Armor This magical armor does not require proficiency of any sort and does not cost any Burden to wear and carry.
You may apply the effects of Barrier, Fortress, Manaweave, Protective Coating or Spidersilk to this armor (It must still meet the requirements, you cannot put fortress on a light armor for example). This can only be done when you first apply it, not if you later change your armor during combat.
If Mage Armor is active, you may spend 2 AP to change its type or to remove it.</v>
      </c>
      <c r="G484" s="264" t="str">
        <f>IFERROR(__xludf.DUMMYFUNCTION("""COMPUTED_VALUE"""),"")</f>
        <v/>
      </c>
      <c r="H484" s="265" t="str">
        <f>IFERROR(__xludf.DUMMYFUNCTION("""COMPUTED_VALUE"""),"")</f>
        <v/>
      </c>
      <c r="I484" s="264" t="str">
        <f>IFERROR(__xludf.DUMMYFUNCTION("""COMPUTED_VALUE"""),"")</f>
        <v/>
      </c>
      <c r="J484" s="264" t="str">
        <f>IFERROR(__xludf.DUMMYFUNCTION("""COMPUTED_VALUE"""),"")</f>
        <v/>
      </c>
      <c r="K484" s="263" t="str">
        <f>IFERROR(__xludf.DUMMYFUNCTION("""COMPUTED_VALUE"""),"")</f>
        <v/>
      </c>
      <c r="L484" s="263" t="str">
        <f>IFERROR(__xludf.DUMMYFUNCTION("""COMPUTED_VALUE"""),"")</f>
        <v/>
      </c>
      <c r="M484" s="263"/>
      <c r="N484" s="263"/>
      <c r="O484" s="263"/>
      <c r="P484" s="263"/>
      <c r="Q484" s="263"/>
      <c r="R484" s="263"/>
      <c r="S484" s="263"/>
      <c r="T484" s="263"/>
      <c r="U484" s="246"/>
      <c r="V484" s="246"/>
      <c r="W484" s="246"/>
      <c r="X484" s="246"/>
      <c r="Y484" s="246"/>
      <c r="Z484" s="246"/>
    </row>
    <row r="485">
      <c r="A485" s="263"/>
      <c r="B485" s="265" t="str">
        <f>IFERROR(__xludf.DUMMYFUNCTION("""COMPUTED_VALUE"""),"Magic Blast")</f>
        <v>Magic Blast</v>
      </c>
      <c r="C485" s="263"/>
      <c r="D485" s="264" t="str">
        <f>IFERROR(__xludf.DUMMYFUNCTION("""COMPUTED_VALUE"""),"Spell, Rapid")</f>
        <v>Spell, Rapid</v>
      </c>
      <c r="E485" s="264" t="str">
        <f>IFERROR(__xludf.DUMMYFUNCTION("""COMPUTED_VALUE"""),"40ft")</f>
        <v>40ft</v>
      </c>
      <c r="F485" s="266" t="str">
        <f>IFERROR(__xludf.DUMMYFUNCTION("""COMPUTED_VALUE"""),"You make a Light (1 AP), Heavy (2 AP) or Precise (2 AP) attack against the target that deals Arcane damage.
If you have an element mastered, you may change the damage of this spell to that element.")</f>
        <v>You make a Light (1 AP), Heavy (2 AP) or Precise (2 AP) attack against the target that deals Arcane damage.
If you have an element mastered, you may change the damage of this spell to that element.</v>
      </c>
      <c r="G485" s="263" t="str">
        <f>IFERROR(__xludf.DUMMYFUNCTION("""COMPUTED_VALUE"""),"")</f>
        <v/>
      </c>
      <c r="H485" s="265" t="str">
        <f>IFERROR(__xludf.DUMMYFUNCTION("""COMPUTED_VALUE"""),"1 AP")</f>
        <v>1 AP</v>
      </c>
      <c r="I485" s="264" t="str">
        <f>IFERROR(__xludf.DUMMYFUNCTION("""COMPUTED_VALUE"""),"1 AP")</f>
        <v>1 AP</v>
      </c>
      <c r="J485" s="263" t="str">
        <f>IFERROR(__xludf.DUMMYFUNCTION("""COMPUTED_VALUE"""),"")</f>
        <v/>
      </c>
      <c r="K485" s="263" t="str">
        <f>IFERROR(__xludf.DUMMYFUNCTION("""COMPUTED_VALUE"""),"")</f>
        <v/>
      </c>
      <c r="L485" s="263" t="str">
        <f>IFERROR(__xludf.DUMMYFUNCTION("""COMPUTED_VALUE"""),"")</f>
        <v/>
      </c>
      <c r="M485" s="263"/>
      <c r="N485" s="263"/>
      <c r="O485" s="263"/>
      <c r="P485" s="263"/>
      <c r="Q485" s="263"/>
      <c r="R485" s="263"/>
      <c r="S485" s="263"/>
      <c r="T485" s="263"/>
      <c r="U485" s="246"/>
      <c r="V485" s="246"/>
      <c r="W485" s="246"/>
      <c r="X485" s="246"/>
      <c r="Y485" s="246"/>
      <c r="Z485" s="246"/>
    </row>
    <row r="486">
      <c r="A486" s="263"/>
      <c r="B486" s="265" t="str">
        <f>IFERROR(__xludf.DUMMYFUNCTION("""COMPUTED_VALUE"""),"Magic Blast II")</f>
        <v>Magic Blast II</v>
      </c>
      <c r="C486" s="263"/>
      <c r="D486" s="264" t="str">
        <f>IFERROR(__xludf.DUMMYFUNCTION("""COMPUTED_VALUE"""),"Spell, Rapid")</f>
        <v>Spell, Rapid</v>
      </c>
      <c r="E486" s="264" t="str">
        <f>IFERROR(__xludf.DUMMYFUNCTION("""COMPUTED_VALUE"""),"120ft")</f>
        <v>120ft</v>
      </c>
      <c r="F486" s="266" t="str">
        <f>IFERROR(__xludf.DUMMYFUNCTION("""COMPUTED_VALUE"""),"You make a Light (1 AP), Heavy (2 AP) or Precise (2 AP) attack against the target that deals Arcane damage.
If you have an element mastered, you may change the damage of this spell to that element.")</f>
        <v>You make a Light (1 AP), Heavy (2 AP) or Precise (2 AP) attack against the target that deals Arcane damage.
If you have an element mastered, you may change the damage of this spell to that element.</v>
      </c>
      <c r="G486" s="264" t="str">
        <f>IFERROR(__xludf.DUMMYFUNCTION("""COMPUTED_VALUE"""),"")</f>
        <v/>
      </c>
      <c r="H486" s="265" t="str">
        <f>IFERROR(__xludf.DUMMYFUNCTION("""COMPUTED_VALUE"""),"1 AP")</f>
        <v>1 AP</v>
      </c>
      <c r="I486" s="264" t="str">
        <f>IFERROR(__xludf.DUMMYFUNCTION("""COMPUTED_VALUE"""),"1 AP")</f>
        <v>1 AP</v>
      </c>
      <c r="J486" s="264" t="str">
        <f>IFERROR(__xludf.DUMMYFUNCTION("""COMPUTED_VALUE"""),"")</f>
        <v/>
      </c>
      <c r="K486" s="263" t="str">
        <f>IFERROR(__xludf.DUMMYFUNCTION("""COMPUTED_VALUE"""),"")</f>
        <v/>
      </c>
      <c r="L486" s="263" t="str">
        <f>IFERROR(__xludf.DUMMYFUNCTION("""COMPUTED_VALUE"""),"")</f>
        <v/>
      </c>
      <c r="M486" s="263"/>
      <c r="N486" s="263"/>
      <c r="O486" s="263"/>
      <c r="P486" s="263"/>
      <c r="Q486" s="263"/>
      <c r="R486" s="263"/>
      <c r="S486" s="263"/>
      <c r="T486" s="263"/>
      <c r="U486" s="246"/>
      <c r="V486" s="246"/>
      <c r="W486" s="246"/>
      <c r="X486" s="246"/>
      <c r="Y486" s="246"/>
      <c r="Z486" s="246"/>
    </row>
    <row r="487">
      <c r="A487" s="263"/>
      <c r="B487" s="265" t="str">
        <f>IFERROR(__xludf.DUMMYFUNCTION("""COMPUTED_VALUE"""),"Magic Missile")</f>
        <v>Magic Missile</v>
      </c>
      <c r="C487" s="263"/>
      <c r="D487" s="264" t="str">
        <f>IFERROR(__xludf.DUMMYFUNCTION("""COMPUTED_VALUE"""),"Arcane, Lock On, Spell, Rapid")</f>
        <v>Arcane, Lock On, Spell, Rapid</v>
      </c>
      <c r="E487" s="264" t="str">
        <f>IFERROR(__xludf.DUMMYFUNCTION("""COMPUTED_VALUE"""),"60ft")</f>
        <v>60ft</v>
      </c>
      <c r="F487" s="266" t="str">
        <f>IFERROR(__xludf.DUMMYFUNCTION("""COMPUTED_VALUE"""),"You fire a highly accurate blast of arcane energy at the target, making a Precise Attack that deals Arcane damage against the target
This attack does not gain Pinpoint.")</f>
        <v>You fire a highly accurate blast of arcane energy at the target, making a Precise Attack that deals Arcane damage against the target
This attack does not gain Pinpoint.</v>
      </c>
      <c r="G487" s="264" t="str">
        <f>IFERROR(__xludf.DUMMYFUNCTION("""COMPUTED_VALUE"""),"")</f>
        <v/>
      </c>
      <c r="H487" s="265" t="str">
        <f>IFERROR(__xludf.DUMMYFUNCTION("""COMPUTED_VALUE"""),"1 AP, 1 MP")</f>
        <v>1 AP, 1 MP</v>
      </c>
      <c r="I487" s="264" t="str">
        <f>IFERROR(__xludf.DUMMYFUNCTION("""COMPUTED_VALUE"""),"1 AP")</f>
        <v>1 AP</v>
      </c>
      <c r="J487" s="264" t="str">
        <f>IFERROR(__xludf.DUMMYFUNCTION("""COMPUTED_VALUE"""),"1 MP")</f>
        <v>1 MP</v>
      </c>
      <c r="K487" s="263" t="str">
        <f>IFERROR(__xludf.DUMMYFUNCTION("""COMPUTED_VALUE"""),"")</f>
        <v/>
      </c>
      <c r="L487" s="263" t="str">
        <f>IFERROR(__xludf.DUMMYFUNCTION("""COMPUTED_VALUE"""),"")</f>
        <v/>
      </c>
      <c r="M487" s="263"/>
      <c r="N487" s="263"/>
      <c r="O487" s="263"/>
      <c r="P487" s="263"/>
      <c r="Q487" s="263"/>
      <c r="R487" s="263"/>
      <c r="S487" s="263"/>
      <c r="T487" s="263"/>
      <c r="U487" s="246"/>
      <c r="V487" s="246"/>
      <c r="W487" s="246"/>
      <c r="X487" s="246"/>
      <c r="Y487" s="246"/>
      <c r="Z487" s="246"/>
    </row>
    <row r="488">
      <c r="A488" s="263"/>
      <c r="B488" s="265" t="str">
        <f>IFERROR(__xludf.DUMMYFUNCTION("""COMPUTED_VALUE"""),"Magic Missile II")</f>
        <v>Magic Missile II</v>
      </c>
      <c r="C488" s="263"/>
      <c r="D488" s="264" t="str">
        <f>IFERROR(__xludf.DUMMYFUNCTION("""COMPUTED_VALUE"""),"Arcane, Lock On, Rapid, Spell, Circuit")</f>
        <v>Arcane, Lock On, Rapid, Spell, Circuit</v>
      </c>
      <c r="E488" s="264" t="str">
        <f>IFERROR(__xludf.DUMMYFUNCTION("""COMPUTED_VALUE"""),"120ft")</f>
        <v>120ft</v>
      </c>
      <c r="F488" s="266" t="str">
        <f>IFERROR(__xludf.DUMMYFUNCTION("""COMPUTED_VALUE"""),"You fire a highly accurate blast of arcane energy at the target, making a Precise Attack that deals Arcane damage against the target")</f>
        <v>You fire a highly accurate blast of arcane energy at the target, making a Precise Attack that deals Arcane damage against the target</v>
      </c>
      <c r="G488" s="263" t="str">
        <f>IFERROR(__xludf.DUMMYFUNCTION("""COMPUTED_VALUE"""),"")</f>
        <v/>
      </c>
      <c r="H488" s="265" t="str">
        <f>IFERROR(__xludf.DUMMYFUNCTION("""COMPUTED_VALUE"""),"1 AP, 2 MP")</f>
        <v>1 AP, 2 MP</v>
      </c>
      <c r="I488" s="264" t="str">
        <f>IFERROR(__xludf.DUMMYFUNCTION("""COMPUTED_VALUE"""),"1 AP")</f>
        <v>1 AP</v>
      </c>
      <c r="J488" s="263" t="str">
        <f>IFERROR(__xludf.DUMMYFUNCTION("""COMPUTED_VALUE"""),"2 MP")</f>
        <v>2 MP</v>
      </c>
      <c r="K488" s="263" t="str">
        <f>IFERROR(__xludf.DUMMYFUNCTION("""COMPUTED_VALUE"""),"")</f>
        <v/>
      </c>
      <c r="L488" s="263" t="str">
        <f>IFERROR(__xludf.DUMMYFUNCTION("""COMPUTED_VALUE"""),"")</f>
        <v/>
      </c>
      <c r="M488" s="263"/>
      <c r="N488" s="263"/>
      <c r="O488" s="263"/>
      <c r="P488" s="263"/>
      <c r="Q488" s="263"/>
      <c r="R488" s="263"/>
      <c r="S488" s="263"/>
      <c r="T488" s="263"/>
      <c r="U488" s="246"/>
      <c r="V488" s="246"/>
      <c r="W488" s="246"/>
      <c r="X488" s="246"/>
      <c r="Y488" s="246"/>
      <c r="Z488" s="246"/>
    </row>
    <row r="489">
      <c r="A489" s="263"/>
      <c r="B489" s="265" t="str">
        <f>IFERROR(__xludf.DUMMYFUNCTION("""COMPUTED_VALUE"""),"Malevolent Phantasm")</f>
        <v>Malevolent Phantasm</v>
      </c>
      <c r="C489" s="263"/>
      <c r="D489" s="264" t="str">
        <f>IFERROR(__xludf.DUMMYFUNCTION("""COMPUTED_VALUE"""),"Spell, Dark")</f>
        <v>Spell, Dark</v>
      </c>
      <c r="E489" s="263" t="str">
        <f>IFERROR(__xludf.DUMMYFUNCTION("""COMPUTED_VALUE"""),"60ft")</f>
        <v>60ft</v>
      </c>
      <c r="F489" s="266" t="str">
        <f>IFERROR(__xludf.DUMMYFUNCTION("""COMPUTED_VALUE"""),"You siphon the energy lost from your allies and make a Heavy Attack against the target that deals Dark Damage.")</f>
        <v>You siphon the energy lost from your allies and make a Heavy Attack against the target that deals Dark Damage.</v>
      </c>
      <c r="G489" s="264" t="str">
        <f>IFERROR(__xludf.DUMMYFUNCTION("""COMPUTED_VALUE"""),"An ally (including yourself) took damage on your turn.")</f>
        <v>An ally (including yourself) took damage on your turn.</v>
      </c>
      <c r="H489" s="267" t="str">
        <f>IFERROR(__xludf.DUMMYFUNCTION("""COMPUTED_VALUE"""),"1 AP, 1 MP")</f>
        <v>1 AP, 1 MP</v>
      </c>
      <c r="I489" s="263" t="str">
        <f>IFERROR(__xludf.DUMMYFUNCTION("""COMPUTED_VALUE"""),"1 AP")</f>
        <v>1 AP</v>
      </c>
      <c r="J489" s="263" t="str">
        <f>IFERROR(__xludf.DUMMYFUNCTION("""COMPUTED_VALUE"""),"1 MP")</f>
        <v>1 MP</v>
      </c>
      <c r="K489" s="263" t="str">
        <f>IFERROR(__xludf.DUMMYFUNCTION("""COMPUTED_VALUE"""),"")</f>
        <v/>
      </c>
      <c r="L489" s="263" t="str">
        <f>IFERROR(__xludf.DUMMYFUNCTION("""COMPUTED_VALUE"""),"")</f>
        <v/>
      </c>
      <c r="M489" s="263"/>
      <c r="N489" s="263"/>
      <c r="O489" s="263"/>
      <c r="P489" s="263"/>
      <c r="Q489" s="263"/>
      <c r="R489" s="263"/>
      <c r="S489" s="263"/>
      <c r="T489" s="263"/>
      <c r="U489" s="246"/>
      <c r="V489" s="246"/>
      <c r="W489" s="246"/>
      <c r="X489" s="246"/>
      <c r="Y489" s="246"/>
      <c r="Z489" s="246"/>
    </row>
    <row r="490">
      <c r="A490" s="263"/>
      <c r="B490" s="265" t="str">
        <f>IFERROR(__xludf.DUMMYFUNCTION("""COMPUTED_VALUE"""),"Mana Burst")</f>
        <v>Mana Burst</v>
      </c>
      <c r="C490" s="263"/>
      <c r="D490" s="263" t="str">
        <f>IFERROR(__xludf.DUMMYFUNCTION("""COMPUTED_VALUE"""),"Augment")</f>
        <v>Augment</v>
      </c>
      <c r="E490" s="263" t="str">
        <f>IFERROR(__xludf.DUMMYFUNCTION("""COMPUTED_VALUE"""),"Self")</f>
        <v>Self</v>
      </c>
      <c r="F490" s="266" t="str">
        <f>IFERROR(__xludf.DUMMYFUNCTION("""COMPUTED_VALUE"""),"You augment your next attack, increasing accuracy by 3 and dealing 3 bonus damage on hit.
You may use AP for this attack instead.")</f>
        <v>You augment your next attack, increasing accuracy by 3 and dealing 3 bonus damage on hit.
You may use AP for this attack instead.</v>
      </c>
      <c r="G490" s="263" t="str">
        <f>IFERROR(__xludf.DUMMYFUNCTION("""COMPUTED_VALUE"""),"")</f>
        <v/>
      </c>
      <c r="H490" s="267" t="str">
        <f>IFERROR(__xludf.DUMMYFUNCTION("""COMPUTED_VALUE"""),"1 MP, 1 RP")</f>
        <v>1 MP, 1 RP</v>
      </c>
      <c r="I490" s="263" t="str">
        <f>IFERROR(__xludf.DUMMYFUNCTION("""COMPUTED_VALUE"""),"")</f>
        <v/>
      </c>
      <c r="J490" s="263" t="str">
        <f>IFERROR(__xludf.DUMMYFUNCTION("""COMPUTED_VALUE"""),"1 MP")</f>
        <v>1 MP</v>
      </c>
      <c r="K490" s="263" t="str">
        <f>IFERROR(__xludf.DUMMYFUNCTION("""COMPUTED_VALUE"""),"1 RP")</f>
        <v>1 RP</v>
      </c>
      <c r="L490" s="263" t="str">
        <f>IFERROR(__xludf.DUMMYFUNCTION("""COMPUTED_VALUE"""),"")</f>
        <v/>
      </c>
      <c r="M490" s="263"/>
      <c r="N490" s="263"/>
      <c r="O490" s="263"/>
      <c r="P490" s="263"/>
      <c r="Q490" s="263"/>
      <c r="R490" s="263"/>
      <c r="S490" s="263"/>
      <c r="T490" s="263"/>
      <c r="U490" s="246"/>
      <c r="V490" s="246"/>
      <c r="W490" s="246"/>
      <c r="X490" s="246"/>
      <c r="Y490" s="246"/>
      <c r="Z490" s="246"/>
    </row>
    <row r="491">
      <c r="A491" s="263"/>
      <c r="B491" s="265" t="str">
        <f>IFERROR(__xludf.DUMMYFUNCTION("""COMPUTED_VALUE"""),"Mana Eater")</f>
        <v>Mana Eater</v>
      </c>
      <c r="C491" s="263"/>
      <c r="D491" s="264" t="str">
        <f>IFERROR(__xludf.DUMMYFUNCTION("""COMPUTED_VALUE"""),"")</f>
        <v/>
      </c>
      <c r="E491" s="264" t="str">
        <f>IFERROR(__xludf.DUMMYFUNCTION("""COMPUTED_VALUE"""),"")</f>
        <v/>
      </c>
      <c r="F491" s="266" t="str">
        <f>IFERROR(__xludf.DUMMYFUNCTION("""COMPUTED_VALUE"""),"You cannot consume biological food and instead consume equal monetary value of Magical Fuel for sustenance. You do not need to breathe.")</f>
        <v>You cannot consume biological food and instead consume equal monetary value of Magical Fuel for sustenance. You do not need to breathe.</v>
      </c>
      <c r="G491" s="263" t="str">
        <f>IFERROR(__xludf.DUMMYFUNCTION("""COMPUTED_VALUE"""),"")</f>
        <v/>
      </c>
      <c r="H491" s="265" t="str">
        <f>IFERROR(__xludf.DUMMYFUNCTION("""COMPUTED_VALUE"""),"")</f>
        <v/>
      </c>
      <c r="I491" s="264" t="str">
        <f>IFERROR(__xludf.DUMMYFUNCTION("""COMPUTED_VALUE"""),"")</f>
        <v/>
      </c>
      <c r="J491" s="263" t="str">
        <f>IFERROR(__xludf.DUMMYFUNCTION("""COMPUTED_VALUE"""),"")</f>
        <v/>
      </c>
      <c r="K491" s="263" t="str">
        <f>IFERROR(__xludf.DUMMYFUNCTION("""COMPUTED_VALUE"""),"")</f>
        <v/>
      </c>
      <c r="L491" s="263" t="str">
        <f>IFERROR(__xludf.DUMMYFUNCTION("""COMPUTED_VALUE"""),"")</f>
        <v/>
      </c>
      <c r="M491" s="263"/>
      <c r="N491" s="263"/>
      <c r="O491" s="263"/>
      <c r="P491" s="263"/>
      <c r="Q491" s="263"/>
      <c r="R491" s="263"/>
      <c r="S491" s="263"/>
      <c r="T491" s="263"/>
      <c r="U491" s="246"/>
      <c r="V491" s="246"/>
      <c r="W491" s="246"/>
      <c r="X491" s="246"/>
      <c r="Y491" s="246"/>
      <c r="Z491" s="246"/>
    </row>
    <row r="492">
      <c r="A492" s="263"/>
      <c r="B492" s="265" t="str">
        <f>IFERROR(__xludf.DUMMYFUNCTION("""COMPUTED_VALUE"""),"Mana Razor")</f>
        <v>Mana Razor</v>
      </c>
      <c r="C492" s="263"/>
      <c r="D492" s="264" t="str">
        <f>IFERROR(__xludf.DUMMYFUNCTION("""COMPUTED_VALUE"""),"Overcharge, Quick")</f>
        <v>Overcharge, Quick</v>
      </c>
      <c r="E492" s="264" t="str">
        <f>IFERROR(__xludf.DUMMYFUNCTION("""COMPUTED_VALUE"""),"Self")</f>
        <v>Self</v>
      </c>
      <c r="F492" s="266" t="str">
        <f>IFERROR(__xludf.DUMMYFUNCTION("""COMPUTED_VALUE"""),"Until the end of your turn you gain Mana Razor granting your basic melee attacks an additional 30ft range. Augmenting melee attacks with this ability makes them into ranged attacks. If using a Two-Handed melee weapon with Mana Razor, gain an additional 45"&amp;"ft range instead.
Overcharge: You may spend 1 mana to have this also affect basic ranged attacks and to remove the Quick keyword from it.")</f>
        <v>Until the end of your turn you gain Mana Razor granting your basic melee attacks an additional 30ft range. Augmenting melee attacks with this ability makes them into ranged attacks. If using a Two-Handed melee weapon with Mana Razor, gain an additional 45ft range instead.
Overcharge: You may spend 1 mana to have this also affect basic ranged attacks and to remove the Quick keyword from it.</v>
      </c>
      <c r="G492" s="263" t="str">
        <f>IFERROR(__xludf.DUMMYFUNCTION("""COMPUTED_VALUE"""),"")</f>
        <v/>
      </c>
      <c r="H492" s="265" t="str">
        <f>IFERROR(__xludf.DUMMYFUNCTION("""COMPUTED_VALUE"""),"0 AP")</f>
        <v>0 AP</v>
      </c>
      <c r="I492" s="264" t="str">
        <f>IFERROR(__xludf.DUMMYFUNCTION("""COMPUTED_VALUE"""),"0 AP")</f>
        <v>0 AP</v>
      </c>
      <c r="J492" s="263" t="str">
        <f>IFERROR(__xludf.DUMMYFUNCTION("""COMPUTED_VALUE"""),"")</f>
        <v/>
      </c>
      <c r="K492" s="263" t="str">
        <f>IFERROR(__xludf.DUMMYFUNCTION("""COMPUTED_VALUE"""),"")</f>
        <v/>
      </c>
      <c r="L492" s="263" t="str">
        <f>IFERROR(__xludf.DUMMYFUNCTION("""COMPUTED_VALUE"""),"")</f>
        <v/>
      </c>
      <c r="M492" s="263"/>
      <c r="N492" s="263"/>
      <c r="O492" s="263"/>
      <c r="P492" s="263"/>
      <c r="Q492" s="263"/>
      <c r="R492" s="263"/>
      <c r="S492" s="263"/>
      <c r="T492" s="263"/>
      <c r="U492" s="246"/>
      <c r="V492" s="246"/>
      <c r="W492" s="246"/>
      <c r="X492" s="246"/>
      <c r="Y492" s="246"/>
      <c r="Z492" s="246"/>
    </row>
    <row r="493">
      <c r="A493" s="263"/>
      <c r="B493" s="265" t="str">
        <f>IFERROR(__xludf.DUMMYFUNCTION("""COMPUTED_VALUE"""),"Mana Shield")</f>
        <v>Mana Shield</v>
      </c>
      <c r="C493" s="263"/>
      <c r="D493" s="264" t="str">
        <f>IFERROR(__xludf.DUMMYFUNCTION("""COMPUTED_VALUE"""),"Encounter Start")</f>
        <v>Encounter Start</v>
      </c>
      <c r="E493" s="263" t="str">
        <f>IFERROR(__xludf.DUMMYFUNCTION("""COMPUTED_VALUE"""),"Self")</f>
        <v>Self</v>
      </c>
      <c r="F493" s="266" t="str">
        <f>IFERROR(__xludf.DUMMYFUNCTION("""COMPUTED_VALUE"""),"You use your Encounter Start action to give yourself Mana Shield, which gives you Temporary HP equal to your Toughness + 3 or Focus + 3 (whichever is higher).
Wearing armor reduces this to 2/3rd, 1/3rd or 0 if wearing Light, Medium or Heavy Armor respecti"&amp;"vely. While Mana Shield is active, you do not provoke attacks of opportunity from casting Spells from enemies that are Challenged by you.
Until the end of the encounter, at the start of your turn you may spend 1 mana to restore your Mana Shield to its max"&amp;"imum value. (With similarly reduced values for wearing armor)
If you did not use this as an encounter start, you may also spend 1 AP and 1 Mana to activate this.")</f>
        <v>You use your Encounter Start action to give yourself Mana Shield, which gives you Temporary HP equal to your Toughness + 3 or Focus + 3 (whichever is higher).
Wearing armor reduces this to 2/3rd, 1/3rd or 0 if wearing Light, Medium or Heavy Armor respectively. While Mana Shield is active, you do not provoke attacks of opportunity from casting Spells from enemies that are Challenged by you.
Until the end of the encounter, at the start of your turn you may spend 1 mana to restore your Mana Shield to its maximum value. (With similarly reduced values for wearing armor)
If you did not use this as an encounter start, you may also spend 1 AP and 1 Mana to activate this.</v>
      </c>
      <c r="G493" s="263" t="str">
        <f>IFERROR(__xludf.DUMMYFUNCTION("""COMPUTED_VALUE"""),"")</f>
        <v/>
      </c>
      <c r="H493" s="267" t="str">
        <f>IFERROR(__xludf.DUMMYFUNCTION("""COMPUTED_VALUE"""),"")</f>
        <v/>
      </c>
      <c r="I493" s="263" t="str">
        <f>IFERROR(__xludf.DUMMYFUNCTION("""COMPUTED_VALUE"""),"")</f>
        <v/>
      </c>
      <c r="J493" s="263" t="str">
        <f>IFERROR(__xludf.DUMMYFUNCTION("""COMPUTED_VALUE"""),"")</f>
        <v/>
      </c>
      <c r="K493" s="263" t="str">
        <f>IFERROR(__xludf.DUMMYFUNCTION("""COMPUTED_VALUE"""),"")</f>
        <v/>
      </c>
      <c r="L493" s="263" t="str">
        <f>IFERROR(__xludf.DUMMYFUNCTION("""COMPUTED_VALUE"""),"")</f>
        <v/>
      </c>
      <c r="M493" s="263"/>
      <c r="N493" s="263"/>
      <c r="O493" s="263"/>
      <c r="P493" s="263"/>
      <c r="Q493" s="263"/>
      <c r="R493" s="263"/>
      <c r="S493" s="263"/>
      <c r="T493" s="263"/>
      <c r="U493" s="246"/>
      <c r="V493" s="246"/>
      <c r="W493" s="246"/>
      <c r="X493" s="246"/>
      <c r="Y493" s="246"/>
      <c r="Z493" s="246"/>
    </row>
    <row r="494">
      <c r="A494" s="263"/>
      <c r="B494" s="265" t="str">
        <f>IFERROR(__xludf.DUMMYFUNCTION("""COMPUTED_VALUE"""),"Mana Sight")</f>
        <v>Mana Sight</v>
      </c>
      <c r="C494" s="263"/>
      <c r="D494" s="264" t="str">
        <f>IFERROR(__xludf.DUMMYFUNCTION("""COMPUTED_VALUE"""),"Quick")</f>
        <v>Quick</v>
      </c>
      <c r="E494" s="264" t="str">
        <f>IFERROR(__xludf.DUMMYFUNCTION("""COMPUTED_VALUE"""),"Sight")</f>
        <v>Sight</v>
      </c>
      <c r="F494" s="266" t="str">
        <f>IFERROR(__xludf.DUMMYFUNCTION("""COMPUTED_VALUE"""),"You can assess the approximate mana percentage of a unit until the end of combat. (The DM should enable mana bar for the unit).")</f>
        <v>You can assess the approximate mana percentage of a unit until the end of combat. (The DM should enable mana bar for the unit).</v>
      </c>
      <c r="G494" s="264" t="str">
        <f>IFERROR(__xludf.DUMMYFUNCTION("""COMPUTED_VALUE"""),"")</f>
        <v/>
      </c>
      <c r="H494" s="265" t="str">
        <f>IFERROR(__xludf.DUMMYFUNCTION("""COMPUTED_VALUE"""),"0 AP")</f>
        <v>0 AP</v>
      </c>
      <c r="I494" s="264" t="str">
        <f>IFERROR(__xludf.DUMMYFUNCTION("""COMPUTED_VALUE"""),"0 AP")</f>
        <v>0 AP</v>
      </c>
      <c r="J494" s="264" t="str">
        <f>IFERROR(__xludf.DUMMYFUNCTION("""COMPUTED_VALUE"""),"")</f>
        <v/>
      </c>
      <c r="K494" s="263" t="str">
        <f>IFERROR(__xludf.DUMMYFUNCTION("""COMPUTED_VALUE"""),"")</f>
        <v/>
      </c>
      <c r="L494" s="263" t="str">
        <f>IFERROR(__xludf.DUMMYFUNCTION("""COMPUTED_VALUE"""),"")</f>
        <v/>
      </c>
      <c r="M494" s="263"/>
      <c r="N494" s="263"/>
      <c r="O494" s="263"/>
      <c r="P494" s="263"/>
      <c r="Q494" s="263"/>
      <c r="R494" s="263"/>
      <c r="S494" s="263"/>
      <c r="T494" s="263"/>
      <c r="U494" s="246"/>
      <c r="V494" s="246"/>
      <c r="W494" s="246"/>
      <c r="X494" s="246"/>
      <c r="Y494" s="246"/>
      <c r="Z494" s="246"/>
    </row>
    <row r="495">
      <c r="A495" s="263"/>
      <c r="B495" s="265" t="str">
        <f>IFERROR(__xludf.DUMMYFUNCTION("""COMPUTED_VALUE"""),"Mantra: Flowing Perception")</f>
        <v>Mantra: Flowing Perception</v>
      </c>
      <c r="C495" s="263"/>
      <c r="D495" s="264" t="str">
        <f>IFERROR(__xludf.DUMMYFUNCTION("""COMPUTED_VALUE"""),"Unarmed Strike, Sidestep")</f>
        <v>Unarmed Strike, Sidestep</v>
      </c>
      <c r="E495" s="264" t="str">
        <f>IFERROR(__xludf.DUMMYFUNCTION("""COMPUTED_VALUE"""),"30ft")</f>
        <v>30ft</v>
      </c>
      <c r="F495" s="266" t="str">
        <f>IFERROR(__xludf.DUMMYFUNCTION("""COMPUTED_VALUE"""),"You extend your Threads of Light and make an unarmed light attack against a target within range. On damage, you may pull yourself towards the target and sidestep to the nearest square within 5ft of them.
You may also use this on ally. If you do, this alwa"&amp;"ys hits and deals no damage. It still gives you a stack of Harmony.")</f>
        <v>You extend your Threads of Light and make an unarmed light attack against a target within range. On damage, you may pull yourself towards the target and sidestep to the nearest square within 5ft of them.
You may also use this on ally. If you do, this always hits and deals no damage. It still gives you a stack of Harmony.</v>
      </c>
      <c r="G495" s="264" t="str">
        <f>IFERROR(__xludf.DUMMYFUNCTION("""COMPUTED_VALUE"""),"Must be in Luminous Form Stance.")</f>
        <v>Must be in Luminous Form Stance.</v>
      </c>
      <c r="H495" s="265" t="str">
        <f>IFERROR(__xludf.DUMMYFUNCTION("""COMPUTED_VALUE"""),"2 AP")</f>
        <v>2 AP</v>
      </c>
      <c r="I495" s="264" t="str">
        <f>IFERROR(__xludf.DUMMYFUNCTION("""COMPUTED_VALUE"""),"2 AP")</f>
        <v>2 AP</v>
      </c>
      <c r="J495" s="264" t="str">
        <f>IFERROR(__xludf.DUMMYFUNCTION("""COMPUTED_VALUE"""),"")</f>
        <v/>
      </c>
      <c r="K495" s="263" t="str">
        <f>IFERROR(__xludf.DUMMYFUNCTION("""COMPUTED_VALUE"""),"")</f>
        <v/>
      </c>
      <c r="L495" s="263" t="str">
        <f>IFERROR(__xludf.DUMMYFUNCTION("""COMPUTED_VALUE"""),"")</f>
        <v/>
      </c>
      <c r="M495" s="263"/>
      <c r="N495" s="263"/>
      <c r="O495" s="263"/>
      <c r="P495" s="263"/>
      <c r="Q495" s="263"/>
      <c r="R495" s="263"/>
      <c r="S495" s="263"/>
      <c r="T495" s="263"/>
      <c r="U495" s="246"/>
      <c r="V495" s="246"/>
      <c r="W495" s="246"/>
      <c r="X495" s="246"/>
      <c r="Y495" s="246"/>
      <c r="Z495" s="246"/>
    </row>
    <row r="496">
      <c r="A496" s="263"/>
      <c r="B496" s="265" t="str">
        <f>IFERROR(__xludf.DUMMYFUNCTION("""COMPUTED_VALUE"""),"Mantra: Pure Intentions")</f>
        <v>Mantra: Pure Intentions</v>
      </c>
      <c r="C496" s="263"/>
      <c r="D496" s="264" t="str">
        <f>IFERROR(__xludf.DUMMYFUNCTION("""COMPUTED_VALUE"""),"Healing")</f>
        <v>Healing</v>
      </c>
      <c r="E496" s="264" t="str">
        <f>IFERROR(__xludf.DUMMYFUNCTION("""COMPUTED_VALUE"""),"15ft")</f>
        <v>15ft</v>
      </c>
      <c r="F496" s="266" t="str">
        <f>IFERROR(__xludf.DUMMYFUNCTION("""COMPUTED_VALUE"""),"You wrap your Threads of Light around the chosen ally and channel your Harmony into them.
You may spend up to 5 stacks of Harmony and 1 mana per stack you consume to heal an ally within range for 3+Focus for each stack.")</f>
        <v>You wrap your Threads of Light around the chosen ally and channel your Harmony into them.
You may spend up to 5 stacks of Harmony and 1 mana per stack you consume to heal an ally within range for 3+Focus for each stack.</v>
      </c>
      <c r="G496" s="264" t="str">
        <f>IFERROR(__xludf.DUMMYFUNCTION("""COMPUTED_VALUE"""),"Must have at least 1 stack of Harmony.")</f>
        <v>Must have at least 1 stack of Harmony.</v>
      </c>
      <c r="H496" s="265" t="str">
        <f>IFERROR(__xludf.DUMMYFUNCTION("""COMPUTED_VALUE"""),"1 AP")</f>
        <v>1 AP</v>
      </c>
      <c r="I496" s="264" t="str">
        <f>IFERROR(__xludf.DUMMYFUNCTION("""COMPUTED_VALUE"""),"1 AP")</f>
        <v>1 AP</v>
      </c>
      <c r="J496" s="264" t="str">
        <f>IFERROR(__xludf.DUMMYFUNCTION("""COMPUTED_VALUE"""),"")</f>
        <v/>
      </c>
      <c r="K496" s="263" t="str">
        <f>IFERROR(__xludf.DUMMYFUNCTION("""COMPUTED_VALUE"""),"")</f>
        <v/>
      </c>
      <c r="L496" s="263" t="str">
        <f>IFERROR(__xludf.DUMMYFUNCTION("""COMPUTED_VALUE"""),"")</f>
        <v/>
      </c>
      <c r="M496" s="263"/>
      <c r="N496" s="263"/>
      <c r="O496" s="263"/>
      <c r="P496" s="263"/>
      <c r="Q496" s="263"/>
      <c r="R496" s="263"/>
      <c r="S496" s="263"/>
      <c r="T496" s="263"/>
      <c r="U496" s="246"/>
      <c r="V496" s="246"/>
      <c r="W496" s="246"/>
      <c r="X496" s="246"/>
      <c r="Y496" s="246"/>
      <c r="Z496" s="246"/>
    </row>
    <row r="497">
      <c r="A497" s="263"/>
      <c r="B497" s="265" t="str">
        <f>IFERROR(__xludf.DUMMYFUNCTION("""COMPUTED_VALUE"""),"Mark of Justice")</f>
        <v>Mark of Justice</v>
      </c>
      <c r="C497" s="263"/>
      <c r="D497" s="264" t="str">
        <f>IFERROR(__xludf.DUMMYFUNCTION("""COMPUTED_VALUE"""),"")</f>
        <v/>
      </c>
      <c r="E497" s="264" t="str">
        <f>IFERROR(__xludf.DUMMYFUNCTION("""COMPUTED_VALUE"""),"120ft")</f>
        <v>120ft</v>
      </c>
      <c r="F497" s="266" t="str">
        <f>IFERROR(__xludf.DUMMYFUNCTION("""COMPUTED_VALUE"""),"You mark a single enemy, inflicting Mark of Justice on them. A marked enemy’s movement speed is reduced to 20ft. Abilities that allow for movement cannot move the target for more than 20ft per use. Secret Arts and Esoteric Arts are not affected by this. Y"&amp;"ou can only have a single enemy marked by this at the same time. It lasts until the end of the encounter. Does not work on vehicles.
A marked target may spend 1 mana per AP/RP of the action (with a minimum of 1 mana even for 0 AP abilities) to temporarily"&amp;" ignore the restricting effect for a movement action.")</f>
        <v>You mark a single enemy, inflicting Mark of Justice on them. A marked enemy’s movement speed is reduced to 20ft. Abilities that allow for movement cannot move the target for more than 20ft per use. Secret Arts and Esoteric Arts are not affected by this. You can only have a single enemy marked by this at the same time. It lasts until the end of the encounter. Does not work on vehicles.
A marked target may spend 1 mana per AP/RP of the action (with a minimum of 1 mana even for 0 AP abilities) to temporarily ignore the restricting effect for a movement action.</v>
      </c>
      <c r="G497" s="263" t="str">
        <f>IFERROR(__xludf.DUMMYFUNCTION("""COMPUTED_VALUE"""),"")</f>
        <v/>
      </c>
      <c r="H497" s="265" t="str">
        <f>IFERROR(__xludf.DUMMYFUNCTION("""COMPUTED_VALUE"""),"1 AP")</f>
        <v>1 AP</v>
      </c>
      <c r="I497" s="264" t="str">
        <f>IFERROR(__xludf.DUMMYFUNCTION("""COMPUTED_VALUE"""),"1 AP")</f>
        <v>1 AP</v>
      </c>
      <c r="J497" s="263" t="str">
        <f>IFERROR(__xludf.DUMMYFUNCTION("""COMPUTED_VALUE"""),"")</f>
        <v/>
      </c>
      <c r="K497" s="264" t="str">
        <f>IFERROR(__xludf.DUMMYFUNCTION("""COMPUTED_VALUE"""),"")</f>
        <v/>
      </c>
      <c r="L497" s="263" t="str">
        <f>IFERROR(__xludf.DUMMYFUNCTION("""COMPUTED_VALUE"""),"")</f>
        <v/>
      </c>
      <c r="M497" s="263"/>
      <c r="N497" s="263"/>
      <c r="O497" s="263"/>
      <c r="P497" s="263"/>
      <c r="Q497" s="263"/>
      <c r="R497" s="263"/>
      <c r="S497" s="263"/>
      <c r="T497" s="263"/>
      <c r="U497" s="246"/>
      <c r="V497" s="246"/>
      <c r="W497" s="246"/>
      <c r="X497" s="246"/>
      <c r="Y497" s="246"/>
      <c r="Z497" s="246"/>
    </row>
    <row r="498">
      <c r="A498" s="263"/>
      <c r="B498" s="265" t="str">
        <f>IFERROR(__xludf.DUMMYFUNCTION("""COMPUTED_VALUE"""),"Mashup")</f>
        <v>Mashup</v>
      </c>
      <c r="C498" s="263"/>
      <c r="D498" s="264" t="str">
        <f>IFERROR(__xludf.DUMMYFUNCTION("""COMPUTED_VALUE"""),"")</f>
        <v/>
      </c>
      <c r="E498" s="264" t="str">
        <f>IFERROR(__xludf.DUMMYFUNCTION("""COMPUTED_VALUE"""),"Self")</f>
        <v>Self</v>
      </c>
      <c r="F498" s="266" t="str">
        <f>IFERROR(__xludf.DUMMYFUNCTION("""COMPUTED_VALUE"""),"You may activate another song with the Idol keyword. This song’s AP cost is reduced by 2 and this song may go past your regular maximum song limits.")</f>
        <v>You may activate another song with the Idol keyword. This song’s AP cost is reduced by 2 and this song may go past your regular maximum song limits.</v>
      </c>
      <c r="G498" s="263" t="str">
        <f>IFERROR(__xludf.DUMMYFUNCTION("""COMPUTED_VALUE"""),"Must have at least 1 song with Idol keyword active.")</f>
        <v>Must have at least 1 song with Idol keyword active.</v>
      </c>
      <c r="H498" s="265" t="str">
        <f>IFERROR(__xludf.DUMMYFUNCTION("""COMPUTED_VALUE"""),"0 AP, 2 MP")</f>
        <v>0 AP, 2 MP</v>
      </c>
      <c r="I498" s="263" t="str">
        <f>IFERROR(__xludf.DUMMYFUNCTION("""COMPUTED_VALUE"""),"0 AP")</f>
        <v>0 AP</v>
      </c>
      <c r="J498" s="264" t="str">
        <f>IFERROR(__xludf.DUMMYFUNCTION("""COMPUTED_VALUE"""),"2 MP")</f>
        <v>2 MP</v>
      </c>
      <c r="K498" s="264" t="str">
        <f>IFERROR(__xludf.DUMMYFUNCTION("""COMPUTED_VALUE"""),"")</f>
        <v/>
      </c>
      <c r="L498" s="263" t="str">
        <f>IFERROR(__xludf.DUMMYFUNCTION("""COMPUTED_VALUE"""),"")</f>
        <v/>
      </c>
      <c r="M498" s="263"/>
      <c r="N498" s="263"/>
      <c r="O498" s="263"/>
      <c r="P498" s="263"/>
      <c r="Q498" s="263"/>
      <c r="R498" s="263"/>
      <c r="S498" s="263"/>
      <c r="T498" s="263"/>
      <c r="U498" s="246"/>
      <c r="V498" s="246"/>
      <c r="W498" s="246"/>
      <c r="X498" s="246"/>
      <c r="Y498" s="246"/>
      <c r="Z498" s="246"/>
    </row>
    <row r="499">
      <c r="A499" s="263"/>
      <c r="B499" s="265" t="str">
        <f>IFERROR(__xludf.DUMMYFUNCTION("""COMPUTED_VALUE"""),"Master of the Empty Sky")</f>
        <v>Master of the Empty Sky</v>
      </c>
      <c r="C499" s="263"/>
      <c r="D499" s="264" t="str">
        <f>IFERROR(__xludf.DUMMYFUNCTION("""COMPUTED_VALUE"""),"")</f>
        <v/>
      </c>
      <c r="E499" s="264" t="str">
        <f>IFERROR(__xludf.DUMMYFUNCTION("""COMPUTED_VALUE"""),"")</f>
        <v/>
      </c>
      <c r="F499" s="266" t="str">
        <f>IFERROR(__xludf.DUMMYFUNCTION("""COMPUTED_VALUE"""),"When flying, you gain a +2 Cover bonus to your Evasion and Dodge against ranged attacks.")</f>
        <v>When flying, you gain a +2 Cover bonus to your Evasion and Dodge against ranged attacks.</v>
      </c>
      <c r="G499" s="263" t="str">
        <f>IFERROR(__xludf.DUMMYFUNCTION("""COMPUTED_VALUE"""),"")</f>
        <v/>
      </c>
      <c r="H499" s="265" t="str">
        <f>IFERROR(__xludf.DUMMYFUNCTION("""COMPUTED_VALUE"""),"")</f>
        <v/>
      </c>
      <c r="I499" s="264" t="str">
        <f>IFERROR(__xludf.DUMMYFUNCTION("""COMPUTED_VALUE"""),"")</f>
        <v/>
      </c>
      <c r="J499" s="264" t="str">
        <f>IFERROR(__xludf.DUMMYFUNCTION("""COMPUTED_VALUE"""),"")</f>
        <v/>
      </c>
      <c r="K499" s="263" t="str">
        <f>IFERROR(__xludf.DUMMYFUNCTION("""COMPUTED_VALUE"""),"")</f>
        <v/>
      </c>
      <c r="L499" s="263" t="str">
        <f>IFERROR(__xludf.DUMMYFUNCTION("""COMPUTED_VALUE"""),"")</f>
        <v/>
      </c>
      <c r="M499" s="263"/>
      <c r="N499" s="263"/>
      <c r="O499" s="263"/>
      <c r="P499" s="263"/>
      <c r="Q499" s="263"/>
      <c r="R499" s="263"/>
      <c r="S499" s="263"/>
      <c r="T499" s="263"/>
      <c r="U499" s="246"/>
      <c r="V499" s="246"/>
      <c r="W499" s="246"/>
      <c r="X499" s="246"/>
      <c r="Y499" s="246"/>
      <c r="Z499" s="246"/>
    </row>
    <row r="500">
      <c r="A500" s="263"/>
      <c r="B500" s="265" t="str">
        <f>IFERROR(__xludf.DUMMYFUNCTION("""COMPUTED_VALUE"""),"Maximum Dose")</f>
        <v>Maximum Dose</v>
      </c>
      <c r="C500" s="263"/>
      <c r="D500" s="263" t="str">
        <f>IFERROR(__xludf.DUMMYFUNCTION("""COMPUTED_VALUE"""),"Poison, Toxic")</f>
        <v>Poison, Toxic</v>
      </c>
      <c r="E500" s="263" t="str">
        <f>IFERROR(__xludf.DUMMYFUNCTION("""COMPUTED_VALUE"""),"60ft")</f>
        <v>60ft</v>
      </c>
      <c r="F500" s="266" t="str">
        <f>IFERROR(__xludf.DUMMYFUNCTION("""COMPUTED_VALUE"""),"You maximize the damage they take from your Toxic.")</f>
        <v>You maximize the damage they take from your Toxic.</v>
      </c>
      <c r="G500" s="264" t="str">
        <f>IFERROR(__xludf.DUMMYFUNCTION("""COMPUTED_VALUE"""),"Target takes damage from your Toxic")</f>
        <v>Target takes damage from your Toxic</v>
      </c>
      <c r="H500" s="267" t="str">
        <f>IFERROR(__xludf.DUMMYFUNCTION("""COMPUTED_VALUE"""),"1 MP, 0 RP")</f>
        <v>1 MP, 0 RP</v>
      </c>
      <c r="I500" s="263" t="str">
        <f>IFERROR(__xludf.DUMMYFUNCTION("""COMPUTED_VALUE"""),"")</f>
        <v/>
      </c>
      <c r="J500" s="263" t="str">
        <f>IFERROR(__xludf.DUMMYFUNCTION("""COMPUTED_VALUE"""),"1 MP")</f>
        <v>1 MP</v>
      </c>
      <c r="K500" s="263" t="str">
        <f>IFERROR(__xludf.DUMMYFUNCTION("""COMPUTED_VALUE"""),"0 RP")</f>
        <v>0 RP</v>
      </c>
      <c r="L500" s="263" t="str">
        <f>IFERROR(__xludf.DUMMYFUNCTION("""COMPUTED_VALUE"""),"")</f>
        <v/>
      </c>
      <c r="M500" s="263"/>
      <c r="N500" s="263"/>
      <c r="O500" s="263"/>
      <c r="P500" s="263"/>
      <c r="Q500" s="263"/>
      <c r="R500" s="263"/>
      <c r="S500" s="263"/>
      <c r="T500" s="263"/>
      <c r="U500" s="246"/>
      <c r="V500" s="246"/>
      <c r="W500" s="246"/>
      <c r="X500" s="246"/>
      <c r="Y500" s="246"/>
      <c r="Z500" s="246"/>
    </row>
    <row r="501">
      <c r="A501" s="263"/>
      <c r="B501" s="265" t="str">
        <f>IFERROR(__xludf.DUMMYFUNCTION("""COMPUTED_VALUE"""),"Measured Collapse")</f>
        <v>Measured Collapse</v>
      </c>
      <c r="C501" s="263"/>
      <c r="D501" s="263" t="str">
        <f>IFERROR(__xludf.DUMMYFUNCTION("""COMPUTED_VALUE"""),"Full Pierce")</f>
        <v>Full Pierce</v>
      </c>
      <c r="E501" s="264" t="str">
        <f>IFERROR(__xludf.DUMMYFUNCTION("""COMPUTED_VALUE"""),"Melee Weapon Range")</f>
        <v>Melee Weapon Range</v>
      </c>
      <c r="F501" s="266" t="str">
        <f>IFERROR(__xludf.DUMMYFUNCTION("""COMPUTED_VALUE"""),"You make a Heavy attack against the target. This attack is always considered to have rolled a 2 for accuracy instead of rolling the d20.
Against creatures that are large size, gain a +2 bonus. If they are huge size, gain a +4 bonus.")</f>
        <v>You make a Heavy attack against the target. This attack is always considered to have rolled a 2 for accuracy instead of rolling the d20.
Against creatures that are large size, gain a +2 bonus. If they are huge size, gain a +4 bonus.</v>
      </c>
      <c r="G501" s="263" t="str">
        <f>IFERROR(__xludf.DUMMYFUNCTION("""COMPUTED_VALUE"""),"")</f>
        <v/>
      </c>
      <c r="H501" s="265" t="str">
        <f>IFERROR(__xludf.DUMMYFUNCTION("""COMPUTED_VALUE"""),"2 AP")</f>
        <v>2 AP</v>
      </c>
      <c r="I501" s="264" t="str">
        <f>IFERROR(__xludf.DUMMYFUNCTION("""COMPUTED_VALUE"""),"2 AP")</f>
        <v>2 AP</v>
      </c>
      <c r="J501" s="263" t="str">
        <f>IFERROR(__xludf.DUMMYFUNCTION("""COMPUTED_VALUE"""),"")</f>
        <v/>
      </c>
      <c r="K501" s="263" t="str">
        <f>IFERROR(__xludf.DUMMYFUNCTION("""COMPUTED_VALUE"""),"")</f>
        <v/>
      </c>
      <c r="L501" s="263" t="str">
        <f>IFERROR(__xludf.DUMMYFUNCTION("""COMPUTED_VALUE"""),"")</f>
        <v/>
      </c>
      <c r="M501" s="263"/>
      <c r="N501" s="263"/>
      <c r="O501" s="263"/>
      <c r="P501" s="263"/>
      <c r="Q501" s="263"/>
      <c r="R501" s="263"/>
      <c r="S501" s="263"/>
      <c r="T501" s="263"/>
      <c r="U501" s="246"/>
      <c r="V501" s="246"/>
      <c r="W501" s="246"/>
      <c r="X501" s="246"/>
      <c r="Y501" s="246"/>
      <c r="Z501" s="246"/>
    </row>
    <row r="502">
      <c r="A502" s="263"/>
      <c r="B502" s="265" t="str">
        <f>IFERROR(__xludf.DUMMYFUNCTION("""COMPUTED_VALUE"""),"Memory of the Grove")</f>
        <v>Memory of the Grove</v>
      </c>
      <c r="C502" s="263"/>
      <c r="D502" s="264" t="str">
        <f>IFERROR(__xludf.DUMMYFUNCTION("""COMPUTED_VALUE"""),"")</f>
        <v/>
      </c>
      <c r="E502" s="264" t="str">
        <f>IFERROR(__xludf.DUMMYFUNCTION("""COMPUTED_VALUE"""),"")</f>
        <v/>
      </c>
      <c r="F502" s="266" t="str">
        <f>IFERROR(__xludf.DUMMYFUNCTION("""COMPUTED_VALUE"""),"After making a gathering check, you may choose to reroll the die. If you do, store the original die result. You may replace a future gathering die result (before bonus) with the stored value.")</f>
        <v>After making a gathering check, you may choose to reroll the die. If you do, store the original die result. You may replace a future gathering die result (before bonus) with the stored value.</v>
      </c>
      <c r="G502" s="263" t="str">
        <f>IFERROR(__xludf.DUMMYFUNCTION("""COMPUTED_VALUE"""),"Usable after making a gathering a check.")</f>
        <v>Usable after making a gathering a check.</v>
      </c>
      <c r="H502" s="265" t="str">
        <f>IFERROR(__xludf.DUMMYFUNCTION("""COMPUTED_VALUE"""),"")</f>
        <v/>
      </c>
      <c r="I502" s="264" t="str">
        <f>IFERROR(__xludf.DUMMYFUNCTION("""COMPUTED_VALUE"""),"")</f>
        <v/>
      </c>
      <c r="J502" s="264" t="str">
        <f>IFERROR(__xludf.DUMMYFUNCTION("""COMPUTED_VALUE"""),"")</f>
        <v/>
      </c>
      <c r="K502" s="264" t="str">
        <f>IFERROR(__xludf.DUMMYFUNCTION("""COMPUTED_VALUE"""),"")</f>
        <v/>
      </c>
      <c r="L502" s="263" t="str">
        <f>IFERROR(__xludf.DUMMYFUNCTION("""COMPUTED_VALUE"""),"")</f>
        <v/>
      </c>
      <c r="M502" s="263"/>
      <c r="N502" s="263"/>
      <c r="O502" s="263"/>
      <c r="P502" s="263"/>
      <c r="Q502" s="263"/>
      <c r="R502" s="263"/>
      <c r="S502" s="263"/>
      <c r="T502" s="263"/>
      <c r="U502" s="246"/>
      <c r="V502" s="246"/>
      <c r="W502" s="246"/>
      <c r="X502" s="246"/>
      <c r="Y502" s="246"/>
      <c r="Z502" s="246"/>
    </row>
    <row r="503">
      <c r="A503" s="263"/>
      <c r="B503" s="265" t="str">
        <f>IFERROR(__xludf.DUMMYFUNCTION("""COMPUTED_VALUE"""),"Meteor Cleave")</f>
        <v>Meteor Cleave</v>
      </c>
      <c r="C503" s="263"/>
      <c r="D503" s="264" t="str">
        <f>IFERROR(__xludf.DUMMYFUNCTION("""COMPUTED_VALUE"""),"Sidestep")</f>
        <v>Sidestep</v>
      </c>
      <c r="E503" s="264" t="str">
        <f>IFERROR(__xludf.DUMMYFUNCTION("""COMPUTED_VALUE"""),"15ft")</f>
        <v>15ft</v>
      </c>
      <c r="F503" s="266" t="str">
        <f>IFERROR(__xludf.DUMMYFUNCTION("""COMPUTED_VALUE"""),"You sidestep up to 10ft towards the target and make a melee Heavy attack against them.
On damage, if your power is equal or higher than the target's, they are knocked Prone.")</f>
        <v>You sidestep up to 10ft towards the target and make a melee Heavy attack against them.
On damage, if your power is equal or higher than the target's, they are knocked Prone.</v>
      </c>
      <c r="G503" s="263" t="str">
        <f>IFERROR(__xludf.DUMMYFUNCTION("""COMPUTED_VALUE"""),"Two-Handed melee weapon only.")</f>
        <v>Two-Handed melee weapon only.</v>
      </c>
      <c r="H503" s="265" t="str">
        <f>IFERROR(__xludf.DUMMYFUNCTION("""COMPUTED_VALUE"""),"3 AP")</f>
        <v>3 AP</v>
      </c>
      <c r="I503" s="264" t="str">
        <f>IFERROR(__xludf.DUMMYFUNCTION("""COMPUTED_VALUE"""),"3 AP")</f>
        <v>3 AP</v>
      </c>
      <c r="J503" s="264" t="str">
        <f>IFERROR(__xludf.DUMMYFUNCTION("""COMPUTED_VALUE"""),"")</f>
        <v/>
      </c>
      <c r="K503" s="263" t="str">
        <f>IFERROR(__xludf.DUMMYFUNCTION("""COMPUTED_VALUE"""),"")</f>
        <v/>
      </c>
      <c r="L503" s="263" t="str">
        <f>IFERROR(__xludf.DUMMYFUNCTION("""COMPUTED_VALUE"""),"")</f>
        <v/>
      </c>
      <c r="M503" s="263"/>
      <c r="N503" s="263"/>
      <c r="O503" s="263"/>
      <c r="P503" s="263"/>
      <c r="Q503" s="263"/>
      <c r="R503" s="263"/>
      <c r="S503" s="263"/>
      <c r="T503" s="263"/>
      <c r="U503" s="246"/>
      <c r="V503" s="246"/>
      <c r="W503" s="246"/>
      <c r="X503" s="246"/>
      <c r="Y503" s="246"/>
      <c r="Z503" s="246"/>
    </row>
    <row r="504">
      <c r="A504" s="263"/>
      <c r="B504" s="265" t="str">
        <f>IFERROR(__xludf.DUMMYFUNCTION("""COMPUTED_VALUE"""),"Mighty Leap")</f>
        <v>Mighty Leap</v>
      </c>
      <c r="C504" s="263"/>
      <c r="D504" s="264" t="str">
        <f>IFERROR(__xludf.DUMMYFUNCTION("""COMPUTED_VALUE"""),"Unbalanced, Jump")</f>
        <v>Unbalanced, Jump</v>
      </c>
      <c r="E504" s="264" t="str">
        <f>IFERROR(__xludf.DUMMYFUNCTION("""COMPUTED_VALUE"""),"40ft")</f>
        <v>40ft</v>
      </c>
      <c r="F504" s="266" t="str">
        <f>IFERROR(__xludf.DUMMYFUNCTION("""COMPUTED_VALUE"""),"You jump to a target within range and may make a Light attack against them. All enemies within 5ft of the target must make a save or become Unbalanced.")</f>
        <v>You jump to a target within range and may make a Light attack against them. All enemies within 5ft of the target must make a save or become Unbalanced.</v>
      </c>
      <c r="G504" s="264" t="str">
        <f>IFERROR(__xludf.DUMMYFUNCTION("""COMPUTED_VALUE"""),"Two-Handed melee weapons only.")</f>
        <v>Two-Handed melee weapons only.</v>
      </c>
      <c r="H504" s="265" t="str">
        <f>IFERROR(__xludf.DUMMYFUNCTION("""COMPUTED_VALUE"""),"2 AP, 1 MP")</f>
        <v>2 AP, 1 MP</v>
      </c>
      <c r="I504" s="263" t="str">
        <f>IFERROR(__xludf.DUMMYFUNCTION("""COMPUTED_VALUE"""),"2 AP")</f>
        <v>2 AP</v>
      </c>
      <c r="J504" s="263" t="str">
        <f>IFERROR(__xludf.DUMMYFUNCTION("""COMPUTED_VALUE"""),"1 MP")</f>
        <v>1 MP</v>
      </c>
      <c r="K504" s="264" t="str">
        <f>IFERROR(__xludf.DUMMYFUNCTION("""COMPUTED_VALUE"""),"")</f>
        <v/>
      </c>
      <c r="L504" s="263" t="str">
        <f>IFERROR(__xludf.DUMMYFUNCTION("""COMPUTED_VALUE"""),"")</f>
        <v/>
      </c>
      <c r="M504" s="263"/>
      <c r="N504" s="263"/>
      <c r="O504" s="263"/>
      <c r="P504" s="263"/>
      <c r="Q504" s="263"/>
      <c r="R504" s="263"/>
      <c r="S504" s="263"/>
      <c r="T504" s="263"/>
      <c r="U504" s="246"/>
      <c r="V504" s="246"/>
      <c r="W504" s="246"/>
      <c r="X504" s="246"/>
      <c r="Y504" s="246"/>
      <c r="Z504" s="246"/>
    </row>
    <row r="505">
      <c r="A505" s="263"/>
      <c r="B505" s="265" t="str">
        <f>IFERROR(__xludf.DUMMYFUNCTION("""COMPUTED_VALUE"""),"Mind Connection")</f>
        <v>Mind Connection</v>
      </c>
      <c r="C505" s="263"/>
      <c r="D505" s="264" t="str">
        <f>IFERROR(__xludf.DUMMYFUNCTION("""COMPUTED_VALUE"""),"")</f>
        <v/>
      </c>
      <c r="E505" s="264" t="str">
        <f>IFERROR(__xludf.DUMMYFUNCTION("""COMPUTED_VALUE"""),"Touch")</f>
        <v>Touch</v>
      </c>
      <c r="F505" s="266" t="str">
        <f>IFERROR(__xludf.DUMMYFUNCTION("""COMPUTED_VALUE"""),"You physically touch up to five willing people, granting them Mind Connection—creating a mind link through you.  While linked, each creature can speak through telepathy to all other creatures linked to the same caster.  Mind Connection has unlimited durat"&amp;"ion but also reduces your maximum mana by 1, this effect lasts until you cancel Mind Connection.  Mind Connection has a maximum range of 500 ft—breaking this range doesn’t cancel the spell but interrupts the signal until within range again.
While Mind Con"&amp;"nection lasts, you may spend 1 AP to transfer view through the eyes of one of the people connected with the mind link.")</f>
        <v>You physically touch up to five willing people, granting them Mind Connection—creating a mind link through you.  While linked, each creature can speak through telepathy to all other creatures linked to the same caster.  Mind Connection has unlimited duration but also reduces your maximum mana by 1, this effect lasts until you cancel Mind Connection.  Mind Connection has a maximum range of 500 ft—breaking this range doesn’t cancel the spell but interrupts the signal until within range again.
While Mind Connection lasts, you may spend 1 AP to transfer view through the eyes of one of the people connected with the mind link.</v>
      </c>
      <c r="G505" s="263" t="str">
        <f>IFERROR(__xludf.DUMMYFUNCTION("""COMPUTED_VALUE"""),"")</f>
        <v/>
      </c>
      <c r="H505" s="265" t="str">
        <f>IFERROR(__xludf.DUMMYFUNCTION("""COMPUTED_VALUE"""),"4 AP, 1 MP")</f>
        <v>4 AP, 1 MP</v>
      </c>
      <c r="I505" s="264" t="str">
        <f>IFERROR(__xludf.DUMMYFUNCTION("""COMPUTED_VALUE"""),"4 AP")</f>
        <v>4 AP</v>
      </c>
      <c r="J505" s="264" t="str">
        <f>IFERROR(__xludf.DUMMYFUNCTION("""COMPUTED_VALUE"""),"1 MP")</f>
        <v>1 MP</v>
      </c>
      <c r="K505" s="263" t="str">
        <f>IFERROR(__xludf.DUMMYFUNCTION("""COMPUTED_VALUE"""),"")</f>
        <v/>
      </c>
      <c r="L505" s="263" t="str">
        <f>IFERROR(__xludf.DUMMYFUNCTION("""COMPUTED_VALUE"""),"")</f>
        <v/>
      </c>
      <c r="M505" s="263"/>
      <c r="N505" s="263"/>
      <c r="O505" s="263"/>
      <c r="P505" s="263"/>
      <c r="Q505" s="263"/>
      <c r="R505" s="263"/>
      <c r="S505" s="263"/>
      <c r="T505" s="263"/>
      <c r="U505" s="246"/>
      <c r="V505" s="246"/>
      <c r="W505" s="246"/>
      <c r="X505" s="246"/>
      <c r="Y505" s="246"/>
      <c r="Z505" s="246"/>
    </row>
    <row r="506">
      <c r="A506" s="263"/>
      <c r="B506" s="265" t="str">
        <f>IFERROR(__xludf.DUMMYFUNCTION("""COMPUTED_VALUE"""),"Mind's Eye")</f>
        <v>Mind's Eye</v>
      </c>
      <c r="C506" s="263"/>
      <c r="D506" s="264" t="str">
        <f>IFERROR(__xludf.DUMMYFUNCTION("""COMPUTED_VALUE"""),"")</f>
        <v/>
      </c>
      <c r="E506" s="264" t="str">
        <f>IFERROR(__xludf.DUMMYFUNCTION("""COMPUTED_VALUE"""),"Self")</f>
        <v>Self</v>
      </c>
      <c r="F506" s="266" t="str">
        <f>IFERROR(__xludf.DUMMYFUNCTION("""COMPUTED_VALUE"""),"You may ask the GM for the rough best course of action during an encounter based on the information you have. The GM should answer truthfully, but does not need to go in depth. (For example: Retreat, kill the grunts, focus the boss, use magic attacks etc)"&amp;".")</f>
        <v>You may ask the GM for the rough best course of action during an encounter based on the information you have. The GM should answer truthfully, but does not need to go in depth. (For example: Retreat, kill the grunts, focus the boss, use magic attacks etc).</v>
      </c>
      <c r="G506" s="263" t="str">
        <f>IFERROR(__xludf.DUMMYFUNCTION("""COMPUTED_VALUE"""),"")</f>
        <v/>
      </c>
      <c r="H506" s="265" t="str">
        <f>IFERROR(__xludf.DUMMYFUNCTION("""COMPUTED_VALUE"""),"0 AP, 2 MP")</f>
        <v>0 AP, 2 MP</v>
      </c>
      <c r="I506" s="264" t="str">
        <f>IFERROR(__xludf.DUMMYFUNCTION("""COMPUTED_VALUE"""),"0 AP")</f>
        <v>0 AP</v>
      </c>
      <c r="J506" s="264" t="str">
        <f>IFERROR(__xludf.DUMMYFUNCTION("""COMPUTED_VALUE"""),"2 MP")</f>
        <v>2 MP</v>
      </c>
      <c r="K506" s="263" t="str">
        <f>IFERROR(__xludf.DUMMYFUNCTION("""COMPUTED_VALUE"""),"")</f>
        <v/>
      </c>
      <c r="L506" s="263" t="str">
        <f>IFERROR(__xludf.DUMMYFUNCTION("""COMPUTED_VALUE"""),"")</f>
        <v/>
      </c>
      <c r="M506" s="263"/>
      <c r="N506" s="263"/>
      <c r="O506" s="263"/>
      <c r="P506" s="263"/>
      <c r="Q506" s="263"/>
      <c r="R506" s="263"/>
      <c r="S506" s="263"/>
      <c r="T506" s="263"/>
      <c r="U506" s="246"/>
      <c r="V506" s="246"/>
      <c r="W506" s="246"/>
      <c r="X506" s="246"/>
      <c r="Y506" s="246"/>
      <c r="Z506" s="246"/>
    </row>
    <row r="507">
      <c r="A507" s="263"/>
      <c r="B507" s="265" t="str">
        <f>IFERROR(__xludf.DUMMYFUNCTION("""COMPUTED_VALUE"""),"Mining Expertise")</f>
        <v>Mining Expertise</v>
      </c>
      <c r="C507" s="263"/>
      <c r="D507" s="263" t="str">
        <f>IFERROR(__xludf.DUMMYFUNCTION("""COMPUTED_VALUE"""),"")</f>
        <v/>
      </c>
      <c r="E507" s="264" t="str">
        <f>IFERROR(__xludf.DUMMYFUNCTION("""COMPUTED_VALUE"""),"")</f>
        <v/>
      </c>
      <c r="F507" s="266" t="str">
        <f>IFERROR(__xludf.DUMMYFUNCTION("""COMPUTED_VALUE"""),"You may unlock the miner class for 0 EXP. You must still spend the IP on it.")</f>
        <v>You may unlock the miner class for 0 EXP. You must still spend the IP on it.</v>
      </c>
      <c r="G507" s="264" t="str">
        <f>IFERROR(__xludf.DUMMYFUNCTION("""COMPUTED_VALUE"""),"")</f>
        <v/>
      </c>
      <c r="H507" s="265" t="str">
        <f>IFERROR(__xludf.DUMMYFUNCTION("""COMPUTED_VALUE"""),"")</f>
        <v/>
      </c>
      <c r="I507" s="263" t="str">
        <f>IFERROR(__xludf.DUMMYFUNCTION("""COMPUTED_VALUE"""),"")</f>
        <v/>
      </c>
      <c r="J507" s="264" t="str">
        <f>IFERROR(__xludf.DUMMYFUNCTION("""COMPUTED_VALUE"""),"")</f>
        <v/>
      </c>
      <c r="K507" s="264" t="str">
        <f>IFERROR(__xludf.DUMMYFUNCTION("""COMPUTED_VALUE"""),"")</f>
        <v/>
      </c>
      <c r="L507" s="263" t="str">
        <f>IFERROR(__xludf.DUMMYFUNCTION("""COMPUTED_VALUE"""),"")</f>
        <v/>
      </c>
      <c r="M507" s="263"/>
      <c r="N507" s="263"/>
      <c r="O507" s="263"/>
      <c r="P507" s="263"/>
      <c r="Q507" s="263"/>
      <c r="R507" s="263"/>
      <c r="S507" s="263"/>
      <c r="T507" s="263"/>
      <c r="U507" s="246"/>
      <c r="V507" s="246"/>
      <c r="W507" s="246"/>
      <c r="X507" s="246"/>
      <c r="Y507" s="246"/>
      <c r="Z507" s="246"/>
    </row>
    <row r="508">
      <c r="A508" s="263"/>
      <c r="B508" s="265" t="str">
        <f>IFERROR(__xludf.DUMMYFUNCTION("""COMPUTED_VALUE"""),"Miracle: Sanctuary")</f>
        <v>Miracle: Sanctuary</v>
      </c>
      <c r="C508" s="263"/>
      <c r="D508" s="264" t="str">
        <f>IFERROR(__xludf.DUMMYFUNCTION("""COMPUTED_VALUE"""),"Concentration, Miracle, Spell, Upkeep")</f>
        <v>Concentration, Miracle, Spell, Upkeep</v>
      </c>
      <c r="E508" s="264" t="str">
        <f>IFERROR(__xludf.DUMMYFUNCTION("""COMPUTED_VALUE"""),"5ft radius centered on self")</f>
        <v>5ft radius centered on self</v>
      </c>
      <c r="F508" s="266" t="str">
        <f>IFERROR(__xludf.DUMMYFUNCTION("""COMPUTED_VALUE"""),"You create an immobile sphere of protection in a 5ft radius that prevents all entry into and out of it. The Shield has health points equal to 20 + Toughness x 8. Attacks and Magical Effects cannot be casted out of or into the Sanctuary, which functions as"&amp;" line-of-sight blocking for the purposes of abilities. Sanctuary lasts until the start of your next turn unless you pay Upkeep (1 Mana). The Spell also ends when the Shield’s health points are reduced to zero. This spell does not provoke attacks of opport"&amp;"unity.")</f>
        <v>You create an immobile sphere of protection in a 5ft radius that prevents all entry into and out of it. The Shield has health points equal to 20 + Toughness x 8. Attacks and Magical Effects cannot be casted out of or into the Sanctuary, which functions as line-of-sight blocking for the purposes of abilities. Sanctuary lasts until the start of your next turn unless you pay Upkeep (1 Mana). The Spell also ends when the Shield’s health points are reduced to zero. This spell does not provoke attacks of opportunity.</v>
      </c>
      <c r="G508" s="264" t="str">
        <f>IFERROR(__xludf.DUMMYFUNCTION("""COMPUTED_VALUE"""),"")</f>
        <v/>
      </c>
      <c r="H508" s="265" t="str">
        <f>IFERROR(__xludf.DUMMYFUNCTION("""COMPUTED_VALUE"""),"2 AP, 2 MP")</f>
        <v>2 AP, 2 MP</v>
      </c>
      <c r="I508" s="263" t="str">
        <f>IFERROR(__xludf.DUMMYFUNCTION("""COMPUTED_VALUE"""),"2 AP")</f>
        <v>2 AP</v>
      </c>
      <c r="J508" s="263" t="str">
        <f>IFERROR(__xludf.DUMMYFUNCTION("""COMPUTED_VALUE"""),"2 MP")</f>
        <v>2 MP</v>
      </c>
      <c r="K508" s="264" t="str">
        <f>IFERROR(__xludf.DUMMYFUNCTION("""COMPUTED_VALUE"""),"")</f>
        <v/>
      </c>
      <c r="L508" s="263" t="str">
        <f>IFERROR(__xludf.DUMMYFUNCTION("""COMPUTED_VALUE"""),"")</f>
        <v/>
      </c>
      <c r="M508" s="263"/>
      <c r="N508" s="263"/>
      <c r="O508" s="263"/>
      <c r="P508" s="263"/>
      <c r="Q508" s="263"/>
      <c r="R508" s="263"/>
      <c r="S508" s="263"/>
      <c r="T508" s="263"/>
      <c r="U508" s="246"/>
      <c r="V508" s="246"/>
      <c r="W508" s="246"/>
      <c r="X508" s="246"/>
      <c r="Y508" s="246"/>
      <c r="Z508" s="246"/>
    </row>
    <row r="509">
      <c r="A509" s="263"/>
      <c r="B509" s="265" t="str">
        <f>IFERROR(__xludf.DUMMYFUNCTION("""COMPUTED_VALUE"""),"Misdirected Blow")</f>
        <v>Misdirected Blow</v>
      </c>
      <c r="C509" s="263"/>
      <c r="D509" s="263" t="str">
        <f>IFERROR(__xludf.DUMMYFUNCTION("""COMPUTED_VALUE"""),"")</f>
        <v/>
      </c>
      <c r="E509" s="263" t="str">
        <f>IFERROR(__xludf.DUMMYFUNCTION("""COMPUTED_VALUE"""),"Self")</f>
        <v>Self</v>
      </c>
      <c r="F509" s="266" t="str">
        <f>IFERROR(__xludf.DUMMYFUNCTION("""COMPUTED_VALUE"""),"You may take the Dodge action. If the attack is successfully avoided, the attack is then made against an enemy within 5ft of you and using the same accuracy roll. This enemy must be different from the one making the attack. The new target may react to thi"&amp;"s attack as normal.
Does not work against Secret Art or Esoteric Art level attacks.")</f>
        <v>You may take the Dodge action. If the attack is successfully avoided, the attack is then made against an enemy within 5ft of you and using the same accuracy roll. This enemy must be different from the one making the attack. The new target may react to this attack as normal.
Does not work against Secret Art or Esoteric Art level attacks.</v>
      </c>
      <c r="G509" s="263" t="str">
        <f>IFERROR(__xludf.DUMMYFUNCTION("""COMPUTED_VALUE"""),"You are the target of an attack and have a different enemy within 5ft of you.")</f>
        <v>You are the target of an attack and have a different enemy within 5ft of you.</v>
      </c>
      <c r="H509" s="267" t="str">
        <f>IFERROR(__xludf.DUMMYFUNCTION("""COMPUTED_VALUE"""),"2 MP, 1 RP")</f>
        <v>2 MP, 1 RP</v>
      </c>
      <c r="I509" s="263" t="str">
        <f>IFERROR(__xludf.DUMMYFUNCTION("""COMPUTED_VALUE"""),"")</f>
        <v/>
      </c>
      <c r="J509" s="263" t="str">
        <f>IFERROR(__xludf.DUMMYFUNCTION("""COMPUTED_VALUE"""),"2 MP")</f>
        <v>2 MP</v>
      </c>
      <c r="K509" s="263" t="str">
        <f>IFERROR(__xludf.DUMMYFUNCTION("""COMPUTED_VALUE"""),"1 RP")</f>
        <v>1 RP</v>
      </c>
      <c r="L509" s="263" t="str">
        <f>IFERROR(__xludf.DUMMYFUNCTION("""COMPUTED_VALUE"""),"")</f>
        <v/>
      </c>
      <c r="M509" s="263"/>
      <c r="N509" s="263"/>
      <c r="O509" s="263"/>
      <c r="P509" s="263"/>
      <c r="Q509" s="263"/>
      <c r="R509" s="263"/>
      <c r="S509" s="263"/>
      <c r="T509" s="263"/>
      <c r="U509" s="246"/>
      <c r="V509" s="246"/>
      <c r="W509" s="246"/>
      <c r="X509" s="246"/>
      <c r="Y509" s="246"/>
      <c r="Z509" s="246"/>
    </row>
    <row r="510">
      <c r="A510" s="263"/>
      <c r="B510" s="265" t="str">
        <f>IFERROR(__xludf.DUMMYFUNCTION("""COMPUTED_VALUE"""),"Mist of the Vale")</f>
        <v>Mist of the Vale</v>
      </c>
      <c r="C510" s="263"/>
      <c r="D510" s="263" t="str">
        <f>IFERROR(__xludf.DUMMYFUNCTION("""COMPUTED_VALUE"""),"Song, Upkeep")</f>
        <v>Song, Upkeep</v>
      </c>
      <c r="E510" s="264" t="str">
        <f>IFERROR(__xludf.DUMMYFUNCTION("""COMPUTED_VALUE"""),"Self")</f>
        <v>Self</v>
      </c>
      <c r="F510" s="266" t="str">
        <f>IFERROR(__xludf.DUMMYFUNCTION("""COMPUTED_VALUE"""),"A mist rolls out from around you, trapping those caught in it in a misty vale in which travelers are doomed to die. All in the mist must make a save against your Potency when they try to escape it. If they fail their save when they attempt to move out, yo"&amp;"u may finish the remaining movement for them as long as they end within your mist. This movement does not provoke attacks of opportunity.
The mist also blocks Line of Sight. Targets inside of or within 5ft of the mist can only see up to 5ft into or out of"&amp;" mist.
The mist is a 15ft radius around yourself, but if flying it does not go below you. You may choose to exclude allies from the trapping effect. If you do, the upkeep mana cost and initial mana cost is increased by 1.
Upkeep: 1 AP")</f>
        <v>A mist rolls out from around you, trapping those caught in it in a misty vale in which travelers are doomed to die. All in the mist must make a save against your Potency when they try to escape it. If they fail their save when they attempt to move out, you may finish the remaining movement for them as long as they end within your mist. This movement does not provoke attacks of opportunity.
The mist also blocks Line of Sight. Targets inside of or within 5ft of the mist can only see up to 5ft into or out of mist.
The mist is a 15ft radius around yourself, but if flying it does not go below you. You may choose to exclude allies from the trapping effect. If you do, the upkeep mana cost and initial mana cost is increased by 1.
Upkeep: 1 AP</v>
      </c>
      <c r="G510" s="264" t="str">
        <f>IFERROR(__xludf.DUMMYFUNCTION("""COMPUTED_VALUE"""),"Must be played on a flute.")</f>
        <v>Must be played on a flute.</v>
      </c>
      <c r="H510" s="267" t="str">
        <f>IFERROR(__xludf.DUMMYFUNCTION("""COMPUTED_VALUE"""),"2 AP, 1 MP")</f>
        <v>2 AP, 1 MP</v>
      </c>
      <c r="I510" s="263" t="str">
        <f>IFERROR(__xludf.DUMMYFUNCTION("""COMPUTED_VALUE"""),"2 AP")</f>
        <v>2 AP</v>
      </c>
      <c r="J510" s="263" t="str">
        <f>IFERROR(__xludf.DUMMYFUNCTION("""COMPUTED_VALUE"""),"1 MP")</f>
        <v>1 MP</v>
      </c>
      <c r="K510" s="263" t="str">
        <f>IFERROR(__xludf.DUMMYFUNCTION("""COMPUTED_VALUE"""),"")</f>
        <v/>
      </c>
      <c r="L510" s="263" t="str">
        <f>IFERROR(__xludf.DUMMYFUNCTION("""COMPUTED_VALUE"""),"")</f>
        <v/>
      </c>
      <c r="M510" s="263"/>
      <c r="N510" s="263"/>
      <c r="O510" s="263"/>
      <c r="P510" s="263"/>
      <c r="Q510" s="263"/>
      <c r="R510" s="263"/>
      <c r="S510" s="263"/>
      <c r="T510" s="263"/>
      <c r="U510" s="246"/>
      <c r="V510" s="246"/>
      <c r="W510" s="246"/>
      <c r="X510" s="246"/>
      <c r="Y510" s="246"/>
      <c r="Z510" s="246"/>
    </row>
    <row r="511">
      <c r="A511" s="263"/>
      <c r="B511" s="265" t="str">
        <f>IFERROR(__xludf.DUMMYFUNCTION("""COMPUTED_VALUE"""),"Molten Domain")</f>
        <v>Molten Domain</v>
      </c>
      <c r="C511" s="263"/>
      <c r="D511" s="263" t="str">
        <f>IFERROR(__xludf.DUMMYFUNCTION("""COMPUTED_VALUE"""),"Domain, Burning")</f>
        <v>Domain, Burning</v>
      </c>
      <c r="E511" s="264" t="str">
        <f>IFERROR(__xludf.DUMMYFUNCTION("""COMPUTED_VALUE"""),"Self")</f>
        <v>Self</v>
      </c>
      <c r="F511" s="266" t="str">
        <f>IFERROR(__xludf.DUMMYFUNCTION("""COMPUTED_VALUE"""),"Until the start of your next turn, the ground 5ft around you becomes like burning ground.
Any enemy willingly leaving or moving through this area other than entering it becomes Burning X, where X is your Focus x 3.
The domain burns away other friendly dam"&amp;"age aura effects while in effect. Effects that would normally trigger upon ending the turn in it (such as Poison Spore) don't trigger if someone ends their turn in the Molten Domain.")</f>
        <v>Until the start of your next turn, the ground 5ft around you becomes like burning ground.
Any enemy willingly leaving or moving through this area other than entering it becomes Burning X, where X is your Focus x 3.
The domain burns away other friendly damage aura effects while in effect. Effects that would normally trigger upon ending the turn in it (such as Poison Spore) don't trigger if someone ends their turn in the Molten Domain.</v>
      </c>
      <c r="G511" s="263" t="str">
        <f>IFERROR(__xludf.DUMMYFUNCTION("""COMPUTED_VALUE"""),"")</f>
        <v/>
      </c>
      <c r="H511" s="267" t="str">
        <f>IFERROR(__xludf.DUMMYFUNCTION("""COMPUTED_VALUE"""),"1 AP")</f>
        <v>1 AP</v>
      </c>
      <c r="I511" s="263" t="str">
        <f>IFERROR(__xludf.DUMMYFUNCTION("""COMPUTED_VALUE"""),"1 AP")</f>
        <v>1 AP</v>
      </c>
      <c r="J511" s="263" t="str">
        <f>IFERROR(__xludf.DUMMYFUNCTION("""COMPUTED_VALUE"""),"")</f>
        <v/>
      </c>
      <c r="K511" s="263" t="str">
        <f>IFERROR(__xludf.DUMMYFUNCTION("""COMPUTED_VALUE"""),"")</f>
        <v/>
      </c>
      <c r="L511" s="263" t="str">
        <f>IFERROR(__xludf.DUMMYFUNCTION("""COMPUTED_VALUE"""),"")</f>
        <v/>
      </c>
      <c r="M511" s="263"/>
      <c r="N511" s="263"/>
      <c r="O511" s="263"/>
      <c r="P511" s="263"/>
      <c r="Q511" s="263"/>
      <c r="R511" s="263"/>
      <c r="S511" s="263"/>
      <c r="T511" s="263"/>
      <c r="U511" s="246"/>
      <c r="V511" s="246"/>
      <c r="W511" s="246"/>
      <c r="X511" s="246"/>
      <c r="Y511" s="246"/>
      <c r="Z511" s="246"/>
    </row>
    <row r="512">
      <c r="A512" s="263"/>
      <c r="B512" s="265" t="str">
        <f>IFERROR(__xludf.DUMMYFUNCTION("""COMPUTED_VALUE"""),"Momentum")</f>
        <v>Momentum</v>
      </c>
      <c r="C512" s="263"/>
      <c r="D512" s="264" t="str">
        <f>IFERROR(__xludf.DUMMYFUNCTION("""COMPUTED_VALUE"""),"")</f>
        <v/>
      </c>
      <c r="E512" s="264" t="str">
        <f>IFERROR(__xludf.DUMMYFUNCTION("""COMPUTED_VALUE"""),"Melee Weapon Range")</f>
        <v>Melee Weapon Range</v>
      </c>
      <c r="F512" s="266" t="str">
        <f>IFERROR(__xludf.DUMMYFUNCTION("""COMPUTED_VALUE"""),"You make a Heavy attack against the target. For every 10ft moved during your last action this turn, this attack gains +1 damage up to a maximum of +10 damage. Abilities with the Teleport keyword do not apply for this.")</f>
        <v>You make a Heavy attack against the target. For every 10ft moved during your last action this turn, this attack gains +1 damage up to a maximum of +10 damage. Abilities with the Teleport keyword do not apply for this.</v>
      </c>
      <c r="G512" s="263" t="str">
        <f>IFERROR(__xludf.DUMMYFUNCTION("""COMPUTED_VALUE"""),"Must be mounted.")</f>
        <v>Must be mounted.</v>
      </c>
      <c r="H512" s="265" t="str">
        <f>IFERROR(__xludf.DUMMYFUNCTION("""COMPUTED_VALUE"""),"2 AP, 1 MP")</f>
        <v>2 AP, 1 MP</v>
      </c>
      <c r="I512" s="264" t="str">
        <f>IFERROR(__xludf.DUMMYFUNCTION("""COMPUTED_VALUE"""),"2 AP")</f>
        <v>2 AP</v>
      </c>
      <c r="J512" s="263" t="str">
        <f>IFERROR(__xludf.DUMMYFUNCTION("""COMPUTED_VALUE"""),"1 MP")</f>
        <v>1 MP</v>
      </c>
      <c r="K512" s="263" t="str">
        <f>IFERROR(__xludf.DUMMYFUNCTION("""COMPUTED_VALUE"""),"")</f>
        <v/>
      </c>
      <c r="L512" s="263" t="str">
        <f>IFERROR(__xludf.DUMMYFUNCTION("""COMPUTED_VALUE"""),"")</f>
        <v/>
      </c>
      <c r="M512" s="263"/>
      <c r="N512" s="263"/>
      <c r="O512" s="263"/>
      <c r="P512" s="263"/>
      <c r="Q512" s="263"/>
      <c r="R512" s="263"/>
      <c r="S512" s="263"/>
      <c r="T512" s="263"/>
      <c r="U512" s="246"/>
      <c r="V512" s="246"/>
      <c r="W512" s="246"/>
      <c r="X512" s="246"/>
      <c r="Y512" s="246"/>
      <c r="Z512" s="246"/>
    </row>
    <row r="513">
      <c r="A513" s="263"/>
      <c r="B513" s="265" t="str">
        <f>IFERROR(__xludf.DUMMYFUNCTION("""COMPUTED_VALUE"""),"Mordschlag")</f>
        <v>Mordschlag</v>
      </c>
      <c r="C513" s="263"/>
      <c r="D513" s="263" t="str">
        <f>IFERROR(__xludf.DUMMYFUNCTION("""COMPUTED_VALUE"""),"Block Crush")</f>
        <v>Block Crush</v>
      </c>
      <c r="E513" s="264" t="str">
        <f>IFERROR(__xludf.DUMMYFUNCTION("""COMPUTED_VALUE"""),"Melee Weapon Range")</f>
        <v>Melee Weapon Range</v>
      </c>
      <c r="F513" s="266" t="str">
        <f>IFERROR(__xludf.DUMMYFUNCTION("""COMPUTED_VALUE"""),"You attack the target with the pommel or crossguard making a Heavy Attack against the target.")</f>
        <v>You attack the target with the pommel or crossguard making a Heavy Attack against the target.</v>
      </c>
      <c r="G513" s="263" t="str">
        <f>IFERROR(__xludf.DUMMYFUNCTION("""COMPUTED_VALUE"""),"Longsword, Heavy Blades and Bludgeoning weapons only.")</f>
        <v>Longsword, Heavy Blades and Bludgeoning weapons only.</v>
      </c>
      <c r="H513" s="265" t="str">
        <f>IFERROR(__xludf.DUMMYFUNCTION("""COMPUTED_VALUE"""),"2 AP, 1 MP")</f>
        <v>2 AP, 1 MP</v>
      </c>
      <c r="I513" s="264" t="str">
        <f>IFERROR(__xludf.DUMMYFUNCTION("""COMPUTED_VALUE"""),"2 AP")</f>
        <v>2 AP</v>
      </c>
      <c r="J513" s="264" t="str">
        <f>IFERROR(__xludf.DUMMYFUNCTION("""COMPUTED_VALUE"""),"1 MP")</f>
        <v>1 MP</v>
      </c>
      <c r="K513" s="263" t="str">
        <f>IFERROR(__xludf.DUMMYFUNCTION("""COMPUTED_VALUE"""),"")</f>
        <v/>
      </c>
      <c r="L513" s="263" t="str">
        <f>IFERROR(__xludf.DUMMYFUNCTION("""COMPUTED_VALUE"""),"")</f>
        <v/>
      </c>
      <c r="M513" s="263"/>
      <c r="N513" s="263"/>
      <c r="O513" s="263"/>
      <c r="P513" s="263"/>
      <c r="Q513" s="263"/>
      <c r="R513" s="263"/>
      <c r="S513" s="263"/>
      <c r="T513" s="263"/>
      <c r="U513" s="246"/>
      <c r="V513" s="246"/>
      <c r="W513" s="246"/>
      <c r="X513" s="246"/>
      <c r="Y513" s="246"/>
      <c r="Z513" s="246"/>
    </row>
    <row r="514">
      <c r="A514" s="263"/>
      <c r="B514" s="265" t="str">
        <f>IFERROR(__xludf.DUMMYFUNCTION("""COMPUTED_VALUE"""),"Mountain Slayer")</f>
        <v>Mountain Slayer</v>
      </c>
      <c r="C514" s="263"/>
      <c r="D514" s="264" t="str">
        <f>IFERROR(__xludf.DUMMYFUNCTION("""COMPUTED_VALUE"""),"Shieldbreaker")</f>
        <v>Shieldbreaker</v>
      </c>
      <c r="E514" s="264" t="str">
        <f>IFERROR(__xludf.DUMMYFUNCTION("""COMPUTED_VALUE"""),"Melee Weapon Range")</f>
        <v>Melee Weapon Range</v>
      </c>
      <c r="F514" s="266" t="str">
        <f>IFERROR(__xludf.DUMMYFUNCTION("""COMPUTED_VALUE"""),"You make a Light attack against a target.")</f>
        <v>You make a Light attack against a target.</v>
      </c>
      <c r="G514" s="264" t="str">
        <f>IFERROR(__xludf.DUMMYFUNCTION("""COMPUTED_VALUE"""),"Target can be affected by Shieldbreaker.")</f>
        <v>Target can be affected by Shieldbreaker.</v>
      </c>
      <c r="H514" s="265" t="str">
        <f>IFERROR(__xludf.DUMMYFUNCTION("""COMPUTED_VALUE"""),"1 AP")</f>
        <v>1 AP</v>
      </c>
      <c r="I514" s="263" t="str">
        <f>IFERROR(__xludf.DUMMYFUNCTION("""COMPUTED_VALUE"""),"1 AP")</f>
        <v>1 AP</v>
      </c>
      <c r="J514" s="263" t="str">
        <f>IFERROR(__xludf.DUMMYFUNCTION("""COMPUTED_VALUE"""),"")</f>
        <v/>
      </c>
      <c r="K514" s="264" t="str">
        <f>IFERROR(__xludf.DUMMYFUNCTION("""COMPUTED_VALUE"""),"")</f>
        <v/>
      </c>
      <c r="L514" s="263" t="str">
        <f>IFERROR(__xludf.DUMMYFUNCTION("""COMPUTED_VALUE"""),"")</f>
        <v/>
      </c>
      <c r="M514" s="263"/>
      <c r="N514" s="263"/>
      <c r="O514" s="263"/>
      <c r="P514" s="263"/>
      <c r="Q514" s="263"/>
      <c r="R514" s="263"/>
      <c r="S514" s="263"/>
      <c r="T514" s="263"/>
      <c r="U514" s="246"/>
      <c r="V514" s="246"/>
      <c r="W514" s="246"/>
      <c r="X514" s="246"/>
      <c r="Y514" s="246"/>
      <c r="Z514" s="246"/>
    </row>
    <row r="515">
      <c r="A515" s="263"/>
      <c r="B515" s="265" t="str">
        <f>IFERROR(__xludf.DUMMYFUNCTION("""COMPUTED_VALUE"""),"Mounted Casting")</f>
        <v>Mounted Casting</v>
      </c>
      <c r="C515" s="263"/>
      <c r="D515" s="263" t="str">
        <f>IFERROR(__xludf.DUMMYFUNCTION("""COMPUTED_VALUE"""),"")</f>
        <v/>
      </c>
      <c r="E515" s="263" t="str">
        <f>IFERROR(__xludf.DUMMYFUNCTION("""COMPUTED_VALUE"""),"Self")</f>
        <v>Self</v>
      </c>
      <c r="F515" s="266" t="str">
        <f>IFERROR(__xludf.DUMMYFUNCTION("""COMPUTED_VALUE"""),"You may cast a Spell with an AP cost of 2 or less.")</f>
        <v>You may cast a Spell with an AP cost of 2 or less.</v>
      </c>
      <c r="G515" s="263" t="str">
        <f>IFERROR(__xludf.DUMMYFUNCTION("""COMPUTED_VALUE"""),"Must be mounted and taking a movement action.")</f>
        <v>Must be mounted and taking a movement action.</v>
      </c>
      <c r="H515" s="267" t="str">
        <f>IFERROR(__xludf.DUMMYFUNCTION("""COMPUTED_VALUE"""),"1 RP")</f>
        <v>1 RP</v>
      </c>
      <c r="I515" s="263" t="str">
        <f>IFERROR(__xludf.DUMMYFUNCTION("""COMPUTED_VALUE"""),"")</f>
        <v/>
      </c>
      <c r="J515" s="263" t="str">
        <f>IFERROR(__xludf.DUMMYFUNCTION("""COMPUTED_VALUE"""),"")</f>
        <v/>
      </c>
      <c r="K515" s="263" t="str">
        <f>IFERROR(__xludf.DUMMYFUNCTION("""COMPUTED_VALUE"""),"1 RP")</f>
        <v>1 RP</v>
      </c>
      <c r="L515" s="263" t="str">
        <f>IFERROR(__xludf.DUMMYFUNCTION("""COMPUTED_VALUE"""),"")</f>
        <v/>
      </c>
      <c r="M515" s="263"/>
      <c r="N515" s="263"/>
      <c r="O515" s="263"/>
      <c r="P515" s="263"/>
      <c r="Q515" s="263"/>
      <c r="R515" s="263"/>
      <c r="S515" s="263"/>
      <c r="T515" s="263"/>
      <c r="U515" s="246"/>
      <c r="V515" s="246"/>
      <c r="W515" s="246"/>
      <c r="X515" s="246"/>
      <c r="Y515" s="246"/>
      <c r="Z515" s="246"/>
    </row>
    <row r="516">
      <c r="A516" s="263"/>
      <c r="B516" s="265" t="str">
        <f>IFERROR(__xludf.DUMMYFUNCTION("""COMPUTED_VALUE"""),"Move Piece")</f>
        <v>Move Piece</v>
      </c>
      <c r="C516" s="263"/>
      <c r="D516" s="264" t="str">
        <f>IFERROR(__xludf.DUMMYFUNCTION("""COMPUTED_VALUE"""),"Killing Blow, Sidestep")</f>
        <v>Killing Blow, Sidestep</v>
      </c>
      <c r="E516" s="264" t="str">
        <f>IFERROR(__xludf.DUMMYFUNCTION("""COMPUTED_VALUE"""),"60ft")</f>
        <v>60ft</v>
      </c>
      <c r="F516" s="266" t="str">
        <f>IFERROR(__xludf.DUMMYFUNCTION("""COMPUTED_VALUE"""),"You move a puppet piece you can see that's under your control. The way it moves depends on the type of piece. When a piece moves, it's a Sidestep.
Pawn: Moves up to 2 squares orthogonally or 1 square diagonally in a straight line.
Knight: Moves 1 square o"&amp;"rthogonally, then 1 square diagonal in the same direction it moved in orthogonally (like a knight in chess). Can pass through allies and enemies.
Bishop: Moves up to 8 squares diagonally in a straight line.
Rook: Moves up to 8 squares orthogonally in a st"&amp;"raight line.
Queen: Moves up to 8 squares orthogonally or diagonally in a straight line.
Except for the Knight, chess pieces cannot move through allies and stop their movement when they hit an object or creature. If this happens, it makes a Heavy attack t"&amp;"hat deals Physical(Bludgeoning) damage against that target with your stats. A knight that makes an attack and does not kill the target remains in its original spot.
On damage, a piece is promoted into a higher rank (Pawn -&gt; Bishop/Knight -&gt; Rook -&gt; Queen)"&amp;". A queen cannot promote.
On Killing Blow, a piece occupies the square of the thing it attacked.")</f>
        <v>You move a puppet piece you can see that's under your control. The way it moves depends on the type of piece. When a piece moves, it's a Sidestep.
Pawn: Moves up to 2 squares orthogonally or 1 square diagonally in a straight line.
Knight: Moves 1 square orthogonally, then 1 square diagonal in the same direction it moved in orthogonally (like a knight in chess). Can pass through allies and enemies.
Bishop: Moves up to 8 squares diagonally in a straight line.
Rook: Moves up to 8 squares orthogonally in a straight line.
Queen: Moves up to 8 squares orthogonally or diagonally in a straight line.
Except for the Knight, chess pieces cannot move through allies and stop their movement when they hit an object or creature. If this happens, it makes a Heavy attack that deals Physical(Bludgeoning) damage against that target with your stats. A knight that makes an attack and does not kill the target remains in its original spot.
On damage, a piece is promoted into a higher rank (Pawn -&gt; Bishop/Knight -&gt; Rook -&gt; Queen). A queen cannot promote.
On Killing Blow, a piece occupies the square of the thing it attacked.</v>
      </c>
      <c r="G516" s="263" t="str">
        <f>IFERROR(__xludf.DUMMYFUNCTION("""COMPUTED_VALUE"""),"")</f>
        <v/>
      </c>
      <c r="H516" s="265" t="str">
        <f>IFERROR(__xludf.DUMMYFUNCTION("""COMPUTED_VALUE"""),"1 AP, 1 MP")</f>
        <v>1 AP, 1 MP</v>
      </c>
      <c r="I516" s="264" t="str">
        <f>IFERROR(__xludf.DUMMYFUNCTION("""COMPUTED_VALUE"""),"1 AP")</f>
        <v>1 AP</v>
      </c>
      <c r="J516" s="264" t="str">
        <f>IFERROR(__xludf.DUMMYFUNCTION("""COMPUTED_VALUE"""),"1 MP")</f>
        <v>1 MP</v>
      </c>
      <c r="K516" s="263" t="str">
        <f>IFERROR(__xludf.DUMMYFUNCTION("""COMPUTED_VALUE"""),"")</f>
        <v/>
      </c>
      <c r="L516" s="263" t="str">
        <f>IFERROR(__xludf.DUMMYFUNCTION("""COMPUTED_VALUE"""),"")</f>
        <v/>
      </c>
      <c r="M516" s="263"/>
      <c r="N516" s="263"/>
      <c r="O516" s="263"/>
      <c r="P516" s="263"/>
      <c r="Q516" s="263"/>
      <c r="R516" s="263"/>
      <c r="S516" s="263"/>
      <c r="T516" s="263"/>
      <c r="U516" s="246"/>
      <c r="V516" s="246"/>
      <c r="W516" s="246"/>
      <c r="X516" s="246"/>
      <c r="Y516" s="246"/>
      <c r="Z516" s="246"/>
    </row>
    <row r="517">
      <c r="A517" s="263"/>
      <c r="B517" s="265" t="str">
        <f>IFERROR(__xludf.DUMMYFUNCTION("""COMPUTED_VALUE"""),"Movement Burst")</f>
        <v>Movement Burst</v>
      </c>
      <c r="C517" s="263"/>
      <c r="D517" s="264" t="str">
        <f>IFERROR(__xludf.DUMMYFUNCTION("""COMPUTED_VALUE"""),"Stealth")</f>
        <v>Stealth</v>
      </c>
      <c r="E517" s="264" t="str">
        <f>IFERROR(__xludf.DUMMYFUNCTION("""COMPUTED_VALUE"""),"Self")</f>
        <v>Self</v>
      </c>
      <c r="F517" s="266" t="str">
        <f>IFERROR(__xludf.DUMMYFUNCTION("""COMPUTED_VALUE"""),"You may move up to your Speed + up to 15ft per mana spent on this ability. Any unspent movement is lost afterwards.
If you spend more than 1 Mana on this ability, it loses the Stealth keyword.")</f>
        <v>You may move up to your Speed + up to 15ft per mana spent on this ability. Any unspent movement is lost afterwards.
If you spend more than 1 Mana on this ability, it loses the Stealth keyword.</v>
      </c>
      <c r="G517" s="263" t="str">
        <f>IFERROR(__xludf.DUMMYFUNCTION("""COMPUTED_VALUE"""),"")</f>
        <v/>
      </c>
      <c r="H517" s="265" t="str">
        <f>IFERROR(__xludf.DUMMYFUNCTION("""COMPUTED_VALUE"""),"1 AP, X MP")</f>
        <v>1 AP, X MP</v>
      </c>
      <c r="I517" s="264" t="str">
        <f>IFERROR(__xludf.DUMMYFUNCTION("""COMPUTED_VALUE"""),"1 AP")</f>
        <v>1 AP</v>
      </c>
      <c r="J517" s="263" t="str">
        <f>IFERROR(__xludf.DUMMYFUNCTION("""COMPUTED_VALUE"""),"X MP")</f>
        <v>X MP</v>
      </c>
      <c r="K517" s="263" t="str">
        <f>IFERROR(__xludf.DUMMYFUNCTION("""COMPUTED_VALUE"""),"")</f>
        <v/>
      </c>
      <c r="L517" s="263" t="str">
        <f>IFERROR(__xludf.DUMMYFUNCTION("""COMPUTED_VALUE"""),"")</f>
        <v/>
      </c>
      <c r="M517" s="263"/>
      <c r="N517" s="263"/>
      <c r="O517" s="263"/>
      <c r="P517" s="263"/>
      <c r="Q517" s="263"/>
      <c r="R517" s="263"/>
      <c r="S517" s="263"/>
      <c r="T517" s="263"/>
      <c r="U517" s="246"/>
      <c r="V517" s="246"/>
      <c r="W517" s="246"/>
      <c r="X517" s="246"/>
      <c r="Y517" s="246"/>
      <c r="Z517" s="246"/>
    </row>
    <row r="518">
      <c r="A518" s="263"/>
      <c r="B518" s="265" t="str">
        <f>IFERROR(__xludf.DUMMYFUNCTION("""COMPUTED_VALUE"""),"Mud Wall")</f>
        <v>Mud Wall</v>
      </c>
      <c r="C518" s="263"/>
      <c r="D518" s="264" t="str">
        <f>IFERROR(__xludf.DUMMYFUNCTION("""COMPUTED_VALUE"""),"Spell, Earth")</f>
        <v>Spell, Earth</v>
      </c>
      <c r="E518" s="264" t="str">
        <f>IFERROR(__xludf.DUMMYFUNCTION("""COMPUTED_VALUE"""),"40ft")</f>
        <v>40ft</v>
      </c>
      <c r="F518" s="266" t="str">
        <f>IFERROR(__xludf.DUMMYFUNCTION("""COMPUTED_VALUE"""),"You create a wall 4ft high, 1ft thick and up to 20ft long that serves as low cover. Anybody attempting to get over the wall treats it as difficult terrain. Walls must be placed on solid ground and cannot be stacked on top of eachother.
Each 5ft of wall ha"&amp;"s 60 HP and dissolves if it reaches 0. It otherwise lasts until the end of the encounter.
You may spend 1 RP instead of 2 AP on this ability instead.")</f>
        <v>You create a wall 4ft high, 1ft thick and up to 20ft long that serves as low cover. Anybody attempting to get over the wall treats it as difficult terrain. Walls must be placed on solid ground and cannot be stacked on top of eachother.
Each 5ft of wall has 60 HP and dissolves if it reaches 0. It otherwise lasts until the end of the encounter.
You may spend 1 RP instead of 2 AP on this ability instead.</v>
      </c>
      <c r="G518" s="263" t="str">
        <f>IFERROR(__xludf.DUMMYFUNCTION("""COMPUTED_VALUE"""),"")</f>
        <v/>
      </c>
      <c r="H518" s="265" t="str">
        <f>IFERROR(__xludf.DUMMYFUNCTION("""COMPUTED_VALUE"""),"2 AP")</f>
        <v>2 AP</v>
      </c>
      <c r="I518" s="264" t="str">
        <f>IFERROR(__xludf.DUMMYFUNCTION("""COMPUTED_VALUE"""),"2 AP")</f>
        <v>2 AP</v>
      </c>
      <c r="J518" s="264" t="str">
        <f>IFERROR(__xludf.DUMMYFUNCTION("""COMPUTED_VALUE"""),"")</f>
        <v/>
      </c>
      <c r="K518" s="263" t="str">
        <f>IFERROR(__xludf.DUMMYFUNCTION("""COMPUTED_VALUE"""),"")</f>
        <v/>
      </c>
      <c r="L518" s="263" t="str">
        <f>IFERROR(__xludf.DUMMYFUNCTION("""COMPUTED_VALUE"""),"")</f>
        <v/>
      </c>
      <c r="M518" s="263"/>
      <c r="N518" s="263"/>
      <c r="O518" s="263"/>
      <c r="P518" s="263"/>
      <c r="Q518" s="263"/>
      <c r="R518" s="263"/>
      <c r="S518" s="263"/>
      <c r="T518" s="263"/>
      <c r="U518" s="246"/>
      <c r="V518" s="246"/>
      <c r="W518" s="246"/>
      <c r="X518" s="246"/>
      <c r="Y518" s="246"/>
      <c r="Z518" s="246"/>
    </row>
    <row r="519">
      <c r="A519" s="263"/>
      <c r="B519" s="265" t="str">
        <f>IFERROR(__xludf.DUMMYFUNCTION("""COMPUTED_VALUE"""),"Mudra: First Sensation")</f>
        <v>Mudra: First Sensation</v>
      </c>
      <c r="C519" s="263"/>
      <c r="D519" s="263" t="str">
        <f>IFERROR(__xludf.DUMMYFUNCTION("""COMPUTED_VALUE"""),"Unarmed Strike, Combo")</f>
        <v>Unarmed Strike, Combo</v>
      </c>
      <c r="E519" s="263" t="str">
        <f>IFERROR(__xludf.DUMMYFUNCTION("""COMPUTED_VALUE"""),"Melee Weapon Range")</f>
        <v>Melee Weapon Range</v>
      </c>
      <c r="F519" s="266" t="str">
        <f>IFERROR(__xludf.DUMMYFUNCTION("""COMPUTED_VALUE"""),"You deliver the first motion, a graceful strike that awakens awareness in both you and your foe and you make a Light attack against the target. On hit, you gain a Harmony stack (In addition to the one you might get if this deals damage.)
Combo: When used "&amp;"after entering Luminous Form Stance, the mana cost is reduced by 1.")</f>
        <v>You deliver the first motion, a graceful strike that awakens awareness in both you and your foe and you make a Light attack against the target. On hit, you gain a Harmony stack (In addition to the one you might get if this deals damage.)
Combo: When used after entering Luminous Form Stance, the mana cost is reduced by 1.</v>
      </c>
      <c r="G519" s="264" t="str">
        <f>IFERROR(__xludf.DUMMYFUNCTION("""COMPUTED_VALUE"""),"Must be in Luminous Form Stance")</f>
        <v>Must be in Luminous Form Stance</v>
      </c>
      <c r="H519" s="267" t="str">
        <f>IFERROR(__xludf.DUMMYFUNCTION("""COMPUTED_VALUE"""),"1 AP, 1 MP")</f>
        <v>1 AP, 1 MP</v>
      </c>
      <c r="I519" s="263" t="str">
        <f>IFERROR(__xludf.DUMMYFUNCTION("""COMPUTED_VALUE"""),"1 AP")</f>
        <v>1 AP</v>
      </c>
      <c r="J519" s="263" t="str">
        <f>IFERROR(__xludf.DUMMYFUNCTION("""COMPUTED_VALUE"""),"1 MP")</f>
        <v>1 MP</v>
      </c>
      <c r="K519" s="263" t="str">
        <f>IFERROR(__xludf.DUMMYFUNCTION("""COMPUTED_VALUE"""),"")</f>
        <v/>
      </c>
      <c r="L519" s="263" t="str">
        <f>IFERROR(__xludf.DUMMYFUNCTION("""COMPUTED_VALUE"""),"")</f>
        <v/>
      </c>
      <c r="M519" s="263"/>
      <c r="N519" s="263"/>
      <c r="O519" s="263"/>
      <c r="P519" s="263"/>
      <c r="Q519" s="263"/>
      <c r="R519" s="263"/>
      <c r="S519" s="263"/>
      <c r="T519" s="263"/>
      <c r="U519" s="246"/>
      <c r="V519" s="246"/>
      <c r="W519" s="246"/>
      <c r="X519" s="246"/>
      <c r="Y519" s="246"/>
      <c r="Z519" s="246"/>
    </row>
    <row r="520">
      <c r="A520" s="263"/>
      <c r="B520" s="265" t="str">
        <f>IFERROR(__xludf.DUMMYFUNCTION("""COMPUTED_VALUE"""),"Multishot")</f>
        <v>Multishot</v>
      </c>
      <c r="C520" s="263"/>
      <c r="D520" s="264" t="str">
        <f>IFERROR(__xludf.DUMMYFUNCTION("""COMPUTED_VALUE"""),"Overcharge")</f>
        <v>Overcharge</v>
      </c>
      <c r="E520" s="264" t="str">
        <f>IFERROR(__xludf.DUMMYFUNCTION("""COMPUTED_VALUE"""),"Ranged Weapon Range")</f>
        <v>Ranged Weapon Range</v>
      </c>
      <c r="F520" s="266" t="str">
        <f>IFERROR(__xludf.DUMMYFUNCTION("""COMPUTED_VALUE"""),"You may make a Heavy Attack against two different targets. Overcharge: You may spend X extra mana to attack 2 + X targets instead.")</f>
        <v>You may make a Heavy Attack against two different targets. Overcharge: You may spend X extra mana to attack 2 + X targets instead.</v>
      </c>
      <c r="G520" s="263" t="str">
        <f>IFERROR(__xludf.DUMMYFUNCTION("""COMPUTED_VALUE"""),"")</f>
        <v/>
      </c>
      <c r="H520" s="265" t="str">
        <f>IFERROR(__xludf.DUMMYFUNCTION("""COMPUTED_VALUE"""),"3 AP, 1 MP")</f>
        <v>3 AP, 1 MP</v>
      </c>
      <c r="I520" s="264" t="str">
        <f>IFERROR(__xludf.DUMMYFUNCTION("""COMPUTED_VALUE"""),"3 AP")</f>
        <v>3 AP</v>
      </c>
      <c r="J520" s="264" t="str">
        <f>IFERROR(__xludf.DUMMYFUNCTION("""COMPUTED_VALUE"""),"1 MP")</f>
        <v>1 MP</v>
      </c>
      <c r="K520" s="263" t="str">
        <f>IFERROR(__xludf.DUMMYFUNCTION("""COMPUTED_VALUE"""),"")</f>
        <v/>
      </c>
      <c r="L520" s="263" t="str">
        <f>IFERROR(__xludf.DUMMYFUNCTION("""COMPUTED_VALUE"""),"")</f>
        <v/>
      </c>
      <c r="M520" s="263"/>
      <c r="N520" s="263"/>
      <c r="O520" s="263"/>
      <c r="P520" s="263"/>
      <c r="Q520" s="263"/>
      <c r="R520" s="263"/>
      <c r="S520" s="263"/>
      <c r="T520" s="263"/>
      <c r="U520" s="246"/>
      <c r="V520" s="246"/>
      <c r="W520" s="246"/>
      <c r="X520" s="246"/>
      <c r="Y520" s="246"/>
      <c r="Z520" s="246"/>
    </row>
    <row r="521">
      <c r="A521" s="263"/>
      <c r="B521" s="265" t="str">
        <f>IFERROR(__xludf.DUMMYFUNCTION("""COMPUTED_VALUE"""),"Mystic Eyes of Life Perception")</f>
        <v>Mystic Eyes of Life Perception</v>
      </c>
      <c r="C521" s="263"/>
      <c r="D521" s="264" t="str">
        <f>IFERROR(__xludf.DUMMYFUNCTION("""COMPUTED_VALUE"""),"Mystic Eye")</f>
        <v>Mystic Eye</v>
      </c>
      <c r="E521" s="264" t="str">
        <f>IFERROR(__xludf.DUMMYFUNCTION("""COMPUTED_VALUE"""),"Self")</f>
        <v>Self</v>
      </c>
      <c r="F521" s="266" t="str">
        <f>IFERROR(__xludf.DUMMYFUNCTION("""COMPUTED_VALUE"""),"You temporarily empower your eyes. While active, you gain 360 degree vision and automatically detect all enemies within a 30ft radius of you that are not behind at least 1ft of full cover. In addition, you can see the approximate HP and Mana percentage of"&amp;" all enemies in this range. This lasts for 5 minutes or until you turn it off.")</f>
        <v>You temporarily empower your eyes. While active, you gain 360 degree vision and automatically detect all enemies within a 30ft radius of you that are not behind at least 1ft of full cover. In addition, you can see the approximate HP and Mana percentage of all enemies in this range. This lasts for 5 minutes or until you turn it off.</v>
      </c>
      <c r="G521" s="263" t="str">
        <f>IFERROR(__xludf.DUMMYFUNCTION("""COMPUTED_VALUE"""),"")</f>
        <v/>
      </c>
      <c r="H521" s="265" t="str">
        <f>IFERROR(__xludf.DUMMYFUNCTION("""COMPUTED_VALUE"""),"0 AP, 2 MP")</f>
        <v>0 AP, 2 MP</v>
      </c>
      <c r="I521" s="264" t="str">
        <f>IFERROR(__xludf.DUMMYFUNCTION("""COMPUTED_VALUE"""),"0 AP")</f>
        <v>0 AP</v>
      </c>
      <c r="J521" s="264" t="str">
        <f>IFERROR(__xludf.DUMMYFUNCTION("""COMPUTED_VALUE"""),"2 MP")</f>
        <v>2 MP</v>
      </c>
      <c r="K521" s="263" t="str">
        <f>IFERROR(__xludf.DUMMYFUNCTION("""COMPUTED_VALUE"""),"")</f>
        <v/>
      </c>
      <c r="L521" s="263" t="str">
        <f>IFERROR(__xludf.DUMMYFUNCTION("""COMPUTED_VALUE"""),"")</f>
        <v/>
      </c>
      <c r="M521" s="263"/>
      <c r="N521" s="263"/>
      <c r="O521" s="263"/>
      <c r="P521" s="263"/>
      <c r="Q521" s="263"/>
      <c r="R521" s="263"/>
      <c r="S521" s="263"/>
      <c r="T521" s="263"/>
      <c r="U521" s="246"/>
      <c r="V521" s="246"/>
      <c r="W521" s="246"/>
      <c r="X521" s="246"/>
      <c r="Y521" s="246"/>
      <c r="Z521" s="246"/>
    </row>
    <row r="522">
      <c r="A522" s="263"/>
      <c r="B522" s="265" t="str">
        <f>IFERROR(__xludf.DUMMYFUNCTION("""COMPUTED_VALUE"""),"Nature's Grasp")</f>
        <v>Nature's Grasp</v>
      </c>
      <c r="C522" s="263"/>
      <c r="D522" s="263" t="str">
        <f>IFERROR(__xludf.DUMMYFUNCTION("""COMPUTED_VALUE"""),"Root, Earth")</f>
        <v>Root, Earth</v>
      </c>
      <c r="E522" s="264" t="str">
        <f>IFERROR(__xludf.DUMMYFUNCTION("""COMPUTED_VALUE"""),"30ft")</f>
        <v>30ft</v>
      </c>
      <c r="F522" s="266" t="str">
        <f>IFERROR(__xludf.DUMMYFUNCTION("""COMPUTED_VALUE"""),"You shoot out a vine that wraps around the target and make a Light Attack against the target that only deals 1 Earth damage. On damage, the target becomes Rooted until the start of your next turn or until they spend 2 AP to remove the root with a slashing"&amp;" or fire based attack.
Against Grunts, this attack costs 0 Mana and gains Sure Hit.")</f>
        <v>You shoot out a vine that wraps around the target and make a Light Attack against the target that only deals 1 Earth damage. On damage, the target becomes Rooted until the start of your next turn or until they spend 2 AP to remove the root with a slashing or fire based attack.
Against Grunts, this attack costs 0 Mana and gains Sure Hit.</v>
      </c>
      <c r="G522" s="263" t="str">
        <f>IFERROR(__xludf.DUMMYFUNCTION("""COMPUTED_VALUE"""),"")</f>
        <v/>
      </c>
      <c r="H522" s="265" t="str">
        <f>IFERROR(__xludf.DUMMYFUNCTION("""COMPUTED_VALUE"""),"1 AP, 1 MP")</f>
        <v>1 AP, 1 MP</v>
      </c>
      <c r="I522" s="264" t="str">
        <f>IFERROR(__xludf.DUMMYFUNCTION("""COMPUTED_VALUE"""),"1 AP")</f>
        <v>1 AP</v>
      </c>
      <c r="J522" s="264" t="str">
        <f>IFERROR(__xludf.DUMMYFUNCTION("""COMPUTED_VALUE"""),"1 MP")</f>
        <v>1 MP</v>
      </c>
      <c r="K522" s="263" t="str">
        <f>IFERROR(__xludf.DUMMYFUNCTION("""COMPUTED_VALUE"""),"")</f>
        <v/>
      </c>
      <c r="L522" s="263" t="str">
        <f>IFERROR(__xludf.DUMMYFUNCTION("""COMPUTED_VALUE"""),"")</f>
        <v/>
      </c>
      <c r="M522" s="263"/>
      <c r="N522" s="263"/>
      <c r="O522" s="263"/>
      <c r="P522" s="263"/>
      <c r="Q522" s="263"/>
      <c r="R522" s="263"/>
      <c r="S522" s="263"/>
      <c r="T522" s="263"/>
      <c r="U522" s="246"/>
      <c r="V522" s="246"/>
      <c r="W522" s="246"/>
      <c r="X522" s="246"/>
      <c r="Y522" s="246"/>
      <c r="Z522" s="246"/>
    </row>
    <row r="523">
      <c r="A523" s="263"/>
      <c r="B523" s="265" t="str">
        <f>IFERROR(__xludf.DUMMYFUNCTION("""COMPUTED_VALUE"""),"Never Miss The Beat")</f>
        <v>Never Miss The Beat</v>
      </c>
      <c r="C523" s="263"/>
      <c r="D523" s="264" t="str">
        <f>IFERROR(__xludf.DUMMYFUNCTION("""COMPUTED_VALUE"""),"Song, Sound, Idol, Upkeep")</f>
        <v>Song, Sound, Idol, Upkeep</v>
      </c>
      <c r="E523" s="264" t="str">
        <f>IFERROR(__xludf.DUMMYFUNCTION("""COMPUTED_VALUE"""),"30ft")</f>
        <v>30ft</v>
      </c>
      <c r="F523" s="266" t="str">
        <f>IFERROR(__xludf.DUMMYFUNCTION("""COMPUTED_VALUE"""),"You begin singing a supportive song.
Once per round per ally, when an ally fails to meet the base evasion with an attack, you may spend 2 Mana to add that ally’s focus bonus for that attack.
Upkeep: 1 AP")</f>
        <v>You begin singing a supportive song.
Once per round per ally, when an ally fails to meet the base evasion with an attack, you may spend 2 Mana to add that ally’s focus bonus for that attack.
Upkeep: 1 AP</v>
      </c>
      <c r="G523" s="263" t="str">
        <f>IFERROR(__xludf.DUMMYFUNCTION("""COMPUTED_VALUE"""),"")</f>
        <v/>
      </c>
      <c r="H523" s="265" t="str">
        <f>IFERROR(__xludf.DUMMYFUNCTION("""COMPUTED_VALUE"""),"2 AP")</f>
        <v>2 AP</v>
      </c>
      <c r="I523" s="263" t="str">
        <f>IFERROR(__xludf.DUMMYFUNCTION("""COMPUTED_VALUE"""),"2 AP")</f>
        <v>2 AP</v>
      </c>
      <c r="J523" s="264" t="str">
        <f>IFERROR(__xludf.DUMMYFUNCTION("""COMPUTED_VALUE"""),"")</f>
        <v/>
      </c>
      <c r="K523" s="264" t="str">
        <f>IFERROR(__xludf.DUMMYFUNCTION("""COMPUTED_VALUE"""),"")</f>
        <v/>
      </c>
      <c r="L523" s="263" t="str">
        <f>IFERROR(__xludf.DUMMYFUNCTION("""COMPUTED_VALUE"""),"")</f>
        <v/>
      </c>
      <c r="M523" s="263"/>
      <c r="N523" s="263"/>
      <c r="O523" s="263"/>
      <c r="P523" s="263"/>
      <c r="Q523" s="263"/>
      <c r="R523" s="263"/>
      <c r="S523" s="263"/>
      <c r="T523" s="263"/>
      <c r="U523" s="246"/>
      <c r="V523" s="246"/>
      <c r="W523" s="246"/>
      <c r="X523" s="246"/>
      <c r="Y523" s="246"/>
      <c r="Z523" s="246"/>
    </row>
    <row r="524">
      <c r="A524" s="263"/>
      <c r="B524" s="265" t="str">
        <f>IFERROR(__xludf.DUMMYFUNCTION("""COMPUTED_VALUE"""),"Nightvision")</f>
        <v>Nightvision</v>
      </c>
      <c r="C524" s="263"/>
      <c r="D524" s="264" t="str">
        <f>IFERROR(__xludf.DUMMYFUNCTION("""COMPUTED_VALUE"""),"")</f>
        <v/>
      </c>
      <c r="E524" s="264" t="str">
        <f>IFERROR(__xludf.DUMMYFUNCTION("""COMPUTED_VALUE"""),"")</f>
        <v/>
      </c>
      <c r="F524" s="266" t="str">
        <f>IFERROR(__xludf.DUMMYFUNCTION("""COMPUTED_VALUE"""),"As long as there is a source of weak light (even a weak moon) you do not suffer penalties to your vision due to darkness up to 120ft.")</f>
        <v>As long as there is a source of weak light (even a weak moon) you do not suffer penalties to your vision due to darkness up to 120ft.</v>
      </c>
      <c r="G524" s="264" t="str">
        <f>IFERROR(__xludf.DUMMYFUNCTION("""COMPUTED_VALUE"""),"")</f>
        <v/>
      </c>
      <c r="H524" s="265" t="str">
        <f>IFERROR(__xludf.DUMMYFUNCTION("""COMPUTED_VALUE"""),"")</f>
        <v/>
      </c>
      <c r="I524" s="263" t="str">
        <f>IFERROR(__xludf.DUMMYFUNCTION("""COMPUTED_VALUE"""),"")</f>
        <v/>
      </c>
      <c r="J524" s="264" t="str">
        <f>IFERROR(__xludf.DUMMYFUNCTION("""COMPUTED_VALUE"""),"")</f>
        <v/>
      </c>
      <c r="K524" s="264" t="str">
        <f>IFERROR(__xludf.DUMMYFUNCTION("""COMPUTED_VALUE"""),"")</f>
        <v/>
      </c>
      <c r="L524" s="263" t="str">
        <f>IFERROR(__xludf.DUMMYFUNCTION("""COMPUTED_VALUE"""),"")</f>
        <v/>
      </c>
      <c r="M524" s="263"/>
      <c r="N524" s="263"/>
      <c r="O524" s="263"/>
      <c r="P524" s="263"/>
      <c r="Q524" s="263"/>
      <c r="R524" s="263"/>
      <c r="S524" s="263"/>
      <c r="T524" s="263"/>
      <c r="U524" s="246"/>
      <c r="V524" s="246"/>
      <c r="W524" s="246"/>
      <c r="X524" s="246"/>
      <c r="Y524" s="246"/>
      <c r="Z524" s="246"/>
    </row>
    <row r="525">
      <c r="A525" s="263"/>
      <c r="B525" s="265" t="str">
        <f>IFERROR(__xludf.DUMMYFUNCTION("""COMPUTED_VALUE"""),"Ninja Run")</f>
        <v>Ninja Run</v>
      </c>
      <c r="C525" s="263"/>
      <c r="D525" s="264" t="str">
        <f>IFERROR(__xludf.DUMMYFUNCTION("""COMPUTED_VALUE"""),"Ninjutsu, Quick, Stealth")</f>
        <v>Ninjutsu, Quick, Stealth</v>
      </c>
      <c r="E525" s="264" t="str">
        <f>IFERROR(__xludf.DUMMYFUNCTION("""COMPUTED_VALUE"""),"Self")</f>
        <v>Self</v>
      </c>
      <c r="F525" s="266" t="str">
        <f>IFERROR(__xludf.DUMMYFUNCTION("""COMPUTED_VALUE"""),"For your next movement action, you may treat the surface you’re walking on as horizontal ground, allowing you to walk over water or up walls.")</f>
        <v>For your next movement action, you may treat the surface you’re walking on as horizontal ground, allowing you to walk over water or up walls.</v>
      </c>
      <c r="G525" s="263" t="str">
        <f>IFERROR(__xludf.DUMMYFUNCTION("""COMPUTED_VALUE"""),"")</f>
        <v/>
      </c>
      <c r="H525" s="265" t="str">
        <f>IFERROR(__xludf.DUMMYFUNCTION("""COMPUTED_VALUE"""),"0 AP")</f>
        <v>0 AP</v>
      </c>
      <c r="I525" s="264" t="str">
        <f>IFERROR(__xludf.DUMMYFUNCTION("""COMPUTED_VALUE"""),"0 AP")</f>
        <v>0 AP</v>
      </c>
      <c r="J525" s="263" t="str">
        <f>IFERROR(__xludf.DUMMYFUNCTION("""COMPUTED_VALUE"""),"")</f>
        <v/>
      </c>
      <c r="K525" s="263" t="str">
        <f>IFERROR(__xludf.DUMMYFUNCTION("""COMPUTED_VALUE"""),"")</f>
        <v/>
      </c>
      <c r="L525" s="263" t="str">
        <f>IFERROR(__xludf.DUMMYFUNCTION("""COMPUTED_VALUE"""),"")</f>
        <v/>
      </c>
      <c r="M525" s="263"/>
      <c r="N525" s="263"/>
      <c r="O525" s="263"/>
      <c r="P525" s="263"/>
      <c r="Q525" s="263"/>
      <c r="R525" s="263"/>
      <c r="S525" s="263"/>
      <c r="T525" s="263"/>
      <c r="U525" s="246"/>
      <c r="V525" s="246"/>
      <c r="W525" s="246"/>
      <c r="X525" s="246"/>
      <c r="Y525" s="246"/>
      <c r="Z525" s="246"/>
    </row>
    <row r="526">
      <c r="A526" s="263"/>
      <c r="B526" s="265" t="str">
        <f>IFERROR(__xludf.DUMMYFUNCTION("""COMPUTED_VALUE"""),"No getting past!")</f>
        <v>No getting past!</v>
      </c>
      <c r="C526" s="263"/>
      <c r="D526" s="263" t="str">
        <f>IFERROR(__xludf.DUMMYFUNCTION("""COMPUTED_VALUE"""),"Sure Hit, Opportunistic")</f>
        <v>Sure Hit, Opportunistic</v>
      </c>
      <c r="E526" s="264" t="str">
        <f>IFERROR(__xludf.DUMMYFUNCTION("""COMPUTED_VALUE"""),"Melee Weapon Range")</f>
        <v>Melee Weapon Range</v>
      </c>
      <c r="F526" s="266" t="str">
        <f>IFERROR(__xludf.DUMMYFUNCTION("""COMPUTED_VALUE"""),"You may make a Light (0 RP) or Heavy (1 RP) attack against the target. On damage, the target becomes Slowed until the end of their turn. If the target is already Slowed, they become Rooted.")</f>
        <v>You may make a Light (0 RP) or Heavy (1 RP) attack against the target. On damage, the target becomes Slowed until the end of their turn. If the target is already Slowed, they become Rooted.</v>
      </c>
      <c r="G526" s="263" t="str">
        <f>IFERROR(__xludf.DUMMYFUNCTION("""COMPUTED_VALUE"""),"Only usable when you would be able to make an attack of opportunity.")</f>
        <v>Only usable when you would be able to make an attack of opportunity.</v>
      </c>
      <c r="H526" s="265" t="str">
        <f>IFERROR(__xludf.DUMMYFUNCTION("""COMPUTED_VALUE"""),"0 RP")</f>
        <v>0 RP</v>
      </c>
      <c r="I526" s="264" t="str">
        <f>IFERROR(__xludf.DUMMYFUNCTION("""COMPUTED_VALUE"""),"")</f>
        <v/>
      </c>
      <c r="J526" s="264" t="str">
        <f>IFERROR(__xludf.DUMMYFUNCTION("""COMPUTED_VALUE"""),"")</f>
        <v/>
      </c>
      <c r="K526" s="263" t="str">
        <f>IFERROR(__xludf.DUMMYFUNCTION("""COMPUTED_VALUE"""),"0 RP")</f>
        <v>0 RP</v>
      </c>
      <c r="L526" s="263" t="str">
        <f>IFERROR(__xludf.DUMMYFUNCTION("""COMPUTED_VALUE"""),"")</f>
        <v/>
      </c>
      <c r="M526" s="263"/>
      <c r="N526" s="263"/>
      <c r="O526" s="263"/>
      <c r="P526" s="263"/>
      <c r="Q526" s="263"/>
      <c r="R526" s="263"/>
      <c r="S526" s="263"/>
      <c r="T526" s="263"/>
      <c r="U526" s="246"/>
      <c r="V526" s="246"/>
      <c r="W526" s="246"/>
      <c r="X526" s="246"/>
      <c r="Y526" s="246"/>
      <c r="Z526" s="246"/>
    </row>
    <row r="527">
      <c r="A527" s="263"/>
      <c r="B527" s="265" t="str">
        <f>IFERROR(__xludf.DUMMYFUNCTION("""COMPUTED_VALUE"""),"Obvious Intent")</f>
        <v>Obvious Intent</v>
      </c>
      <c r="C527" s="263"/>
      <c r="D527" s="264" t="str">
        <f>IFERROR(__xludf.DUMMYFUNCTION("""COMPUTED_VALUE"""),"")</f>
        <v/>
      </c>
      <c r="E527" s="264" t="str">
        <f>IFERROR(__xludf.DUMMYFUNCTION("""COMPUTED_VALUE"""),"Self")</f>
        <v>Self</v>
      </c>
      <c r="F527" s="266" t="str">
        <f>IFERROR(__xludf.DUMMYFUNCTION("""COMPUTED_VALUE"""),"If an enemy is planning to move into a space in which it can melee attack you, you may move up to your speed away from them.")</f>
        <v>If an enemy is planning to move into a space in which it can melee attack you, you may move up to your speed away from them.</v>
      </c>
      <c r="G527" s="264" t="str">
        <f>IFERROR(__xludf.DUMMYFUNCTION("""COMPUTED_VALUE"""),"Can only be used at the moment an enemy declares a movement.")</f>
        <v>Can only be used at the moment an enemy declares a movement.</v>
      </c>
      <c r="H527" s="267" t="str">
        <f>IFERROR(__xludf.DUMMYFUNCTION("""COMPUTED_VALUE"""),"1 MP, 0 RP")</f>
        <v>1 MP, 0 RP</v>
      </c>
      <c r="I527" s="263" t="str">
        <f>IFERROR(__xludf.DUMMYFUNCTION("""COMPUTED_VALUE"""),"")</f>
        <v/>
      </c>
      <c r="J527" s="263" t="str">
        <f>IFERROR(__xludf.DUMMYFUNCTION("""COMPUTED_VALUE"""),"1 MP")</f>
        <v>1 MP</v>
      </c>
      <c r="K527" s="263" t="str">
        <f>IFERROR(__xludf.DUMMYFUNCTION("""COMPUTED_VALUE"""),"0 RP")</f>
        <v>0 RP</v>
      </c>
      <c r="L527" s="263" t="str">
        <f>IFERROR(__xludf.DUMMYFUNCTION("""COMPUTED_VALUE"""),"")</f>
        <v/>
      </c>
      <c r="M527" s="263"/>
      <c r="N527" s="263"/>
      <c r="O527" s="263"/>
      <c r="P527" s="263"/>
      <c r="Q527" s="263"/>
      <c r="R527" s="263"/>
      <c r="S527" s="263"/>
      <c r="T527" s="263"/>
      <c r="U527" s="246"/>
      <c r="V527" s="246"/>
      <c r="W527" s="246"/>
      <c r="X527" s="246"/>
      <c r="Y527" s="246"/>
      <c r="Z527" s="246"/>
    </row>
    <row r="528">
      <c r="A528" s="263"/>
      <c r="B528" s="265" t="str">
        <f>IFERROR(__xludf.DUMMYFUNCTION("""COMPUTED_VALUE"""),"Offbeat Recovery")</f>
        <v>Offbeat Recovery</v>
      </c>
      <c r="C528" s="263"/>
      <c r="D528" s="264" t="str">
        <f>IFERROR(__xludf.DUMMYFUNCTION("""COMPUTED_VALUE"""),"Lock On, Half Rapid, Augment")</f>
        <v>Lock On, Half Rapid, Augment</v>
      </c>
      <c r="E528" s="264" t="str">
        <f>IFERROR(__xludf.DUMMYFUNCTION("""COMPUTED_VALUE"""),"Self")</f>
        <v>Self</v>
      </c>
      <c r="F528" s="266" t="str">
        <f>IFERROR(__xludf.DUMMYFUNCTION("""COMPUTED_VALUE"""),"You give your ally’s attack Lock On, but the damage is minimized (and cannot be maximized) and it loses Full Pierce, Block Crush and any on hit or on damage effects. If used after a target has already dodged, they may Block against that attack for free.
C"&amp;"an be used when an ally misses an ability to make it not count as a miss for your Secret Art: Full Combo (but the attack does not actually gain Lock On)")</f>
        <v>You give your ally’s attack Lock On, but the damage is minimized (and cannot be maximized) and it loses Full Pierce, Block Crush and any on hit or on damage effects. If used after a target has already dodged, they may Block against that attack for free.
Can be used when an ally misses an ability to make it not count as a miss for your Secret Art: Full Combo (but the attack does not actually gain Lock On)</v>
      </c>
      <c r="G528" s="263" t="str">
        <f>IFERROR(__xludf.DUMMYFUNCTION("""COMPUTED_VALUE"""),"An ally within your Idol Song’s range misses a basic attack.")</f>
        <v>An ally within your Idol Song’s range misses a basic attack.</v>
      </c>
      <c r="H528" s="265" t="str">
        <f>IFERROR(__xludf.DUMMYFUNCTION("""COMPUTED_VALUE"""),"1 RP")</f>
        <v>1 RP</v>
      </c>
      <c r="I528" s="263" t="str">
        <f>IFERROR(__xludf.DUMMYFUNCTION("""COMPUTED_VALUE"""),"")</f>
        <v/>
      </c>
      <c r="J528" s="263" t="str">
        <f>IFERROR(__xludf.DUMMYFUNCTION("""COMPUTED_VALUE"""),"")</f>
        <v/>
      </c>
      <c r="K528" s="264" t="str">
        <f>IFERROR(__xludf.DUMMYFUNCTION("""COMPUTED_VALUE"""),"1 RP")</f>
        <v>1 RP</v>
      </c>
      <c r="L528" s="263" t="str">
        <f>IFERROR(__xludf.DUMMYFUNCTION("""COMPUTED_VALUE"""),"")</f>
        <v/>
      </c>
      <c r="M528" s="263"/>
      <c r="N528" s="263"/>
      <c r="O528" s="263"/>
      <c r="P528" s="263"/>
      <c r="Q528" s="263"/>
      <c r="R528" s="263"/>
      <c r="S528" s="263"/>
      <c r="T528" s="263"/>
      <c r="U528" s="246"/>
      <c r="V528" s="246"/>
      <c r="W528" s="246"/>
      <c r="X528" s="246"/>
      <c r="Y528" s="246"/>
      <c r="Z528" s="246"/>
    </row>
    <row r="529">
      <c r="A529" s="263"/>
      <c r="B529" s="265" t="str">
        <f>IFERROR(__xludf.DUMMYFUNCTION("""COMPUTED_VALUE"""),"Oil Slick")</f>
        <v>Oil Slick</v>
      </c>
      <c r="C529" s="263"/>
      <c r="D529" s="264" t="str">
        <f>IFERROR(__xludf.DUMMYFUNCTION("""COMPUTED_VALUE"""),"")</f>
        <v/>
      </c>
      <c r="E529" s="264" t="str">
        <f>IFERROR(__xludf.DUMMYFUNCTION("""COMPUTED_VALUE"""),"30ft")</f>
        <v>30ft</v>
      </c>
      <c r="F529" s="266" t="str">
        <f>IFERROR(__xludf.DUMMYFUNCTION("""COMPUTED_VALUE"""),"You throw a bottle of oil on the ground within range, creating a 15x15 area of slippery oil. If the target contacts the oil at any point of movement (even the start or end) and they moved more than 5ft in a single movement action, they immediately fall pr"&amp;"one. The slick lasts until the start of your next turn.")</f>
        <v>You throw a bottle of oil on the ground within range, creating a 15x15 area of slippery oil. If the target contacts the oil at any point of movement (even the start or end) and they moved more than 5ft in a single movement action, they immediately fall prone. The slick lasts until the start of your next turn.</v>
      </c>
      <c r="G529" s="263" t="str">
        <f>IFERROR(__xludf.DUMMYFUNCTION("""COMPUTED_VALUE"""),"")</f>
        <v/>
      </c>
      <c r="H529" s="265" t="str">
        <f>IFERROR(__xludf.DUMMYFUNCTION("""COMPUTED_VALUE"""),"2 AP, 1 MP")</f>
        <v>2 AP, 1 MP</v>
      </c>
      <c r="I529" s="264" t="str">
        <f>IFERROR(__xludf.DUMMYFUNCTION("""COMPUTED_VALUE"""),"2 AP")</f>
        <v>2 AP</v>
      </c>
      <c r="J529" s="264" t="str">
        <f>IFERROR(__xludf.DUMMYFUNCTION("""COMPUTED_VALUE"""),"1 MP")</f>
        <v>1 MP</v>
      </c>
      <c r="K529" s="263" t="str">
        <f>IFERROR(__xludf.DUMMYFUNCTION("""COMPUTED_VALUE"""),"")</f>
        <v/>
      </c>
      <c r="L529" s="263" t="str">
        <f>IFERROR(__xludf.DUMMYFUNCTION("""COMPUTED_VALUE"""),"")</f>
        <v/>
      </c>
      <c r="M529" s="263"/>
      <c r="N529" s="263"/>
      <c r="O529" s="263"/>
      <c r="P529" s="263"/>
      <c r="Q529" s="263"/>
      <c r="R529" s="263"/>
      <c r="S529" s="263"/>
      <c r="T529" s="263"/>
      <c r="U529" s="246"/>
      <c r="V529" s="246"/>
      <c r="W529" s="246"/>
      <c r="X529" s="246"/>
      <c r="Y529" s="246"/>
      <c r="Z529" s="246"/>
    </row>
    <row r="530">
      <c r="A530" s="263"/>
      <c r="B530" s="265" t="str">
        <f>IFERROR(__xludf.DUMMYFUNCTION("""COMPUTED_VALUE"""),"One Beat, One Heart")</f>
        <v>One Beat, One Heart</v>
      </c>
      <c r="C530" s="263"/>
      <c r="D530" s="264" t="str">
        <f>IFERROR(__xludf.DUMMYFUNCTION("""COMPUTED_VALUE"""),"Song, Sound, Idol, Upkeep")</f>
        <v>Song, Sound, Idol, Upkeep</v>
      </c>
      <c r="E530" s="264" t="str">
        <f>IFERROR(__xludf.DUMMYFUNCTION("""COMPUTED_VALUE"""),"30ft")</f>
        <v>30ft</v>
      </c>
      <c r="F530" s="266" t="str">
        <f>IFERROR(__xludf.DUMMYFUNCTION("""COMPUTED_VALUE"""),"All allies within range gain a +1 Song bonus to their accuracy. This bonus is doubled on Precise attacks.
Upkeep: 1 AP")</f>
        <v>All allies within range gain a +1 Song bonus to their accuracy. This bonus is doubled on Precise attacks.
Upkeep: 1 AP</v>
      </c>
      <c r="G530" s="263" t="str">
        <f>IFERROR(__xludf.DUMMYFUNCTION("""COMPUTED_VALUE"""),"")</f>
        <v/>
      </c>
      <c r="H530" s="265" t="str">
        <f>IFERROR(__xludf.DUMMYFUNCTION("""COMPUTED_VALUE"""),"2 AP")</f>
        <v>2 AP</v>
      </c>
      <c r="I530" s="264" t="str">
        <f>IFERROR(__xludf.DUMMYFUNCTION("""COMPUTED_VALUE"""),"2 AP")</f>
        <v>2 AP</v>
      </c>
      <c r="J530" s="264" t="str">
        <f>IFERROR(__xludf.DUMMYFUNCTION("""COMPUTED_VALUE"""),"")</f>
        <v/>
      </c>
      <c r="K530" s="263" t="str">
        <f>IFERROR(__xludf.DUMMYFUNCTION("""COMPUTED_VALUE"""),"")</f>
        <v/>
      </c>
      <c r="L530" s="263" t="str">
        <f>IFERROR(__xludf.DUMMYFUNCTION("""COMPUTED_VALUE"""),"")</f>
        <v/>
      </c>
      <c r="M530" s="263"/>
      <c r="N530" s="263"/>
      <c r="O530" s="263"/>
      <c r="P530" s="263"/>
      <c r="Q530" s="263"/>
      <c r="R530" s="263"/>
      <c r="S530" s="263"/>
      <c r="T530" s="263"/>
      <c r="U530" s="246"/>
      <c r="V530" s="246"/>
      <c r="W530" s="246"/>
      <c r="X530" s="246"/>
      <c r="Y530" s="246"/>
      <c r="Z530" s="246"/>
    </row>
    <row r="531">
      <c r="A531" s="263"/>
      <c r="B531" s="265" t="str">
        <f>IFERROR(__xludf.DUMMYFUNCTION("""COMPUTED_VALUE"""),"Order: Retreat")</f>
        <v>Order: Retreat</v>
      </c>
      <c r="C531" s="263"/>
      <c r="D531" s="264" t="str">
        <f>IFERROR(__xludf.DUMMYFUNCTION("""COMPUTED_VALUE"""),"")</f>
        <v/>
      </c>
      <c r="E531" s="264" t="str">
        <f>IFERROR(__xludf.DUMMYFUNCTION("""COMPUTED_VALUE"""),"60ft")</f>
        <v>60ft</v>
      </c>
      <c r="F531" s="266" t="str">
        <f>IFERROR(__xludf.DUMMYFUNCTION("""COMPUTED_VALUE"""),"You order one willing allied unit to retreat, moving up to their Speed. All movement must be made towards you, and does not provoke attacks of opportunity.")</f>
        <v>You order one willing allied unit to retreat, moving up to their Speed. All movement must be made towards you, and does not provoke attacks of opportunity.</v>
      </c>
      <c r="G531" s="264" t="str">
        <f>IFERROR(__xludf.DUMMYFUNCTION("""COMPUTED_VALUE"""),"")</f>
        <v/>
      </c>
      <c r="H531" s="265" t="str">
        <f>IFERROR(__xludf.DUMMYFUNCTION("""COMPUTED_VALUE"""),"1 AP")</f>
        <v>1 AP</v>
      </c>
      <c r="I531" s="264" t="str">
        <f>IFERROR(__xludf.DUMMYFUNCTION("""COMPUTED_VALUE"""),"1 AP")</f>
        <v>1 AP</v>
      </c>
      <c r="J531" s="263" t="str">
        <f>IFERROR(__xludf.DUMMYFUNCTION("""COMPUTED_VALUE"""),"")</f>
        <v/>
      </c>
      <c r="K531" s="263" t="str">
        <f>IFERROR(__xludf.DUMMYFUNCTION("""COMPUTED_VALUE"""),"")</f>
        <v/>
      </c>
      <c r="L531" s="263" t="str">
        <f>IFERROR(__xludf.DUMMYFUNCTION("""COMPUTED_VALUE"""),"")</f>
        <v/>
      </c>
      <c r="M531" s="263"/>
      <c r="N531" s="263"/>
      <c r="O531" s="263"/>
      <c r="P531" s="263"/>
      <c r="Q531" s="263"/>
      <c r="R531" s="263"/>
      <c r="S531" s="263"/>
      <c r="T531" s="263"/>
      <c r="U531" s="246"/>
      <c r="V531" s="246"/>
      <c r="W531" s="246"/>
      <c r="X531" s="246"/>
      <c r="Y531" s="246"/>
      <c r="Z531" s="246"/>
    </row>
    <row r="532">
      <c r="A532" s="263"/>
      <c r="B532" s="265" t="str">
        <f>IFERROR(__xludf.DUMMYFUNCTION("""COMPUTED_VALUE"""),"Ougi: Taju Bunshin no Jutsu")</f>
        <v>Ougi: Taju Bunshin no Jutsu</v>
      </c>
      <c r="C532" s="263"/>
      <c r="D532" s="263" t="str">
        <f>IFERROR(__xludf.DUMMYFUNCTION("""COMPUTED_VALUE"""),"Secret Art, Ninjutsu, Illusion, Upkeep")</f>
        <v>Secret Art, Ninjutsu, Illusion, Upkeep</v>
      </c>
      <c r="E532" s="264" t="str">
        <f>IFERROR(__xludf.DUMMYFUNCTION("""COMPUTED_VALUE"""),"Self")</f>
        <v>Self</v>
      </c>
      <c r="F532" s="266" t="str">
        <f>IFERROR(__xludf.DUMMYFUNCTION("""COMPUTED_VALUE"""),"You create 3 illusionary copies of yourself within 10ft of yourself or your Bunshin clone. These copies can take actions similar to your Bunshin Tai no Jutsu, but each of them may also act with its own 2 AP from the start of your next turn.
Each clone has"&amp;" 1 HP and upon taking any damage, they vanish. You may use RP for these clones as normal.
Upkeep: 2 AP")</f>
        <v>You create 3 illusionary copies of yourself within 10ft of yourself or your Bunshin clone. These copies can take actions similar to your Bunshin Tai no Jutsu, but each of them may also act with its own 2 AP from the start of your next turn.
Each clone has 1 HP and upon taking any damage, they vanish. You may use RP for these clones as normal.
Upkeep: 2 AP</v>
      </c>
      <c r="G532" s="264" t="str">
        <f>IFERROR(__xludf.DUMMYFUNCTION("""COMPUTED_VALUE"""),"")</f>
        <v/>
      </c>
      <c r="H532" s="265" t="str">
        <f>IFERROR(__xludf.DUMMYFUNCTION("""COMPUTED_VALUE"""),"2 AP, 3 MP")</f>
        <v>2 AP, 3 MP</v>
      </c>
      <c r="I532" s="263" t="str">
        <f>IFERROR(__xludf.DUMMYFUNCTION("""COMPUTED_VALUE"""),"2 AP")</f>
        <v>2 AP</v>
      </c>
      <c r="J532" s="263" t="str">
        <f>IFERROR(__xludf.DUMMYFUNCTION("""COMPUTED_VALUE"""),"3 MP")</f>
        <v>3 MP</v>
      </c>
      <c r="K532" s="264" t="str">
        <f>IFERROR(__xludf.DUMMYFUNCTION("""COMPUTED_VALUE"""),"")</f>
        <v/>
      </c>
      <c r="L532" s="263" t="str">
        <f>IFERROR(__xludf.DUMMYFUNCTION("""COMPUTED_VALUE"""),"")</f>
        <v/>
      </c>
      <c r="M532" s="263"/>
      <c r="N532" s="263"/>
      <c r="O532" s="263"/>
      <c r="P532" s="263"/>
      <c r="Q532" s="263"/>
      <c r="R532" s="263"/>
      <c r="S532" s="263"/>
      <c r="T532" s="263"/>
      <c r="U532" s="246"/>
      <c r="V532" s="246"/>
      <c r="W532" s="246"/>
      <c r="X532" s="246"/>
      <c r="Y532" s="246"/>
      <c r="Z532" s="246"/>
    </row>
    <row r="533">
      <c r="A533" s="263"/>
      <c r="B533" s="265" t="str">
        <f>IFERROR(__xludf.DUMMYFUNCTION("""COMPUTED_VALUE"""),"Outbreak")</f>
        <v>Outbreak</v>
      </c>
      <c r="C533" s="263"/>
      <c r="D533" s="263" t="str">
        <f>IFERROR(__xludf.DUMMYFUNCTION("""COMPUTED_VALUE"""),"Poison, Toxic")</f>
        <v>Poison, Toxic</v>
      </c>
      <c r="E533" s="264" t="str">
        <f>IFERROR(__xludf.DUMMYFUNCTION("""COMPUTED_VALUE"""),"Weapon Range")</f>
        <v>Weapon Range</v>
      </c>
      <c r="F533" s="266" t="str">
        <f>IFERROR(__xludf.DUMMYFUNCTION("""COMPUTED_VALUE"""),"You make a Light attack against the target. On damage, inflicts the enemy with Toxic, making them take 1d6 full pierce Poison damage at the start of their turn until they spend 2 AP to remove the poison effect.
If the target is already suffering from Toxi"&amp;"c, instead immediately trigger the damage effect from it.")</f>
        <v>You make a Light attack against the target. On damage, inflicts the enemy with Toxic, making them take 1d6 full pierce Poison damage at the start of their turn until they spend 2 AP to remove the poison effect.
If the target is already suffering from Toxic, instead immediately trigger the damage effect from it.</v>
      </c>
      <c r="G533" s="264" t="str">
        <f>IFERROR(__xludf.DUMMYFUNCTION("""COMPUTED_VALUE"""),"Must be made with a melee weapon or with a Set of Missiles, Throwing Weapon or Thrown attack with small weapon only.")</f>
        <v>Must be made with a melee weapon or with a Set of Missiles, Throwing Weapon or Thrown attack with small weapon only.</v>
      </c>
      <c r="H533" s="265" t="str">
        <f>IFERROR(__xludf.DUMMYFUNCTION("""COMPUTED_VALUE"""),"1 AP, 1 MP")</f>
        <v>1 AP, 1 MP</v>
      </c>
      <c r="I533" s="264" t="str">
        <f>IFERROR(__xludf.DUMMYFUNCTION("""COMPUTED_VALUE"""),"1 AP")</f>
        <v>1 AP</v>
      </c>
      <c r="J533" s="264" t="str">
        <f>IFERROR(__xludf.DUMMYFUNCTION("""COMPUTED_VALUE"""),"1 MP")</f>
        <v>1 MP</v>
      </c>
      <c r="K533" s="263" t="str">
        <f>IFERROR(__xludf.DUMMYFUNCTION("""COMPUTED_VALUE"""),"")</f>
        <v/>
      </c>
      <c r="L533" s="263" t="str">
        <f>IFERROR(__xludf.DUMMYFUNCTION("""COMPUTED_VALUE"""),"")</f>
        <v/>
      </c>
      <c r="M533" s="263"/>
      <c r="N533" s="263"/>
      <c r="O533" s="263"/>
      <c r="P533" s="263"/>
      <c r="Q533" s="263"/>
      <c r="R533" s="263"/>
      <c r="S533" s="263"/>
      <c r="T533" s="263"/>
      <c r="U533" s="246"/>
      <c r="V533" s="246"/>
      <c r="W533" s="246"/>
      <c r="X533" s="246"/>
      <c r="Y533" s="246"/>
      <c r="Z533" s="246"/>
    </row>
    <row r="534">
      <c r="A534" s="263"/>
      <c r="B534" s="265" t="str">
        <f>IFERROR(__xludf.DUMMYFUNCTION("""COMPUTED_VALUE"""),"Overcharge and Discount")</f>
        <v>Overcharge and Discount</v>
      </c>
      <c r="C534" s="263"/>
      <c r="D534" s="264" t="str">
        <f>IFERROR(__xludf.DUMMYFUNCTION("""COMPUTED_VALUE"""),"Interlude")</f>
        <v>Interlude</v>
      </c>
      <c r="E534" s="264" t="str">
        <f>IFERROR(__xludf.DUMMYFUNCTION("""COMPUTED_VALUE"""),"Self")</f>
        <v>Self</v>
      </c>
      <c r="F534" s="266" t="str">
        <f>IFERROR(__xludf.DUMMYFUNCTION("""COMPUTED_VALUE"""),"While on adventure, you get a 5% discount from NPC vendors, stacking with Bulk Orders if applicable, and can sell items for 10% more.
You may use an IP to give this discount effect to yourself and up to 9 other characters for that Interlude phase, for a t"&amp;"otal of a 800c discount.")</f>
        <v>While on adventure, you get a 5% discount from NPC vendors, stacking with Bulk Orders if applicable, and can sell items for 10% more.
You may use an IP to give this discount effect to yourself and up to 9 other characters for that Interlude phase, for a total of a 800c discount.</v>
      </c>
      <c r="G534" s="263" t="str">
        <f>IFERROR(__xludf.DUMMYFUNCTION("""COMPUTED_VALUE"""),"")</f>
        <v/>
      </c>
      <c r="H534" s="265" t="str">
        <f>IFERROR(__xludf.DUMMYFUNCTION("""COMPUTED_VALUE"""),"")</f>
        <v/>
      </c>
      <c r="I534" s="264" t="str">
        <f>IFERROR(__xludf.DUMMYFUNCTION("""COMPUTED_VALUE"""),"")</f>
        <v/>
      </c>
      <c r="J534" s="263" t="str">
        <f>IFERROR(__xludf.DUMMYFUNCTION("""COMPUTED_VALUE"""),"")</f>
        <v/>
      </c>
      <c r="K534" s="263" t="str">
        <f>IFERROR(__xludf.DUMMYFUNCTION("""COMPUTED_VALUE"""),"")</f>
        <v/>
      </c>
      <c r="L534" s="263" t="str">
        <f>IFERROR(__xludf.DUMMYFUNCTION("""COMPUTED_VALUE"""),"")</f>
        <v/>
      </c>
      <c r="M534" s="263"/>
      <c r="N534" s="263"/>
      <c r="O534" s="263"/>
      <c r="P534" s="263"/>
      <c r="Q534" s="263"/>
      <c r="R534" s="263"/>
      <c r="S534" s="263"/>
      <c r="T534" s="263"/>
      <c r="U534" s="246"/>
      <c r="V534" s="246"/>
      <c r="W534" s="246"/>
      <c r="X534" s="246"/>
      <c r="Y534" s="246"/>
      <c r="Z534" s="246"/>
    </row>
    <row r="535">
      <c r="A535" s="263"/>
      <c r="B535" s="265" t="str">
        <f>IFERROR(__xludf.DUMMYFUNCTION("""COMPUTED_VALUE"""),"Overclock")</f>
        <v>Overclock</v>
      </c>
      <c r="C535" s="263"/>
      <c r="D535" s="264" t="str">
        <f>IFERROR(__xludf.DUMMYFUNCTION("""COMPUTED_VALUE"""),"")</f>
        <v/>
      </c>
      <c r="E535" s="264" t="str">
        <f>IFERROR(__xludf.DUMMYFUNCTION("""COMPUTED_VALUE"""),"")</f>
        <v/>
      </c>
      <c r="F535" s="266" t="str">
        <f>IFERROR(__xludf.DUMMYFUNCTION("""COMPUTED_VALUE"""),"You may add 1d10 crafting points to the item. The item starts in the Broken condition. Cannot be used for Alchemy crafting.")</f>
        <v>You may add 1d10 crafting points to the item. The item starts in the Broken condition. Cannot be used for Alchemy crafting.</v>
      </c>
      <c r="G535" s="263" t="str">
        <f>IFERROR(__xludf.DUMMYFUNCTION("""COMPUTED_VALUE"""),"Must be in a crafting session.")</f>
        <v>Must be in a crafting session.</v>
      </c>
      <c r="H535" s="265" t="str">
        <f>IFERROR(__xludf.DUMMYFUNCTION("""COMPUTED_VALUE"""),"")</f>
        <v/>
      </c>
      <c r="I535" s="264" t="str">
        <f>IFERROR(__xludf.DUMMYFUNCTION("""COMPUTED_VALUE"""),"")</f>
        <v/>
      </c>
      <c r="J535" s="263" t="str">
        <f>IFERROR(__xludf.DUMMYFUNCTION("""COMPUTED_VALUE"""),"")</f>
        <v/>
      </c>
      <c r="K535" s="264" t="str">
        <f>IFERROR(__xludf.DUMMYFUNCTION("""COMPUTED_VALUE"""),"")</f>
        <v/>
      </c>
      <c r="L535" s="263" t="str">
        <f>IFERROR(__xludf.DUMMYFUNCTION("""COMPUTED_VALUE"""),"")</f>
        <v/>
      </c>
      <c r="M535" s="263"/>
      <c r="N535" s="263"/>
      <c r="O535" s="263"/>
      <c r="P535" s="263"/>
      <c r="Q535" s="263"/>
      <c r="R535" s="263"/>
      <c r="S535" s="263"/>
      <c r="T535" s="263"/>
      <c r="U535" s="246"/>
      <c r="V535" s="246"/>
      <c r="W535" s="246"/>
      <c r="X535" s="246"/>
      <c r="Y535" s="246"/>
      <c r="Z535" s="246"/>
    </row>
    <row r="536">
      <c r="A536" s="263"/>
      <c r="B536" s="265" t="str">
        <f>IFERROR(__xludf.DUMMYFUNCTION("""COMPUTED_VALUE"""),"Overpower")</f>
        <v>Overpower</v>
      </c>
      <c r="C536" s="263"/>
      <c r="D536" s="264" t="str">
        <f>IFERROR(__xludf.DUMMYFUNCTION("""COMPUTED_VALUE"""),"Combo")</f>
        <v>Combo</v>
      </c>
      <c r="E536" s="264" t="str">
        <f>IFERROR(__xludf.DUMMYFUNCTION("""COMPUTED_VALUE"""),"Melee Weapon Range")</f>
        <v>Melee Weapon Range</v>
      </c>
      <c r="F536" s="266" t="str">
        <f>IFERROR(__xludf.DUMMYFUNCTION("""COMPUTED_VALUE"""),"You may make a Heavy Attack against the target. For every point of Power you have over the target, you deal 2 additional damage.
Combo: If used after Meteor Cleave, the AP cost is reduced by 1.")</f>
        <v>You may make a Heavy Attack against the target. For every point of Power you have over the target, you deal 2 additional damage.
Combo: If used after Meteor Cleave, the AP cost is reduced by 1.</v>
      </c>
      <c r="G536" s="264" t="str">
        <f>IFERROR(__xludf.DUMMYFUNCTION("""COMPUTED_VALUE"""),"Two-Handed weapons only.")</f>
        <v>Two-Handed weapons only.</v>
      </c>
      <c r="H536" s="265" t="str">
        <f>IFERROR(__xludf.DUMMYFUNCTION("""COMPUTED_VALUE"""),"2 AP, 1 MP")</f>
        <v>2 AP, 1 MP</v>
      </c>
      <c r="I536" s="263" t="str">
        <f>IFERROR(__xludf.DUMMYFUNCTION("""COMPUTED_VALUE"""),"2 AP")</f>
        <v>2 AP</v>
      </c>
      <c r="J536" s="263" t="str">
        <f>IFERROR(__xludf.DUMMYFUNCTION("""COMPUTED_VALUE"""),"1 MP")</f>
        <v>1 MP</v>
      </c>
      <c r="K536" s="264" t="str">
        <f>IFERROR(__xludf.DUMMYFUNCTION("""COMPUTED_VALUE"""),"")</f>
        <v/>
      </c>
      <c r="L536" s="263" t="str">
        <f>IFERROR(__xludf.DUMMYFUNCTION("""COMPUTED_VALUE"""),"")</f>
        <v/>
      </c>
      <c r="M536" s="263"/>
      <c r="N536" s="263"/>
      <c r="O536" s="263"/>
      <c r="P536" s="263"/>
      <c r="Q536" s="263"/>
      <c r="R536" s="263"/>
      <c r="S536" s="263"/>
      <c r="T536" s="263"/>
      <c r="U536" s="246"/>
      <c r="V536" s="246"/>
      <c r="W536" s="246"/>
      <c r="X536" s="246"/>
      <c r="Y536" s="246"/>
      <c r="Z536" s="246"/>
    </row>
    <row r="537">
      <c r="A537" s="263"/>
      <c r="B537" s="265" t="str">
        <f>IFERROR(__xludf.DUMMYFUNCTION("""COMPUTED_VALUE"""),"Overtime again?")</f>
        <v>Overtime again?</v>
      </c>
      <c r="C537" s="263"/>
      <c r="D537" s="263" t="str">
        <f>IFERROR(__xludf.DUMMYFUNCTION("""COMPUTED_VALUE"""),"")</f>
        <v/>
      </c>
      <c r="E537" s="264" t="str">
        <f>IFERROR(__xludf.DUMMYFUNCTION("""COMPUTED_VALUE"""),"")</f>
        <v/>
      </c>
      <c r="F537" s="266" t="str">
        <f>IFERROR(__xludf.DUMMYFUNCTION("""COMPUTED_VALUE"""),"When you take the Heal Injury, Appraise or Mentor IP actions, you may do the same action again for an EP.
In addition, if you take the Rest interlude action you may give the benefit to a different character instead. This does not stack with any Rest bonus"&amp;"es they may have already.")</f>
        <v>When you take the Heal Injury, Appraise or Mentor IP actions, you may do the same action again for an EP.
In addition, if you take the Rest interlude action you may give the benefit to a different character instead. This does not stack with any Rest bonuses they may have already.</v>
      </c>
      <c r="G537" s="263" t="str">
        <f>IFERROR(__xludf.DUMMYFUNCTION("""COMPUTED_VALUE"""),"")</f>
        <v/>
      </c>
      <c r="H537" s="265" t="str">
        <f>IFERROR(__xludf.DUMMYFUNCTION("""COMPUTED_VALUE"""),"")</f>
        <v/>
      </c>
      <c r="I537" s="264" t="str">
        <f>IFERROR(__xludf.DUMMYFUNCTION("""COMPUTED_VALUE"""),"")</f>
        <v/>
      </c>
      <c r="J537" s="263" t="str">
        <f>IFERROR(__xludf.DUMMYFUNCTION("""COMPUTED_VALUE"""),"")</f>
        <v/>
      </c>
      <c r="K537" s="263" t="str">
        <f>IFERROR(__xludf.DUMMYFUNCTION("""COMPUTED_VALUE"""),"")</f>
        <v/>
      </c>
      <c r="L537" s="263" t="str">
        <f>IFERROR(__xludf.DUMMYFUNCTION("""COMPUTED_VALUE"""),"")</f>
        <v/>
      </c>
      <c r="M537" s="263"/>
      <c r="N537" s="263"/>
      <c r="O537" s="263"/>
      <c r="P537" s="263"/>
      <c r="Q537" s="263"/>
      <c r="R537" s="263"/>
      <c r="S537" s="263"/>
      <c r="T537" s="263"/>
      <c r="U537" s="246"/>
      <c r="V537" s="246"/>
      <c r="W537" s="246"/>
      <c r="X537" s="246"/>
      <c r="Y537" s="246"/>
      <c r="Z537" s="246"/>
    </row>
    <row r="538">
      <c r="A538" s="263"/>
      <c r="B538" s="265" t="str">
        <f>IFERROR(__xludf.DUMMYFUNCTION("""COMPUTED_VALUE"""),"Own Mount")</f>
        <v>Own Mount</v>
      </c>
      <c r="C538" s="263"/>
      <c r="D538" s="264" t="str">
        <f>IFERROR(__xludf.DUMMYFUNCTION("""COMPUTED_VALUE"""),"")</f>
        <v/>
      </c>
      <c r="E538" s="264" t="str">
        <f>IFERROR(__xludf.DUMMYFUNCTION("""COMPUTED_VALUE"""),"")</f>
        <v/>
      </c>
      <c r="F538" s="266" t="str">
        <f>IFERROR(__xludf.DUMMYFUNCTION("""COMPUTED_VALUE"""),"You count as mounted for the purposes of abilities that require you to be mounted. This does not let you be a mount to other creatures.")</f>
        <v>You count as mounted for the purposes of abilities that require you to be mounted. This does not let you be a mount to other creatures.</v>
      </c>
      <c r="G538" s="263" t="str">
        <f>IFERROR(__xludf.DUMMYFUNCTION("""COMPUTED_VALUE"""),"")</f>
        <v/>
      </c>
      <c r="H538" s="265" t="str">
        <f>IFERROR(__xludf.DUMMYFUNCTION("""COMPUTED_VALUE"""),"")</f>
        <v/>
      </c>
      <c r="I538" s="263" t="str">
        <f>IFERROR(__xludf.DUMMYFUNCTION("""COMPUTED_VALUE"""),"")</f>
        <v/>
      </c>
      <c r="J538" s="264" t="str">
        <f>IFERROR(__xludf.DUMMYFUNCTION("""COMPUTED_VALUE"""),"")</f>
        <v/>
      </c>
      <c r="K538" s="264" t="str">
        <f>IFERROR(__xludf.DUMMYFUNCTION("""COMPUTED_VALUE"""),"")</f>
        <v/>
      </c>
      <c r="L538" s="263" t="str">
        <f>IFERROR(__xludf.DUMMYFUNCTION("""COMPUTED_VALUE"""),"")</f>
        <v/>
      </c>
      <c r="M538" s="263"/>
      <c r="N538" s="263"/>
      <c r="O538" s="263"/>
      <c r="P538" s="263"/>
      <c r="Q538" s="263"/>
      <c r="R538" s="263"/>
      <c r="S538" s="263"/>
      <c r="T538" s="263"/>
      <c r="U538" s="246"/>
      <c r="V538" s="246"/>
      <c r="W538" s="246"/>
      <c r="X538" s="246"/>
      <c r="Y538" s="246"/>
      <c r="Z538" s="246"/>
    </row>
    <row r="539">
      <c r="A539" s="263"/>
      <c r="B539" s="265" t="str">
        <f>IFERROR(__xludf.DUMMYFUNCTION("""COMPUTED_VALUE"""),"Pack Tactics")</f>
        <v>Pack Tactics</v>
      </c>
      <c r="C539" s="263"/>
      <c r="D539" s="263" t="str">
        <f>IFERROR(__xludf.DUMMYFUNCTION("""COMPUTED_VALUE"""),"Quick")</f>
        <v>Quick</v>
      </c>
      <c r="E539" s="263" t="str">
        <f>IFERROR(__xludf.DUMMYFUNCTION("""COMPUTED_VALUE"""),"Sight")</f>
        <v>Sight</v>
      </c>
      <c r="F539" s="266" t="str">
        <f>IFERROR(__xludf.DUMMYFUNCTION("""COMPUTED_VALUE"""),"Select a target within range. Until the end of your turn, while the target has one of your allies within 5ft of it, you gain Pack Tactics, which gives a +2 bonus on accuracy checks for melee attacks against that target.")</f>
        <v>Select a target within range. Until the end of your turn, while the target has one of your allies within 5ft of it, you gain Pack Tactics, which gives a +2 bonus on accuracy checks for melee attacks against that target.</v>
      </c>
      <c r="G539" s="264" t="str">
        <f>IFERROR(__xludf.DUMMYFUNCTION("""COMPUTED_VALUE"""),"")</f>
        <v/>
      </c>
      <c r="H539" s="267" t="str">
        <f>IFERROR(__xludf.DUMMYFUNCTION("""COMPUTED_VALUE"""),"0 AP")</f>
        <v>0 AP</v>
      </c>
      <c r="I539" s="263" t="str">
        <f>IFERROR(__xludf.DUMMYFUNCTION("""COMPUTED_VALUE"""),"0 AP")</f>
        <v>0 AP</v>
      </c>
      <c r="J539" s="263" t="str">
        <f>IFERROR(__xludf.DUMMYFUNCTION("""COMPUTED_VALUE"""),"")</f>
        <v/>
      </c>
      <c r="K539" s="263" t="str">
        <f>IFERROR(__xludf.DUMMYFUNCTION("""COMPUTED_VALUE"""),"")</f>
        <v/>
      </c>
      <c r="L539" s="263" t="str">
        <f>IFERROR(__xludf.DUMMYFUNCTION("""COMPUTED_VALUE"""),"")</f>
        <v/>
      </c>
      <c r="M539" s="263"/>
      <c r="N539" s="263"/>
      <c r="O539" s="263"/>
      <c r="P539" s="263"/>
      <c r="Q539" s="263"/>
      <c r="R539" s="263"/>
      <c r="S539" s="263"/>
      <c r="T539" s="263"/>
      <c r="U539" s="246"/>
      <c r="V539" s="246"/>
      <c r="W539" s="246"/>
      <c r="X539" s="246"/>
      <c r="Y539" s="246"/>
      <c r="Z539" s="246"/>
    </row>
    <row r="540">
      <c r="A540" s="263"/>
      <c r="B540" s="265" t="str">
        <f>IFERROR(__xludf.DUMMYFUNCTION("""COMPUTED_VALUE"""),"Painkiller Injection")</f>
        <v>Painkiller Injection</v>
      </c>
      <c r="C540" s="263"/>
      <c r="D540" s="263" t="str">
        <f>IFERROR(__xludf.DUMMYFUNCTION("""COMPUTED_VALUE"""),"Aid, Active")</f>
        <v>Aid, Active</v>
      </c>
      <c r="E540" s="264" t="str">
        <f>IFERROR(__xludf.DUMMYFUNCTION("""COMPUTED_VALUE"""),"5ft")</f>
        <v>5ft</v>
      </c>
      <c r="F540" s="266" t="str">
        <f>IFERROR(__xludf.DUMMYFUNCTION("""COMPUTED_VALUE"""),"You grant a willing ally temporary HP until the start of your next turn equal to your Focus x X.
The target cannot benefit from this ability again until the end of your next turn.")</f>
        <v>You grant a willing ally temporary HP until the start of your next turn equal to your Focus x X.
The target cannot benefit from this ability again until the end of your next turn.</v>
      </c>
      <c r="G540" s="264" t="str">
        <f>IFERROR(__xludf.DUMMYFUNCTION("""COMPUTED_VALUE"""),"")</f>
        <v/>
      </c>
      <c r="H540" s="265" t="str">
        <f>IFERROR(__xludf.DUMMYFUNCTION("""COMPUTED_VALUE"""),"X AP")</f>
        <v>X AP</v>
      </c>
      <c r="I540" s="263" t="str">
        <f>IFERROR(__xludf.DUMMYFUNCTION("""COMPUTED_VALUE"""),"X AP")</f>
        <v>X AP</v>
      </c>
      <c r="J540" s="264" t="str">
        <f>IFERROR(__xludf.DUMMYFUNCTION("""COMPUTED_VALUE"""),"")</f>
        <v/>
      </c>
      <c r="K540" s="264" t="str">
        <f>IFERROR(__xludf.DUMMYFUNCTION("""COMPUTED_VALUE"""),"")</f>
        <v/>
      </c>
      <c r="L540" s="263" t="str">
        <f>IFERROR(__xludf.DUMMYFUNCTION("""COMPUTED_VALUE"""),"")</f>
        <v/>
      </c>
      <c r="M540" s="263"/>
      <c r="N540" s="263"/>
      <c r="O540" s="263"/>
      <c r="P540" s="263"/>
      <c r="Q540" s="263"/>
      <c r="R540" s="263"/>
      <c r="S540" s="263"/>
      <c r="T540" s="263"/>
      <c r="U540" s="246"/>
      <c r="V540" s="246"/>
      <c r="W540" s="246"/>
      <c r="X540" s="246"/>
      <c r="Y540" s="246"/>
      <c r="Z540" s="246"/>
    </row>
    <row r="541">
      <c r="A541" s="263"/>
      <c r="B541" s="265" t="str">
        <f>IFERROR(__xludf.DUMMYFUNCTION("""COMPUTED_VALUE"""),"Panda Roll")</f>
        <v>Panda Roll</v>
      </c>
      <c r="C541" s="263"/>
      <c r="D541" s="264" t="str">
        <f>IFERROR(__xludf.DUMMYFUNCTION("""COMPUTED_VALUE"""),"")</f>
        <v/>
      </c>
      <c r="E541" s="263" t="str">
        <f>IFERROR(__xludf.DUMMYFUNCTION("""COMPUTED_VALUE"""),"Self")</f>
        <v>Self</v>
      </c>
      <c r="F541" s="266" t="str">
        <f>IFERROR(__xludf.DUMMYFUNCTION("""COMPUTED_VALUE"""),"You prepare to roll from an incoming attack. Your next Dodge action before the start of your next turn costs 0 RP. If you successfully avoid an attack with this Dodge action, you may Sidestep 5ft.")</f>
        <v>You prepare to roll from an incoming attack. Your next Dodge action before the start of your next turn costs 0 RP. If you successfully avoid an attack with this Dodge action, you may Sidestep 5ft.</v>
      </c>
      <c r="G541" s="263" t="str">
        <f>IFERROR(__xludf.DUMMYFUNCTION("""COMPUTED_VALUE"""),"")</f>
        <v/>
      </c>
      <c r="H541" s="267" t="str">
        <f>IFERROR(__xludf.DUMMYFUNCTION("""COMPUTED_VALUE"""),"2 AP")</f>
        <v>2 AP</v>
      </c>
      <c r="I541" s="263" t="str">
        <f>IFERROR(__xludf.DUMMYFUNCTION("""COMPUTED_VALUE"""),"2 AP")</f>
        <v>2 AP</v>
      </c>
      <c r="J541" s="263" t="str">
        <f>IFERROR(__xludf.DUMMYFUNCTION("""COMPUTED_VALUE"""),"")</f>
        <v/>
      </c>
      <c r="K541" s="263" t="str">
        <f>IFERROR(__xludf.DUMMYFUNCTION("""COMPUTED_VALUE"""),"")</f>
        <v/>
      </c>
      <c r="L541" s="263" t="str">
        <f>IFERROR(__xludf.DUMMYFUNCTION("""COMPUTED_VALUE"""),"")</f>
        <v/>
      </c>
      <c r="M541" s="263"/>
      <c r="N541" s="263"/>
      <c r="O541" s="263"/>
      <c r="P541" s="263"/>
      <c r="Q541" s="263"/>
      <c r="R541" s="263"/>
      <c r="S541" s="263"/>
      <c r="T541" s="263"/>
      <c r="U541" s="246"/>
      <c r="V541" s="246"/>
      <c r="W541" s="246"/>
      <c r="X541" s="246"/>
      <c r="Y541" s="246"/>
      <c r="Z541" s="246"/>
    </row>
    <row r="542">
      <c r="A542" s="263"/>
      <c r="B542" s="265" t="str">
        <f>IFERROR(__xludf.DUMMYFUNCTION("""COMPUTED_VALUE"""),"Panda Stance")</f>
        <v>Panda Stance</v>
      </c>
      <c r="C542" s="263"/>
      <c r="D542" s="264" t="str">
        <f>IFERROR(__xludf.DUMMYFUNCTION("""COMPUTED_VALUE"""),"Stance")</f>
        <v>Stance</v>
      </c>
      <c r="E542" s="263" t="str">
        <f>IFERROR(__xludf.DUMMYFUNCTION("""COMPUTED_VALUE"""),"Self")</f>
        <v>Self</v>
      </c>
      <c r="F542" s="266" t="str">
        <f>IFERROR(__xludf.DUMMYFUNCTION("""COMPUTED_VALUE"""),"You enter a stance in which you use your tail for extra balance. When you would be knocked back or prone, you may end this stance to negate the effect. This stance then ends.
Otherwise, the stance lasts until you enter a different stance.
You may use AP o"&amp;"r RP for this ability.")</f>
        <v>You enter a stance in which you use your tail for extra balance. When you would be knocked back or prone, you may end this stance to negate the effect. This stance then ends.
Otherwise, the stance lasts until you enter a different stance.
You may use AP or RP for this ability.</v>
      </c>
      <c r="G542" s="263" t="str">
        <f>IFERROR(__xludf.DUMMYFUNCTION("""COMPUTED_VALUE"""),"")</f>
        <v/>
      </c>
      <c r="H542" s="267" t="str">
        <f>IFERROR(__xludf.DUMMYFUNCTION("""COMPUTED_VALUE"""),"1 AP, 1 RP")</f>
        <v>1 AP, 1 RP</v>
      </c>
      <c r="I542" s="263" t="str">
        <f>IFERROR(__xludf.DUMMYFUNCTION("""COMPUTED_VALUE"""),"1 AP")</f>
        <v>1 AP</v>
      </c>
      <c r="J542" s="263" t="str">
        <f>IFERROR(__xludf.DUMMYFUNCTION("""COMPUTED_VALUE"""),"")</f>
        <v/>
      </c>
      <c r="K542" s="263" t="str">
        <f>IFERROR(__xludf.DUMMYFUNCTION("""COMPUTED_VALUE"""),"1 RP")</f>
        <v>1 RP</v>
      </c>
      <c r="L542" s="263" t="str">
        <f>IFERROR(__xludf.DUMMYFUNCTION("""COMPUTED_VALUE"""),"")</f>
        <v/>
      </c>
      <c r="M542" s="263"/>
      <c r="N542" s="263"/>
      <c r="O542" s="263"/>
      <c r="P542" s="263"/>
      <c r="Q542" s="263"/>
      <c r="R542" s="263"/>
      <c r="S542" s="263"/>
      <c r="T542" s="263"/>
      <c r="U542" s="246"/>
      <c r="V542" s="246"/>
      <c r="W542" s="246"/>
      <c r="X542" s="246"/>
      <c r="Y542" s="246"/>
      <c r="Z542" s="246"/>
    </row>
    <row r="543">
      <c r="A543" s="263"/>
      <c r="B543" s="265" t="str">
        <f>IFERROR(__xludf.DUMMYFUNCTION("""COMPUTED_VALUE"""),"Paragon of Virtue")</f>
        <v>Paragon of Virtue</v>
      </c>
      <c r="C543" s="263"/>
      <c r="D543" s="264" t="str">
        <f>IFERROR(__xludf.DUMMYFUNCTION("""COMPUTED_VALUE"""),"")</f>
        <v/>
      </c>
      <c r="E543" s="263" t="str">
        <f>IFERROR(__xludf.DUMMYFUNCTION("""COMPUTED_VALUE"""),"Self")</f>
        <v>Self</v>
      </c>
      <c r="F543" s="266" t="str">
        <f>IFERROR(__xludf.DUMMYFUNCTION("""COMPUTED_VALUE"""),"You may remove a single negative non-physical effect from yourself (ie, fears, charms but not things such as bleed). If you are afflicted with more than 1 negative effect that is a valid target, you may choose which one you remove.")</f>
        <v>You may remove a single negative non-physical effect from yourself (ie, fears, charms but not things such as bleed). If you are afflicted with more than 1 negative effect that is a valid target, you may choose which one you remove.</v>
      </c>
      <c r="G543" s="263" t="str">
        <f>IFERROR(__xludf.DUMMYFUNCTION("""COMPUTED_VALUE"""),"")</f>
        <v/>
      </c>
      <c r="H543" s="267" t="str">
        <f>IFERROR(__xludf.DUMMYFUNCTION("""COMPUTED_VALUE"""),"1 RP")</f>
        <v>1 RP</v>
      </c>
      <c r="I543" s="263" t="str">
        <f>IFERROR(__xludf.DUMMYFUNCTION("""COMPUTED_VALUE"""),"")</f>
        <v/>
      </c>
      <c r="J543" s="263" t="str">
        <f>IFERROR(__xludf.DUMMYFUNCTION("""COMPUTED_VALUE"""),"")</f>
        <v/>
      </c>
      <c r="K543" s="263" t="str">
        <f>IFERROR(__xludf.DUMMYFUNCTION("""COMPUTED_VALUE"""),"1 RP")</f>
        <v>1 RP</v>
      </c>
      <c r="L543" s="263" t="str">
        <f>IFERROR(__xludf.DUMMYFUNCTION("""COMPUTED_VALUE"""),"")</f>
        <v/>
      </c>
      <c r="M543" s="263"/>
      <c r="N543" s="263"/>
      <c r="O543" s="263"/>
      <c r="P543" s="263"/>
      <c r="Q543" s="263"/>
      <c r="R543" s="263"/>
      <c r="S543" s="263"/>
      <c r="T543" s="263"/>
      <c r="U543" s="246"/>
      <c r="V543" s="246"/>
      <c r="W543" s="246"/>
      <c r="X543" s="246"/>
      <c r="Y543" s="246"/>
      <c r="Z543" s="246"/>
    </row>
    <row r="544">
      <c r="A544" s="263"/>
      <c r="B544" s="265" t="str">
        <f>IFERROR(__xludf.DUMMYFUNCTION("""COMPUTED_VALUE"""),"Parry")</f>
        <v>Parry</v>
      </c>
      <c r="C544" s="263"/>
      <c r="D544" s="264" t="str">
        <f>IFERROR(__xludf.DUMMYFUNCTION("""COMPUTED_VALUE"""),"")</f>
        <v/>
      </c>
      <c r="E544" s="263" t="str">
        <f>IFERROR(__xludf.DUMMYFUNCTION("""COMPUTED_VALUE"""),"'-")</f>
        <v>'-</v>
      </c>
      <c r="F544" s="266" t="str">
        <f>IFERROR(__xludf.DUMMYFUNCTION("""COMPUTED_VALUE"""),"Roll your Heavy Weapon Damage, but add your Focus instead of Power to the roll and treat that as your Block against the attack targeting you. If Parry reduces the damage to 0, you regain 1 RP (cannot go higher than your max RP). On hit effects and maces d"&amp;"o not gain their effect if you reduce the damage to 0.
When using Parry against an attack, that attack cannot land a critical hit against you.")</f>
        <v>Roll your Heavy Weapon Damage, but add your Focus instead of Power to the roll and treat that as your Block against the attack targeting you. If Parry reduces the damage to 0, you regain 1 RP (cannot go higher than your max RP). On hit effects and maces do not gain their effect if you reduce the damage to 0.
When using Parry against an attack, that attack cannot land a critical hit against you.</v>
      </c>
      <c r="G544" s="263" t="str">
        <f>IFERROR(__xludf.DUMMYFUNCTION("""COMPUTED_VALUE"""),"Target of a melee attack, wielding a One-Handed melee weapon.")</f>
        <v>Target of a melee attack, wielding a One-Handed melee weapon.</v>
      </c>
      <c r="H544" s="267" t="str">
        <f>IFERROR(__xludf.DUMMYFUNCTION("""COMPUTED_VALUE"""),"1 MP, 1 RP")</f>
        <v>1 MP, 1 RP</v>
      </c>
      <c r="I544" s="263" t="str">
        <f>IFERROR(__xludf.DUMMYFUNCTION("""COMPUTED_VALUE"""),"")</f>
        <v/>
      </c>
      <c r="J544" s="263" t="str">
        <f>IFERROR(__xludf.DUMMYFUNCTION("""COMPUTED_VALUE"""),"1 MP")</f>
        <v>1 MP</v>
      </c>
      <c r="K544" s="263" t="str">
        <f>IFERROR(__xludf.DUMMYFUNCTION("""COMPUTED_VALUE"""),"1 RP")</f>
        <v>1 RP</v>
      </c>
      <c r="L544" s="263" t="str">
        <f>IFERROR(__xludf.DUMMYFUNCTION("""COMPUTED_VALUE"""),"")</f>
        <v/>
      </c>
      <c r="M544" s="263"/>
      <c r="N544" s="263"/>
      <c r="O544" s="263"/>
      <c r="P544" s="263"/>
      <c r="Q544" s="263"/>
      <c r="R544" s="263"/>
      <c r="S544" s="263"/>
      <c r="T544" s="263"/>
      <c r="U544" s="246"/>
      <c r="V544" s="246"/>
      <c r="W544" s="246"/>
      <c r="X544" s="246"/>
      <c r="Y544" s="246"/>
      <c r="Z544" s="246"/>
    </row>
    <row r="545">
      <c r="A545" s="263"/>
      <c r="B545" s="265" t="str">
        <f>IFERROR(__xludf.DUMMYFUNCTION("""COMPUTED_VALUE"""),"Past Self")</f>
        <v>Past Self</v>
      </c>
      <c r="C545" s="263"/>
      <c r="D545" s="264" t="str">
        <f>IFERROR(__xludf.DUMMYFUNCTION("""COMPUTED_VALUE"""),"Opener, Quick")</f>
        <v>Opener, Quick</v>
      </c>
      <c r="E545" s="264" t="str">
        <f>IFERROR(__xludf.DUMMYFUNCTION("""COMPUTED_VALUE"""),"Self")</f>
        <v>Self</v>
      </c>
      <c r="F545" s="266" t="str">
        <f>IFERROR(__xludf.DUMMYFUNCTION("""COMPUTED_VALUE"""),"You place a past self token at your current position that lasts until the end of the encounter. Your past self tokens are used for other abilities and cannot be attacked normally.
When you make a weapon attack, you may have the attack come from a past sel"&amp;"f token. After a past self token attacks, it becomes targetable by attacks and effects for 1 round as if you were in that position though you cannot be hit more than once by the same attack because of this.
Your past selves cannot be moved, willingly or f"&amp;"orcefully.")</f>
        <v>You place a past self token at your current position that lasts until the end of the encounter. Your past self tokens are used for other abilities and cannot be attacked normally.
When you make a weapon attack, you may have the attack come from a past self token. After a past self token attacks, it becomes targetable by attacks and effects for 1 round as if you were in that position though you cannot be hit more than once by the same attack because of this.
Your past selves cannot be moved, willingly or forcefully.</v>
      </c>
      <c r="G545" s="263" t="str">
        <f>IFERROR(__xludf.DUMMYFUNCTION("""COMPUTED_VALUE"""),"")</f>
        <v/>
      </c>
      <c r="H545" s="265" t="str">
        <f>IFERROR(__xludf.DUMMYFUNCTION("""COMPUTED_VALUE"""),"0 AP")</f>
        <v>0 AP</v>
      </c>
      <c r="I545" s="264" t="str">
        <f>IFERROR(__xludf.DUMMYFUNCTION("""COMPUTED_VALUE"""),"0 AP")</f>
        <v>0 AP</v>
      </c>
      <c r="J545" s="264" t="str">
        <f>IFERROR(__xludf.DUMMYFUNCTION("""COMPUTED_VALUE"""),"")</f>
        <v/>
      </c>
      <c r="K545" s="263" t="str">
        <f>IFERROR(__xludf.DUMMYFUNCTION("""COMPUTED_VALUE"""),"")</f>
        <v/>
      </c>
      <c r="L545" s="263" t="str">
        <f>IFERROR(__xludf.DUMMYFUNCTION("""COMPUTED_VALUE"""),"")</f>
        <v/>
      </c>
      <c r="M545" s="263"/>
      <c r="N545" s="263"/>
      <c r="O545" s="263"/>
      <c r="P545" s="263"/>
      <c r="Q545" s="263"/>
      <c r="R545" s="263"/>
      <c r="S545" s="263"/>
      <c r="T545" s="263"/>
      <c r="U545" s="246"/>
      <c r="V545" s="246"/>
      <c r="W545" s="246"/>
      <c r="X545" s="246"/>
      <c r="Y545" s="246"/>
      <c r="Z545" s="246"/>
    </row>
    <row r="546">
      <c r="A546" s="263"/>
      <c r="B546" s="265" t="str">
        <f>IFERROR(__xludf.DUMMYFUNCTION("""COMPUTED_VALUE"""),"Pathfinder")</f>
        <v>Pathfinder</v>
      </c>
      <c r="C546" s="263"/>
      <c r="D546" s="263" t="str">
        <f>IFERROR(__xludf.DUMMYFUNCTION("""COMPUTED_VALUE"""),"Stealth")</f>
        <v>Stealth</v>
      </c>
      <c r="E546" s="264" t="str">
        <f>IFERROR(__xludf.DUMMYFUNCTION("""COMPUTED_VALUE"""),"Self")</f>
        <v>Self</v>
      </c>
      <c r="F546" s="266" t="str">
        <f>IFERROR(__xludf.DUMMYFUNCTION("""COMPUTED_VALUE"""),"You may move up to your speed and you ignore difficult terrain penalties for this movement. Until the start of your next turn, all terrain within 20ft of you is not considered difficult terrain for your allies.")</f>
        <v>You may move up to your speed and you ignore difficult terrain penalties for this movement. Until the start of your next turn, all terrain within 20ft of you is not considered difficult terrain for your allies.</v>
      </c>
      <c r="G546" s="264" t="str">
        <f>IFERROR(__xludf.DUMMYFUNCTION("""COMPUTED_VALUE"""),"")</f>
        <v/>
      </c>
      <c r="H546" s="265" t="str">
        <f>IFERROR(__xludf.DUMMYFUNCTION("""COMPUTED_VALUE"""),"1 AP")</f>
        <v>1 AP</v>
      </c>
      <c r="I546" s="264" t="str">
        <f>IFERROR(__xludf.DUMMYFUNCTION("""COMPUTED_VALUE"""),"1 AP")</f>
        <v>1 AP</v>
      </c>
      <c r="J546" s="263" t="str">
        <f>IFERROR(__xludf.DUMMYFUNCTION("""COMPUTED_VALUE"""),"")</f>
        <v/>
      </c>
      <c r="K546" s="263" t="str">
        <f>IFERROR(__xludf.DUMMYFUNCTION("""COMPUTED_VALUE"""),"")</f>
        <v/>
      </c>
      <c r="L546" s="263" t="str">
        <f>IFERROR(__xludf.DUMMYFUNCTION("""COMPUTED_VALUE"""),"")</f>
        <v/>
      </c>
      <c r="M546" s="263"/>
      <c r="N546" s="263"/>
      <c r="O546" s="263"/>
      <c r="P546" s="263"/>
      <c r="Q546" s="263"/>
      <c r="R546" s="263"/>
      <c r="S546" s="263"/>
      <c r="T546" s="263"/>
      <c r="U546" s="246"/>
      <c r="V546" s="246"/>
      <c r="W546" s="246"/>
      <c r="X546" s="246"/>
      <c r="Y546" s="246"/>
      <c r="Z546" s="246"/>
    </row>
    <row r="547">
      <c r="A547" s="263"/>
      <c r="B547" s="265" t="str">
        <f>IFERROR(__xludf.DUMMYFUNCTION("""COMPUTED_VALUE"""),"Penetrating Shot")</f>
        <v>Penetrating Shot</v>
      </c>
      <c r="C547" s="263"/>
      <c r="D547" s="263" t="str">
        <f>IFERROR(__xludf.DUMMYFUNCTION("""COMPUTED_VALUE"""),"")</f>
        <v/>
      </c>
      <c r="E547" s="264" t="str">
        <f>IFERROR(__xludf.DUMMYFUNCTION("""COMPUTED_VALUE"""),"Ranged Weapon Range")</f>
        <v>Ranged Weapon Range</v>
      </c>
      <c r="F547" s="266" t="str">
        <f>IFERROR(__xludf.DUMMYFUNCTION("""COMPUTED_VALUE"""),"You may make a Heavy Attack against the target. This attack penetrates through thin layers of cover such as wood planks (GM’s decision), negating the bonus it would give.")</f>
        <v>You may make a Heavy Attack against the target. This attack penetrates through thin layers of cover such as wood planks (GM’s decision), negating the bonus it would give.</v>
      </c>
      <c r="G547" s="264" t="str">
        <f>IFERROR(__xludf.DUMMYFUNCTION("""COMPUTED_VALUE"""),"Sniper Rifles only.")</f>
        <v>Sniper Rifles only.</v>
      </c>
      <c r="H547" s="265" t="str">
        <f>IFERROR(__xludf.DUMMYFUNCTION("""COMPUTED_VALUE"""),"2 AP, 1 MP")</f>
        <v>2 AP, 1 MP</v>
      </c>
      <c r="I547" s="264" t="str">
        <f>IFERROR(__xludf.DUMMYFUNCTION("""COMPUTED_VALUE"""),"2 AP")</f>
        <v>2 AP</v>
      </c>
      <c r="J547" s="263" t="str">
        <f>IFERROR(__xludf.DUMMYFUNCTION("""COMPUTED_VALUE"""),"1 MP")</f>
        <v>1 MP</v>
      </c>
      <c r="K547" s="263" t="str">
        <f>IFERROR(__xludf.DUMMYFUNCTION("""COMPUTED_VALUE"""),"")</f>
        <v/>
      </c>
      <c r="L547" s="263" t="str">
        <f>IFERROR(__xludf.DUMMYFUNCTION("""COMPUTED_VALUE"""),"")</f>
        <v/>
      </c>
      <c r="M547" s="263"/>
      <c r="N547" s="263"/>
      <c r="O547" s="263"/>
      <c r="P547" s="263"/>
      <c r="Q547" s="263"/>
      <c r="R547" s="263"/>
      <c r="S547" s="263"/>
      <c r="T547" s="263"/>
      <c r="U547" s="246"/>
      <c r="V547" s="246"/>
      <c r="W547" s="246"/>
      <c r="X547" s="246"/>
      <c r="Y547" s="246"/>
      <c r="Z547" s="246"/>
    </row>
    <row r="548">
      <c r="A548" s="263"/>
      <c r="B548" s="265" t="str">
        <f>IFERROR(__xludf.DUMMYFUNCTION("""COMPUTED_VALUE"""),"Pepper Spray")</f>
        <v>Pepper Spray</v>
      </c>
      <c r="C548" s="263"/>
      <c r="D548" s="263" t="str">
        <f>IFERROR(__xludf.DUMMYFUNCTION("""COMPUTED_VALUE"""),"Blinded")</f>
        <v>Blinded</v>
      </c>
      <c r="E548" s="264" t="str">
        <f>IFERROR(__xludf.DUMMYFUNCTION("""COMPUTED_VALUE"""),"5ft")</f>
        <v>5ft</v>
      </c>
      <c r="F548" s="266" t="str">
        <f>IFERROR(__xludf.DUMMYFUNCTION("""COMPUTED_VALUE"""),"You reach into your pocket and pull out a handful of ground chili pepper that you throw in front of you in a 15ft cube. Inflicts all targets with Pepper Spray, causing Blinded 4 and the inability to smell.  The target or an ally of the target within 5ft c"&amp;"an spend 1 AP to wipe it off. Otherwise the effect ends at the end of the target’s next turn.
You may spend 1 RP and 1 additional mana instead of paying the AP cost.")</f>
        <v>You reach into your pocket and pull out a handful of ground chili pepper that you throw in front of you in a 15ft cube. Inflicts all targets with Pepper Spray, causing Blinded 4 and the inability to smell.  The target or an ally of the target within 5ft can spend 1 AP to wipe it off. Otherwise the effect ends at the end of the target’s next turn.
You may spend 1 RP and 1 additional mana instead of paying the AP cost.</v>
      </c>
      <c r="G548" s="263" t="str">
        <f>IFERROR(__xludf.DUMMYFUNCTION("""COMPUTED_VALUE"""),"")</f>
        <v/>
      </c>
      <c r="H548" s="265" t="str">
        <f>IFERROR(__xludf.DUMMYFUNCTION("""COMPUTED_VALUE"""),"2 AP, 1 MP")</f>
        <v>2 AP, 1 MP</v>
      </c>
      <c r="I548" s="264" t="str">
        <f>IFERROR(__xludf.DUMMYFUNCTION("""COMPUTED_VALUE"""),"2 AP")</f>
        <v>2 AP</v>
      </c>
      <c r="J548" s="264" t="str">
        <f>IFERROR(__xludf.DUMMYFUNCTION("""COMPUTED_VALUE"""),"1 MP")</f>
        <v>1 MP</v>
      </c>
      <c r="K548" s="263" t="str">
        <f>IFERROR(__xludf.DUMMYFUNCTION("""COMPUTED_VALUE"""),"")</f>
        <v/>
      </c>
      <c r="L548" s="263" t="str">
        <f>IFERROR(__xludf.DUMMYFUNCTION("""COMPUTED_VALUE"""),"")</f>
        <v/>
      </c>
      <c r="M548" s="263"/>
      <c r="N548" s="263"/>
      <c r="O548" s="263"/>
      <c r="P548" s="263"/>
      <c r="Q548" s="263"/>
      <c r="R548" s="263"/>
      <c r="S548" s="263"/>
      <c r="T548" s="263"/>
      <c r="U548" s="246"/>
      <c r="V548" s="246"/>
      <c r="W548" s="246"/>
      <c r="X548" s="246"/>
      <c r="Y548" s="246"/>
      <c r="Z548" s="246"/>
    </row>
    <row r="549">
      <c r="A549" s="263"/>
      <c r="B549" s="265" t="str">
        <f>IFERROR(__xludf.DUMMYFUNCTION("""COMPUTED_VALUE"""),"Perfect Seasoning")</f>
        <v>Perfect Seasoning</v>
      </c>
      <c r="C549" s="263"/>
      <c r="D549" s="263" t="str">
        <f>IFERROR(__xludf.DUMMYFUNCTION("""COMPUTED_VALUE"""),"Rapid")</f>
        <v>Rapid</v>
      </c>
      <c r="E549" s="263" t="str">
        <f>IFERROR(__xludf.DUMMYFUNCTION("""COMPUTED_VALUE"""),"")</f>
        <v/>
      </c>
      <c r="F549" s="266" t="str">
        <f>IFERROR(__xludf.DUMMYFUNCTION("""COMPUTED_VALUE"""),"Make a crafting check with a +3 Bonus.")</f>
        <v>Make a crafting check with a +3 Bonus.</v>
      </c>
      <c r="G549" s="264" t="str">
        <f>IFERROR(__xludf.DUMMYFUNCTION("""COMPUTED_VALUE"""),"Must be in a crafting session. Must have added a special ingredient (box of food, alloy materials) in your last action.")</f>
        <v>Must be in a crafting session. Must have added a special ingredient (box of food, alloy materials) in your last action.</v>
      </c>
      <c r="H549" s="267" t="str">
        <f>IFERROR(__xludf.DUMMYFUNCTION("""COMPUTED_VALUE"""),"1 Crafting Dice")</f>
        <v>1 Crafting Dice</v>
      </c>
      <c r="I549" s="263" t="str">
        <f>IFERROR(__xludf.DUMMYFUNCTION("""COMPUTED_VALUE"""),"")</f>
        <v/>
      </c>
      <c r="J549" s="263" t="str">
        <f>IFERROR(__xludf.DUMMYFUNCTION("""COMPUTED_VALUE"""),"")</f>
        <v/>
      </c>
      <c r="K549" s="263" t="str">
        <f>IFERROR(__xludf.DUMMYFUNCTION("""COMPUTED_VALUE"""),"")</f>
        <v/>
      </c>
      <c r="L549" s="263" t="str">
        <f>IFERROR(__xludf.DUMMYFUNCTION("""COMPUTED_VALUE"""),"")</f>
        <v/>
      </c>
      <c r="M549" s="263"/>
      <c r="N549" s="263"/>
      <c r="O549" s="263"/>
      <c r="P549" s="263"/>
      <c r="Q549" s="263"/>
      <c r="R549" s="263"/>
      <c r="S549" s="263"/>
      <c r="T549" s="263"/>
      <c r="U549" s="246"/>
      <c r="V549" s="246"/>
      <c r="W549" s="246"/>
      <c r="X549" s="246"/>
      <c r="Y549" s="246"/>
      <c r="Z549" s="246"/>
    </row>
    <row r="550">
      <c r="A550" s="263"/>
      <c r="B550" s="265" t="str">
        <f>IFERROR(__xludf.DUMMYFUNCTION("""COMPUTED_VALUE"""),"Perfect Shot")</f>
        <v>Perfect Shot</v>
      </c>
      <c r="C550" s="263"/>
      <c r="D550" s="263" t="str">
        <f>IFERROR(__xludf.DUMMYFUNCTION("""COMPUTED_VALUE"""),"Full Pierce, Prone, Setup, Sure Hit")</f>
        <v>Full Pierce, Prone, Setup, Sure Hit</v>
      </c>
      <c r="E550" s="264" t="str">
        <f>IFERROR(__xludf.DUMMYFUNCTION("""COMPUTED_VALUE"""),"Ranged Weapon Range")</f>
        <v>Ranged Weapon Range</v>
      </c>
      <c r="F550" s="266" t="str">
        <f>IFERROR(__xludf.DUMMYFUNCTION("""COMPUTED_VALUE"""),"You line up the perfect shot, striking an enemy for double Heavy Damage with Sure Hit and Full Pierce.
Automatically fails if the target has cover when this ability finishes.")</f>
        <v>You line up the perfect shot, striking an enemy for double Heavy Damage with Sure Hit and Full Pierce.
Automatically fails if the target has cover when this ability finishes.</v>
      </c>
      <c r="G550" s="264" t="str">
        <f>IFERROR(__xludf.DUMMYFUNCTION("""COMPUTED_VALUE"""),"")</f>
        <v/>
      </c>
      <c r="H550" s="265" t="str">
        <f>IFERROR(__xludf.DUMMYFUNCTION("""COMPUTED_VALUE"""),"6 AP")</f>
        <v>6 AP</v>
      </c>
      <c r="I550" s="264" t="str">
        <f>IFERROR(__xludf.DUMMYFUNCTION("""COMPUTED_VALUE"""),"6 AP")</f>
        <v>6 AP</v>
      </c>
      <c r="J550" s="263" t="str">
        <f>IFERROR(__xludf.DUMMYFUNCTION("""COMPUTED_VALUE"""),"")</f>
        <v/>
      </c>
      <c r="K550" s="263" t="str">
        <f>IFERROR(__xludf.DUMMYFUNCTION("""COMPUTED_VALUE"""),"")</f>
        <v/>
      </c>
      <c r="L550" s="263" t="str">
        <f>IFERROR(__xludf.DUMMYFUNCTION("""COMPUTED_VALUE"""),"")</f>
        <v/>
      </c>
      <c r="M550" s="263"/>
      <c r="N550" s="263"/>
      <c r="O550" s="263"/>
      <c r="P550" s="263"/>
      <c r="Q550" s="263"/>
      <c r="R550" s="263"/>
      <c r="S550" s="263"/>
      <c r="T550" s="263"/>
      <c r="U550" s="246"/>
      <c r="V550" s="246"/>
      <c r="W550" s="246"/>
      <c r="X550" s="246"/>
      <c r="Y550" s="246"/>
      <c r="Z550" s="246"/>
    </row>
    <row r="551">
      <c r="A551" s="263"/>
      <c r="B551" s="265" t="str">
        <f>IFERROR(__xludf.DUMMYFUNCTION("""COMPUTED_VALUE"""),"Perish")</f>
        <v>Perish</v>
      </c>
      <c r="C551" s="263"/>
      <c r="D551" s="263" t="str">
        <f>IFERROR(__xludf.DUMMYFUNCTION("""COMPUTED_VALUE"""),"Mystic Eye, Rapid")</f>
        <v>Mystic Eye, Rapid</v>
      </c>
      <c r="E551" s="264" t="str">
        <f>IFERROR(__xludf.DUMMYFUNCTION("""COMPUTED_VALUE"""),"60ft")</f>
        <v>60ft</v>
      </c>
      <c r="F551" s="266" t="str">
        <f>IFERROR(__xludf.DUMMYFUNCTION("""COMPUTED_VALUE"""),"You make a Light (1 AP), Heavy (2 AP) or Precise (2 AP) attack against the target that deals Dark(Curse).")</f>
        <v>You make a Light (1 AP), Heavy (2 AP) or Precise (2 AP) attack against the target that deals Dark(Curse).</v>
      </c>
      <c r="G551" s="263" t="str">
        <f>IFERROR(__xludf.DUMMYFUNCTION("""COMPUTED_VALUE"""),"")</f>
        <v/>
      </c>
      <c r="H551" s="267" t="str">
        <f>IFERROR(__xludf.DUMMYFUNCTION("""COMPUTED_VALUE"""),"1 AP")</f>
        <v>1 AP</v>
      </c>
      <c r="I551" s="263" t="str">
        <f>IFERROR(__xludf.DUMMYFUNCTION("""COMPUTED_VALUE"""),"1 AP")</f>
        <v>1 AP</v>
      </c>
      <c r="J551" s="263" t="str">
        <f>IFERROR(__xludf.DUMMYFUNCTION("""COMPUTED_VALUE"""),"")</f>
        <v/>
      </c>
      <c r="K551" s="263" t="str">
        <f>IFERROR(__xludf.DUMMYFUNCTION("""COMPUTED_VALUE"""),"")</f>
        <v/>
      </c>
      <c r="L551" s="263" t="str">
        <f>IFERROR(__xludf.DUMMYFUNCTION("""COMPUTED_VALUE"""),"")</f>
        <v/>
      </c>
      <c r="M551" s="263"/>
      <c r="N551" s="263"/>
      <c r="O551" s="263"/>
      <c r="P551" s="263"/>
      <c r="Q551" s="263"/>
      <c r="R551" s="263"/>
      <c r="S551" s="263"/>
      <c r="T551" s="263"/>
      <c r="U551" s="246"/>
      <c r="V551" s="246"/>
      <c r="W551" s="246"/>
      <c r="X551" s="246"/>
      <c r="Y551" s="246"/>
      <c r="Z551" s="246"/>
    </row>
    <row r="552">
      <c r="A552" s="263"/>
      <c r="B552" s="265" t="str">
        <f>IFERROR(__xludf.DUMMYFUNCTION("""COMPUTED_VALUE"""),"Persistent Spell")</f>
        <v>Persistent Spell</v>
      </c>
      <c r="C552" s="263"/>
      <c r="D552" s="264" t="str">
        <f>IFERROR(__xludf.DUMMYFUNCTION("""COMPUTED_VALUE"""),"")</f>
        <v/>
      </c>
      <c r="E552" s="264" t="str">
        <f>IFERROR(__xludf.DUMMYFUNCTION("""COMPUTED_VALUE"""),"Self")</f>
        <v>Self</v>
      </c>
      <c r="F552" s="266" t="str">
        <f>IFERROR(__xludf.DUMMYFUNCTION("""COMPUTED_VALUE"""),"If the next Spell you cast applies a buff or debuff, the duration of this buff or debuff is extended by 1 turn. If the Spell allows for a save, the target may make another save after the original effect is over to resist the duration extension.")</f>
        <v>If the next Spell you cast applies a buff or debuff, the duration of this buff or debuff is extended by 1 turn. If the Spell allows for a save, the target may make another save after the original effect is over to resist the duration extension.</v>
      </c>
      <c r="G552" s="264" t="str">
        <f>IFERROR(__xludf.DUMMYFUNCTION("""COMPUTED_VALUE"""),"")</f>
        <v/>
      </c>
      <c r="H552" s="265" t="str">
        <f>IFERROR(__xludf.DUMMYFUNCTION("""COMPUTED_VALUE"""),"0 AP, 2 MP")</f>
        <v>0 AP, 2 MP</v>
      </c>
      <c r="I552" s="263" t="str">
        <f>IFERROR(__xludf.DUMMYFUNCTION("""COMPUTED_VALUE"""),"0 AP")</f>
        <v>0 AP</v>
      </c>
      <c r="J552" s="263" t="str">
        <f>IFERROR(__xludf.DUMMYFUNCTION("""COMPUTED_VALUE"""),"2 MP")</f>
        <v>2 MP</v>
      </c>
      <c r="K552" s="264" t="str">
        <f>IFERROR(__xludf.DUMMYFUNCTION("""COMPUTED_VALUE"""),"")</f>
        <v/>
      </c>
      <c r="L552" s="263" t="str">
        <f>IFERROR(__xludf.DUMMYFUNCTION("""COMPUTED_VALUE"""),"")</f>
        <v/>
      </c>
      <c r="M552" s="263"/>
      <c r="N552" s="263"/>
      <c r="O552" s="263"/>
      <c r="P552" s="263"/>
      <c r="Q552" s="263"/>
      <c r="R552" s="263"/>
      <c r="S552" s="263"/>
      <c r="T552" s="263"/>
      <c r="U552" s="246"/>
      <c r="V552" s="246"/>
      <c r="W552" s="246"/>
      <c r="X552" s="246"/>
      <c r="Y552" s="246"/>
      <c r="Z552" s="246"/>
    </row>
    <row r="553">
      <c r="A553" s="263"/>
      <c r="B553" s="265" t="str">
        <f>IFERROR(__xludf.DUMMYFUNCTION("""COMPUTED_VALUE"""),"Phantoms of the Mist")</f>
        <v>Phantoms of the Mist</v>
      </c>
      <c r="C553" s="263"/>
      <c r="D553" s="264" t="str">
        <f>IFERROR(__xludf.DUMMYFUNCTION("""COMPUTED_VALUE"""),"Song, Scatter")</f>
        <v>Song, Scatter</v>
      </c>
      <c r="E553" s="264" t="str">
        <f>IFERROR(__xludf.DUMMYFUNCTION("""COMPUTED_VALUE"""),"Self")</f>
        <v>Self</v>
      </c>
      <c r="F553" s="266" t="str">
        <f>IFERROR(__xludf.DUMMYFUNCTION("""COMPUTED_VALUE"""),"You conjure several phantoms in the mist and make a Light attack against all creatures within your Mist of the Vale.
You may spend 1 Mana to exclude allies from this attack.")</f>
        <v>You conjure several phantoms in the mist and make a Light attack against all creatures within your Mist of the Vale.
You may spend 1 Mana to exclude allies from this attack.</v>
      </c>
      <c r="G553" s="264" t="str">
        <f>IFERROR(__xludf.DUMMYFUNCTION("""COMPUTED_VALUE"""),"Mist of the Vale must be active.")</f>
        <v>Mist of the Vale must be active.</v>
      </c>
      <c r="H553" s="265" t="str">
        <f>IFERROR(__xludf.DUMMYFUNCTION("""COMPUTED_VALUE"""),"1 AP")</f>
        <v>1 AP</v>
      </c>
      <c r="I553" s="263" t="str">
        <f>IFERROR(__xludf.DUMMYFUNCTION("""COMPUTED_VALUE"""),"1 AP")</f>
        <v>1 AP</v>
      </c>
      <c r="J553" s="264" t="str">
        <f>IFERROR(__xludf.DUMMYFUNCTION("""COMPUTED_VALUE"""),"")</f>
        <v/>
      </c>
      <c r="K553" s="264" t="str">
        <f>IFERROR(__xludf.DUMMYFUNCTION("""COMPUTED_VALUE"""),"")</f>
        <v/>
      </c>
      <c r="L553" s="263" t="str">
        <f>IFERROR(__xludf.DUMMYFUNCTION("""COMPUTED_VALUE"""),"")</f>
        <v/>
      </c>
      <c r="M553" s="263"/>
      <c r="N553" s="263"/>
      <c r="O553" s="263"/>
      <c r="P553" s="263"/>
      <c r="Q553" s="263"/>
      <c r="R553" s="263"/>
      <c r="S553" s="263"/>
      <c r="T553" s="263"/>
      <c r="U553" s="246"/>
      <c r="V553" s="246"/>
      <c r="W553" s="246"/>
      <c r="X553" s="246"/>
      <c r="Y553" s="246"/>
      <c r="Z553" s="246"/>
    </row>
    <row r="554">
      <c r="A554" s="263"/>
      <c r="B554" s="265" t="str">
        <f>IFERROR(__xludf.DUMMYFUNCTION("""COMPUTED_VALUE"""),"Phoenix Tears")</f>
        <v>Phoenix Tears</v>
      </c>
      <c r="C554" s="263"/>
      <c r="D554" s="264" t="str">
        <f>IFERROR(__xludf.DUMMYFUNCTION("""COMPUTED_VALUE"""),"Encounter Conclusion")</f>
        <v>Encounter Conclusion</v>
      </c>
      <c r="E554" s="264" t="str">
        <f>IFERROR(__xludf.DUMMYFUNCTION("""COMPUTED_VALUE"""),"Touch")</f>
        <v>Touch</v>
      </c>
      <c r="F554" s="266" t="str">
        <f>IFERROR(__xludf.DUMMYFUNCTION("""COMPUTED_VALUE"""),"At the end of combat you may use 1 Encounter Conclusion action to heal a single target other than yourself for Power and prevent one injury on them.")</f>
        <v>At the end of combat you may use 1 Encounter Conclusion action to heal a single target other than yourself for Power and prevent one injury on them.</v>
      </c>
      <c r="G554" s="264" t="str">
        <f>IFERROR(__xludf.DUMMYFUNCTION("""COMPUTED_VALUE"""),"")</f>
        <v/>
      </c>
      <c r="H554" s="265" t="str">
        <f>IFERROR(__xludf.DUMMYFUNCTION("""COMPUTED_VALUE"""),"")</f>
        <v/>
      </c>
      <c r="I554" s="264" t="str">
        <f>IFERROR(__xludf.DUMMYFUNCTION("""COMPUTED_VALUE"""),"")</f>
        <v/>
      </c>
      <c r="J554" s="263" t="str">
        <f>IFERROR(__xludf.DUMMYFUNCTION("""COMPUTED_VALUE"""),"")</f>
        <v/>
      </c>
      <c r="K554" s="263" t="str">
        <f>IFERROR(__xludf.DUMMYFUNCTION("""COMPUTED_VALUE"""),"")</f>
        <v/>
      </c>
      <c r="L554" s="263" t="str">
        <f>IFERROR(__xludf.DUMMYFUNCTION("""COMPUTED_VALUE"""),"")</f>
        <v/>
      </c>
      <c r="M554" s="263"/>
      <c r="N554" s="263"/>
      <c r="O554" s="263"/>
      <c r="P554" s="263"/>
      <c r="Q554" s="263"/>
      <c r="R554" s="263"/>
      <c r="S554" s="263"/>
      <c r="T554" s="263"/>
      <c r="U554" s="246"/>
      <c r="V554" s="246"/>
      <c r="W554" s="246"/>
      <c r="X554" s="246"/>
      <c r="Y554" s="246"/>
      <c r="Z554" s="246"/>
    </row>
    <row r="555">
      <c r="A555" s="263"/>
      <c r="B555" s="265" t="str">
        <f>IFERROR(__xludf.DUMMYFUNCTION("""COMPUTED_VALUE"""),"Pie Toss")</f>
        <v>Pie Toss</v>
      </c>
      <c r="C555" s="263"/>
      <c r="D555" s="263" t="str">
        <f>IFERROR(__xludf.DUMMYFUNCTION("""COMPUTED_VALUE"""),"Sure Hit, Full Pierce, Rapid, Encounter Start, Encounter Conclusion, Downed, Safe, Opportunistic")</f>
        <v>Sure Hit, Full Pierce, Rapid, Encounter Start, Encounter Conclusion, Downed, Safe, Opportunistic</v>
      </c>
      <c r="E555" s="263" t="str">
        <f>IFERROR(__xludf.DUMMYFUNCTION("""COMPUTED_VALUE"""),"40ft")</f>
        <v>40ft</v>
      </c>
      <c r="F555" s="266" t="str">
        <f>IFERROR(__xludf.DUMMYFUNCTION("""COMPUTED_VALUE"""),"You deal 2 damage to the target. This damage can not be increased and does not trigger extra damage effects on the target.
Can be used while downed, Encounter Start and Encounter Conclusion.")</f>
        <v>You deal 2 damage to the target. This damage can not be increased and does not trigger extra damage effects on the target.
Can be used while downed, Encounter Start and Encounter Conclusion.</v>
      </c>
      <c r="G555" s="263" t="str">
        <f>IFERROR(__xludf.DUMMYFUNCTION("""COMPUTED_VALUE"""),"")</f>
        <v/>
      </c>
      <c r="H555" s="267" t="str">
        <f>IFERROR(__xludf.DUMMYFUNCTION("""COMPUTED_VALUE"""),"2 AP")</f>
        <v>2 AP</v>
      </c>
      <c r="I555" s="263" t="str">
        <f>IFERROR(__xludf.DUMMYFUNCTION("""COMPUTED_VALUE"""),"2 AP")</f>
        <v>2 AP</v>
      </c>
      <c r="J555" s="263" t="str">
        <f>IFERROR(__xludf.DUMMYFUNCTION("""COMPUTED_VALUE"""),"")</f>
        <v/>
      </c>
      <c r="K555" s="263" t="str">
        <f>IFERROR(__xludf.DUMMYFUNCTION("""COMPUTED_VALUE"""),"")</f>
        <v/>
      </c>
      <c r="L555" s="263" t="str">
        <f>IFERROR(__xludf.DUMMYFUNCTION("""COMPUTED_VALUE"""),"")</f>
        <v/>
      </c>
      <c r="M555" s="263"/>
      <c r="N555" s="263"/>
      <c r="O555" s="263"/>
      <c r="P555" s="263"/>
      <c r="Q555" s="263"/>
      <c r="R555" s="263"/>
      <c r="S555" s="263"/>
      <c r="T555" s="263"/>
      <c r="U555" s="246"/>
      <c r="V555" s="246"/>
      <c r="W555" s="246"/>
      <c r="X555" s="246"/>
      <c r="Y555" s="246"/>
      <c r="Z555" s="246"/>
    </row>
    <row r="556">
      <c r="A556" s="263"/>
      <c r="B556" s="265" t="str">
        <f>IFERROR(__xludf.DUMMYFUNCTION("""COMPUTED_VALUE"""),"Piercing Stab")</f>
        <v>Piercing Stab</v>
      </c>
      <c r="C556" s="263"/>
      <c r="D556" s="263" t="str">
        <f>IFERROR(__xludf.DUMMYFUNCTION("""COMPUTED_VALUE"""),"Blanketing")</f>
        <v>Blanketing</v>
      </c>
      <c r="E556" s="264" t="str">
        <f>IFERROR(__xludf.DUMMYFUNCTION("""COMPUTED_VALUE"""),"A target in melee weapon range and a target directly behind the first target in melee weapon range.")</f>
        <v>A target in melee weapon range and a target directly behind the first target in melee weapon range.</v>
      </c>
      <c r="F556" s="266" t="str">
        <f>IFERROR(__xludf.DUMMYFUNCTION("""COMPUTED_VALUE"""),"You may make a Heavy Attack against the target and the target directly behind it.")</f>
        <v>You may make a Heavy Attack against the target and the target directly behind it.</v>
      </c>
      <c r="G556" s="264" t="str">
        <f>IFERROR(__xludf.DUMMYFUNCTION("""COMPUTED_VALUE"""),"Polearm only.")</f>
        <v>Polearm only.</v>
      </c>
      <c r="H556" s="265" t="str">
        <f>IFERROR(__xludf.DUMMYFUNCTION("""COMPUTED_VALUE"""),"2 AP, 1 MP")</f>
        <v>2 AP, 1 MP</v>
      </c>
      <c r="I556" s="263" t="str">
        <f>IFERROR(__xludf.DUMMYFUNCTION("""COMPUTED_VALUE"""),"2 AP")</f>
        <v>2 AP</v>
      </c>
      <c r="J556" s="263" t="str">
        <f>IFERROR(__xludf.DUMMYFUNCTION("""COMPUTED_VALUE"""),"1 MP")</f>
        <v>1 MP</v>
      </c>
      <c r="K556" s="264" t="str">
        <f>IFERROR(__xludf.DUMMYFUNCTION("""COMPUTED_VALUE"""),"")</f>
        <v/>
      </c>
      <c r="L556" s="263" t="str">
        <f>IFERROR(__xludf.DUMMYFUNCTION("""COMPUTED_VALUE"""),"")</f>
        <v/>
      </c>
      <c r="M556" s="263"/>
      <c r="N556" s="263"/>
      <c r="O556" s="263"/>
      <c r="P556" s="263"/>
      <c r="Q556" s="263"/>
      <c r="R556" s="263"/>
      <c r="S556" s="263"/>
      <c r="T556" s="263"/>
      <c r="U556" s="246"/>
      <c r="V556" s="246"/>
      <c r="W556" s="246"/>
      <c r="X556" s="246"/>
      <c r="Y556" s="246"/>
      <c r="Z556" s="246"/>
    </row>
    <row r="557">
      <c r="A557" s="263"/>
      <c r="B557" s="265" t="str">
        <f>IFERROR(__xludf.DUMMYFUNCTION("""COMPUTED_VALUE"""),"Pillar of Earth")</f>
        <v>Pillar of Earth</v>
      </c>
      <c r="C557" s="263"/>
      <c r="D557" s="264" t="str">
        <f>IFERROR(__xludf.DUMMYFUNCTION("""COMPUTED_VALUE"""),"Spell, Earth")</f>
        <v>Spell, Earth</v>
      </c>
      <c r="E557" s="264" t="str">
        <f>IFERROR(__xludf.DUMMYFUNCTION("""COMPUTED_VALUE"""),"60ft")</f>
        <v>60ft</v>
      </c>
      <c r="F557" s="266" t="str">
        <f>IFERROR(__xludf.DUMMYFUNCTION("""COMPUTED_VALUE"""),"You create a 5x5, 20ft high pillar below someone. The target may spend 1 RP to step out of the way.
Each block of the pillar has HP equal to 20+Focus and the entire pillar collapses if one block is removed from it.")</f>
        <v>You create a 5x5, 20ft high pillar below someone. The target may spend 1 RP to step out of the way.
Each block of the pillar has HP equal to 20+Focus and the entire pillar collapses if one block is removed from it.</v>
      </c>
      <c r="G557" s="264" t="str">
        <f>IFERROR(__xludf.DUMMYFUNCTION("""COMPUTED_VALUE"""),"")</f>
        <v/>
      </c>
      <c r="H557" s="265" t="str">
        <f>IFERROR(__xludf.DUMMYFUNCTION("""COMPUTED_VALUE"""),"2 AP")</f>
        <v>2 AP</v>
      </c>
      <c r="I557" s="264" t="str">
        <f>IFERROR(__xludf.DUMMYFUNCTION("""COMPUTED_VALUE"""),"2 AP")</f>
        <v>2 AP</v>
      </c>
      <c r="J557" s="263" t="str">
        <f>IFERROR(__xludf.DUMMYFUNCTION("""COMPUTED_VALUE"""),"")</f>
        <v/>
      </c>
      <c r="K557" s="264" t="str">
        <f>IFERROR(__xludf.DUMMYFUNCTION("""COMPUTED_VALUE"""),"")</f>
        <v/>
      </c>
      <c r="L557" s="263" t="str">
        <f>IFERROR(__xludf.DUMMYFUNCTION("""COMPUTED_VALUE"""),"")</f>
        <v/>
      </c>
      <c r="M557" s="263"/>
      <c r="N557" s="263"/>
      <c r="O557" s="263"/>
      <c r="P557" s="263"/>
      <c r="Q557" s="263"/>
      <c r="R557" s="263"/>
      <c r="S557" s="263"/>
      <c r="T557" s="263"/>
      <c r="U557" s="246"/>
      <c r="V557" s="246"/>
      <c r="W557" s="246"/>
      <c r="X557" s="246"/>
      <c r="Y557" s="246"/>
      <c r="Z557" s="246"/>
    </row>
    <row r="558">
      <c r="A558" s="263"/>
      <c r="B558" s="265" t="str">
        <f>IFERROR(__xludf.DUMMYFUNCTION("""COMPUTED_VALUE"""),"Pinning Shot")</f>
        <v>Pinning Shot</v>
      </c>
      <c r="C558" s="263"/>
      <c r="D558" s="263" t="str">
        <f>IFERROR(__xludf.DUMMYFUNCTION("""COMPUTED_VALUE"""),"Root")</f>
        <v>Root</v>
      </c>
      <c r="E558" s="263" t="str">
        <f>IFERROR(__xludf.DUMMYFUNCTION("""COMPUTED_VALUE"""),"Ranged Weapon Range (Up to 60ft)")</f>
        <v>Ranged Weapon Range (Up to 60ft)</v>
      </c>
      <c r="F558" s="266" t="str">
        <f>IFERROR(__xludf.DUMMYFUNCTION("""COMPUTED_VALUE"""),"You make a Light attack against the target with your weapon. On damage, if there is a wall or similar object directly behind the target, they become pinned against it. A pinned target is considered Rooted until they spend 2 AP to remove the arrow pinning "&amp;"them.")</f>
        <v>You make a Light attack against the target with your weapon. On damage, if there is a wall or similar object directly behind the target, they become pinned against it. A pinned target is considered Rooted until they spend 2 AP to remove the arrow pinning them.</v>
      </c>
      <c r="G558" s="263" t="str">
        <f>IFERROR(__xludf.DUMMYFUNCTION("""COMPUTED_VALUE"""),"Bow or Crossbow only.")</f>
        <v>Bow or Crossbow only.</v>
      </c>
      <c r="H558" s="267" t="str">
        <f>IFERROR(__xludf.DUMMYFUNCTION("""COMPUTED_VALUE"""),"1 AP, 2 MP")</f>
        <v>1 AP, 2 MP</v>
      </c>
      <c r="I558" s="263" t="str">
        <f>IFERROR(__xludf.DUMMYFUNCTION("""COMPUTED_VALUE"""),"1 AP")</f>
        <v>1 AP</v>
      </c>
      <c r="J558" s="263" t="str">
        <f>IFERROR(__xludf.DUMMYFUNCTION("""COMPUTED_VALUE"""),"2 MP")</f>
        <v>2 MP</v>
      </c>
      <c r="K558" s="263" t="str">
        <f>IFERROR(__xludf.DUMMYFUNCTION("""COMPUTED_VALUE"""),"")</f>
        <v/>
      </c>
      <c r="L558" s="263" t="str">
        <f>IFERROR(__xludf.DUMMYFUNCTION("""COMPUTED_VALUE"""),"")</f>
        <v/>
      </c>
      <c r="M558" s="263"/>
      <c r="N558" s="263"/>
      <c r="O558" s="263"/>
      <c r="P558" s="263"/>
      <c r="Q558" s="263"/>
      <c r="R558" s="263"/>
      <c r="S558" s="263"/>
      <c r="T558" s="263"/>
      <c r="U558" s="246"/>
      <c r="V558" s="246"/>
      <c r="W558" s="246"/>
      <c r="X558" s="246"/>
      <c r="Y558" s="246"/>
      <c r="Z558" s="246"/>
    </row>
    <row r="559">
      <c r="A559" s="263"/>
      <c r="B559" s="265" t="str">
        <f>IFERROR(__xludf.DUMMYFUNCTION("""COMPUTED_VALUE"""),"Pistol Whip")</f>
        <v>Pistol Whip</v>
      </c>
      <c r="C559" s="263"/>
      <c r="D559" s="264" t="str">
        <f>IFERROR(__xludf.DUMMYFUNCTION("""COMPUTED_VALUE"""),"Unarmed Strike")</f>
        <v>Unarmed Strike</v>
      </c>
      <c r="E559" s="263" t="str">
        <f>IFERROR(__xludf.DUMMYFUNCTION("""COMPUTED_VALUE"""),"Melee Weapon Range")</f>
        <v>Melee Weapon Range</v>
      </c>
      <c r="F559" s="266" t="str">
        <f>IFERROR(__xludf.DUMMYFUNCTION("""COMPUTED_VALUE"""),"You make a Light Attack with a pistol in your hand. On damage, the target becomes Unbalanced.
This attack benefits from alloys and material bonuses on your pistol (but not from any on your unarmed strike).")</f>
        <v>You make a Light Attack with a pistol in your hand. On damage, the target becomes Unbalanced.
This attack benefits from alloys and material bonuses on your pistol (but not from any on your unarmed strike).</v>
      </c>
      <c r="G559" s="264" t="str">
        <f>IFERROR(__xludf.DUMMYFUNCTION("""COMPUTED_VALUE"""),"Must be holding a pistol.")</f>
        <v>Must be holding a pistol.</v>
      </c>
      <c r="H559" s="265" t="str">
        <f>IFERROR(__xludf.DUMMYFUNCTION("""COMPUTED_VALUE"""),"1 AP, 1 MP")</f>
        <v>1 AP, 1 MP</v>
      </c>
      <c r="I559" s="263" t="str">
        <f>IFERROR(__xludf.DUMMYFUNCTION("""COMPUTED_VALUE"""),"1 AP")</f>
        <v>1 AP</v>
      </c>
      <c r="J559" s="264" t="str">
        <f>IFERROR(__xludf.DUMMYFUNCTION("""COMPUTED_VALUE"""),"1 MP")</f>
        <v>1 MP</v>
      </c>
      <c r="K559" s="264" t="str">
        <f>IFERROR(__xludf.DUMMYFUNCTION("""COMPUTED_VALUE"""),"")</f>
        <v/>
      </c>
      <c r="L559" s="263" t="str">
        <f>IFERROR(__xludf.DUMMYFUNCTION("""COMPUTED_VALUE"""),"")</f>
        <v/>
      </c>
      <c r="M559" s="263"/>
      <c r="N559" s="263"/>
      <c r="O559" s="263"/>
      <c r="P559" s="263"/>
      <c r="Q559" s="263"/>
      <c r="R559" s="263"/>
      <c r="S559" s="263"/>
      <c r="T559" s="263"/>
      <c r="U559" s="246"/>
      <c r="V559" s="246"/>
      <c r="W559" s="246"/>
      <c r="X559" s="246"/>
      <c r="Y559" s="246"/>
      <c r="Z559" s="246"/>
    </row>
    <row r="560">
      <c r="A560" s="263"/>
      <c r="B560" s="265" t="str">
        <f>IFERROR(__xludf.DUMMYFUNCTION("""COMPUTED_VALUE"""),"Pixie Flight")</f>
        <v>Pixie Flight</v>
      </c>
      <c r="C560" s="263"/>
      <c r="D560" s="264" t="str">
        <f>IFERROR(__xludf.DUMMYFUNCTION("""COMPUTED_VALUE"""),"Upkeep")</f>
        <v>Upkeep</v>
      </c>
      <c r="E560" s="264" t="str">
        <f>IFERROR(__xludf.DUMMYFUNCTION("""COMPUTED_VALUE"""),"Self")</f>
        <v>Self</v>
      </c>
      <c r="F560" s="266" t="str">
        <f>IFERROR(__xludf.DUMMYFUNCTION("""COMPUTED_VALUE"""),"You gain controlled Flight and Hover up to your speed. This ability ends at the start of your next turn unless you pay Upkeep 3 Mana, if you choose to not pay upkeep, you cannot use Pixie Flight until the start of your next turn.")</f>
        <v>You gain controlled Flight and Hover up to your speed. This ability ends at the start of your next turn unless you pay Upkeep 3 Mana, if you choose to not pay upkeep, you cannot use Pixie Flight until the start of your next turn.</v>
      </c>
      <c r="G560" s="263" t="str">
        <f>IFERROR(__xludf.DUMMYFUNCTION("""COMPUTED_VALUE"""),"")</f>
        <v/>
      </c>
      <c r="H560" s="265" t="str">
        <f>IFERROR(__xludf.DUMMYFUNCTION("""COMPUTED_VALUE"""),"0 AP")</f>
        <v>0 AP</v>
      </c>
      <c r="I560" s="264" t="str">
        <f>IFERROR(__xludf.DUMMYFUNCTION("""COMPUTED_VALUE"""),"0 AP")</f>
        <v>0 AP</v>
      </c>
      <c r="J560" s="264" t="str">
        <f>IFERROR(__xludf.DUMMYFUNCTION("""COMPUTED_VALUE"""),"")</f>
        <v/>
      </c>
      <c r="K560" s="263" t="str">
        <f>IFERROR(__xludf.DUMMYFUNCTION("""COMPUTED_VALUE"""),"")</f>
        <v/>
      </c>
      <c r="L560" s="263" t="str">
        <f>IFERROR(__xludf.DUMMYFUNCTION("""COMPUTED_VALUE"""),"")</f>
        <v/>
      </c>
      <c r="M560" s="263"/>
      <c r="N560" s="263"/>
      <c r="O560" s="263"/>
      <c r="P560" s="263"/>
      <c r="Q560" s="263"/>
      <c r="R560" s="263"/>
      <c r="S560" s="263"/>
      <c r="T560" s="263"/>
      <c r="U560" s="246"/>
      <c r="V560" s="246"/>
      <c r="W560" s="246"/>
      <c r="X560" s="246"/>
      <c r="Y560" s="246"/>
      <c r="Z560" s="246"/>
    </row>
    <row r="561">
      <c r="A561" s="263"/>
      <c r="B561" s="265" t="str">
        <f>IFERROR(__xludf.DUMMYFUNCTION("""COMPUTED_VALUE"""),"Place Trap")</f>
        <v>Place Trap</v>
      </c>
      <c r="C561" s="263"/>
      <c r="D561" s="264" t="str">
        <f>IFERROR(__xludf.DUMMYFUNCTION("""COMPUTED_VALUE"""),"Root, Stealth")</f>
        <v>Root, Stealth</v>
      </c>
      <c r="E561" s="264" t="str">
        <f>IFERROR(__xludf.DUMMYFUNCTION("""COMPUTED_VALUE"""),"")</f>
        <v/>
      </c>
      <c r="F561" s="266" t="str">
        <f>IFERROR(__xludf.DUMMYFUNCTION("""COMPUTED_VALUE"""),"You choose to spend either 1 minute or 1 hour to place an undetermined trap in an area. You may only have 2 traps placed at a time in this way.
When an enemy comes within 20ft of you, you may spend 0 RP to determine the effects of a trap and trigger it. I"&amp;"f you spent 1 minute, you may choose a Simple Trap. If you spent 1 hour, you may choose either a Simple Trap or a Complex Trap.
Log Swing (Simple): The target takes Light bludgeoning damage and is knocked back 20ft.
Snare (Simple): You place up to 3 snare"&amp;" traps, each within 20ft of each other. When triggered, the target’s movement is interrupted and they fall prone.
Net (Complex): The target is caught in a net and raised up into the air. It remains rooted there until the net is destroyed by dealing 15 dam"&amp;"age, after which the target falls prone on the ground below it.
Pitfall (Complex): The target falls down a 5x5, 20ft deep pit and takes falling damage as normal.
A used trap cannot be reused. Setting a trap consumes a Trapper's Trap.")</f>
        <v>You choose to spend either 1 minute or 1 hour to place an undetermined trap in an area. You may only have 2 traps placed at a time in this way.
When an enemy comes within 20ft of you, you may spend 0 RP to determine the effects of a trap and trigger it. If you spent 1 minute, you may choose a Simple Trap. If you spent 1 hour, you may choose either a Simple Trap or a Complex Trap.
Log Swing (Simple): The target takes Light bludgeoning damage and is knocked back 20ft.
Snare (Simple): You place up to 3 snare traps, each within 20ft of each other. When triggered, the target’s movement is interrupted and they fall prone.
Net (Complex): The target is caught in a net and raised up into the air. It remains rooted there until the net is destroyed by dealing 15 damage, after which the target falls prone on the ground below it.
Pitfall (Complex): The target falls down a 5x5, 20ft deep pit and takes falling damage as normal.
A used trap cannot be reused. Setting a trap consumes a Trapper's Trap.</v>
      </c>
      <c r="G561" s="263" t="str">
        <f>IFERROR(__xludf.DUMMYFUNCTION("""COMPUTED_VALUE"""),"Sufficient time (see description)")</f>
        <v>Sufficient time (see description)</v>
      </c>
      <c r="H561" s="265" t="str">
        <f>IFERROR(__xludf.DUMMYFUNCTION("""COMPUTED_VALUE"""),"Special")</f>
        <v>Special</v>
      </c>
      <c r="I561" s="264" t="str">
        <f>IFERROR(__xludf.DUMMYFUNCTION("""COMPUTED_VALUE"""),"")</f>
        <v/>
      </c>
      <c r="J561" s="263" t="str">
        <f>IFERROR(__xludf.DUMMYFUNCTION("""COMPUTED_VALUE"""),"")</f>
        <v/>
      </c>
      <c r="K561" s="263" t="str">
        <f>IFERROR(__xludf.DUMMYFUNCTION("""COMPUTED_VALUE"""),"")</f>
        <v/>
      </c>
      <c r="L561" s="263" t="str">
        <f>IFERROR(__xludf.DUMMYFUNCTION("""COMPUTED_VALUE"""),"")</f>
        <v/>
      </c>
      <c r="M561" s="263"/>
      <c r="N561" s="263"/>
      <c r="O561" s="263"/>
      <c r="P561" s="263"/>
      <c r="Q561" s="263"/>
      <c r="R561" s="263"/>
      <c r="S561" s="263"/>
      <c r="T561" s="263"/>
      <c r="U561" s="246"/>
      <c r="V561" s="246"/>
      <c r="W561" s="246"/>
      <c r="X561" s="246"/>
      <c r="Y561" s="246"/>
      <c r="Z561" s="246"/>
    </row>
    <row r="562">
      <c r="A562" s="263"/>
      <c r="B562" s="265" t="str">
        <f>IFERROR(__xludf.DUMMYFUNCTION("""COMPUTED_VALUE"""),"Plaguebringer")</f>
        <v>Plaguebringer</v>
      </c>
      <c r="C562" s="263"/>
      <c r="D562" s="264" t="str">
        <f>IFERROR(__xludf.DUMMYFUNCTION("""COMPUTED_VALUE"""),"")</f>
        <v/>
      </c>
      <c r="E562" s="264" t="str">
        <f>IFERROR(__xludf.DUMMYFUNCTION("""COMPUTED_VALUE"""),"")</f>
        <v/>
      </c>
      <c r="F562" s="266" t="str">
        <f>IFERROR(__xludf.DUMMYFUNCTION("""COMPUTED_VALUE"""),"When you damage an enemy with a melee attack while infected with a disease or suffering from poison, you inflict that disease or poison on the enemy. They can make a save against it as normal, if the original disease or poison allowed for it.")</f>
        <v>When you damage an enemy with a melee attack while infected with a disease or suffering from poison, you inflict that disease or poison on the enemy. They can make a save against it as normal, if the original disease or poison allowed for it.</v>
      </c>
      <c r="G562" s="263" t="str">
        <f>IFERROR(__xludf.DUMMYFUNCTION("""COMPUTED_VALUE"""),"")</f>
        <v/>
      </c>
      <c r="H562" s="265" t="str">
        <f>IFERROR(__xludf.DUMMYFUNCTION("""COMPUTED_VALUE"""),"")</f>
        <v/>
      </c>
      <c r="I562" s="263" t="str">
        <f>IFERROR(__xludf.DUMMYFUNCTION("""COMPUTED_VALUE"""),"")</f>
        <v/>
      </c>
      <c r="J562" s="264" t="str">
        <f>IFERROR(__xludf.DUMMYFUNCTION("""COMPUTED_VALUE"""),"")</f>
        <v/>
      </c>
      <c r="K562" s="263" t="str">
        <f>IFERROR(__xludf.DUMMYFUNCTION("""COMPUTED_VALUE"""),"")</f>
        <v/>
      </c>
      <c r="L562" s="263" t="str">
        <f>IFERROR(__xludf.DUMMYFUNCTION("""COMPUTED_VALUE"""),"")</f>
        <v/>
      </c>
      <c r="M562" s="263"/>
      <c r="N562" s="263"/>
      <c r="O562" s="263"/>
      <c r="P562" s="263"/>
      <c r="Q562" s="263"/>
      <c r="R562" s="263"/>
      <c r="S562" s="263"/>
      <c r="T562" s="263"/>
      <c r="U562" s="246"/>
      <c r="V562" s="246"/>
      <c r="W562" s="246"/>
      <c r="X562" s="246"/>
      <c r="Y562" s="246"/>
      <c r="Z562" s="246"/>
    </row>
    <row r="563">
      <c r="A563" s="263"/>
      <c r="B563" s="265" t="str">
        <f>IFERROR(__xludf.DUMMYFUNCTION("""COMPUTED_VALUE"""),"Please Hold Still~")</f>
        <v>Please Hold Still~</v>
      </c>
      <c r="C563" s="263"/>
      <c r="D563" s="264" t="str">
        <f>IFERROR(__xludf.DUMMYFUNCTION("""COMPUTED_VALUE"""),"Illumination")</f>
        <v>Illumination</v>
      </c>
      <c r="E563" s="264" t="str">
        <f>IFERROR(__xludf.DUMMYFUNCTION("""COMPUTED_VALUE"""),"5ft")</f>
        <v>5ft</v>
      </c>
      <c r="F563" s="266" t="str">
        <f>IFERROR(__xludf.DUMMYFUNCTION("""COMPUTED_VALUE"""),"You apply Illumination X to the target where X is your Focus. You cannot benefit from this Illumination yourself, but also cannot consume it.")</f>
        <v>You apply Illumination X to the target where X is your Focus. You cannot benefit from this Illumination yourself, but also cannot consume it.</v>
      </c>
      <c r="G563" s="263" t="str">
        <f>IFERROR(__xludf.DUMMYFUNCTION("""COMPUTED_VALUE"""),"")</f>
        <v/>
      </c>
      <c r="H563" s="265" t="str">
        <f>IFERROR(__xludf.DUMMYFUNCTION("""COMPUTED_VALUE"""),"2 AP")</f>
        <v>2 AP</v>
      </c>
      <c r="I563" s="264" t="str">
        <f>IFERROR(__xludf.DUMMYFUNCTION("""COMPUTED_VALUE"""),"2 AP")</f>
        <v>2 AP</v>
      </c>
      <c r="J563" s="264" t="str">
        <f>IFERROR(__xludf.DUMMYFUNCTION("""COMPUTED_VALUE"""),"")</f>
        <v/>
      </c>
      <c r="K563" s="263" t="str">
        <f>IFERROR(__xludf.DUMMYFUNCTION("""COMPUTED_VALUE"""),"")</f>
        <v/>
      </c>
      <c r="L563" s="263" t="str">
        <f>IFERROR(__xludf.DUMMYFUNCTION("""COMPUTED_VALUE"""),"")</f>
        <v/>
      </c>
      <c r="M563" s="263"/>
      <c r="N563" s="263"/>
      <c r="O563" s="263"/>
      <c r="P563" s="263"/>
      <c r="Q563" s="263"/>
      <c r="R563" s="263"/>
      <c r="S563" s="263"/>
      <c r="T563" s="263"/>
      <c r="U563" s="246"/>
      <c r="V563" s="246"/>
      <c r="W563" s="246"/>
      <c r="X563" s="246"/>
      <c r="Y563" s="246"/>
      <c r="Z563" s="246"/>
    </row>
    <row r="564">
      <c r="A564" s="263"/>
      <c r="B564" s="265" t="str">
        <f>IFERROR(__xludf.DUMMYFUNCTION("""COMPUTED_VALUE"""),"Plow the fields")</f>
        <v>Plow the fields</v>
      </c>
      <c r="C564" s="263"/>
      <c r="D564" s="264" t="str">
        <f>IFERROR(__xludf.DUMMYFUNCTION("""COMPUTED_VALUE"""),"Blanketing")</f>
        <v>Blanketing</v>
      </c>
      <c r="E564" s="264" t="str">
        <f>IFERROR(__xludf.DUMMYFUNCTION("""COMPUTED_VALUE"""),"15ft")</f>
        <v>15ft</v>
      </c>
      <c r="F564" s="266" t="str">
        <f>IFERROR(__xludf.DUMMYFUNCTION("""COMPUTED_VALUE"""),"You strike the ground with magical power and make a Light attack against all enemies in a 15ft wide line up to range. The terrain within this range becomes difficult terrain until the start of your next turn.")</f>
        <v>You strike the ground with magical power and make a Light attack against all enemies in a 15ft wide line up to range. The terrain within this range becomes difficult terrain until the start of your next turn.</v>
      </c>
      <c r="G564" s="263" t="str">
        <f>IFERROR(__xludf.DUMMYFUNCTION("""COMPUTED_VALUE"""),"")</f>
        <v/>
      </c>
      <c r="H564" s="265" t="str">
        <f>IFERROR(__xludf.DUMMYFUNCTION("""COMPUTED_VALUE"""),"2 AP")</f>
        <v>2 AP</v>
      </c>
      <c r="I564" s="264" t="str">
        <f>IFERROR(__xludf.DUMMYFUNCTION("""COMPUTED_VALUE"""),"2 AP")</f>
        <v>2 AP</v>
      </c>
      <c r="J564" s="264" t="str">
        <f>IFERROR(__xludf.DUMMYFUNCTION("""COMPUTED_VALUE"""),"")</f>
        <v/>
      </c>
      <c r="K564" s="263" t="str">
        <f>IFERROR(__xludf.DUMMYFUNCTION("""COMPUTED_VALUE"""),"")</f>
        <v/>
      </c>
      <c r="L564" s="263" t="str">
        <f>IFERROR(__xludf.DUMMYFUNCTION("""COMPUTED_VALUE"""),"")</f>
        <v/>
      </c>
      <c r="M564" s="263"/>
      <c r="N564" s="263"/>
      <c r="O564" s="263"/>
      <c r="P564" s="263"/>
      <c r="Q564" s="263"/>
      <c r="R564" s="263"/>
      <c r="S564" s="263"/>
      <c r="T564" s="263"/>
      <c r="U564" s="246"/>
      <c r="V564" s="246"/>
      <c r="W564" s="246"/>
      <c r="X564" s="246"/>
      <c r="Y564" s="246"/>
      <c r="Z564" s="246"/>
    </row>
    <row r="565">
      <c r="A565" s="263"/>
      <c r="B565" s="265" t="str">
        <f>IFERROR(__xludf.DUMMYFUNCTION("""COMPUTED_VALUE"""),"Plume-Treading Art")</f>
        <v>Plume-Treading Art</v>
      </c>
      <c r="C565" s="263"/>
      <c r="D565" s="263" t="str">
        <f>IFERROR(__xludf.DUMMYFUNCTION("""COMPUTED_VALUE"""),"Stacking")</f>
        <v>Stacking</v>
      </c>
      <c r="E565" s="263" t="str">
        <f>IFERROR(__xludf.DUMMYFUNCTION("""COMPUTED_VALUE"""),"")</f>
        <v/>
      </c>
      <c r="F565" s="266" t="str">
        <f>IFERROR(__xludf.DUMMYFUNCTION("""COMPUTED_VALUE"""),"After you use Cloudstep, you treat air as regular walkable terrain until the end of your turn. At the end of your turn, if still standing on air and not Flying, you float back down to the ground without taking fall damage.
In addition, after each AP spent"&amp;" on the Move action or an ability that lets you move, you gain 1 Windflow up to a maximum of 6. Each stack of Windflow gives a +5 Windflow bonus to your movement speed. These stacks last until the end of the encounter or until you end your turn without ha"&amp;"ving moved.
Cloudstep also always gives you 1 stack, up to your normal cap.")</f>
        <v>After you use Cloudstep, you treat air as regular walkable terrain until the end of your turn. At the end of your turn, if still standing on air and not Flying, you float back down to the ground without taking fall damage.
In addition, after each AP spent on the Move action or an ability that lets you move, you gain 1 Windflow up to a maximum of 6. Each stack of Windflow gives a +5 Windflow bonus to your movement speed. These stacks last until the end of the encounter or until you end your turn without having moved.
Cloudstep also always gives you 1 stack, up to your normal cap.</v>
      </c>
      <c r="G565" s="263" t="str">
        <f>IFERROR(__xludf.DUMMYFUNCTION("""COMPUTED_VALUE"""),"")</f>
        <v/>
      </c>
      <c r="H565" s="267" t="str">
        <f>IFERROR(__xludf.DUMMYFUNCTION("""COMPUTED_VALUE"""),"")</f>
        <v/>
      </c>
      <c r="I565" s="263" t="str">
        <f>IFERROR(__xludf.DUMMYFUNCTION("""COMPUTED_VALUE"""),"")</f>
        <v/>
      </c>
      <c r="J565" s="263" t="str">
        <f>IFERROR(__xludf.DUMMYFUNCTION("""COMPUTED_VALUE"""),"")</f>
        <v/>
      </c>
      <c r="K565" s="263" t="str">
        <f>IFERROR(__xludf.DUMMYFUNCTION("""COMPUTED_VALUE"""),"")</f>
        <v/>
      </c>
      <c r="L565" s="263" t="str">
        <f>IFERROR(__xludf.DUMMYFUNCTION("""COMPUTED_VALUE"""),"")</f>
        <v/>
      </c>
      <c r="M565" s="263"/>
      <c r="N565" s="263"/>
      <c r="O565" s="263"/>
      <c r="P565" s="263"/>
      <c r="Q565" s="263"/>
      <c r="R565" s="263"/>
      <c r="S565" s="263"/>
      <c r="T565" s="263"/>
      <c r="U565" s="246"/>
      <c r="V565" s="246"/>
      <c r="W565" s="246"/>
      <c r="X565" s="246"/>
      <c r="Y565" s="246"/>
      <c r="Z565" s="246"/>
    </row>
    <row r="566">
      <c r="A566" s="263"/>
      <c r="B566" s="265" t="str">
        <f>IFERROR(__xludf.DUMMYFUNCTION("""COMPUTED_VALUE"""),"Point Blank Shot")</f>
        <v>Point Blank Shot</v>
      </c>
      <c r="C566" s="263"/>
      <c r="D566" s="264" t="str">
        <f>IFERROR(__xludf.DUMMYFUNCTION("""COMPUTED_VALUE"""),"Sure Hit")</f>
        <v>Sure Hit</v>
      </c>
      <c r="E566" s="264" t="str">
        <f>IFERROR(__xludf.DUMMYFUNCTION("""COMPUTED_VALUE"""),"5ft")</f>
        <v>5ft</v>
      </c>
      <c r="F566" s="266" t="str">
        <f>IFERROR(__xludf.DUMMYFUNCTION("""COMPUTED_VALUE"""),"You make a Heavy Attack against the target.")</f>
        <v>You make a Heavy Attack against the target.</v>
      </c>
      <c r="G566" s="263" t="str">
        <f>IFERROR(__xludf.DUMMYFUNCTION("""COMPUTED_VALUE"""),"Pistol only.")</f>
        <v>Pistol only.</v>
      </c>
      <c r="H566" s="265" t="str">
        <f>IFERROR(__xludf.DUMMYFUNCTION("""COMPUTED_VALUE"""),"2 AP, 3 MP")</f>
        <v>2 AP, 3 MP</v>
      </c>
      <c r="I566" s="264" t="str">
        <f>IFERROR(__xludf.DUMMYFUNCTION("""COMPUTED_VALUE"""),"2 AP")</f>
        <v>2 AP</v>
      </c>
      <c r="J566" s="263" t="str">
        <f>IFERROR(__xludf.DUMMYFUNCTION("""COMPUTED_VALUE"""),"3 MP")</f>
        <v>3 MP</v>
      </c>
      <c r="K566" s="263" t="str">
        <f>IFERROR(__xludf.DUMMYFUNCTION("""COMPUTED_VALUE"""),"")</f>
        <v/>
      </c>
      <c r="L566" s="263" t="str">
        <f>IFERROR(__xludf.DUMMYFUNCTION("""COMPUTED_VALUE"""),"")</f>
        <v/>
      </c>
      <c r="M566" s="263"/>
      <c r="N566" s="263"/>
      <c r="O566" s="263"/>
      <c r="P566" s="263"/>
      <c r="Q566" s="263"/>
      <c r="R566" s="263"/>
      <c r="S566" s="263"/>
      <c r="T566" s="263"/>
      <c r="U566" s="246"/>
      <c r="V566" s="246"/>
      <c r="W566" s="246"/>
      <c r="X566" s="246"/>
      <c r="Y566" s="246"/>
      <c r="Z566" s="246"/>
    </row>
    <row r="567">
      <c r="A567" s="263"/>
      <c r="B567" s="265" t="str">
        <f>IFERROR(__xludf.DUMMYFUNCTION("""COMPUTED_VALUE"""),"Point of Death")</f>
        <v>Point of Death</v>
      </c>
      <c r="C567" s="263"/>
      <c r="D567" s="264" t="str">
        <f>IFERROR(__xludf.DUMMYFUNCTION("""COMPUTED_VALUE"""),"Full Pierce")</f>
        <v>Full Pierce</v>
      </c>
      <c r="E567" s="264" t="str">
        <f>IFERROR(__xludf.DUMMYFUNCTION("""COMPUTED_VALUE"""),"Melee Weapon Range")</f>
        <v>Melee Weapon Range</v>
      </c>
      <c r="F567" s="266" t="str">
        <f>IFERROR(__xludf.DUMMYFUNCTION("""COMPUTED_VALUE"""),"You may make a Heavy Attack against the target. This attack deals maximum damage instead of rolling for the damage.")</f>
        <v>You may make a Heavy Attack against the target. This attack deals maximum damage instead of rolling for the damage.</v>
      </c>
      <c r="G567" s="264" t="str">
        <f>IFERROR(__xludf.DUMMYFUNCTION("""COMPUTED_VALUE"""),"Target is below half HP of their original max HP (Before True Death reductions).")</f>
        <v>Target is below half HP of their original max HP (Before True Death reductions).</v>
      </c>
      <c r="H567" s="265" t="str">
        <f>IFERROR(__xludf.DUMMYFUNCTION("""COMPUTED_VALUE"""),"2 AP, 2 MP")</f>
        <v>2 AP, 2 MP</v>
      </c>
      <c r="I567" s="263" t="str">
        <f>IFERROR(__xludf.DUMMYFUNCTION("""COMPUTED_VALUE"""),"2 AP")</f>
        <v>2 AP</v>
      </c>
      <c r="J567" s="263" t="str">
        <f>IFERROR(__xludf.DUMMYFUNCTION("""COMPUTED_VALUE"""),"2 MP")</f>
        <v>2 MP</v>
      </c>
      <c r="K567" s="264" t="str">
        <f>IFERROR(__xludf.DUMMYFUNCTION("""COMPUTED_VALUE"""),"")</f>
        <v/>
      </c>
      <c r="L567" s="263" t="str">
        <f>IFERROR(__xludf.DUMMYFUNCTION("""COMPUTED_VALUE"""),"")</f>
        <v/>
      </c>
      <c r="M567" s="263"/>
      <c r="N567" s="263"/>
      <c r="O567" s="263"/>
      <c r="P567" s="263"/>
      <c r="Q567" s="263"/>
      <c r="R567" s="263"/>
      <c r="S567" s="263"/>
      <c r="T567" s="263"/>
      <c r="U567" s="246"/>
      <c r="V567" s="246"/>
      <c r="W567" s="246"/>
      <c r="X567" s="246"/>
      <c r="Y567" s="246"/>
      <c r="Z567" s="246"/>
    </row>
    <row r="568">
      <c r="A568" s="263"/>
      <c r="B568" s="265" t="str">
        <f>IFERROR(__xludf.DUMMYFUNCTION("""COMPUTED_VALUE"""),"Point of Death II")</f>
        <v>Point of Death II</v>
      </c>
      <c r="C568" s="263"/>
      <c r="D568" s="263" t="str">
        <f>IFERROR(__xludf.DUMMYFUNCTION("""COMPUTED_VALUE"""),"Full Pierce")</f>
        <v>Full Pierce</v>
      </c>
      <c r="E568" s="264" t="str">
        <f>IFERROR(__xludf.DUMMYFUNCTION("""COMPUTED_VALUE"""),"Melee Weapon Range")</f>
        <v>Melee Weapon Range</v>
      </c>
      <c r="F568" s="266" t="str">
        <f>IFERROR(__xludf.DUMMYFUNCTION("""COMPUTED_VALUE"""),"You may make a Heavy Attack against the target. This attack deals maximum damage instead of rolling for the damage.
On killing blow, refund the mana and AP cost spent on this ability.")</f>
        <v>You may make a Heavy Attack against the target. This attack deals maximum damage instead of rolling for the damage.
On killing blow, refund the mana and AP cost spent on this ability.</v>
      </c>
      <c r="G568" s="264" t="str">
        <f>IFERROR(__xludf.DUMMYFUNCTION("""COMPUTED_VALUE"""),"Target is below half HP of their original max HP (Before True Death reductions).")</f>
        <v>Target is below half HP of their original max HP (Before True Death reductions).</v>
      </c>
      <c r="H568" s="265" t="str">
        <f>IFERROR(__xludf.DUMMYFUNCTION("""COMPUTED_VALUE"""),"2 AP, 2 MP")</f>
        <v>2 AP, 2 MP</v>
      </c>
      <c r="I568" s="263" t="str">
        <f>IFERROR(__xludf.DUMMYFUNCTION("""COMPUTED_VALUE"""),"2 AP")</f>
        <v>2 AP</v>
      </c>
      <c r="J568" s="263" t="str">
        <f>IFERROR(__xludf.DUMMYFUNCTION("""COMPUTED_VALUE"""),"2 MP")</f>
        <v>2 MP</v>
      </c>
      <c r="K568" s="264" t="str">
        <f>IFERROR(__xludf.DUMMYFUNCTION("""COMPUTED_VALUE"""),"")</f>
        <v/>
      </c>
      <c r="L568" s="263" t="str">
        <f>IFERROR(__xludf.DUMMYFUNCTION("""COMPUTED_VALUE"""),"")</f>
        <v/>
      </c>
      <c r="M568" s="263"/>
      <c r="N568" s="263"/>
      <c r="O568" s="263"/>
      <c r="P568" s="263"/>
      <c r="Q568" s="263"/>
      <c r="R568" s="263"/>
      <c r="S568" s="263"/>
      <c r="T568" s="263"/>
      <c r="U568" s="246"/>
      <c r="V568" s="246"/>
      <c r="W568" s="246"/>
      <c r="X568" s="246"/>
      <c r="Y568" s="246"/>
      <c r="Z568" s="246"/>
    </row>
    <row r="569">
      <c r="A569" s="263"/>
      <c r="B569" s="265" t="str">
        <f>IFERROR(__xludf.DUMMYFUNCTION("""COMPUTED_VALUE"""),"Poison Spore")</f>
        <v>Poison Spore</v>
      </c>
      <c r="C569" s="263"/>
      <c r="D569" s="264" t="str">
        <f>IFERROR(__xludf.DUMMYFUNCTION("""COMPUTED_VALUE"""),"Concentration, Poison, Full Pierce")</f>
        <v>Concentration, Poison, Full Pierce</v>
      </c>
      <c r="E569" s="264" t="str">
        <f>IFERROR(__xludf.DUMMYFUNCTION("""COMPUTED_VALUE"""),"Self or The Host of Poison Spore. 15ft x 15ft Area with the target at the center.")</f>
        <v>Self or The Host of Poison Spore. 15ft x 15ft Area with the target at the center.</v>
      </c>
      <c r="F569" s="266" t="str">
        <f>IFERROR(__xludf.DUMMYFUNCTION("""COMPUTED_VALUE"""),"You may spend either 2 AP or 1 RP to use this ability.
You create an Area of Poison Spores around you or the Host of Spore Symbiote. Units who end their turn in the Poison Spore take Full Pierce Poison damage equal to your Power + 2. You and the host of S"&amp;"pore Symbiote are immune to your own Poison Spore. Poison Spore lasts until the end of the encounter but you can only have one instance of Poison Spore active at a time.
The spore stays centered around the original target, even if the target of this abili"&amp;"ty moves. If the original target of this ability was the symbiote target and you swap the symbiote target, the location of the poison spore moves with it.")</f>
        <v>You may spend either 2 AP or 1 RP to use this ability.
You create an Area of Poison Spores around you or the Host of Spore Symbiote. Units who end their turn in the Poison Spore take Full Pierce Poison damage equal to your Power + 2. You and the host of Spore Symbiote are immune to your own Poison Spore. Poison Spore lasts until the end of the encounter but you can only have one instance of Poison Spore active at a time.
The spore stays centered around the original target, even if the target of this ability moves. If the original target of this ability was the symbiote target and you swap the symbiote target, the location of the poison spore moves with it.</v>
      </c>
      <c r="G569" s="264" t="str">
        <f>IFERROR(__xludf.DUMMYFUNCTION("""COMPUTED_VALUE"""),"")</f>
        <v/>
      </c>
      <c r="H569" s="265" t="str">
        <f>IFERROR(__xludf.DUMMYFUNCTION("""COMPUTED_VALUE"""),"2 AP, 1 RP")</f>
        <v>2 AP, 1 RP</v>
      </c>
      <c r="I569" s="264" t="str">
        <f>IFERROR(__xludf.DUMMYFUNCTION("""COMPUTED_VALUE"""),"2 AP")</f>
        <v>2 AP</v>
      </c>
      <c r="J569" s="264" t="str">
        <f>IFERROR(__xludf.DUMMYFUNCTION("""COMPUTED_VALUE"""),"")</f>
        <v/>
      </c>
      <c r="K569" s="263" t="str">
        <f>IFERROR(__xludf.DUMMYFUNCTION("""COMPUTED_VALUE"""),"1 RP")</f>
        <v>1 RP</v>
      </c>
      <c r="L569" s="263" t="str">
        <f>IFERROR(__xludf.DUMMYFUNCTION("""COMPUTED_VALUE"""),"")</f>
        <v/>
      </c>
      <c r="M569" s="263"/>
      <c r="N569" s="263"/>
      <c r="O569" s="263"/>
      <c r="P569" s="263"/>
      <c r="Q569" s="263"/>
      <c r="R569" s="263"/>
      <c r="S569" s="263"/>
      <c r="T569" s="263"/>
      <c r="U569" s="246"/>
      <c r="V569" s="246"/>
      <c r="W569" s="246"/>
      <c r="X569" s="246"/>
      <c r="Y569" s="246"/>
      <c r="Z569" s="246"/>
    </row>
    <row r="570">
      <c r="A570" s="263"/>
      <c r="B570" s="265" t="str">
        <f>IFERROR(__xludf.DUMMYFUNCTION("""COMPUTED_VALUE"""),"Poison Spray")</f>
        <v>Poison Spray</v>
      </c>
      <c r="C570" s="263"/>
      <c r="D570" s="263" t="str">
        <f>IFERROR(__xludf.DUMMYFUNCTION("""COMPUTED_VALUE"""),"Poison, Safe, Toxic, Blanketing")</f>
        <v>Poison, Safe, Toxic, Blanketing</v>
      </c>
      <c r="E570" s="264" t="str">
        <f>IFERROR(__xludf.DUMMYFUNCTION("""COMPUTED_VALUE"""),"30ft")</f>
        <v>30ft</v>
      </c>
      <c r="F570" s="266" t="str">
        <f>IFERROR(__xludf.DUMMYFUNCTION("""COMPUTED_VALUE"""),"You make a Light attack against all targets in a 60ft wide, 30ft long cone. On damage, you inflict the enemy with Toxic, making them take 1d6 full pierce Poison damage at the start of their turn until they spend 2 AP to remove the poison effect.")</f>
        <v>You make a Light attack against all targets in a 60ft wide, 30ft long cone. On damage, you inflict the enemy with Toxic, making them take 1d6 full pierce Poison damage at the start of their turn until they spend 2 AP to remove the poison effect.</v>
      </c>
      <c r="G570" s="263" t="str">
        <f>IFERROR(__xludf.DUMMYFUNCTION("""COMPUTED_VALUE"""),"")</f>
        <v/>
      </c>
      <c r="H570" s="267" t="str">
        <f>IFERROR(__xludf.DUMMYFUNCTION("""COMPUTED_VALUE"""),"2 AP, 1 MP")</f>
        <v>2 AP, 1 MP</v>
      </c>
      <c r="I570" s="263" t="str">
        <f>IFERROR(__xludf.DUMMYFUNCTION("""COMPUTED_VALUE"""),"2 AP")</f>
        <v>2 AP</v>
      </c>
      <c r="J570" s="263" t="str">
        <f>IFERROR(__xludf.DUMMYFUNCTION("""COMPUTED_VALUE"""),"1 MP")</f>
        <v>1 MP</v>
      </c>
      <c r="K570" s="263" t="str">
        <f>IFERROR(__xludf.DUMMYFUNCTION("""COMPUTED_VALUE"""),"")</f>
        <v/>
      </c>
      <c r="L570" s="263" t="str">
        <f>IFERROR(__xludf.DUMMYFUNCTION("""COMPUTED_VALUE"""),"")</f>
        <v/>
      </c>
      <c r="M570" s="263"/>
      <c r="N570" s="263"/>
      <c r="O570" s="263"/>
      <c r="P570" s="263"/>
      <c r="Q570" s="263"/>
      <c r="R570" s="263"/>
      <c r="S570" s="263"/>
      <c r="T570" s="263"/>
      <c r="U570" s="246"/>
      <c r="V570" s="246"/>
      <c r="W570" s="246"/>
      <c r="X570" s="246"/>
      <c r="Y570" s="246"/>
      <c r="Z570" s="246"/>
    </row>
    <row r="571">
      <c r="A571" s="263"/>
      <c r="B571" s="265" t="str">
        <f>IFERROR(__xludf.DUMMYFUNCTION("""COMPUTED_VALUE"""),"Position Rewind")</f>
        <v>Position Rewind</v>
      </c>
      <c r="C571" s="263"/>
      <c r="D571" s="264" t="str">
        <f>IFERROR(__xludf.DUMMYFUNCTION("""COMPUTED_VALUE"""),"Stealth")</f>
        <v>Stealth</v>
      </c>
      <c r="E571" s="264" t="str">
        <f>IFERROR(__xludf.DUMMYFUNCTION("""COMPUTED_VALUE"""),"2000ft")</f>
        <v>2000ft</v>
      </c>
      <c r="F571" s="266" t="str">
        <f>IFERROR(__xludf.DUMMYFUNCTION("""COMPUTED_VALUE"""),"You teleport to where you were at the start of your last turn. (Use a token to mark the position)")</f>
        <v>You teleport to where you were at the start of your last turn. (Use a token to mark the position)</v>
      </c>
      <c r="G571" s="263" t="str">
        <f>IFERROR(__xludf.DUMMYFUNCTION("""COMPUTED_VALUE"""),"")</f>
        <v/>
      </c>
      <c r="H571" s="265" t="str">
        <f>IFERROR(__xludf.DUMMYFUNCTION("""COMPUTED_VALUE"""),"1 MP, 0 RP")</f>
        <v>1 MP, 0 RP</v>
      </c>
      <c r="I571" s="264" t="str">
        <f>IFERROR(__xludf.DUMMYFUNCTION("""COMPUTED_VALUE"""),"")</f>
        <v/>
      </c>
      <c r="J571" s="264" t="str">
        <f>IFERROR(__xludf.DUMMYFUNCTION("""COMPUTED_VALUE"""),"1 MP")</f>
        <v>1 MP</v>
      </c>
      <c r="K571" s="263" t="str">
        <f>IFERROR(__xludf.DUMMYFUNCTION("""COMPUTED_VALUE"""),"0 RP")</f>
        <v>0 RP</v>
      </c>
      <c r="L571" s="263" t="str">
        <f>IFERROR(__xludf.DUMMYFUNCTION("""COMPUTED_VALUE"""),"")</f>
        <v/>
      </c>
      <c r="M571" s="263"/>
      <c r="N571" s="263"/>
      <c r="O571" s="263"/>
      <c r="P571" s="263"/>
      <c r="Q571" s="263"/>
      <c r="R571" s="263"/>
      <c r="S571" s="263"/>
      <c r="T571" s="263"/>
      <c r="U571" s="246"/>
      <c r="V571" s="246"/>
      <c r="W571" s="246"/>
      <c r="X571" s="246"/>
      <c r="Y571" s="246"/>
      <c r="Z571" s="246"/>
    </row>
    <row r="572">
      <c r="A572" s="263"/>
      <c r="B572" s="265" t="str">
        <f>IFERROR(__xludf.DUMMYFUNCTION("""COMPUTED_VALUE"""),"Power Jump")</f>
        <v>Power Jump</v>
      </c>
      <c r="C572" s="263"/>
      <c r="D572" s="263" t="str">
        <f>IFERROR(__xludf.DUMMYFUNCTION("""COMPUTED_VALUE"""),"Jump, Circuit")</f>
        <v>Jump, Circuit</v>
      </c>
      <c r="E572" s="263" t="str">
        <f>IFERROR(__xludf.DUMMYFUNCTION("""COMPUTED_VALUE"""),"Self")</f>
        <v>Self</v>
      </c>
      <c r="F572" s="266" t="str">
        <f>IFERROR(__xludf.DUMMYFUNCTION("""COMPUTED_VALUE"""),"You jump up to 60ft vertically straight up into the air.  You can additionally move 5ft horizontally afterwards.  Unless flying, you automatically land straight down from your position at the end of your turn or for 0 AP, this falling movement does not pr"&amp;"ovoke attacks of opportunity and you don’t take fall damage from it. If you land inside an occupied square, you are shunted 5ft into an empty square (your original one if possible).
You cannot make any non-teleport movement actions while in the air unless"&amp;" you’re flying, but can still take other actions (such as attacking) while airborne.")</f>
        <v>You jump up to 60ft vertically straight up into the air.  You can additionally move 5ft horizontally afterwards.  Unless flying, you automatically land straight down from your position at the end of your turn or for 0 AP, this falling movement does not provoke attacks of opportunity and you don’t take fall damage from it. If you land inside an occupied square, you are shunted 5ft into an empty square (your original one if possible).
You cannot make any non-teleport movement actions while in the air unless you’re flying, but can still take other actions (such as attacking) while airborne.</v>
      </c>
      <c r="G572" s="263" t="str">
        <f>IFERROR(__xludf.DUMMYFUNCTION("""COMPUTED_VALUE"""),"")</f>
        <v/>
      </c>
      <c r="H572" s="267" t="str">
        <f>IFERROR(__xludf.DUMMYFUNCTION("""COMPUTED_VALUE"""),"0 AP, 1 MP")</f>
        <v>0 AP, 1 MP</v>
      </c>
      <c r="I572" s="263" t="str">
        <f>IFERROR(__xludf.DUMMYFUNCTION("""COMPUTED_VALUE"""),"0 AP")</f>
        <v>0 AP</v>
      </c>
      <c r="J572" s="263" t="str">
        <f>IFERROR(__xludf.DUMMYFUNCTION("""COMPUTED_VALUE"""),"1 MP")</f>
        <v>1 MP</v>
      </c>
      <c r="K572" s="263" t="str">
        <f>IFERROR(__xludf.DUMMYFUNCTION("""COMPUTED_VALUE"""),"")</f>
        <v/>
      </c>
      <c r="L572" s="263" t="str">
        <f>IFERROR(__xludf.DUMMYFUNCTION("""COMPUTED_VALUE"""),"")</f>
        <v/>
      </c>
      <c r="M572" s="263"/>
      <c r="N572" s="263"/>
      <c r="O572" s="263"/>
      <c r="P572" s="263"/>
      <c r="Q572" s="263"/>
      <c r="R572" s="263"/>
      <c r="S572" s="263"/>
      <c r="T572" s="263"/>
      <c r="U572" s="246"/>
      <c r="V572" s="246"/>
      <c r="W572" s="246"/>
      <c r="X572" s="246"/>
      <c r="Y572" s="246"/>
      <c r="Z572" s="246"/>
    </row>
    <row r="573">
      <c r="A573" s="263"/>
      <c r="B573" s="265" t="str">
        <f>IFERROR(__xludf.DUMMYFUNCTION("""COMPUTED_VALUE"""),"Power Rock Strike")</f>
        <v>Power Rock Strike</v>
      </c>
      <c r="C573" s="263"/>
      <c r="D573" s="264" t="str">
        <f>IFERROR(__xludf.DUMMYFUNCTION("""COMPUTED_VALUE"""),"")</f>
        <v/>
      </c>
      <c r="E573" s="264" t="str">
        <f>IFERROR(__xludf.DUMMYFUNCTION("""COMPUTED_VALUE"""),"")</f>
        <v/>
      </c>
      <c r="F573" s="266" t="str">
        <f>IFERROR(__xludf.DUMMYFUNCTION("""COMPUTED_VALUE"""),"Make a gathering check at only half of your gathering bonus (rounded down) add the rolled amount to both node and lucky points.")</f>
        <v>Make a gathering check at only half of your gathering bonus (rounded down) add the rolled amount to both node and lucky points.</v>
      </c>
      <c r="G573" s="263" t="str">
        <f>IFERROR(__xludf.DUMMYFUNCTION("""COMPUTED_VALUE"""),"Must in a gathering session.")</f>
        <v>Must in a gathering session.</v>
      </c>
      <c r="H573" s="265" t="str">
        <f>IFERROR(__xludf.DUMMYFUNCTION("""COMPUTED_VALUE"""),"1 Strike Dice")</f>
        <v>1 Strike Dice</v>
      </c>
      <c r="I573" s="264" t="str">
        <f>IFERROR(__xludf.DUMMYFUNCTION("""COMPUTED_VALUE"""),"")</f>
        <v/>
      </c>
      <c r="J573" s="263" t="str">
        <f>IFERROR(__xludf.DUMMYFUNCTION("""COMPUTED_VALUE"""),"")</f>
        <v/>
      </c>
      <c r="K573" s="263" t="str">
        <f>IFERROR(__xludf.DUMMYFUNCTION("""COMPUTED_VALUE"""),"")</f>
        <v/>
      </c>
      <c r="L573" s="263" t="str">
        <f>IFERROR(__xludf.DUMMYFUNCTION("""COMPUTED_VALUE"""),"")</f>
        <v/>
      </c>
      <c r="M573" s="263"/>
      <c r="N573" s="263"/>
      <c r="O573" s="263"/>
      <c r="P573" s="263"/>
      <c r="Q573" s="263"/>
      <c r="R573" s="263"/>
      <c r="S573" s="263"/>
      <c r="T573" s="263"/>
      <c r="U573" s="246"/>
      <c r="V573" s="246"/>
      <c r="W573" s="246"/>
      <c r="X573" s="246"/>
      <c r="Y573" s="246"/>
      <c r="Z573" s="246"/>
    </row>
    <row r="574">
      <c r="A574" s="263"/>
      <c r="B574" s="265" t="str">
        <f>IFERROR(__xludf.DUMMYFUNCTION("""COMPUTED_VALUE"""),"Power Strike")</f>
        <v>Power Strike</v>
      </c>
      <c r="C574" s="263"/>
      <c r="D574" s="264" t="str">
        <f>IFERROR(__xludf.DUMMYFUNCTION("""COMPUTED_VALUE"""),"Crushing")</f>
        <v>Crushing</v>
      </c>
      <c r="E574" s="264" t="str">
        <f>IFERROR(__xludf.DUMMYFUNCTION("""COMPUTED_VALUE"""),"Melee Weapon Range")</f>
        <v>Melee Weapon Range</v>
      </c>
      <c r="F574" s="266" t="str">
        <f>IFERROR(__xludf.DUMMYFUNCTION("""COMPUTED_VALUE"""),"You make a Light (1 AP), Heavy (2 AP) or Precise (2 AP) attack against the enemy.")</f>
        <v>You make a Light (1 AP), Heavy (2 AP) or Precise (2 AP) attack against the enemy.</v>
      </c>
      <c r="G574" s="264" t="str">
        <f>IFERROR(__xludf.DUMMYFUNCTION("""COMPUTED_VALUE"""),"")</f>
        <v/>
      </c>
      <c r="H574" s="265" t="str">
        <f>IFERROR(__xludf.DUMMYFUNCTION("""COMPUTED_VALUE"""),"1 AP")</f>
        <v>1 AP</v>
      </c>
      <c r="I574" s="264" t="str">
        <f>IFERROR(__xludf.DUMMYFUNCTION("""COMPUTED_VALUE"""),"1 AP")</f>
        <v>1 AP</v>
      </c>
      <c r="J574" s="263" t="str">
        <f>IFERROR(__xludf.DUMMYFUNCTION("""COMPUTED_VALUE"""),"")</f>
        <v/>
      </c>
      <c r="K574" s="263" t="str">
        <f>IFERROR(__xludf.DUMMYFUNCTION("""COMPUTED_VALUE"""),"")</f>
        <v/>
      </c>
      <c r="L574" s="263" t="str">
        <f>IFERROR(__xludf.DUMMYFUNCTION("""COMPUTED_VALUE"""),"")</f>
        <v/>
      </c>
      <c r="M574" s="263"/>
      <c r="N574" s="263"/>
      <c r="O574" s="263"/>
      <c r="P574" s="263"/>
      <c r="Q574" s="263"/>
      <c r="R574" s="263"/>
      <c r="S574" s="263"/>
      <c r="T574" s="263"/>
      <c r="U574" s="246"/>
      <c r="V574" s="246"/>
      <c r="W574" s="246"/>
      <c r="X574" s="246"/>
      <c r="Y574" s="246"/>
      <c r="Z574" s="246"/>
    </row>
    <row r="575">
      <c r="A575" s="263"/>
      <c r="B575" s="265" t="str">
        <f>IFERROR(__xludf.DUMMYFUNCTION("""COMPUTED_VALUE"""),"Power Word: Barrier")</f>
        <v>Power Word: Barrier</v>
      </c>
      <c r="C575" s="263"/>
      <c r="D575" s="264" t="str">
        <f>IFERROR(__xludf.DUMMYFUNCTION("""COMPUTED_VALUE"""),"Shield, Spell")</f>
        <v>Shield, Spell</v>
      </c>
      <c r="E575" s="264" t="str">
        <f>IFERROR(__xludf.DUMMYFUNCTION("""COMPUTED_VALUE"""),"40ft")</f>
        <v>40ft</v>
      </c>
      <c r="F575" s="266" t="str">
        <f>IFERROR(__xludf.DUMMYFUNCTION("""COMPUTED_VALUE"""),"Up to 5 target allies within range (including yourself) gain temporary HP until the end of the encounter equal to 10 + Power.
You may pay either the AP or RP cost for this ability, you don't need to pay both.")</f>
        <v>Up to 5 target allies within range (including yourself) gain temporary HP until the end of the encounter equal to 10 + Power.
You may pay either the AP or RP cost for this ability, you don't need to pay both.</v>
      </c>
      <c r="G575" s="264" t="str">
        <f>IFERROR(__xludf.DUMMYFUNCTION("""COMPUTED_VALUE"""),"")</f>
        <v/>
      </c>
      <c r="H575" s="265" t="str">
        <f>IFERROR(__xludf.DUMMYFUNCTION("""COMPUTED_VALUE"""),"2 AP, 4 MP, 1 RP")</f>
        <v>2 AP, 4 MP, 1 RP</v>
      </c>
      <c r="I575" s="263" t="str">
        <f>IFERROR(__xludf.DUMMYFUNCTION("""COMPUTED_VALUE"""),"2 AP")</f>
        <v>2 AP</v>
      </c>
      <c r="J575" s="263" t="str">
        <f>IFERROR(__xludf.DUMMYFUNCTION("""COMPUTED_VALUE"""),"4 MP")</f>
        <v>4 MP</v>
      </c>
      <c r="K575" s="264" t="str">
        <f>IFERROR(__xludf.DUMMYFUNCTION("""COMPUTED_VALUE"""),"1 RP")</f>
        <v>1 RP</v>
      </c>
      <c r="L575" s="263" t="str">
        <f>IFERROR(__xludf.DUMMYFUNCTION("""COMPUTED_VALUE"""),"")</f>
        <v/>
      </c>
      <c r="M575" s="263"/>
      <c r="N575" s="263"/>
      <c r="O575" s="263"/>
      <c r="P575" s="263"/>
      <c r="Q575" s="263"/>
      <c r="R575" s="263"/>
      <c r="S575" s="263"/>
      <c r="T575" s="263"/>
      <c r="U575" s="246"/>
      <c r="V575" s="246"/>
      <c r="W575" s="246"/>
      <c r="X575" s="246"/>
      <c r="Y575" s="246"/>
      <c r="Z575" s="246"/>
    </row>
    <row r="576">
      <c r="A576" s="263"/>
      <c r="B576" s="265" t="str">
        <f>IFERROR(__xludf.DUMMYFUNCTION("""COMPUTED_VALUE"""),"Power Word: Guardian Shield")</f>
        <v>Power Word: Guardian Shield</v>
      </c>
      <c r="C576" s="263"/>
      <c r="D576" s="264" t="str">
        <f>IFERROR(__xludf.DUMMYFUNCTION("""COMPUTED_VALUE"""),"Spell, Shield")</f>
        <v>Spell, Shield</v>
      </c>
      <c r="E576" s="264" t="str">
        <f>IFERROR(__xludf.DUMMYFUNCTION("""COMPUTED_VALUE"""),"40ft")</f>
        <v>40ft</v>
      </c>
      <c r="F576" s="266" t="str">
        <f>IFERROR(__xludf.DUMMYFUNCTION("""COMPUTED_VALUE"""),"The target gains temporary HP until the end of the encounter equal to 11 + 2 x Power. While this temporary HP lasts, on damage effects do not trigger on them unless the damage dealt does damage to their actual HP.
If this source of temporary HP is overwri"&amp;"tten by a stronger source, this effect is lost.")</f>
        <v>The target gains temporary HP until the end of the encounter equal to 11 + 2 x Power. While this temporary HP lasts, on damage effects do not trigger on them unless the damage dealt does damage to their actual HP.
If this source of temporary HP is overwritten by a stronger source, this effect is lost.</v>
      </c>
      <c r="G576" s="264" t="str">
        <f>IFERROR(__xludf.DUMMYFUNCTION("""COMPUTED_VALUE"""),"")</f>
        <v/>
      </c>
      <c r="H576" s="265" t="str">
        <f>IFERROR(__xludf.DUMMYFUNCTION("""COMPUTED_VALUE"""),"2 AP, 4 MP")</f>
        <v>2 AP, 4 MP</v>
      </c>
      <c r="I576" s="264" t="str">
        <f>IFERROR(__xludf.DUMMYFUNCTION("""COMPUTED_VALUE"""),"2 AP")</f>
        <v>2 AP</v>
      </c>
      <c r="J576" s="264" t="str">
        <f>IFERROR(__xludf.DUMMYFUNCTION("""COMPUTED_VALUE"""),"4 MP")</f>
        <v>4 MP</v>
      </c>
      <c r="K576" s="263" t="str">
        <f>IFERROR(__xludf.DUMMYFUNCTION("""COMPUTED_VALUE"""),"")</f>
        <v/>
      </c>
      <c r="L576" s="263" t="str">
        <f>IFERROR(__xludf.DUMMYFUNCTION("""COMPUTED_VALUE"""),"")</f>
        <v/>
      </c>
      <c r="M576" s="263"/>
      <c r="N576" s="263"/>
      <c r="O576" s="263"/>
      <c r="P576" s="263"/>
      <c r="Q576" s="263"/>
      <c r="R576" s="263"/>
      <c r="S576" s="263"/>
      <c r="T576" s="263"/>
      <c r="U576" s="246"/>
      <c r="V576" s="246"/>
      <c r="W576" s="246"/>
      <c r="X576" s="246"/>
      <c r="Y576" s="246"/>
      <c r="Z576" s="246"/>
    </row>
    <row r="577">
      <c r="A577" s="263"/>
      <c r="B577" s="265" t="str">
        <f>IFERROR(__xludf.DUMMYFUNCTION("""COMPUTED_VALUE"""),"Power Word: Reinforce")</f>
        <v>Power Word: Reinforce</v>
      </c>
      <c r="C577" s="263"/>
      <c r="D577" s="264" t="str">
        <f>IFERROR(__xludf.DUMMYFUNCTION("""COMPUTED_VALUE"""),"Aid")</f>
        <v>Aid</v>
      </c>
      <c r="E577" s="264" t="str">
        <f>IFERROR(__xludf.DUMMYFUNCTION("""COMPUTED_VALUE"""),"40ft")</f>
        <v>40ft</v>
      </c>
      <c r="F577" s="266" t="str">
        <f>IFERROR(__xludf.DUMMYFUNCTION("""COMPUTED_VALUE"""),"The target gains temporary HP equal to 2 x their current temporary HP.
After the attack is done resolving, the target's temporary HP is set to the value it was before this ability was used unless the target's current temporary HP is lower than that.")</f>
        <v>The target gains temporary HP equal to 2 x their current temporary HP.
After the attack is done resolving, the target's temporary HP is set to the value it was before this ability was used unless the target's current temporary HP is lower than that.</v>
      </c>
      <c r="G577" s="264" t="str">
        <f>IFERROR(__xludf.DUMMYFUNCTION("""COMPUTED_VALUE"""),"An ally is the target of an attack.")</f>
        <v>An ally is the target of an attack.</v>
      </c>
      <c r="H577" s="265" t="str">
        <f>IFERROR(__xludf.DUMMYFUNCTION("""COMPUTED_VALUE"""),"1 RP")</f>
        <v>1 RP</v>
      </c>
      <c r="I577" s="264" t="str">
        <f>IFERROR(__xludf.DUMMYFUNCTION("""COMPUTED_VALUE"""),"")</f>
        <v/>
      </c>
      <c r="J577" s="264" t="str">
        <f>IFERROR(__xludf.DUMMYFUNCTION("""COMPUTED_VALUE"""),"")</f>
        <v/>
      </c>
      <c r="K577" s="263" t="str">
        <f>IFERROR(__xludf.DUMMYFUNCTION("""COMPUTED_VALUE"""),"1 RP")</f>
        <v>1 RP</v>
      </c>
      <c r="L577" s="263" t="str">
        <f>IFERROR(__xludf.DUMMYFUNCTION("""COMPUTED_VALUE"""),"")</f>
        <v/>
      </c>
      <c r="M577" s="263"/>
      <c r="N577" s="263"/>
      <c r="O577" s="263"/>
      <c r="P577" s="263"/>
      <c r="Q577" s="263"/>
      <c r="R577" s="263"/>
      <c r="S577" s="263"/>
      <c r="T577" s="263"/>
      <c r="U577" s="246"/>
      <c r="V577" s="246"/>
      <c r="W577" s="246"/>
      <c r="X577" s="246"/>
      <c r="Y577" s="246"/>
      <c r="Z577" s="246"/>
    </row>
    <row r="578">
      <c r="A578" s="263"/>
      <c r="B578" s="265" t="str">
        <f>IFERROR(__xludf.DUMMYFUNCTION("""COMPUTED_VALUE"""),"Power Word: Shield")</f>
        <v>Power Word: Shield</v>
      </c>
      <c r="C578" s="263"/>
      <c r="D578" s="264" t="str">
        <f>IFERROR(__xludf.DUMMYFUNCTION("""COMPUTED_VALUE"""),"Shield, Spell")</f>
        <v>Shield, Spell</v>
      </c>
      <c r="E578" s="264" t="str">
        <f>IFERROR(__xludf.DUMMYFUNCTION("""COMPUTED_VALUE"""),"40ft")</f>
        <v>40ft</v>
      </c>
      <c r="F578" s="266" t="str">
        <f>IFERROR(__xludf.DUMMYFUNCTION("""COMPUTED_VALUE"""),"The target gains temporary HP until the end of the encounter equal to 11 + (2 x Power).")</f>
        <v>The target gains temporary HP until the end of the encounter equal to 11 + (2 x Power).</v>
      </c>
      <c r="G578" s="263" t="str">
        <f>IFERROR(__xludf.DUMMYFUNCTION("""COMPUTED_VALUE"""),"")</f>
        <v/>
      </c>
      <c r="H578" s="265" t="str">
        <f>IFERROR(__xludf.DUMMYFUNCTION("""COMPUTED_VALUE"""),"2 AP, 3 MP")</f>
        <v>2 AP, 3 MP</v>
      </c>
      <c r="I578" s="264" t="str">
        <f>IFERROR(__xludf.DUMMYFUNCTION("""COMPUTED_VALUE"""),"2 AP")</f>
        <v>2 AP</v>
      </c>
      <c r="J578" s="264" t="str">
        <f>IFERROR(__xludf.DUMMYFUNCTION("""COMPUTED_VALUE"""),"3 MP")</f>
        <v>3 MP</v>
      </c>
      <c r="K578" s="263" t="str">
        <f>IFERROR(__xludf.DUMMYFUNCTION("""COMPUTED_VALUE"""),"")</f>
        <v/>
      </c>
      <c r="L578" s="263" t="str">
        <f>IFERROR(__xludf.DUMMYFUNCTION("""COMPUTED_VALUE"""),"")</f>
        <v/>
      </c>
      <c r="M578" s="263"/>
      <c r="N578" s="263"/>
      <c r="O578" s="263"/>
      <c r="P578" s="263"/>
      <c r="Q578" s="263"/>
      <c r="R578" s="263"/>
      <c r="S578" s="263"/>
      <c r="T578" s="263"/>
      <c r="U578" s="246"/>
      <c r="V578" s="246"/>
      <c r="W578" s="246"/>
      <c r="X578" s="246"/>
      <c r="Y578" s="246"/>
      <c r="Z578" s="246"/>
    </row>
    <row r="579">
      <c r="A579" s="263"/>
      <c r="B579" s="265" t="str">
        <f>IFERROR(__xludf.DUMMYFUNCTION("""COMPUTED_VALUE"""),"Precise Thrust")</f>
        <v>Precise Thrust</v>
      </c>
      <c r="C579" s="263"/>
      <c r="D579" s="264" t="str">
        <f>IFERROR(__xludf.DUMMYFUNCTION("""COMPUTED_VALUE"""),"Full Pierce")</f>
        <v>Full Pierce</v>
      </c>
      <c r="E579" s="263" t="str">
        <f>IFERROR(__xludf.DUMMYFUNCTION("""COMPUTED_VALUE"""),"Melee Weapon Range")</f>
        <v>Melee Weapon Range</v>
      </c>
      <c r="F579" s="266" t="str">
        <f>IFERROR(__xludf.DUMMYFUNCTION("""COMPUTED_VALUE"""),"You may make a Heavy Attack against the target.
This attack does not disable the dueling weapon ability.")</f>
        <v>You may make a Heavy Attack against the target.
This attack does not disable the dueling weapon ability.</v>
      </c>
      <c r="G579" s="263" t="str">
        <f>IFERROR(__xludf.DUMMYFUNCTION("""COMPUTED_VALUE"""),"")</f>
        <v/>
      </c>
      <c r="H579" s="265" t="str">
        <f>IFERROR(__xludf.DUMMYFUNCTION("""COMPUTED_VALUE"""),"2 AP, 2 MP")</f>
        <v>2 AP, 2 MP</v>
      </c>
      <c r="I579" s="263" t="str">
        <f>IFERROR(__xludf.DUMMYFUNCTION("""COMPUTED_VALUE"""),"2 AP")</f>
        <v>2 AP</v>
      </c>
      <c r="J579" s="263" t="str">
        <f>IFERROR(__xludf.DUMMYFUNCTION("""COMPUTED_VALUE"""),"2 MP")</f>
        <v>2 MP</v>
      </c>
      <c r="K579" s="264" t="str">
        <f>IFERROR(__xludf.DUMMYFUNCTION("""COMPUTED_VALUE"""),"")</f>
        <v/>
      </c>
      <c r="L579" s="263" t="str">
        <f>IFERROR(__xludf.DUMMYFUNCTION("""COMPUTED_VALUE"""),"")</f>
        <v/>
      </c>
      <c r="M579" s="263"/>
      <c r="N579" s="263"/>
      <c r="O579" s="263"/>
      <c r="P579" s="263"/>
      <c r="Q579" s="263"/>
      <c r="R579" s="263"/>
      <c r="S579" s="263"/>
      <c r="T579" s="263"/>
      <c r="U579" s="246"/>
      <c r="V579" s="246"/>
      <c r="W579" s="246"/>
      <c r="X579" s="246"/>
      <c r="Y579" s="246"/>
      <c r="Z579" s="246"/>
    </row>
    <row r="580">
      <c r="A580" s="263"/>
      <c r="B580" s="265" t="str">
        <f>IFERROR(__xludf.DUMMYFUNCTION("""COMPUTED_VALUE"""),"Predict")</f>
        <v>Predict</v>
      </c>
      <c r="C580" s="263"/>
      <c r="D580" s="264" t="str">
        <f>IFERROR(__xludf.DUMMYFUNCTION("""COMPUTED_VALUE"""),"")</f>
        <v/>
      </c>
      <c r="E580" s="264" t="str">
        <f>IFERROR(__xludf.DUMMYFUNCTION("""COMPUTED_VALUE"""),"Self")</f>
        <v>Self</v>
      </c>
      <c r="F580" s="266" t="str">
        <f>IFERROR(__xludf.DUMMYFUNCTION("""COMPUTED_VALUE"""),"You may take the Dodge action and remove the Lock On effect from the triggering attack.")</f>
        <v>You may take the Dodge action and remove the Lock On effect from the triggering attack.</v>
      </c>
      <c r="G580" s="264" t="str">
        <f>IFERROR(__xludf.DUMMYFUNCTION("""COMPUTED_VALUE"""),"You are the target of an attack.")</f>
        <v>You are the target of an attack.</v>
      </c>
      <c r="H580" s="265" t="str">
        <f>IFERROR(__xludf.DUMMYFUNCTION("""COMPUTED_VALUE"""),"1 MP, 1 RP")</f>
        <v>1 MP, 1 RP</v>
      </c>
      <c r="I580" s="264" t="str">
        <f>IFERROR(__xludf.DUMMYFUNCTION("""COMPUTED_VALUE"""),"")</f>
        <v/>
      </c>
      <c r="J580" s="263" t="str">
        <f>IFERROR(__xludf.DUMMYFUNCTION("""COMPUTED_VALUE"""),"1 MP")</f>
        <v>1 MP</v>
      </c>
      <c r="K580" s="263" t="str">
        <f>IFERROR(__xludf.DUMMYFUNCTION("""COMPUTED_VALUE"""),"1 RP")</f>
        <v>1 RP</v>
      </c>
      <c r="L580" s="263" t="str">
        <f>IFERROR(__xludf.DUMMYFUNCTION("""COMPUTED_VALUE"""),"")</f>
        <v/>
      </c>
      <c r="M580" s="263"/>
      <c r="N580" s="263"/>
      <c r="O580" s="263"/>
      <c r="P580" s="263"/>
      <c r="Q580" s="263"/>
      <c r="R580" s="263"/>
      <c r="S580" s="263"/>
      <c r="T580" s="263"/>
      <c r="U580" s="246"/>
      <c r="V580" s="246"/>
      <c r="W580" s="246"/>
      <c r="X580" s="246"/>
      <c r="Y580" s="246"/>
      <c r="Z580" s="246"/>
    </row>
    <row r="581">
      <c r="A581" s="263"/>
      <c r="B581" s="265" t="str">
        <f>IFERROR(__xludf.DUMMYFUNCTION("""COMPUTED_VALUE"""),"Prediction")</f>
        <v>Prediction</v>
      </c>
      <c r="C581" s="263"/>
      <c r="D581" s="264" t="str">
        <f>IFERROR(__xludf.DUMMYFUNCTION("""COMPUTED_VALUE"""),"Aid, Divination")</f>
        <v>Aid, Divination</v>
      </c>
      <c r="E581" s="264" t="str">
        <f>IFERROR(__xludf.DUMMYFUNCTION("""COMPUTED_VALUE"""),"60ft")</f>
        <v>60ft</v>
      </c>
      <c r="F581" s="266" t="str">
        <f>IFERROR(__xludf.DUMMYFUNCTION("""COMPUTED_VALUE"""),"You remove the keyword Sure Hit and Lock On from the triggering attack and the target gains a +2 Dodge Bonus for their next Dodge action.")</f>
        <v>You remove the keyword Sure Hit and Lock On from the triggering attack and the target gains a +2 Dodge Bonus for their next Dodge action.</v>
      </c>
      <c r="G581" s="264" t="str">
        <f>IFERROR(__xludf.DUMMYFUNCTION("""COMPUTED_VALUE"""),"An ally is the target of an attack.")</f>
        <v>An ally is the target of an attack.</v>
      </c>
      <c r="H581" s="265" t="str">
        <f>IFERROR(__xludf.DUMMYFUNCTION("""COMPUTED_VALUE"""),"1 RP")</f>
        <v>1 RP</v>
      </c>
      <c r="I581" s="264" t="str">
        <f>IFERROR(__xludf.DUMMYFUNCTION("""COMPUTED_VALUE"""),"")</f>
        <v/>
      </c>
      <c r="J581" s="264" t="str">
        <f>IFERROR(__xludf.DUMMYFUNCTION("""COMPUTED_VALUE"""),"")</f>
        <v/>
      </c>
      <c r="K581" s="263" t="str">
        <f>IFERROR(__xludf.DUMMYFUNCTION("""COMPUTED_VALUE"""),"1 RP")</f>
        <v>1 RP</v>
      </c>
      <c r="L581" s="263" t="str">
        <f>IFERROR(__xludf.DUMMYFUNCTION("""COMPUTED_VALUE"""),"")</f>
        <v/>
      </c>
      <c r="M581" s="263"/>
      <c r="N581" s="263"/>
      <c r="O581" s="263"/>
      <c r="P581" s="263"/>
      <c r="Q581" s="263"/>
      <c r="R581" s="263"/>
      <c r="S581" s="263"/>
      <c r="T581" s="263"/>
      <c r="U581" s="246"/>
      <c r="V581" s="246"/>
      <c r="W581" s="246"/>
      <c r="X581" s="246"/>
      <c r="Y581" s="246"/>
      <c r="Z581" s="246"/>
    </row>
    <row r="582">
      <c r="A582" s="263"/>
      <c r="B582" s="265" t="str">
        <f>IFERROR(__xludf.DUMMYFUNCTION("""COMPUTED_VALUE"""),"Prehensile Tail")</f>
        <v>Prehensile Tail</v>
      </c>
      <c r="C582" s="263"/>
      <c r="D582" s="264" t="str">
        <f>IFERROR(__xludf.DUMMYFUNCTION("""COMPUTED_VALUE"""),"")</f>
        <v/>
      </c>
      <c r="E582" s="264" t="str">
        <f>IFERROR(__xludf.DUMMYFUNCTION("""COMPUTED_VALUE"""),"")</f>
        <v/>
      </c>
      <c r="F582" s="266" t="str">
        <f>IFERROR(__xludf.DUMMYFUNCTION("""COMPUTED_VALUE"""),"You may carry objects with your tail, allowing you to interact with objects as normal even when you have both hands full. The action you are performing must not require physical strength and you cannot wield weapons with your tail.")</f>
        <v>You may carry objects with your tail, allowing you to interact with objects as normal even when you have both hands full. The action you are performing must not require physical strength and you cannot wield weapons with your tail.</v>
      </c>
      <c r="G582" s="263" t="str">
        <f>IFERROR(__xludf.DUMMYFUNCTION("""COMPUTED_VALUE"""),"")</f>
        <v/>
      </c>
      <c r="H582" s="265" t="str">
        <f>IFERROR(__xludf.DUMMYFUNCTION("""COMPUTED_VALUE"""),"")</f>
        <v/>
      </c>
      <c r="I582" s="264" t="str">
        <f>IFERROR(__xludf.DUMMYFUNCTION("""COMPUTED_VALUE"""),"")</f>
        <v/>
      </c>
      <c r="J582" s="264" t="str">
        <f>IFERROR(__xludf.DUMMYFUNCTION("""COMPUTED_VALUE"""),"")</f>
        <v/>
      </c>
      <c r="K582" s="263" t="str">
        <f>IFERROR(__xludf.DUMMYFUNCTION("""COMPUTED_VALUE"""),"")</f>
        <v/>
      </c>
      <c r="L582" s="263" t="str">
        <f>IFERROR(__xludf.DUMMYFUNCTION("""COMPUTED_VALUE"""),"")</f>
        <v/>
      </c>
      <c r="M582" s="263"/>
      <c r="N582" s="263"/>
      <c r="O582" s="263"/>
      <c r="P582" s="263"/>
      <c r="Q582" s="263"/>
      <c r="R582" s="263"/>
      <c r="S582" s="263"/>
      <c r="T582" s="263"/>
      <c r="U582" s="246"/>
      <c r="V582" s="246"/>
      <c r="W582" s="246"/>
      <c r="X582" s="246"/>
      <c r="Y582" s="246"/>
      <c r="Z582" s="246"/>
    </row>
    <row r="583">
      <c r="A583" s="263"/>
      <c r="B583" s="265" t="str">
        <f>IFERROR(__xludf.DUMMYFUNCTION("""COMPUTED_VALUE"""),"Prepared Talisman")</f>
        <v>Prepared Talisman</v>
      </c>
      <c r="C583" s="263"/>
      <c r="D583" s="264" t="str">
        <f>IFERROR(__xludf.DUMMYFUNCTION("""COMPUTED_VALUE"""),"")</f>
        <v/>
      </c>
      <c r="E583" s="264" t="str">
        <f>IFERROR(__xludf.DUMMYFUNCTION("""COMPUTED_VALUE"""),"5ft")</f>
        <v>5ft</v>
      </c>
      <c r="F583" s="266" t="str">
        <f>IFERROR(__xludf.DUMMYFUNCTION("""COMPUTED_VALUE"""),"You may place a Talisman on a surface or on a target within range. This costs the same amount of AP and Mana as it would normally cost and placing it on an unwilling target requires an accuracy roll that the target may dodge as normal. A target may spend "&amp;"AP equal to the AP cost of the talisman (before reductions) to remove the talisman from themselves.
After placing it, until the end of the encounter or for the next 5 minutes, you may spend 0 RP to instantly trigger the effect of the talisman. You cannot "&amp;"trigger it anymore once a talisman has been removed or is in the process of being removed and a removed talisman loses its power entirely. A talisman placed on a creature gains Sure Hit against the creature it's on when triggered.
You can only have 1 tali"&amp;"sman prepared in this way at the same time and Sealing Talisman cannot be prepared like this. A placed talisman cannot have an AP cost of greater than 4 (or 10 seconds for casting times).")</f>
        <v>You may place a Talisman on a surface or on a target within range. This costs the same amount of AP and Mana as it would normally cost and placing it on an unwilling target requires an accuracy roll that the target may dodge as normal. A target may spend AP equal to the AP cost of the talisman (before reductions) to remove the talisman from themselves.
After placing it, until the end of the encounter or for the next 5 minutes, you may spend 0 RP to instantly trigger the effect of the talisman. You cannot trigger it anymore once a talisman has been removed or is in the process of being removed and a removed talisman loses its power entirely. A talisman placed on a creature gains Sure Hit against the creature it's on when triggered.
You can only have 1 talisman prepared in this way at the same time and Sealing Talisman cannot be prepared like this. A placed talisman cannot have an AP cost of greater than 4 (or 10 seconds for casting times).</v>
      </c>
      <c r="G583" s="264" t="str">
        <f>IFERROR(__xludf.DUMMYFUNCTION("""COMPUTED_VALUE"""),"Special")</f>
        <v>Special</v>
      </c>
      <c r="H583" s="265" t="str">
        <f>IFERROR(__xludf.DUMMYFUNCTION("""COMPUTED_VALUE"""),"")</f>
        <v/>
      </c>
      <c r="I583" s="264" t="str">
        <f>IFERROR(__xludf.DUMMYFUNCTION("""COMPUTED_VALUE"""),"")</f>
        <v/>
      </c>
      <c r="J583" s="264" t="str">
        <f>IFERROR(__xludf.DUMMYFUNCTION("""COMPUTED_VALUE"""),"")</f>
        <v/>
      </c>
      <c r="K583" s="263" t="str">
        <f>IFERROR(__xludf.DUMMYFUNCTION("""COMPUTED_VALUE"""),"")</f>
        <v/>
      </c>
      <c r="L583" s="263" t="str">
        <f>IFERROR(__xludf.DUMMYFUNCTION("""COMPUTED_VALUE"""),"")</f>
        <v/>
      </c>
      <c r="M583" s="263"/>
      <c r="N583" s="263"/>
      <c r="O583" s="263"/>
      <c r="P583" s="263"/>
      <c r="Q583" s="263"/>
      <c r="R583" s="263"/>
      <c r="S583" s="263"/>
      <c r="T583" s="263"/>
      <c r="U583" s="246"/>
      <c r="V583" s="246"/>
      <c r="W583" s="246"/>
      <c r="X583" s="246"/>
      <c r="Y583" s="246"/>
      <c r="Z583" s="246"/>
    </row>
    <row r="584">
      <c r="A584" s="263"/>
      <c r="B584" s="265" t="str">
        <f>IFERROR(__xludf.DUMMYFUNCTION("""COMPUTED_VALUE"""),"Preparedness")</f>
        <v>Preparedness</v>
      </c>
      <c r="C584" s="263"/>
      <c r="D584" s="264" t="str">
        <f>IFERROR(__xludf.DUMMYFUNCTION("""COMPUTED_VALUE"""),"")</f>
        <v/>
      </c>
      <c r="E584" s="264" t="str">
        <f>IFERROR(__xludf.DUMMYFUNCTION("""COMPUTED_VALUE"""),"'-")</f>
        <v>'-</v>
      </c>
      <c r="F584" s="266" t="str">
        <f>IFERROR(__xludf.DUMMYFUNCTION("""COMPUTED_VALUE"""),"Up to 3 talismans, scrolls or similar objects you carry do not count towards your burden.")</f>
        <v>Up to 3 talismans, scrolls or similar objects you carry do not count towards your burden.</v>
      </c>
      <c r="G584" s="263" t="str">
        <f>IFERROR(__xludf.DUMMYFUNCTION("""COMPUTED_VALUE"""),"")</f>
        <v/>
      </c>
      <c r="H584" s="265" t="str">
        <f>IFERROR(__xludf.DUMMYFUNCTION("""COMPUTED_VALUE"""),"")</f>
        <v/>
      </c>
      <c r="I584" s="264" t="str">
        <f>IFERROR(__xludf.DUMMYFUNCTION("""COMPUTED_VALUE"""),"")</f>
        <v/>
      </c>
      <c r="J584" s="264" t="str">
        <f>IFERROR(__xludf.DUMMYFUNCTION("""COMPUTED_VALUE"""),"")</f>
        <v/>
      </c>
      <c r="K584" s="263" t="str">
        <f>IFERROR(__xludf.DUMMYFUNCTION("""COMPUTED_VALUE"""),"")</f>
        <v/>
      </c>
      <c r="L584" s="263" t="str">
        <f>IFERROR(__xludf.DUMMYFUNCTION("""COMPUTED_VALUE"""),"")</f>
        <v/>
      </c>
      <c r="M584" s="263"/>
      <c r="N584" s="263"/>
      <c r="O584" s="263"/>
      <c r="P584" s="263"/>
      <c r="Q584" s="263"/>
      <c r="R584" s="263"/>
      <c r="S584" s="263"/>
      <c r="T584" s="263"/>
      <c r="U584" s="246"/>
      <c r="V584" s="246"/>
      <c r="W584" s="246"/>
      <c r="X584" s="246"/>
      <c r="Y584" s="246"/>
      <c r="Z584" s="246"/>
    </row>
    <row r="585">
      <c r="A585" s="263"/>
      <c r="B585" s="265" t="str">
        <f>IFERROR(__xludf.DUMMYFUNCTION("""COMPUTED_VALUE"""),"Presence Concealment")</f>
        <v>Presence Concealment</v>
      </c>
      <c r="C585" s="263"/>
      <c r="D585" s="264" t="str">
        <f>IFERROR(__xludf.DUMMYFUNCTION("""COMPUTED_VALUE"""),"Presence Concealment, Stealth")</f>
        <v>Presence Concealment, Stealth</v>
      </c>
      <c r="E585" s="264" t="str">
        <f>IFERROR(__xludf.DUMMYFUNCTION("""COMPUTED_VALUE"""),"Self")</f>
        <v>Self</v>
      </c>
      <c r="F585" s="266" t="str">
        <f>IFERROR(__xludf.DUMMYFUNCTION("""COMPUTED_VALUE"""),"By suppressing your mana output you conceal your presence, gaining Presence Concealment.  You cannot use any abilites that cost mana or any abilities with the aura keyword while in Presence Concealment.  You can end this effect for 0 RP but the inability "&amp;"to use abilities that cost mana or abilities with the aura keyword persists until the end of your next turn.")</f>
        <v>By suppressing your mana output you conceal your presence, gaining Presence Concealment.  You cannot use any abilites that cost mana or any abilities with the aura keyword while in Presence Concealment.  You can end this effect for 0 RP but the inability to use abilities that cost mana or abilities with the aura keyword persists until the end of your next turn.</v>
      </c>
      <c r="G585" s="264" t="str">
        <f>IFERROR(__xludf.DUMMYFUNCTION("""COMPUTED_VALUE"""),"")</f>
        <v/>
      </c>
      <c r="H585" s="265" t="str">
        <f>IFERROR(__xludf.DUMMYFUNCTION("""COMPUTED_VALUE"""),"4 AP")</f>
        <v>4 AP</v>
      </c>
      <c r="I585" s="264" t="str">
        <f>IFERROR(__xludf.DUMMYFUNCTION("""COMPUTED_VALUE"""),"4 AP")</f>
        <v>4 AP</v>
      </c>
      <c r="J585" s="264" t="str">
        <f>IFERROR(__xludf.DUMMYFUNCTION("""COMPUTED_VALUE"""),"")</f>
        <v/>
      </c>
      <c r="K585" s="263" t="str">
        <f>IFERROR(__xludf.DUMMYFUNCTION("""COMPUTED_VALUE"""),"")</f>
        <v/>
      </c>
      <c r="L585" s="263" t="str">
        <f>IFERROR(__xludf.DUMMYFUNCTION("""COMPUTED_VALUE"""),"")</f>
        <v/>
      </c>
      <c r="M585" s="263"/>
      <c r="N585" s="263"/>
      <c r="O585" s="263"/>
      <c r="P585" s="263"/>
      <c r="Q585" s="263"/>
      <c r="R585" s="263"/>
      <c r="S585" s="263"/>
      <c r="T585" s="263"/>
      <c r="U585" s="246"/>
      <c r="V585" s="246"/>
      <c r="W585" s="246"/>
      <c r="X585" s="246"/>
      <c r="Y585" s="246"/>
      <c r="Z585" s="246"/>
    </row>
    <row r="586">
      <c r="A586" s="263"/>
      <c r="B586" s="265" t="str">
        <f>IFERROR(__xludf.DUMMYFUNCTION("""COMPUTED_VALUE"""),"Presence of Mind")</f>
        <v>Presence of Mind</v>
      </c>
      <c r="C586" s="263"/>
      <c r="D586" s="264" t="str">
        <f>IFERROR(__xludf.DUMMYFUNCTION("""COMPUTED_VALUE"""),"")</f>
        <v/>
      </c>
      <c r="E586" s="264" t="str">
        <f>IFERROR(__xludf.DUMMYFUNCTION("""COMPUTED_VALUE"""),"Self")</f>
        <v>Self</v>
      </c>
      <c r="F586" s="266" t="str">
        <f>IFERROR(__xludf.DUMMYFUNCTION("""COMPUTED_VALUE"""),"You reduce the AP cost of your next Spell this turn by 2 AP.")</f>
        <v>You reduce the AP cost of your next Spell this turn by 2 AP.</v>
      </c>
      <c r="G586" s="263" t="str">
        <f>IFERROR(__xludf.DUMMYFUNCTION("""COMPUTED_VALUE"""),"")</f>
        <v/>
      </c>
      <c r="H586" s="265" t="str">
        <f>IFERROR(__xludf.DUMMYFUNCTION("""COMPUTED_VALUE"""),"0 AP, 3 MP")</f>
        <v>0 AP, 3 MP</v>
      </c>
      <c r="I586" s="264" t="str">
        <f>IFERROR(__xludf.DUMMYFUNCTION("""COMPUTED_VALUE"""),"0 AP")</f>
        <v>0 AP</v>
      </c>
      <c r="J586" s="264" t="str">
        <f>IFERROR(__xludf.DUMMYFUNCTION("""COMPUTED_VALUE"""),"3 MP")</f>
        <v>3 MP</v>
      </c>
      <c r="K586" s="263" t="str">
        <f>IFERROR(__xludf.DUMMYFUNCTION("""COMPUTED_VALUE"""),"")</f>
        <v/>
      </c>
      <c r="L586" s="263" t="str">
        <f>IFERROR(__xludf.DUMMYFUNCTION("""COMPUTED_VALUE"""),"")</f>
        <v/>
      </c>
      <c r="M586" s="263"/>
      <c r="N586" s="263"/>
      <c r="O586" s="263"/>
      <c r="P586" s="263"/>
      <c r="Q586" s="263"/>
      <c r="R586" s="263"/>
      <c r="S586" s="263"/>
      <c r="T586" s="263"/>
      <c r="U586" s="246"/>
      <c r="V586" s="246"/>
      <c r="W586" s="246"/>
      <c r="X586" s="246"/>
      <c r="Y586" s="246"/>
      <c r="Z586" s="246"/>
    </row>
    <row r="587">
      <c r="A587" s="263"/>
      <c r="B587" s="265" t="str">
        <f>IFERROR(__xludf.DUMMYFUNCTION("""COMPUTED_VALUE"""),"Procurement")</f>
        <v>Procurement</v>
      </c>
      <c r="C587" s="263"/>
      <c r="D587" s="264" t="str">
        <f>IFERROR(__xludf.DUMMYFUNCTION("""COMPUTED_VALUE"""),"Interlude")</f>
        <v>Interlude</v>
      </c>
      <c r="E587" s="264" t="str">
        <f>IFERROR(__xludf.DUMMYFUNCTION("""COMPUTED_VALUE"""),"")</f>
        <v/>
      </c>
      <c r="F587" s="266" t="str">
        <f>IFERROR(__xludf.DUMMYFUNCTION("""COMPUTED_VALUE"""),"By spending an IP, you start the procurement process.
Choose a target base item (no modifications) and an amount of that item. Determine the price of the total items and set it as the Procurement Target goal.
Every time you gain an IP, you gain 500 points"&amp;" towards the Procurement goal. You may also spend an IP to add another 500 points towards the goal.
When the procurement value is equal to the Procurement Target, you may immediately purchase the item. You must purchase immediately or you lose Procurement"&amp;". You can cancel a Procurement at any time. The Procurement Target Limit is 1000 and for materials this is capped at materials with an ingot/block etc cost of ≤1000.
You can only have 1 Procurement active at the same time.")</f>
        <v>By spending an IP, you start the procurement process.
Choose a target base item (no modifications) and an amount of that item. Determine the price of the total items and set it as the Procurement Target goal.
Every time you gain an IP, you gain 500 points towards the Procurement goal. You may also spend an IP to add another 500 points towards the goal.
When the procurement value is equal to the Procurement Target, you may immediately purchase the item. You must purchase immediately or you lose Procurement. You can cancel a Procurement at any time. The Procurement Target Limit is 1000 and for materials this is capped at materials with an ingot/block etc cost of ≤1000.
You can only have 1 Procurement active at the same time.</v>
      </c>
      <c r="G587" s="264" t="str">
        <f>IFERROR(__xludf.DUMMYFUNCTION("""COMPUTED_VALUE"""),"")</f>
        <v/>
      </c>
      <c r="H587" s="265" t="str">
        <f>IFERROR(__xludf.DUMMYFUNCTION("""COMPUTED_VALUE"""),"")</f>
        <v/>
      </c>
      <c r="I587" s="264" t="str">
        <f>IFERROR(__xludf.DUMMYFUNCTION("""COMPUTED_VALUE"""),"")</f>
        <v/>
      </c>
      <c r="J587" s="264" t="str">
        <f>IFERROR(__xludf.DUMMYFUNCTION("""COMPUTED_VALUE"""),"")</f>
        <v/>
      </c>
      <c r="K587" s="263" t="str">
        <f>IFERROR(__xludf.DUMMYFUNCTION("""COMPUTED_VALUE"""),"")</f>
        <v/>
      </c>
      <c r="L587" s="263" t="str">
        <f>IFERROR(__xludf.DUMMYFUNCTION("""COMPUTED_VALUE"""),"")</f>
        <v/>
      </c>
      <c r="M587" s="263"/>
      <c r="N587" s="263"/>
      <c r="O587" s="263"/>
      <c r="P587" s="263"/>
      <c r="Q587" s="263"/>
      <c r="R587" s="263"/>
      <c r="S587" s="263"/>
      <c r="T587" s="263"/>
      <c r="U587" s="246"/>
      <c r="V587" s="246"/>
      <c r="W587" s="246"/>
      <c r="X587" s="246"/>
      <c r="Y587" s="246"/>
      <c r="Z587" s="246"/>
    </row>
    <row r="588">
      <c r="A588" s="263"/>
      <c r="B588" s="265" t="str">
        <f>IFERROR(__xludf.DUMMYFUNCTION("""COMPUTED_VALUE"""),"Prone Cover")</f>
        <v>Prone Cover</v>
      </c>
      <c r="C588" s="263"/>
      <c r="D588" s="264" t="str">
        <f>IFERROR(__xludf.DUMMYFUNCTION("""COMPUTED_VALUE"""),"Stance")</f>
        <v>Stance</v>
      </c>
      <c r="E588" s="264" t="str">
        <f>IFERROR(__xludf.DUMMYFUNCTION("""COMPUTED_VALUE"""),"Self")</f>
        <v>Self</v>
      </c>
      <c r="F588" s="266" t="str">
        <f>IFERROR(__xludf.DUMMYFUNCTION("""COMPUTED_VALUE"""),"You become Prone. While Prone from this ability, you gain the benefits of low cover against ranged attacks. In addition, all Ranged Weapon Attacks gain the Prone keyword.")</f>
        <v>You become Prone. While Prone from this ability, you gain the benefits of low cover against ranged attacks. In addition, all Ranged Weapon Attacks gain the Prone keyword.</v>
      </c>
      <c r="G588" s="263" t="str">
        <f>IFERROR(__xludf.DUMMYFUNCTION("""COMPUTED_VALUE"""),"Cannot be used while Flying.")</f>
        <v>Cannot be used while Flying.</v>
      </c>
      <c r="H588" s="265" t="str">
        <f>IFERROR(__xludf.DUMMYFUNCTION("""COMPUTED_VALUE"""),"0 RP")</f>
        <v>0 RP</v>
      </c>
      <c r="I588" s="264" t="str">
        <f>IFERROR(__xludf.DUMMYFUNCTION("""COMPUTED_VALUE"""),"")</f>
        <v/>
      </c>
      <c r="J588" s="264" t="str">
        <f>IFERROR(__xludf.DUMMYFUNCTION("""COMPUTED_VALUE"""),"")</f>
        <v/>
      </c>
      <c r="K588" s="263" t="str">
        <f>IFERROR(__xludf.DUMMYFUNCTION("""COMPUTED_VALUE"""),"0 RP")</f>
        <v>0 RP</v>
      </c>
      <c r="L588" s="263" t="str">
        <f>IFERROR(__xludf.DUMMYFUNCTION("""COMPUTED_VALUE"""),"")</f>
        <v/>
      </c>
      <c r="M588" s="263"/>
      <c r="N588" s="263"/>
      <c r="O588" s="263"/>
      <c r="P588" s="263"/>
      <c r="Q588" s="263"/>
      <c r="R588" s="263"/>
      <c r="S588" s="263"/>
      <c r="T588" s="263"/>
      <c r="U588" s="246"/>
      <c r="V588" s="246"/>
      <c r="W588" s="246"/>
      <c r="X588" s="246"/>
      <c r="Y588" s="246"/>
      <c r="Z588" s="246"/>
    </row>
    <row r="589">
      <c r="A589" s="263"/>
      <c r="B589" s="265" t="str">
        <f>IFERROR(__xludf.DUMMYFUNCTION("""COMPUTED_VALUE"""),"Provide Milk")</f>
        <v>Provide Milk</v>
      </c>
      <c r="C589" s="263"/>
      <c r="D589" s="264" t="str">
        <f>IFERROR(__xludf.DUMMYFUNCTION("""COMPUTED_VALUE"""),"")</f>
        <v/>
      </c>
      <c r="E589" s="264" t="str">
        <f>IFERROR(__xludf.DUMMYFUNCTION("""COMPUTED_VALUE"""),"")</f>
        <v/>
      </c>
      <c r="F589" s="266" t="str">
        <f>IFERROR(__xludf.DUMMYFUNCTION("""COMPUTED_VALUE"""),"You may spend an EP to produce 400u worth of milk.")</f>
        <v>You may spend an EP to produce 400u worth of milk.</v>
      </c>
      <c r="G589" s="264" t="str">
        <f>IFERROR(__xludf.DUMMYFUNCTION("""COMPUTED_VALUE"""),"")</f>
        <v/>
      </c>
      <c r="H589" s="265" t="str">
        <f>IFERROR(__xludf.DUMMYFUNCTION("""COMPUTED_VALUE"""),"")</f>
        <v/>
      </c>
      <c r="I589" s="264" t="str">
        <f>IFERROR(__xludf.DUMMYFUNCTION("""COMPUTED_VALUE"""),"")</f>
        <v/>
      </c>
      <c r="J589" s="264" t="str">
        <f>IFERROR(__xludf.DUMMYFUNCTION("""COMPUTED_VALUE"""),"")</f>
        <v/>
      </c>
      <c r="K589" s="263" t="str">
        <f>IFERROR(__xludf.DUMMYFUNCTION("""COMPUTED_VALUE"""),"")</f>
        <v/>
      </c>
      <c r="L589" s="263" t="str">
        <f>IFERROR(__xludf.DUMMYFUNCTION("""COMPUTED_VALUE"""),"")</f>
        <v/>
      </c>
      <c r="M589" s="263"/>
      <c r="N589" s="263"/>
      <c r="O589" s="263"/>
      <c r="P589" s="263"/>
      <c r="Q589" s="263"/>
      <c r="R589" s="263"/>
      <c r="S589" s="263"/>
      <c r="T589" s="263"/>
      <c r="U589" s="246"/>
      <c r="V589" s="246"/>
      <c r="W589" s="246"/>
      <c r="X589" s="246"/>
      <c r="Y589" s="246"/>
      <c r="Z589" s="246"/>
    </row>
    <row r="590">
      <c r="A590" s="263"/>
      <c r="B590" s="265" t="str">
        <f>IFERROR(__xludf.DUMMYFUNCTION("""COMPUTED_VALUE"""),"Provoke")</f>
        <v>Provoke</v>
      </c>
      <c r="C590" s="263"/>
      <c r="D590" s="264" t="str">
        <f>IFERROR(__xludf.DUMMYFUNCTION("""COMPUTED_VALUE"""),"Challenge")</f>
        <v>Challenge</v>
      </c>
      <c r="E590" s="264" t="str">
        <f>IFERROR(__xludf.DUMMYFUNCTION("""COMPUTED_VALUE"""),"5ft")</f>
        <v>5ft</v>
      </c>
      <c r="F590" s="266" t="str">
        <f>IFERROR(__xludf.DUMMYFUNCTION("""COMPUTED_VALUE"""),"You Challenge an enemy until the start of your next turn.")</f>
        <v>You Challenge an enemy until the start of your next turn.</v>
      </c>
      <c r="G590" s="263" t="str">
        <f>IFERROR(__xludf.DUMMYFUNCTION("""COMPUTED_VALUE"""),"")</f>
        <v/>
      </c>
      <c r="H590" s="265" t="str">
        <f>IFERROR(__xludf.DUMMYFUNCTION("""COMPUTED_VALUE"""),"0 AP, 1 MP")</f>
        <v>0 AP, 1 MP</v>
      </c>
      <c r="I590" s="264" t="str">
        <f>IFERROR(__xludf.DUMMYFUNCTION("""COMPUTED_VALUE"""),"0 AP")</f>
        <v>0 AP</v>
      </c>
      <c r="J590" s="263" t="str">
        <f>IFERROR(__xludf.DUMMYFUNCTION("""COMPUTED_VALUE"""),"1 MP")</f>
        <v>1 MP</v>
      </c>
      <c r="K590" s="263" t="str">
        <f>IFERROR(__xludf.DUMMYFUNCTION("""COMPUTED_VALUE"""),"")</f>
        <v/>
      </c>
      <c r="L590" s="263" t="str">
        <f>IFERROR(__xludf.DUMMYFUNCTION("""COMPUTED_VALUE"""),"")</f>
        <v/>
      </c>
      <c r="M590" s="263"/>
      <c r="N590" s="263"/>
      <c r="O590" s="263"/>
      <c r="P590" s="263"/>
      <c r="Q590" s="263"/>
      <c r="R590" s="263"/>
      <c r="S590" s="263"/>
      <c r="T590" s="263"/>
      <c r="U590" s="246"/>
      <c r="V590" s="246"/>
      <c r="W590" s="246"/>
      <c r="X590" s="246"/>
      <c r="Y590" s="246"/>
      <c r="Z590" s="246"/>
    </row>
    <row r="591">
      <c r="A591" s="263"/>
      <c r="B591" s="265" t="str">
        <f>IFERROR(__xludf.DUMMYFUNCTION("""COMPUTED_VALUE"""),"Provoke II")</f>
        <v>Provoke II</v>
      </c>
      <c r="C591" s="263"/>
      <c r="D591" s="264" t="str">
        <f>IFERROR(__xludf.DUMMYFUNCTION("""COMPUTED_VALUE"""),"Challenge")</f>
        <v>Challenge</v>
      </c>
      <c r="E591" s="264" t="str">
        <f>IFERROR(__xludf.DUMMYFUNCTION("""COMPUTED_VALUE"""),"60ft")</f>
        <v>60ft</v>
      </c>
      <c r="F591" s="266" t="str">
        <f>IFERROR(__xludf.DUMMYFUNCTION("""COMPUTED_VALUE"""),"You Challenge the enemy until the end of the encounter. You may only have 1 target Challenged at the same time through this ability.")</f>
        <v>You Challenge the enemy until the end of the encounter. You may only have 1 target Challenged at the same time through this ability.</v>
      </c>
      <c r="G591" s="263" t="str">
        <f>IFERROR(__xludf.DUMMYFUNCTION("""COMPUTED_VALUE"""),"")</f>
        <v/>
      </c>
      <c r="H591" s="265" t="str">
        <f>IFERROR(__xludf.DUMMYFUNCTION("""COMPUTED_VALUE"""),"2 AP")</f>
        <v>2 AP</v>
      </c>
      <c r="I591" s="264" t="str">
        <f>IFERROR(__xludf.DUMMYFUNCTION("""COMPUTED_VALUE"""),"2 AP")</f>
        <v>2 AP</v>
      </c>
      <c r="J591" s="263" t="str">
        <f>IFERROR(__xludf.DUMMYFUNCTION("""COMPUTED_VALUE"""),"")</f>
        <v/>
      </c>
      <c r="K591" s="263" t="str">
        <f>IFERROR(__xludf.DUMMYFUNCTION("""COMPUTED_VALUE"""),"")</f>
        <v/>
      </c>
      <c r="L591" s="263" t="str">
        <f>IFERROR(__xludf.DUMMYFUNCTION("""COMPUTED_VALUE"""),"")</f>
        <v/>
      </c>
      <c r="M591" s="263"/>
      <c r="N591" s="263"/>
      <c r="O591" s="263"/>
      <c r="P591" s="263"/>
      <c r="Q591" s="263"/>
      <c r="R591" s="263"/>
      <c r="S591" s="263"/>
      <c r="T591" s="263"/>
      <c r="U591" s="246"/>
      <c r="V591" s="246"/>
      <c r="W591" s="246"/>
      <c r="X591" s="246"/>
      <c r="Y591" s="246"/>
      <c r="Z591" s="246"/>
    </row>
    <row r="592">
      <c r="A592" s="263"/>
      <c r="B592" s="265" t="str">
        <f>IFERROR(__xludf.DUMMYFUNCTION("""COMPUTED_VALUE"""),"Psychometry")</f>
        <v>Psychometry</v>
      </c>
      <c r="C592" s="263"/>
      <c r="D592" s="264" t="str">
        <f>IFERROR(__xludf.DUMMYFUNCTION("""COMPUTED_VALUE"""),"Aura")</f>
        <v>Aura</v>
      </c>
      <c r="E592" s="264" t="str">
        <f>IFERROR(__xludf.DUMMYFUNCTION("""COMPUTED_VALUE"""),"Touch")</f>
        <v>Touch</v>
      </c>
      <c r="F592" s="266" t="str">
        <f>IFERROR(__xludf.DUMMYFUNCTION("""COMPUTED_VALUE"""),"By touching the door to a room you gain information as to the physical layout of the room and objects within it as if you were able to see inside of the room.  By reading the Auras of all creatures within the room, you can also get a general idea of any c"&amp;"reatures within, which you see as blobs of light—brighter for more powerful auras.  You can also use this effect on containers as well to get a general idea of the layout within containers like backpacks, and chests.  This ability can be used at unlimited"&amp;" range as long as a creature under the effect of Mind Connection touches the door or container.")</f>
        <v>By touching the door to a room you gain information as to the physical layout of the room and objects within it as if you were able to see inside of the room.  By reading the Auras of all creatures within the room, you can also get a general idea of any creatures within, which you see as blobs of light—brighter for more powerful auras.  You can also use this effect on containers as well to get a general idea of the layout within containers like backpacks, and chests.  This ability can be used at unlimited range as long as a creature under the effect of Mind Connection touches the door or container.</v>
      </c>
      <c r="G592" s="264" t="str">
        <f>IFERROR(__xludf.DUMMYFUNCTION("""COMPUTED_VALUE"""),"")</f>
        <v/>
      </c>
      <c r="H592" s="265" t="str">
        <f>IFERROR(__xludf.DUMMYFUNCTION("""COMPUTED_VALUE"""),"4 AP, 1 MP")</f>
        <v>4 AP, 1 MP</v>
      </c>
      <c r="I592" s="264" t="str">
        <f>IFERROR(__xludf.DUMMYFUNCTION("""COMPUTED_VALUE"""),"4 AP")</f>
        <v>4 AP</v>
      </c>
      <c r="J592" s="264" t="str">
        <f>IFERROR(__xludf.DUMMYFUNCTION("""COMPUTED_VALUE"""),"1 MP")</f>
        <v>1 MP</v>
      </c>
      <c r="K592" s="263" t="str">
        <f>IFERROR(__xludf.DUMMYFUNCTION("""COMPUTED_VALUE"""),"")</f>
        <v/>
      </c>
      <c r="L592" s="263" t="str">
        <f>IFERROR(__xludf.DUMMYFUNCTION("""COMPUTED_VALUE"""),"")</f>
        <v/>
      </c>
      <c r="M592" s="263"/>
      <c r="N592" s="263"/>
      <c r="O592" s="263"/>
      <c r="P592" s="263"/>
      <c r="Q592" s="263"/>
      <c r="R592" s="263"/>
      <c r="S592" s="263"/>
      <c r="T592" s="263"/>
      <c r="U592" s="246"/>
      <c r="V592" s="246"/>
      <c r="W592" s="246"/>
      <c r="X592" s="246"/>
      <c r="Y592" s="246"/>
      <c r="Z592" s="246"/>
    </row>
    <row r="593">
      <c r="A593" s="263"/>
      <c r="B593" s="265" t="str">
        <f>IFERROR(__xludf.DUMMYFUNCTION("""COMPUTED_VALUE"""),"Pull the weeds")</f>
        <v>Pull the weeds</v>
      </c>
      <c r="C593" s="263"/>
      <c r="D593" s="264" t="str">
        <f>IFERROR(__xludf.DUMMYFUNCTION("""COMPUTED_VALUE"""),"")</f>
        <v/>
      </c>
      <c r="E593" s="264" t="str">
        <f>IFERROR(__xludf.DUMMYFUNCTION("""COMPUTED_VALUE"""),"")</f>
        <v/>
      </c>
      <c r="F593" s="266" t="str">
        <f>IFERROR(__xludf.DUMMYFUNCTION("""COMPUTED_VALUE"""),"You destroy one of your planted seeds to give yourself +5 crafting points for this session.")</f>
        <v>You destroy one of your planted seeds to give yourself +5 crafting points for this session.</v>
      </c>
      <c r="G593" s="263" t="str">
        <f>IFERROR(__xludf.DUMMYFUNCTION("""COMPUTED_VALUE"""),"Must be in a crafting session. Only applies to a farming crafting session.")</f>
        <v>Must be in a crafting session. Only applies to a farming crafting session.</v>
      </c>
      <c r="H593" s="265" t="str">
        <f>IFERROR(__xludf.DUMMYFUNCTION("""COMPUTED_VALUE"""),"")</f>
        <v/>
      </c>
      <c r="I593" s="264" t="str">
        <f>IFERROR(__xludf.DUMMYFUNCTION("""COMPUTED_VALUE"""),"")</f>
        <v/>
      </c>
      <c r="J593" s="264" t="str">
        <f>IFERROR(__xludf.DUMMYFUNCTION("""COMPUTED_VALUE"""),"")</f>
        <v/>
      </c>
      <c r="K593" s="263" t="str">
        <f>IFERROR(__xludf.DUMMYFUNCTION("""COMPUTED_VALUE"""),"")</f>
        <v/>
      </c>
      <c r="L593" s="263" t="str">
        <f>IFERROR(__xludf.DUMMYFUNCTION("""COMPUTED_VALUE"""),"")</f>
        <v/>
      </c>
      <c r="M593" s="263"/>
      <c r="N593" s="263"/>
      <c r="O593" s="263"/>
      <c r="P593" s="263"/>
      <c r="Q593" s="263"/>
      <c r="R593" s="263"/>
      <c r="S593" s="263"/>
      <c r="T593" s="263"/>
      <c r="U593" s="246"/>
      <c r="V593" s="246"/>
      <c r="W593" s="246"/>
      <c r="X593" s="246"/>
      <c r="Y593" s="246"/>
      <c r="Z593" s="246"/>
    </row>
    <row r="594">
      <c r="A594" s="263"/>
      <c r="B594" s="265" t="str">
        <f>IFERROR(__xludf.DUMMYFUNCTION("""COMPUTED_VALUE"""),"Purification Circle")</f>
        <v>Purification Circle</v>
      </c>
      <c r="C594" s="263"/>
      <c r="D594" s="264" t="str">
        <f>IFERROR(__xludf.DUMMYFUNCTION("""COMPUTED_VALUE"""),"Spell")</f>
        <v>Spell</v>
      </c>
      <c r="E594" s="264" t="str">
        <f>IFERROR(__xludf.DUMMYFUNCTION("""COMPUTED_VALUE"""),"120ft")</f>
        <v>120ft</v>
      </c>
      <c r="F594" s="266" t="str">
        <f>IFERROR(__xludf.DUMMYFUNCTION("""COMPUTED_VALUE"""),"You remove all stacks of single debuff from all allies in a 20ft radius circle from target point.")</f>
        <v>You remove all stacks of single debuff from all allies in a 20ft radius circle from target point.</v>
      </c>
      <c r="G594" s="263" t="str">
        <f>IFERROR(__xludf.DUMMYFUNCTION("""COMPUTED_VALUE"""),"")</f>
        <v/>
      </c>
      <c r="H594" s="265" t="str">
        <f>IFERROR(__xludf.DUMMYFUNCTION("""COMPUTED_VALUE"""),"2 AP, 2 MP")</f>
        <v>2 AP, 2 MP</v>
      </c>
      <c r="I594" s="264" t="str">
        <f>IFERROR(__xludf.DUMMYFUNCTION("""COMPUTED_VALUE"""),"2 AP")</f>
        <v>2 AP</v>
      </c>
      <c r="J594" s="264" t="str">
        <f>IFERROR(__xludf.DUMMYFUNCTION("""COMPUTED_VALUE"""),"2 MP")</f>
        <v>2 MP</v>
      </c>
      <c r="K594" s="263" t="str">
        <f>IFERROR(__xludf.DUMMYFUNCTION("""COMPUTED_VALUE"""),"")</f>
        <v/>
      </c>
      <c r="L594" s="263" t="str">
        <f>IFERROR(__xludf.DUMMYFUNCTION("""COMPUTED_VALUE"""),"")</f>
        <v/>
      </c>
      <c r="M594" s="263"/>
      <c r="N594" s="263"/>
      <c r="O594" s="263"/>
      <c r="P594" s="263"/>
      <c r="Q594" s="263"/>
      <c r="R594" s="263"/>
      <c r="S594" s="263"/>
      <c r="T594" s="263"/>
      <c r="U594" s="246"/>
      <c r="V594" s="246"/>
      <c r="W594" s="246"/>
      <c r="X594" s="246"/>
      <c r="Y594" s="246"/>
      <c r="Z594" s="246"/>
    </row>
    <row r="595">
      <c r="A595" s="263"/>
      <c r="B595" s="265" t="str">
        <f>IFERROR(__xludf.DUMMYFUNCTION("""COMPUTED_VALUE"""),"Purify")</f>
        <v>Purify</v>
      </c>
      <c r="C595" s="263"/>
      <c r="D595" s="264" t="str">
        <f>IFERROR(__xludf.DUMMYFUNCTION("""COMPUTED_VALUE"""),"Spell")</f>
        <v>Spell</v>
      </c>
      <c r="E595" s="264" t="str">
        <f>IFERROR(__xludf.DUMMYFUNCTION("""COMPUTED_VALUE"""),"40ft")</f>
        <v>40ft</v>
      </c>
      <c r="F595" s="266" t="str">
        <f>IFERROR(__xludf.DUMMYFUNCTION("""COMPUTED_VALUE"""),"You cleanse a target, removing all stacks of a negative effect of your choice that you are able to identify.")</f>
        <v>You cleanse a target, removing all stacks of a negative effect of your choice that you are able to identify.</v>
      </c>
      <c r="G595" s="263" t="str">
        <f>IFERROR(__xludf.DUMMYFUNCTION("""COMPUTED_VALUE"""),"")</f>
        <v/>
      </c>
      <c r="H595" s="265" t="str">
        <f>IFERROR(__xludf.DUMMYFUNCTION("""COMPUTED_VALUE"""),"1 AP, 1 MP")</f>
        <v>1 AP, 1 MP</v>
      </c>
      <c r="I595" s="263" t="str">
        <f>IFERROR(__xludf.DUMMYFUNCTION("""COMPUTED_VALUE"""),"1 AP")</f>
        <v>1 AP</v>
      </c>
      <c r="J595" s="263" t="str">
        <f>IFERROR(__xludf.DUMMYFUNCTION("""COMPUTED_VALUE"""),"1 MP")</f>
        <v>1 MP</v>
      </c>
      <c r="K595" s="264" t="str">
        <f>IFERROR(__xludf.DUMMYFUNCTION("""COMPUTED_VALUE"""),"")</f>
        <v/>
      </c>
      <c r="L595" s="263" t="str">
        <f>IFERROR(__xludf.DUMMYFUNCTION("""COMPUTED_VALUE"""),"")</f>
        <v/>
      </c>
      <c r="M595" s="263"/>
      <c r="N595" s="263"/>
      <c r="O595" s="263"/>
      <c r="P595" s="263"/>
      <c r="Q595" s="263"/>
      <c r="R595" s="263"/>
      <c r="S595" s="263"/>
      <c r="T595" s="263"/>
      <c r="U595" s="246"/>
      <c r="V595" s="246"/>
      <c r="W595" s="246"/>
      <c r="X595" s="246"/>
      <c r="Y595" s="246"/>
      <c r="Z595" s="246"/>
    </row>
    <row r="596">
      <c r="A596" s="263"/>
      <c r="B596" s="265" t="str">
        <f>IFERROR(__xludf.DUMMYFUNCTION("""COMPUTED_VALUE"""),"Purifying Shields")</f>
        <v>Purifying Shields</v>
      </c>
      <c r="C596" s="263"/>
      <c r="D596" s="264" t="str">
        <f>IFERROR(__xludf.DUMMYFUNCTION("""COMPUTED_VALUE"""),"")</f>
        <v/>
      </c>
      <c r="E596" s="264" t="str">
        <f>IFERROR(__xludf.DUMMYFUNCTION("""COMPUTED_VALUE"""),"40ft")</f>
        <v>40ft</v>
      </c>
      <c r="F596" s="266" t="str">
        <f>IFERROR(__xludf.DUMMYFUNCTION("""COMPUTED_VALUE"""),"You remove all stacks of a debuff from every ally within range that has temporary HP.")</f>
        <v>You remove all stacks of a debuff from every ally within range that has temporary HP.</v>
      </c>
      <c r="G596" s="263" t="str">
        <f>IFERROR(__xludf.DUMMYFUNCTION("""COMPUTED_VALUE"""),"")</f>
        <v/>
      </c>
      <c r="H596" s="265" t="str">
        <f>IFERROR(__xludf.DUMMYFUNCTION("""COMPUTED_VALUE"""),"2 AP, 2 MP")</f>
        <v>2 AP, 2 MP</v>
      </c>
      <c r="I596" s="264" t="str">
        <f>IFERROR(__xludf.DUMMYFUNCTION("""COMPUTED_VALUE"""),"2 AP")</f>
        <v>2 AP</v>
      </c>
      <c r="J596" s="264" t="str">
        <f>IFERROR(__xludf.DUMMYFUNCTION("""COMPUTED_VALUE"""),"2 MP")</f>
        <v>2 MP</v>
      </c>
      <c r="K596" s="263" t="str">
        <f>IFERROR(__xludf.DUMMYFUNCTION("""COMPUTED_VALUE"""),"")</f>
        <v/>
      </c>
      <c r="L596" s="263" t="str">
        <f>IFERROR(__xludf.DUMMYFUNCTION("""COMPUTED_VALUE"""),"")</f>
        <v/>
      </c>
      <c r="M596" s="263"/>
      <c r="N596" s="263"/>
      <c r="O596" s="263"/>
      <c r="P596" s="263"/>
      <c r="Q596" s="263"/>
      <c r="R596" s="263"/>
      <c r="S596" s="263"/>
      <c r="T596" s="263"/>
      <c r="U596" s="246"/>
      <c r="V596" s="246"/>
      <c r="W596" s="246"/>
      <c r="X596" s="246"/>
      <c r="Y596" s="246"/>
      <c r="Z596" s="246"/>
    </row>
    <row r="597">
      <c r="A597" s="263"/>
      <c r="B597" s="265" t="str">
        <f>IFERROR(__xludf.DUMMYFUNCTION("""COMPUTED_VALUE"""),"Quantum Bomb")</f>
        <v>Quantum Bomb</v>
      </c>
      <c r="C597" s="263"/>
      <c r="D597" s="264" t="str">
        <f>IFERROR(__xludf.DUMMYFUNCTION("""COMPUTED_VALUE"""),"Setup, Cannon, Artillery")</f>
        <v>Setup, Cannon, Artillery</v>
      </c>
      <c r="E597" s="264" t="str">
        <f>IFERROR(__xludf.DUMMYFUNCTION("""COMPUTED_VALUE"""),"Ranged Weapon Range")</f>
        <v>Ranged Weapon Range</v>
      </c>
      <c r="F597" s="266" t="str">
        <f>IFERROR(__xludf.DUMMYFUNCTION("""COMPUTED_VALUE"""),"You make a Heavy attack against the target.")</f>
        <v>You make a Heavy attack against the target.</v>
      </c>
      <c r="G597" s="263" t="str">
        <f>IFERROR(__xludf.DUMMYFUNCTION("""COMPUTED_VALUE"""),"Cannon only.")</f>
        <v>Cannon only.</v>
      </c>
      <c r="H597" s="265" t="str">
        <f>IFERROR(__xludf.DUMMYFUNCTION("""COMPUTED_VALUE"""),"1 AP")</f>
        <v>1 AP</v>
      </c>
      <c r="I597" s="263" t="str">
        <f>IFERROR(__xludf.DUMMYFUNCTION("""COMPUTED_VALUE"""),"1 AP")</f>
        <v>1 AP</v>
      </c>
      <c r="J597" s="264" t="str">
        <f>IFERROR(__xludf.DUMMYFUNCTION("""COMPUTED_VALUE"""),"")</f>
        <v/>
      </c>
      <c r="K597" s="264" t="str">
        <f>IFERROR(__xludf.DUMMYFUNCTION("""COMPUTED_VALUE"""),"")</f>
        <v/>
      </c>
      <c r="L597" s="263" t="str">
        <f>IFERROR(__xludf.DUMMYFUNCTION("""COMPUTED_VALUE"""),"")</f>
        <v/>
      </c>
      <c r="M597" s="263"/>
      <c r="N597" s="263"/>
      <c r="O597" s="263"/>
      <c r="P597" s="263"/>
      <c r="Q597" s="263"/>
      <c r="R597" s="263"/>
      <c r="S597" s="263"/>
      <c r="T597" s="263"/>
      <c r="U597" s="246"/>
      <c r="V597" s="246"/>
      <c r="W597" s="246"/>
      <c r="X597" s="246"/>
      <c r="Y597" s="246"/>
      <c r="Z597" s="246"/>
    </row>
    <row r="598">
      <c r="A598" s="263"/>
      <c r="B598" s="265" t="str">
        <f>IFERROR(__xludf.DUMMYFUNCTION("""COMPUTED_VALUE"""),"Quick Artifice Reload")</f>
        <v>Quick Artifice Reload</v>
      </c>
      <c r="C598" s="263"/>
      <c r="D598" s="264" t="str">
        <f>IFERROR(__xludf.DUMMYFUNCTION("""COMPUTED_VALUE"""),"Stealth")</f>
        <v>Stealth</v>
      </c>
      <c r="E598" s="264" t="str">
        <f>IFERROR(__xludf.DUMMYFUNCTION("""COMPUTED_VALUE"""),"5ft")</f>
        <v>5ft</v>
      </c>
      <c r="F598" s="266" t="str">
        <f>IFERROR(__xludf.DUMMYFUNCTION("""COMPUTED_VALUE"""),"You quickly reload one shell into an artifice in range using one of your shells.")</f>
        <v>You quickly reload one shell into an artifice in range using one of your shells.</v>
      </c>
      <c r="G598" s="263" t="str">
        <f>IFERROR(__xludf.DUMMYFUNCTION("""COMPUTED_VALUE"""),"")</f>
        <v/>
      </c>
      <c r="H598" s="265" t="str">
        <f>IFERROR(__xludf.DUMMYFUNCTION("""COMPUTED_VALUE"""),"1 MP, 0 RP")</f>
        <v>1 MP, 0 RP</v>
      </c>
      <c r="I598" s="264" t="str">
        <f>IFERROR(__xludf.DUMMYFUNCTION("""COMPUTED_VALUE"""),"")</f>
        <v/>
      </c>
      <c r="J598" s="264" t="str">
        <f>IFERROR(__xludf.DUMMYFUNCTION("""COMPUTED_VALUE"""),"1 MP")</f>
        <v>1 MP</v>
      </c>
      <c r="K598" s="263" t="str">
        <f>IFERROR(__xludf.DUMMYFUNCTION("""COMPUTED_VALUE"""),"0 RP")</f>
        <v>0 RP</v>
      </c>
      <c r="L598" s="263" t="str">
        <f>IFERROR(__xludf.DUMMYFUNCTION("""COMPUTED_VALUE"""),"")</f>
        <v/>
      </c>
      <c r="M598" s="263"/>
      <c r="N598" s="263"/>
      <c r="O598" s="263"/>
      <c r="P598" s="263"/>
      <c r="Q598" s="263"/>
      <c r="R598" s="263"/>
      <c r="S598" s="263"/>
      <c r="T598" s="263"/>
      <c r="U598" s="246"/>
      <c r="V598" s="246"/>
      <c r="W598" s="246"/>
      <c r="X598" s="246"/>
      <c r="Y598" s="246"/>
      <c r="Z598" s="246"/>
    </row>
    <row r="599">
      <c r="A599" s="263"/>
      <c r="B599" s="265" t="str">
        <f>IFERROR(__xludf.DUMMYFUNCTION("""COMPUTED_VALUE"""),"Quick Assist")</f>
        <v>Quick Assist</v>
      </c>
      <c r="C599" s="263"/>
      <c r="D599" s="264" t="str">
        <f>IFERROR(__xludf.DUMMYFUNCTION("""COMPUTED_VALUE"""),"Teleport")</f>
        <v>Teleport</v>
      </c>
      <c r="E599" s="264" t="str">
        <f>IFERROR(__xludf.DUMMYFUNCTION("""COMPUTED_VALUE"""),"20ft")</f>
        <v>20ft</v>
      </c>
      <c r="F599" s="266" t="str">
        <f>IFERROR(__xludf.DUMMYFUNCTION("""COMPUTED_VALUE"""),"You teleport next to your soulmate and force the triggering attack to resolve against you, gaining the benefit of the Block action against it.
Afterwards, if your Soulmate is in range of the attacker, they may make an Attack of Opportunity against it.
If "&amp;"you were already next to your Soulmate before you used this ability, the mana cost is reduced by 1.")</f>
        <v>You teleport next to your soulmate and force the triggering attack to resolve against you, gaining the benefit of the Block action against it.
Afterwards, if your Soulmate is in range of the attacker, they may make an Attack of Opportunity against it.
If you were already next to your Soulmate before you used this ability, the mana cost is reduced by 1.</v>
      </c>
      <c r="G599" s="264" t="str">
        <f>IFERROR(__xludf.DUMMYFUNCTION("""COMPUTED_VALUE"""),"Your soulmate is the target of an attack and is within the range of this ability.")</f>
        <v>Your soulmate is the target of an attack and is within the range of this ability.</v>
      </c>
      <c r="H599" s="265" t="str">
        <f>IFERROR(__xludf.DUMMYFUNCTION("""COMPUTED_VALUE"""),"2 MP, 1 RP")</f>
        <v>2 MP, 1 RP</v>
      </c>
      <c r="I599" s="264" t="str">
        <f>IFERROR(__xludf.DUMMYFUNCTION("""COMPUTED_VALUE"""),"")</f>
        <v/>
      </c>
      <c r="J599" s="264" t="str">
        <f>IFERROR(__xludf.DUMMYFUNCTION("""COMPUTED_VALUE"""),"2 MP")</f>
        <v>2 MP</v>
      </c>
      <c r="K599" s="263" t="str">
        <f>IFERROR(__xludf.DUMMYFUNCTION("""COMPUTED_VALUE"""),"1 RP")</f>
        <v>1 RP</v>
      </c>
      <c r="L599" s="263" t="str">
        <f>IFERROR(__xludf.DUMMYFUNCTION("""COMPUTED_VALUE"""),"")</f>
        <v/>
      </c>
      <c r="M599" s="263"/>
      <c r="N599" s="263"/>
      <c r="O599" s="263"/>
      <c r="P599" s="263"/>
      <c r="Q599" s="263"/>
      <c r="R599" s="263"/>
      <c r="S599" s="263"/>
      <c r="T599" s="263"/>
      <c r="U599" s="246"/>
      <c r="V599" s="246"/>
      <c r="W599" s="246"/>
      <c r="X599" s="246"/>
      <c r="Y599" s="246"/>
      <c r="Z599" s="246"/>
    </row>
    <row r="600">
      <c r="A600" s="263"/>
      <c r="B600" s="265" t="str">
        <f>IFERROR(__xludf.DUMMYFUNCTION("""COMPUTED_VALUE"""),"Quick Getaway")</f>
        <v>Quick Getaway</v>
      </c>
      <c r="C600" s="263"/>
      <c r="D600" s="264" t="str">
        <f>IFERROR(__xludf.DUMMYFUNCTION("""COMPUTED_VALUE"""),"Combo, Stealth")</f>
        <v>Combo, Stealth</v>
      </c>
      <c r="E600" s="264" t="str">
        <f>IFERROR(__xludf.DUMMYFUNCTION("""COMPUTED_VALUE"""),"'-")</f>
        <v>'-</v>
      </c>
      <c r="F600" s="266" t="str">
        <f>IFERROR(__xludf.DUMMYFUNCTION("""COMPUTED_VALUE"""),"You may move as if you had spent 2 AP on the movement action. Combo: If used after Feint or the Disengage action, the AP cost of this is reduced by 2.")</f>
        <v>You may move as if you had spent 2 AP on the movement action. Combo: If used after Feint or the Disengage action, the AP cost of this is reduced by 2.</v>
      </c>
      <c r="G600" s="264" t="str">
        <f>IFERROR(__xludf.DUMMYFUNCTION("""COMPUTED_VALUE"""),"")</f>
        <v/>
      </c>
      <c r="H600" s="265" t="str">
        <f>IFERROR(__xludf.DUMMYFUNCTION("""COMPUTED_VALUE"""),"2 AP")</f>
        <v>2 AP</v>
      </c>
      <c r="I600" s="264" t="str">
        <f>IFERROR(__xludf.DUMMYFUNCTION("""COMPUTED_VALUE"""),"2 AP")</f>
        <v>2 AP</v>
      </c>
      <c r="J600" s="264" t="str">
        <f>IFERROR(__xludf.DUMMYFUNCTION("""COMPUTED_VALUE"""),"")</f>
        <v/>
      </c>
      <c r="K600" s="263" t="str">
        <f>IFERROR(__xludf.DUMMYFUNCTION("""COMPUTED_VALUE"""),"")</f>
        <v/>
      </c>
      <c r="L600" s="263" t="str">
        <f>IFERROR(__xludf.DUMMYFUNCTION("""COMPUTED_VALUE"""),"")</f>
        <v/>
      </c>
      <c r="M600" s="263"/>
      <c r="N600" s="263"/>
      <c r="O600" s="263"/>
      <c r="P600" s="263"/>
      <c r="Q600" s="263"/>
      <c r="R600" s="263"/>
      <c r="S600" s="263"/>
      <c r="T600" s="263"/>
      <c r="U600" s="246"/>
      <c r="V600" s="246"/>
      <c r="W600" s="246"/>
      <c r="X600" s="246"/>
      <c r="Y600" s="246"/>
      <c r="Z600" s="246"/>
    </row>
    <row r="601">
      <c r="A601" s="263"/>
      <c r="B601" s="265" t="str">
        <f>IFERROR(__xludf.DUMMYFUNCTION("""COMPUTED_VALUE"""),"Quick Revive")</f>
        <v>Quick Revive</v>
      </c>
      <c r="C601" s="263"/>
      <c r="D601" s="264" t="str">
        <f>IFERROR(__xludf.DUMMYFUNCTION("""COMPUTED_VALUE"""),"")</f>
        <v/>
      </c>
      <c r="E601" s="264" t="str">
        <f>IFERROR(__xludf.DUMMYFUNCTION("""COMPUTED_VALUE"""),"40ft")</f>
        <v>40ft</v>
      </c>
      <c r="F601" s="266" t="str">
        <f>IFERROR(__xludf.DUMMYFUNCTION("""COMPUTED_VALUE"""),"You immediately resummon the summon from your Summon Animal that was killed in this current encounter. If multiple of your summons have died, you summon the one that died most recently.")</f>
        <v>You immediately resummon the summon from your Summon Animal that was killed in this current encounter. If multiple of your summons have died, you summon the one that died most recently.</v>
      </c>
      <c r="G601" s="263" t="str">
        <f>IFERROR(__xludf.DUMMYFUNCTION("""COMPUTED_VALUE"""),"")</f>
        <v/>
      </c>
      <c r="H601" s="265" t="str">
        <f>IFERROR(__xludf.DUMMYFUNCTION("""COMPUTED_VALUE"""),"0 AP, 2 MP")</f>
        <v>0 AP, 2 MP</v>
      </c>
      <c r="I601" s="264" t="str">
        <f>IFERROR(__xludf.DUMMYFUNCTION("""COMPUTED_VALUE"""),"0 AP")</f>
        <v>0 AP</v>
      </c>
      <c r="J601" s="264" t="str">
        <f>IFERROR(__xludf.DUMMYFUNCTION("""COMPUTED_VALUE"""),"2 MP")</f>
        <v>2 MP</v>
      </c>
      <c r="K601" s="263" t="str">
        <f>IFERROR(__xludf.DUMMYFUNCTION("""COMPUTED_VALUE"""),"")</f>
        <v/>
      </c>
      <c r="L601" s="263" t="str">
        <f>IFERROR(__xludf.DUMMYFUNCTION("""COMPUTED_VALUE"""),"")</f>
        <v/>
      </c>
      <c r="M601" s="263"/>
      <c r="N601" s="263"/>
      <c r="O601" s="263"/>
      <c r="P601" s="263"/>
      <c r="Q601" s="263"/>
      <c r="R601" s="263"/>
      <c r="S601" s="263"/>
      <c r="T601" s="263"/>
      <c r="U601" s="246"/>
      <c r="V601" s="246"/>
      <c r="W601" s="246"/>
      <c r="X601" s="246"/>
      <c r="Y601" s="246"/>
      <c r="Z601" s="246"/>
    </row>
    <row r="602">
      <c r="A602" s="263"/>
      <c r="B602" s="265" t="str">
        <f>IFERROR(__xludf.DUMMYFUNCTION("""COMPUTED_VALUE"""),"Quickdraw")</f>
        <v>Quickdraw</v>
      </c>
      <c r="C602" s="263"/>
      <c r="D602" s="264" t="str">
        <f>IFERROR(__xludf.DUMMYFUNCTION("""COMPUTED_VALUE"""),"Encounter Start")</f>
        <v>Encounter Start</v>
      </c>
      <c r="E602" s="264" t="str">
        <f>IFERROR(__xludf.DUMMYFUNCTION("""COMPUTED_VALUE"""),"Ranged Weapon Range")</f>
        <v>Ranged Weapon Range</v>
      </c>
      <c r="F602" s="266" t="str">
        <f>IFERROR(__xludf.DUMMYFUNCTION("""COMPUTED_VALUE"""),"You may draw a pistol and make a Light Attack with the drawn pistol against the target. The target may not react to this shot.")</f>
        <v>You may draw a pistol and make a Light Attack with the drawn pistol against the target. The target may not react to this shot.</v>
      </c>
      <c r="G602" s="264" t="str">
        <f>IFERROR(__xludf.DUMMYFUNCTION("""COMPUTED_VALUE"""),"Pistol only.")</f>
        <v>Pistol only.</v>
      </c>
      <c r="H602" s="265" t="str">
        <f>IFERROR(__xludf.DUMMYFUNCTION("""COMPUTED_VALUE"""),"")</f>
        <v/>
      </c>
      <c r="I602" s="263" t="str">
        <f>IFERROR(__xludf.DUMMYFUNCTION("""COMPUTED_VALUE"""),"")</f>
        <v/>
      </c>
      <c r="J602" s="264" t="str">
        <f>IFERROR(__xludf.DUMMYFUNCTION("""COMPUTED_VALUE"""),"")</f>
        <v/>
      </c>
      <c r="K602" s="264" t="str">
        <f>IFERROR(__xludf.DUMMYFUNCTION("""COMPUTED_VALUE"""),"")</f>
        <v/>
      </c>
      <c r="L602" s="263" t="str">
        <f>IFERROR(__xludf.DUMMYFUNCTION("""COMPUTED_VALUE"""),"")</f>
        <v/>
      </c>
      <c r="M602" s="263"/>
      <c r="N602" s="263"/>
      <c r="O602" s="263"/>
      <c r="P602" s="263"/>
      <c r="Q602" s="263"/>
      <c r="R602" s="263"/>
      <c r="S602" s="263"/>
      <c r="T602" s="263"/>
      <c r="U602" s="246"/>
      <c r="V602" s="246"/>
      <c r="W602" s="246"/>
      <c r="X602" s="246"/>
      <c r="Y602" s="246"/>
      <c r="Z602" s="246"/>
    </row>
    <row r="603">
      <c r="A603" s="263"/>
      <c r="B603" s="265" t="str">
        <f>IFERROR(__xludf.DUMMYFUNCTION("""COMPUTED_VALUE"""),"Quickdraw Alchemy")</f>
        <v>Quickdraw Alchemy</v>
      </c>
      <c r="C603" s="263"/>
      <c r="D603" s="264" t="str">
        <f>IFERROR(__xludf.DUMMYFUNCTION("""COMPUTED_VALUE"""),"Stealth")</f>
        <v>Stealth</v>
      </c>
      <c r="E603" s="264" t="str">
        <f>IFERROR(__xludf.DUMMYFUNCTION("""COMPUTED_VALUE"""),"Self")</f>
        <v>Self</v>
      </c>
      <c r="F603" s="266" t="str">
        <f>IFERROR(__xludf.DUMMYFUNCTION("""COMPUTED_VALUE"""),"You draw an Alchemy item from your combat inventory.")</f>
        <v>You draw an Alchemy item from your combat inventory.</v>
      </c>
      <c r="G603" s="263" t="str">
        <f>IFERROR(__xludf.DUMMYFUNCTION("""COMPUTED_VALUE"""),"")</f>
        <v/>
      </c>
      <c r="H603" s="265" t="str">
        <f>IFERROR(__xludf.DUMMYFUNCTION("""COMPUTED_VALUE"""),"0 RP")</f>
        <v>0 RP</v>
      </c>
      <c r="I603" s="264" t="str">
        <f>IFERROR(__xludf.DUMMYFUNCTION("""COMPUTED_VALUE"""),"")</f>
        <v/>
      </c>
      <c r="J603" s="264" t="str">
        <f>IFERROR(__xludf.DUMMYFUNCTION("""COMPUTED_VALUE"""),"")</f>
        <v/>
      </c>
      <c r="K603" s="263" t="str">
        <f>IFERROR(__xludf.DUMMYFUNCTION("""COMPUTED_VALUE"""),"0 RP")</f>
        <v>0 RP</v>
      </c>
      <c r="L603" s="263" t="str">
        <f>IFERROR(__xludf.DUMMYFUNCTION("""COMPUTED_VALUE"""),"")</f>
        <v/>
      </c>
      <c r="M603" s="263"/>
      <c r="N603" s="263"/>
      <c r="O603" s="263"/>
      <c r="P603" s="263"/>
      <c r="Q603" s="263"/>
      <c r="R603" s="263"/>
      <c r="S603" s="263"/>
      <c r="T603" s="263"/>
      <c r="U603" s="246"/>
      <c r="V603" s="246"/>
      <c r="W603" s="246"/>
      <c r="X603" s="246"/>
      <c r="Y603" s="246"/>
      <c r="Z603" s="246"/>
    </row>
    <row r="604">
      <c r="A604" s="263"/>
      <c r="B604" s="265" t="str">
        <f>IFERROR(__xludf.DUMMYFUNCTION("""COMPUTED_VALUE"""),"Radiant Halo")</f>
        <v>Radiant Halo</v>
      </c>
      <c r="C604" s="263"/>
      <c r="D604" s="264" t="str">
        <f>IFERROR(__xludf.DUMMYFUNCTION("""COMPUTED_VALUE"""),"Healing, Spell")</f>
        <v>Healing, Spell</v>
      </c>
      <c r="E604" s="264" t="str">
        <f>IFERROR(__xludf.DUMMYFUNCTION("""COMPUTED_VALUE"""),"120ft")</f>
        <v>120ft</v>
      </c>
      <c r="F604" s="266" t="str">
        <f>IFERROR(__xludf.DUMMYFUNCTION("""COMPUTED_VALUE"""),"You Heal all allied targets in a 15ft radius from the target point for 11 + (2 x Power).
You may use 1 RP instead of 2 AP for this ability. When using RP on this ability, you may use it even when it is not your turn.")</f>
        <v>You Heal all allied targets in a 15ft radius from the target point for 11 + (2 x Power).
You may use 1 RP instead of 2 AP for this ability. When using RP on this ability, you may use it even when it is not your turn.</v>
      </c>
      <c r="G604" s="264" t="str">
        <f>IFERROR(__xludf.DUMMYFUNCTION("""COMPUTED_VALUE"""),"")</f>
        <v/>
      </c>
      <c r="H604" s="265" t="str">
        <f>IFERROR(__xludf.DUMMYFUNCTION("""COMPUTED_VALUE"""),"2 AP, 6 MP")</f>
        <v>2 AP, 6 MP</v>
      </c>
      <c r="I604" s="263" t="str">
        <f>IFERROR(__xludf.DUMMYFUNCTION("""COMPUTED_VALUE"""),"2 AP")</f>
        <v>2 AP</v>
      </c>
      <c r="J604" s="264" t="str">
        <f>IFERROR(__xludf.DUMMYFUNCTION("""COMPUTED_VALUE"""),"6 MP")</f>
        <v>6 MP</v>
      </c>
      <c r="K604" s="264" t="str">
        <f>IFERROR(__xludf.DUMMYFUNCTION("""COMPUTED_VALUE"""),"")</f>
        <v/>
      </c>
      <c r="L604" s="263" t="str">
        <f>IFERROR(__xludf.DUMMYFUNCTION("""COMPUTED_VALUE"""),"")</f>
        <v/>
      </c>
      <c r="M604" s="263"/>
      <c r="N604" s="263"/>
      <c r="O604" s="263"/>
      <c r="P604" s="263"/>
      <c r="Q604" s="263"/>
      <c r="R604" s="263"/>
      <c r="S604" s="263"/>
      <c r="T604" s="263"/>
      <c r="U604" s="246"/>
      <c r="V604" s="246"/>
      <c r="W604" s="246"/>
      <c r="X604" s="246"/>
      <c r="Y604" s="246"/>
      <c r="Z604" s="246"/>
    </row>
    <row r="605">
      <c r="A605" s="263"/>
      <c r="B605" s="265" t="str">
        <f>IFERROR(__xludf.DUMMYFUNCTION("""COMPUTED_VALUE"""),"Radiant Verdict")</f>
        <v>Radiant Verdict</v>
      </c>
      <c r="C605" s="263"/>
      <c r="D605" s="264" t="str">
        <f>IFERROR(__xludf.DUMMYFUNCTION("""COMPUTED_VALUE"""),"Spell, Sanctify, Artillery")</f>
        <v>Spell, Sanctify, Artillery</v>
      </c>
      <c r="E605" s="264" t="str">
        <f>IFERROR(__xludf.DUMMYFUNCTION("""COMPUTED_VALUE"""),"60ft")</f>
        <v>60ft</v>
      </c>
      <c r="F605" s="266" t="str">
        <f>IFERROR(__xludf.DUMMYFUNCTION("""COMPUTED_VALUE"""),"You make a Heavy attack against the target that deals Holy damage. On hit, inflict Sanctify 1")</f>
        <v>You make a Heavy attack against the target that deals Holy damage. On hit, inflict Sanctify 1</v>
      </c>
      <c r="G605" s="263" t="str">
        <f>IFERROR(__xludf.DUMMYFUNCTION("""COMPUTED_VALUE"""),"")</f>
        <v/>
      </c>
      <c r="H605" s="265" t="str">
        <f>IFERROR(__xludf.DUMMYFUNCTION("""COMPUTED_VALUE"""),"2 AP, 1 MP")</f>
        <v>2 AP, 1 MP</v>
      </c>
      <c r="I605" s="264" t="str">
        <f>IFERROR(__xludf.DUMMYFUNCTION("""COMPUTED_VALUE"""),"2 AP")</f>
        <v>2 AP</v>
      </c>
      <c r="J605" s="263" t="str">
        <f>IFERROR(__xludf.DUMMYFUNCTION("""COMPUTED_VALUE"""),"1 MP")</f>
        <v>1 MP</v>
      </c>
      <c r="K605" s="263" t="str">
        <f>IFERROR(__xludf.DUMMYFUNCTION("""COMPUTED_VALUE"""),"")</f>
        <v/>
      </c>
      <c r="L605" s="263" t="str">
        <f>IFERROR(__xludf.DUMMYFUNCTION("""COMPUTED_VALUE"""),"")</f>
        <v/>
      </c>
      <c r="M605" s="263"/>
      <c r="N605" s="263"/>
      <c r="O605" s="263"/>
      <c r="P605" s="263"/>
      <c r="Q605" s="263"/>
      <c r="R605" s="263"/>
      <c r="S605" s="263"/>
      <c r="T605" s="263"/>
      <c r="U605" s="246"/>
      <c r="V605" s="246"/>
      <c r="W605" s="246"/>
      <c r="X605" s="246"/>
      <c r="Y605" s="246"/>
      <c r="Z605" s="246"/>
    </row>
    <row r="606">
      <c r="A606" s="263"/>
      <c r="B606" s="265" t="str">
        <f>IFERROR(__xludf.DUMMYFUNCTION("""COMPUTED_VALUE"""),"Rage Stance")</f>
        <v>Rage Stance</v>
      </c>
      <c r="C606" s="263"/>
      <c r="D606" s="264" t="str">
        <f>IFERROR(__xludf.DUMMYFUNCTION("""COMPUTED_VALUE"""),"Stance")</f>
        <v>Stance</v>
      </c>
      <c r="E606" s="264" t="str">
        <f>IFERROR(__xludf.DUMMYFUNCTION("""COMPUTED_VALUE"""),"Self")</f>
        <v>Self</v>
      </c>
      <c r="F606" s="266" t="str">
        <f>IFERROR(__xludf.DUMMYFUNCTION("""COMPUTED_VALUE"""),"You enter a Stance in which you prioritize offense over defense. The Stance lasts until the encounter ends, you get Downed or up to an hour. While the Stance lasts, gain 2 additional AP that can only be used on melee attacks each turn (including the turn "&amp;"you use this), but cannot use actions that use RP other than attack of opportunity unless they have the Rage keyword. You also cannot use abilities with the Spell keyword, unless they also have the Rage keyword. You are treated as having 0 RP for abilitie"&amp;"s with that as a requirement. While in your Rage Stance, you gain a +1 bonus to Guard and a +5 bonus to all Fitness checks.")</f>
        <v>You enter a Stance in which you prioritize offense over defense. The Stance lasts until the encounter ends, you get Downed or up to an hour. While the Stance lasts, gain 2 additional AP that can only be used on melee attacks each turn (including the turn you use this), but cannot use actions that use RP other than attack of opportunity unless they have the Rage keyword. You also cannot use abilities with the Spell keyword, unless they also have the Rage keyword. You are treated as having 0 RP for abilities with that as a requirement. While in your Rage Stance, you gain a +1 bonus to Guard and a +5 bonus to all Fitness checks.</v>
      </c>
      <c r="G606" s="263" t="str">
        <f>IFERROR(__xludf.DUMMYFUNCTION("""COMPUTED_VALUE"""),"")</f>
        <v/>
      </c>
      <c r="H606" s="265" t="str">
        <f>IFERROR(__xludf.DUMMYFUNCTION("""COMPUTED_VALUE"""),"2 AP, 2 MP")</f>
        <v>2 AP, 2 MP</v>
      </c>
      <c r="I606" s="264" t="str">
        <f>IFERROR(__xludf.DUMMYFUNCTION("""COMPUTED_VALUE"""),"2 AP")</f>
        <v>2 AP</v>
      </c>
      <c r="J606" s="263" t="str">
        <f>IFERROR(__xludf.DUMMYFUNCTION("""COMPUTED_VALUE"""),"2 MP")</f>
        <v>2 MP</v>
      </c>
      <c r="K606" s="263" t="str">
        <f>IFERROR(__xludf.DUMMYFUNCTION("""COMPUTED_VALUE"""),"")</f>
        <v/>
      </c>
      <c r="L606" s="263" t="str">
        <f>IFERROR(__xludf.DUMMYFUNCTION("""COMPUTED_VALUE"""),"")</f>
        <v/>
      </c>
      <c r="M606" s="263"/>
      <c r="N606" s="263"/>
      <c r="O606" s="263"/>
      <c r="P606" s="263"/>
      <c r="Q606" s="263"/>
      <c r="R606" s="263"/>
      <c r="S606" s="263"/>
      <c r="T606" s="263"/>
      <c r="U606" s="246"/>
      <c r="V606" s="246"/>
      <c r="W606" s="246"/>
      <c r="X606" s="246"/>
      <c r="Y606" s="246"/>
      <c r="Z606" s="246"/>
    </row>
    <row r="607">
      <c r="A607" s="263"/>
      <c r="B607" s="265" t="str">
        <f>IFERROR(__xludf.DUMMYFUNCTION("""COMPUTED_VALUE"""),"Raise Undead")</f>
        <v>Raise Undead</v>
      </c>
      <c r="C607" s="263"/>
      <c r="D607" s="264" t="str">
        <f>IFERROR(__xludf.DUMMYFUNCTION("""COMPUTED_VALUE"""),"Summon, Spell, Safe")</f>
        <v>Summon, Spell, Safe</v>
      </c>
      <c r="E607" s="264" t="str">
        <f>IFERROR(__xludf.DUMMYFUNCTION("""COMPUTED_VALUE"""),"30ft")</f>
        <v>30ft</v>
      </c>
      <c r="F607" s="266" t="str">
        <f>IFERROR(__xludf.DUMMYFUNCTION("""COMPUTED_VALUE"""),"You raise the target corpse as a basic undead, such as a zombie. This zombie is treated as a non-heroic unit that you can command directly. You can have multiple zombies under your command, up to your Necromancer level + 1. However, the zombies act as a g"&amp;"roup under the same token rather than having an individual token. The group acts on your Initiative.
Each zombie has a single point of HP and immediately dies, but you only lose 1 zombie per attack the group takes, including AoE attacks that do not deal H"&amp;"oly Damage. AoE attacks that deal Holy damage remove a number of zombies equal to the damage taken. The zombie group has a focus and power of 3 + 1 for every 3 zombies, rounded down. They have an Agility of 2 and Toughness equal to 4. They have access to "&amp;"all basic actions, but otherwise have no special abilities. As a non-heroic entity, they only have access to a single RP. Because they are undead, they are immune to all mind-affecting effects.
A raised undead lasts until the end of the arc or until kille"&amp;"d, after which the corpse cannot be raised again in any way.")</f>
        <v>You raise the target corpse as a basic undead, such as a zombie. This zombie is treated as a non-heroic unit that you can command directly. You can have multiple zombies under your command, up to your Necromancer level + 1. However, the zombies act as a group under the same token rather than having an individual token. The group acts on your Initiative.
Each zombie has a single point of HP and immediately dies, but you only lose 1 zombie per attack the group takes, including AoE attacks that do not deal Holy Damage. AoE attacks that deal Holy damage remove a number of zombies equal to the damage taken. The zombie group has a focus and power of 3 + 1 for every 3 zombies, rounded down. They have an Agility of 2 and Toughness equal to 4. They have access to all basic actions, but otherwise have no special abilities. As a non-heroic entity, they only have access to a single RP. Because they are undead, they are immune to all mind-affecting effects.
A raised undead lasts until the end of the arc or until killed, after which the corpse cannot be raised again in any way.</v>
      </c>
      <c r="G607" s="263" t="str">
        <f>IFERROR(__xludf.DUMMYFUNCTION("""COMPUTED_VALUE"""),"Target must be a dead humanoid.")</f>
        <v>Target must be a dead humanoid.</v>
      </c>
      <c r="H607" s="265" t="str">
        <f>IFERROR(__xludf.DUMMYFUNCTION("""COMPUTED_VALUE"""),"2 AP")</f>
        <v>2 AP</v>
      </c>
      <c r="I607" s="264" t="str">
        <f>IFERROR(__xludf.DUMMYFUNCTION("""COMPUTED_VALUE"""),"2 AP")</f>
        <v>2 AP</v>
      </c>
      <c r="J607" s="264" t="str">
        <f>IFERROR(__xludf.DUMMYFUNCTION("""COMPUTED_VALUE"""),"")</f>
        <v/>
      </c>
      <c r="K607" s="263" t="str">
        <f>IFERROR(__xludf.DUMMYFUNCTION("""COMPUTED_VALUE"""),"")</f>
        <v/>
      </c>
      <c r="L607" s="263" t="str">
        <f>IFERROR(__xludf.DUMMYFUNCTION("""COMPUTED_VALUE"""),"")</f>
        <v/>
      </c>
      <c r="M607" s="263"/>
      <c r="N607" s="263"/>
      <c r="O607" s="263"/>
      <c r="P607" s="263"/>
      <c r="Q607" s="263"/>
      <c r="R607" s="263"/>
      <c r="S607" s="263"/>
      <c r="T607" s="263"/>
      <c r="U607" s="246"/>
      <c r="V607" s="246"/>
      <c r="W607" s="246"/>
      <c r="X607" s="246"/>
      <c r="Y607" s="246"/>
      <c r="Z607" s="246"/>
    </row>
    <row r="608">
      <c r="A608" s="263"/>
      <c r="B608" s="265" t="str">
        <f>IFERROR(__xludf.DUMMYFUNCTION("""COMPUTED_VALUE"""),"Raise Undead II")</f>
        <v>Raise Undead II</v>
      </c>
      <c r="C608" s="263"/>
      <c r="D608" s="264" t="str">
        <f>IFERROR(__xludf.DUMMYFUNCTION("""COMPUTED_VALUE"""),"Overcharge, Summon, Spell, Safe")</f>
        <v>Overcharge, Summon, Spell, Safe</v>
      </c>
      <c r="E608" s="264" t="str">
        <f>IFERROR(__xludf.DUMMYFUNCTION("""COMPUTED_VALUE"""),"60ft")</f>
        <v>60ft</v>
      </c>
      <c r="F608" s="266" t="str">
        <f>IFERROR(__xludf.DUMMYFUNCTION("""COMPUTED_VALUE"""),"You raise the target corpse as a basic undead, such as a zombie. This zombie is treated as a non-heroic unit that you can command directly. You can have multiple zombies under your command, up to your Necromancer level + 1. However, the zombies act as a g"&amp;"roup under the same token rather than having an individual token. The group acts on your Initiative.
Each zombie has a single point of HP and immediately dies, but you only lose 1 zombie per attack the group takes, including AoE attacks that do not deal H"&amp;"oly Damage. AoE attacks that deal Holy damage remove a number of zombies equal to the damage taken. The zombie group has a focus and power of 3 + 1 for every 3 zombies, rounded down. They have an Agility of 2 and Toughness equal to 4. They have access to "&amp;"all basic actions, but otherwise have no special abilities. As a non-heroic entity, they only have access to a single RP. Because they are undead, they are immune to all mind-affecting effects.
A raised undead lasts until the end of the arc or until kille"&amp;"d, after which the corpse cannot be raised again in any way.
Overcharge: You may spend 1 Mana to raise a non-humanoid corpse.")</f>
        <v>You raise the target corpse as a basic undead, such as a zombie. This zombie is treated as a non-heroic unit that you can command directly. You can have multiple zombies under your command, up to your Necromancer level + 1. However, the zombies act as a group under the same token rather than having an individual token. The group acts on your Initiative.
Each zombie has a single point of HP and immediately dies, but you only lose 1 zombie per attack the group takes, including AoE attacks that do not deal Holy Damage. AoE attacks that deal Holy damage remove a number of zombies equal to the damage taken. The zombie group has a focus and power of 3 + 1 for every 3 zombies, rounded down. They have an Agility of 2 and Toughness equal to 4. They have access to all basic actions, but otherwise have no special abilities. As a non-heroic entity, they only have access to a single RP. Because they are undead, they are immune to all mind-affecting effects.
A raised undead lasts until the end of the arc or until killed, after which the corpse cannot be raised again in any way.
Overcharge: You may spend 1 Mana to raise a non-humanoid corpse.</v>
      </c>
      <c r="G608" s="263" t="str">
        <f>IFERROR(__xludf.DUMMYFUNCTION("""COMPUTED_VALUE"""),"Target must be a dead humanoid.")</f>
        <v>Target must be a dead humanoid.</v>
      </c>
      <c r="H608" s="265" t="str">
        <f>IFERROR(__xludf.DUMMYFUNCTION("""COMPUTED_VALUE"""),"1 AP")</f>
        <v>1 AP</v>
      </c>
      <c r="I608" s="264" t="str">
        <f>IFERROR(__xludf.DUMMYFUNCTION("""COMPUTED_VALUE"""),"1 AP")</f>
        <v>1 AP</v>
      </c>
      <c r="J608" s="264" t="str">
        <f>IFERROR(__xludf.DUMMYFUNCTION("""COMPUTED_VALUE"""),"")</f>
        <v/>
      </c>
      <c r="K608" s="263" t="str">
        <f>IFERROR(__xludf.DUMMYFUNCTION("""COMPUTED_VALUE"""),"")</f>
        <v/>
      </c>
      <c r="L608" s="263" t="str">
        <f>IFERROR(__xludf.DUMMYFUNCTION("""COMPUTED_VALUE"""),"")</f>
        <v/>
      </c>
      <c r="M608" s="263"/>
      <c r="N608" s="263"/>
      <c r="O608" s="263"/>
      <c r="P608" s="263"/>
      <c r="Q608" s="263"/>
      <c r="R608" s="263"/>
      <c r="S608" s="263"/>
      <c r="T608" s="263"/>
      <c r="U608" s="246"/>
      <c r="V608" s="246"/>
      <c r="W608" s="246"/>
      <c r="X608" s="246"/>
      <c r="Y608" s="246"/>
      <c r="Z608" s="246"/>
    </row>
    <row r="609">
      <c r="A609" s="263"/>
      <c r="B609" s="265" t="str">
        <f>IFERROR(__xludf.DUMMYFUNCTION("""COMPUTED_VALUE"""),"Rapid Correction")</f>
        <v>Rapid Correction</v>
      </c>
      <c r="C609" s="263"/>
      <c r="D609" s="264" t="str">
        <f>IFERROR(__xludf.DUMMYFUNCTION("""COMPUTED_VALUE"""),"")</f>
        <v/>
      </c>
      <c r="E609" s="264" t="str">
        <f>IFERROR(__xludf.DUMMYFUNCTION("""COMPUTED_VALUE"""),"Self")</f>
        <v>Self</v>
      </c>
      <c r="F609" s="266" t="str">
        <f>IFERROR(__xludf.DUMMYFUNCTION("""COMPUTED_VALUE"""),"You turn your Light attack into a Precise attack.")</f>
        <v>You turn your Light attack into a Precise attack.</v>
      </c>
      <c r="G609" s="263" t="str">
        <f>IFERROR(__xludf.DUMMYFUNCTION("""COMPUTED_VALUE"""),"You miss with a ranged weapon Light attack.")</f>
        <v>You miss with a ranged weapon Light attack.</v>
      </c>
      <c r="H609" s="265" t="str">
        <f>IFERROR(__xludf.DUMMYFUNCTION("""COMPUTED_VALUE"""),"1 RP")</f>
        <v>1 RP</v>
      </c>
      <c r="I609" s="264" t="str">
        <f>IFERROR(__xludf.DUMMYFUNCTION("""COMPUTED_VALUE"""),"")</f>
        <v/>
      </c>
      <c r="J609" s="264" t="str">
        <f>IFERROR(__xludf.DUMMYFUNCTION("""COMPUTED_VALUE"""),"")</f>
        <v/>
      </c>
      <c r="K609" s="263" t="str">
        <f>IFERROR(__xludf.DUMMYFUNCTION("""COMPUTED_VALUE"""),"1 RP")</f>
        <v>1 RP</v>
      </c>
      <c r="L609" s="263" t="str">
        <f>IFERROR(__xludf.DUMMYFUNCTION("""COMPUTED_VALUE"""),"")</f>
        <v/>
      </c>
      <c r="M609" s="263"/>
      <c r="N609" s="263"/>
      <c r="O609" s="263"/>
      <c r="P609" s="263"/>
      <c r="Q609" s="263"/>
      <c r="R609" s="263"/>
      <c r="S609" s="263"/>
      <c r="T609" s="263"/>
      <c r="U609" s="246"/>
      <c r="V609" s="246"/>
      <c r="W609" s="246"/>
      <c r="X609" s="246"/>
      <c r="Y609" s="246"/>
      <c r="Z609" s="246"/>
    </row>
    <row r="610">
      <c r="A610" s="263"/>
      <c r="B610" s="265" t="str">
        <f>IFERROR(__xludf.DUMMYFUNCTION("""COMPUTED_VALUE"""),"Rappelling Dagger")</f>
        <v>Rappelling Dagger</v>
      </c>
      <c r="C610" s="263"/>
      <c r="D610" s="264" t="str">
        <f>IFERROR(__xludf.DUMMYFUNCTION("""COMPUTED_VALUE"""),"")</f>
        <v/>
      </c>
      <c r="E610" s="264" t="str">
        <f>IFERROR(__xludf.DUMMYFUNCTION("""COMPUTED_VALUE"""),"30ft")</f>
        <v>30ft</v>
      </c>
      <c r="F610" s="266" t="str">
        <f>IFERROR(__xludf.DUMMYFUNCTION("""COMPUTED_VALUE"""),"You may make a Light Attack against the target. On damage, you may move to the closest available spot within 5ft of the target. This movement does not provoke attacks of opportunity. Can be used against non-living objects and the on damage part always app"&amp;"lies when used in that way.")</f>
        <v>You may make a Light Attack against the target. On damage, you may move to the closest available spot within 5ft of the target. This movement does not provoke attacks of opportunity. Can be used against non-living objects and the on damage part always applies when used in that way.</v>
      </c>
      <c r="G610" s="263" t="str">
        <f>IFERROR(__xludf.DUMMYFUNCTION("""COMPUTED_VALUE"""),"Throwing Weapon or Thrown attack only.")</f>
        <v>Throwing Weapon or Thrown attack only.</v>
      </c>
      <c r="H610" s="265" t="str">
        <f>IFERROR(__xludf.DUMMYFUNCTION("""COMPUTED_VALUE"""),"1 AP, 1 MP")</f>
        <v>1 AP, 1 MP</v>
      </c>
      <c r="I610" s="264" t="str">
        <f>IFERROR(__xludf.DUMMYFUNCTION("""COMPUTED_VALUE"""),"1 AP")</f>
        <v>1 AP</v>
      </c>
      <c r="J610" s="264" t="str">
        <f>IFERROR(__xludf.DUMMYFUNCTION("""COMPUTED_VALUE"""),"1 MP")</f>
        <v>1 MP</v>
      </c>
      <c r="K610" s="263" t="str">
        <f>IFERROR(__xludf.DUMMYFUNCTION("""COMPUTED_VALUE"""),"")</f>
        <v/>
      </c>
      <c r="L610" s="263" t="str">
        <f>IFERROR(__xludf.DUMMYFUNCTION("""COMPUTED_VALUE"""),"")</f>
        <v/>
      </c>
      <c r="M610" s="263"/>
      <c r="N610" s="263"/>
      <c r="O610" s="263"/>
      <c r="P610" s="263"/>
      <c r="Q610" s="263"/>
      <c r="R610" s="263"/>
      <c r="S610" s="263"/>
      <c r="T610" s="263"/>
      <c r="U610" s="246"/>
      <c r="V610" s="246"/>
      <c r="W610" s="246"/>
      <c r="X610" s="246"/>
      <c r="Y610" s="246"/>
      <c r="Z610" s="246"/>
    </row>
    <row r="611">
      <c r="A611" s="263"/>
      <c r="B611" s="265" t="str">
        <f>IFERROR(__xludf.DUMMYFUNCTION("""COMPUTED_VALUE"""),"Receive Oracle")</f>
        <v>Receive Oracle</v>
      </c>
      <c r="C611" s="263"/>
      <c r="D611" s="264" t="str">
        <f>IFERROR(__xludf.DUMMYFUNCTION("""COMPUTED_VALUE"""),"Divination")</f>
        <v>Divination</v>
      </c>
      <c r="E611" s="264" t="str">
        <f>IFERROR(__xludf.DUMMYFUNCTION("""COMPUTED_VALUE"""),"Self")</f>
        <v>Self</v>
      </c>
      <c r="F611" s="266" t="str">
        <f>IFERROR(__xludf.DUMMYFUNCTION("""COMPUTED_VALUE"""),"You seek divine knowledge on a topic and can ask up to three yes or no questions. You then receive a vision on the answers from an unknown entity. The GM chooses the information you receive. You regain the use of Receive Oracle after a rest.")</f>
        <v>You seek divine knowledge on a topic and can ask up to three yes or no questions. You then receive a vision on the answers from an unknown entity. The GM chooses the information you receive. You regain the use of Receive Oracle after a rest.</v>
      </c>
      <c r="G611" s="263" t="str">
        <f>IFERROR(__xludf.DUMMYFUNCTION("""COMPUTED_VALUE"""),"")</f>
        <v/>
      </c>
      <c r="H611" s="265" t="str">
        <f>IFERROR(__xludf.DUMMYFUNCTION("""COMPUTED_VALUE"""),"4 AP")</f>
        <v>4 AP</v>
      </c>
      <c r="I611" s="264" t="str">
        <f>IFERROR(__xludf.DUMMYFUNCTION("""COMPUTED_VALUE"""),"4 AP")</f>
        <v>4 AP</v>
      </c>
      <c r="J611" s="264" t="str">
        <f>IFERROR(__xludf.DUMMYFUNCTION("""COMPUTED_VALUE"""),"")</f>
        <v/>
      </c>
      <c r="K611" s="263" t="str">
        <f>IFERROR(__xludf.DUMMYFUNCTION("""COMPUTED_VALUE"""),"")</f>
        <v/>
      </c>
      <c r="L611" s="263" t="str">
        <f>IFERROR(__xludf.DUMMYFUNCTION("""COMPUTED_VALUE"""),"")</f>
        <v/>
      </c>
      <c r="M611" s="263"/>
      <c r="N611" s="263"/>
      <c r="O611" s="263"/>
      <c r="P611" s="263"/>
      <c r="Q611" s="263"/>
      <c r="R611" s="263"/>
      <c r="S611" s="263"/>
      <c r="T611" s="263"/>
      <c r="U611" s="246"/>
      <c r="V611" s="246"/>
      <c r="W611" s="246"/>
      <c r="X611" s="246"/>
      <c r="Y611" s="246"/>
      <c r="Z611" s="246"/>
    </row>
    <row r="612">
      <c r="A612" s="263"/>
      <c r="B612" s="265" t="str">
        <f>IFERROR(__xludf.DUMMYFUNCTION("""COMPUTED_VALUE"""),"Reckless Strike")</f>
        <v>Reckless Strike</v>
      </c>
      <c r="C612" s="263"/>
      <c r="D612" s="264" t="str">
        <f>IFERROR(__xludf.DUMMYFUNCTION("""COMPUTED_VALUE"""),"Rage")</f>
        <v>Rage</v>
      </c>
      <c r="E612" s="264" t="str">
        <f>IFERROR(__xludf.DUMMYFUNCTION("""COMPUTED_VALUE"""),"Melee Weapon Range")</f>
        <v>Melee Weapon Range</v>
      </c>
      <c r="F612" s="266" t="str">
        <f>IFERROR(__xludf.DUMMYFUNCTION("""COMPUTED_VALUE"""),"You may make a Heavy Attack against the target.")</f>
        <v>You may make a Heavy Attack against the target.</v>
      </c>
      <c r="G612" s="264" t="str">
        <f>IFERROR(__xludf.DUMMYFUNCTION("""COMPUTED_VALUE"""),"")</f>
        <v/>
      </c>
      <c r="H612" s="265" t="str">
        <f>IFERROR(__xludf.DUMMYFUNCTION("""COMPUTED_VALUE"""),"1 AP, 1 RP")</f>
        <v>1 AP, 1 RP</v>
      </c>
      <c r="I612" s="264" t="str">
        <f>IFERROR(__xludf.DUMMYFUNCTION("""COMPUTED_VALUE"""),"1 AP")</f>
        <v>1 AP</v>
      </c>
      <c r="J612" s="263" t="str">
        <f>IFERROR(__xludf.DUMMYFUNCTION("""COMPUTED_VALUE"""),"")</f>
        <v/>
      </c>
      <c r="K612" s="263" t="str">
        <f>IFERROR(__xludf.DUMMYFUNCTION("""COMPUTED_VALUE"""),"1 RP")</f>
        <v>1 RP</v>
      </c>
      <c r="L612" s="263" t="str">
        <f>IFERROR(__xludf.DUMMYFUNCTION("""COMPUTED_VALUE"""),"")</f>
        <v/>
      </c>
      <c r="M612" s="263"/>
      <c r="N612" s="263"/>
      <c r="O612" s="263"/>
      <c r="P612" s="263"/>
      <c r="Q612" s="263"/>
      <c r="R612" s="263"/>
      <c r="S612" s="263"/>
      <c r="T612" s="263"/>
      <c r="U612" s="246"/>
      <c r="V612" s="246"/>
      <c r="W612" s="246"/>
      <c r="X612" s="246"/>
      <c r="Y612" s="246"/>
      <c r="Z612" s="246"/>
    </row>
    <row r="613">
      <c r="A613" s="263"/>
      <c r="B613" s="265" t="str">
        <f>IFERROR(__xludf.DUMMYFUNCTION("""COMPUTED_VALUE"""),"Redirected Force")</f>
        <v>Redirected Force</v>
      </c>
      <c r="C613" s="263"/>
      <c r="D613" s="264" t="str">
        <f>IFERROR(__xludf.DUMMYFUNCTION("""COMPUTED_VALUE"""),"Counter")</f>
        <v>Counter</v>
      </c>
      <c r="E613" s="264" t="str">
        <f>IFERROR(__xludf.DUMMYFUNCTION("""COMPUTED_VALUE"""),"Melee Weapon Range")</f>
        <v>Melee Weapon Range</v>
      </c>
      <c r="F613" s="266" t="str">
        <f>IFERROR(__xludf.DUMMYFUNCTION("""COMPUTED_VALUE"""),"You redirect the incoming attack back onto the attacker, using the same attack roll. The attacker may react to this attack as normal. Can not be used against the same attack used to enter the Serene Water stance.")</f>
        <v>You redirect the incoming attack back onto the attacker, using the same attack roll. The attacker may react to this attack as normal. Can not be used against the same attack used to enter the Serene Water stance.</v>
      </c>
      <c r="G613" s="264" t="str">
        <f>IFERROR(__xludf.DUMMYFUNCTION("""COMPUTED_VALUE"""),"Must be in Serene Water stance and after a melee attack against you missed.")</f>
        <v>Must be in Serene Water stance and after a melee attack against you missed.</v>
      </c>
      <c r="H613" s="267" t="str">
        <f>IFERROR(__xludf.DUMMYFUNCTION("""COMPUTED_VALUE"""),"1 RP")</f>
        <v>1 RP</v>
      </c>
      <c r="I613" s="263" t="str">
        <f>IFERROR(__xludf.DUMMYFUNCTION("""COMPUTED_VALUE"""),"")</f>
        <v/>
      </c>
      <c r="J613" s="263" t="str">
        <f>IFERROR(__xludf.DUMMYFUNCTION("""COMPUTED_VALUE"""),"")</f>
        <v/>
      </c>
      <c r="K613" s="263" t="str">
        <f>IFERROR(__xludf.DUMMYFUNCTION("""COMPUTED_VALUE"""),"1 RP")</f>
        <v>1 RP</v>
      </c>
      <c r="L613" s="263" t="str">
        <f>IFERROR(__xludf.DUMMYFUNCTION("""COMPUTED_VALUE"""),"")</f>
        <v/>
      </c>
      <c r="M613" s="263"/>
      <c r="N613" s="263"/>
      <c r="O613" s="263"/>
      <c r="P613" s="263"/>
      <c r="Q613" s="263"/>
      <c r="R613" s="263"/>
      <c r="S613" s="263"/>
      <c r="T613" s="263"/>
      <c r="U613" s="246"/>
      <c r="V613" s="246"/>
      <c r="W613" s="246"/>
      <c r="X613" s="246"/>
      <c r="Y613" s="246"/>
      <c r="Z613" s="246"/>
    </row>
    <row r="614">
      <c r="A614" s="263"/>
      <c r="B614" s="265" t="str">
        <f>IFERROR(__xludf.DUMMYFUNCTION("""COMPUTED_VALUE"""),"Redistribute")</f>
        <v>Redistribute</v>
      </c>
      <c r="C614" s="263"/>
      <c r="D614" s="264" t="str">
        <f>IFERROR(__xludf.DUMMYFUNCTION("""COMPUTED_VALUE"""),"")</f>
        <v/>
      </c>
      <c r="E614" s="264" t="str">
        <f>IFERROR(__xludf.DUMMYFUNCTION("""COMPUTED_VALUE"""),"80ft")</f>
        <v>80ft</v>
      </c>
      <c r="F614" s="266" t="str">
        <f>IFERROR(__xludf.DUMMYFUNCTION("""COMPUTED_VALUE"""),"You may transfer temporary HP from a single willing ally within range to any number of other allies within range. The total amount of temporary HP must be the same after the transfer.
May only redistribute temporary HP you applied through the use of a Shi"&amp;"eldwarden or Veilguard ability. Does not affect temporary HP added through Reinforce.")</f>
        <v>You may transfer temporary HP from a single willing ally within range to any number of other allies within range. The total amount of temporary HP must be the same after the transfer.
May only redistribute temporary HP you applied through the use of a Shieldwarden or Veilguard ability. Does not affect temporary HP added through Reinforce.</v>
      </c>
      <c r="G614" s="263" t="str">
        <f>IFERROR(__xludf.DUMMYFUNCTION("""COMPUTED_VALUE"""),"")</f>
        <v/>
      </c>
      <c r="H614" s="265" t="str">
        <f>IFERROR(__xludf.DUMMYFUNCTION("""COMPUTED_VALUE"""),"2 AP")</f>
        <v>2 AP</v>
      </c>
      <c r="I614" s="264" t="str">
        <f>IFERROR(__xludf.DUMMYFUNCTION("""COMPUTED_VALUE"""),"2 AP")</f>
        <v>2 AP</v>
      </c>
      <c r="J614" s="264" t="str">
        <f>IFERROR(__xludf.DUMMYFUNCTION("""COMPUTED_VALUE"""),"")</f>
        <v/>
      </c>
      <c r="K614" s="263" t="str">
        <f>IFERROR(__xludf.DUMMYFUNCTION("""COMPUTED_VALUE"""),"")</f>
        <v/>
      </c>
      <c r="L614" s="263" t="str">
        <f>IFERROR(__xludf.DUMMYFUNCTION("""COMPUTED_VALUE"""),"")</f>
        <v/>
      </c>
      <c r="M614" s="263"/>
      <c r="N614" s="263"/>
      <c r="O614" s="263"/>
      <c r="P614" s="263"/>
      <c r="Q614" s="263"/>
      <c r="R614" s="263"/>
      <c r="S614" s="263"/>
      <c r="T614" s="263"/>
      <c r="U614" s="246"/>
      <c r="V614" s="246"/>
      <c r="W614" s="246"/>
      <c r="X614" s="246"/>
      <c r="Y614" s="246"/>
      <c r="Z614" s="246"/>
    </row>
    <row r="615">
      <c r="A615" s="263"/>
      <c r="B615" s="265" t="str">
        <f>IFERROR(__xludf.DUMMYFUNCTION("""COMPUTED_VALUE"""),"Refreshing Stream")</f>
        <v>Refreshing Stream</v>
      </c>
      <c r="C615" s="263"/>
      <c r="D615" s="264" t="str">
        <f>IFERROR(__xludf.DUMMYFUNCTION("""COMPUTED_VALUE"""),"Spell, Water")</f>
        <v>Spell, Water</v>
      </c>
      <c r="E615" s="264" t="str">
        <f>IFERROR(__xludf.DUMMYFUNCTION("""COMPUTED_VALUE"""),"15 ft")</f>
        <v>15 ft</v>
      </c>
      <c r="F615" s="266" t="str">
        <f>IFERROR(__xludf.DUMMYFUNCTION("""COMPUTED_VALUE"""),"You cast this ability on water within range, recovering fatigue and granting a target within 15ft of that point 1 RP.  The target cannot go over their max RP from this.")</f>
        <v>You cast this ability on water within range, recovering fatigue and granting a target within 15ft of that point 1 RP.  The target cannot go over their max RP from this.</v>
      </c>
      <c r="G615" s="263" t="str">
        <f>IFERROR(__xludf.DUMMYFUNCTION("""COMPUTED_VALUE"""),"")</f>
        <v/>
      </c>
      <c r="H615" s="265" t="str">
        <f>IFERROR(__xludf.DUMMYFUNCTION("""COMPUTED_VALUE"""),"2 MP, 1 RP")</f>
        <v>2 MP, 1 RP</v>
      </c>
      <c r="I615" s="264" t="str">
        <f>IFERROR(__xludf.DUMMYFUNCTION("""COMPUTED_VALUE"""),"")</f>
        <v/>
      </c>
      <c r="J615" s="263" t="str">
        <f>IFERROR(__xludf.DUMMYFUNCTION("""COMPUTED_VALUE"""),"2 MP")</f>
        <v>2 MP</v>
      </c>
      <c r="K615" s="263" t="str">
        <f>IFERROR(__xludf.DUMMYFUNCTION("""COMPUTED_VALUE"""),"1 RP")</f>
        <v>1 RP</v>
      </c>
      <c r="L615" s="263" t="str">
        <f>IFERROR(__xludf.DUMMYFUNCTION("""COMPUTED_VALUE"""),"")</f>
        <v/>
      </c>
      <c r="M615" s="263"/>
      <c r="N615" s="263"/>
      <c r="O615" s="263"/>
      <c r="P615" s="263"/>
      <c r="Q615" s="263"/>
      <c r="R615" s="263"/>
      <c r="S615" s="263"/>
      <c r="T615" s="263"/>
      <c r="U615" s="246"/>
      <c r="V615" s="246"/>
      <c r="W615" s="246"/>
      <c r="X615" s="246"/>
      <c r="Y615" s="246"/>
      <c r="Z615" s="246"/>
    </row>
    <row r="616">
      <c r="A616" s="263"/>
      <c r="B616" s="265" t="str">
        <f>IFERROR(__xludf.DUMMYFUNCTION("""COMPUTED_VALUE"""),"Regrowing Limbs")</f>
        <v>Regrowing Limbs</v>
      </c>
      <c r="C616" s="263"/>
      <c r="D616" s="264" t="str">
        <f>IFERROR(__xludf.DUMMYFUNCTION("""COMPUTED_VALUE"""),"")</f>
        <v/>
      </c>
      <c r="E616" s="264" t="str">
        <f>IFERROR(__xludf.DUMMYFUNCTION("""COMPUTED_VALUE"""),"")</f>
        <v/>
      </c>
      <c r="F616" s="266" t="str">
        <f>IFERROR(__xludf.DUMMYFUNCTION("""COMPUTED_VALUE"""),"You regrow a lost limb, restoring it to full use.")</f>
        <v>You regrow a lost limb, restoring it to full use.</v>
      </c>
      <c r="G616" s="264" t="str">
        <f>IFERROR(__xludf.DUMMYFUNCTION("""COMPUTED_VALUE"""),"Costs 1 Interlude Point")</f>
        <v>Costs 1 Interlude Point</v>
      </c>
      <c r="H616" s="265" t="str">
        <f>IFERROR(__xludf.DUMMYFUNCTION("""COMPUTED_VALUE"""),"")</f>
        <v/>
      </c>
      <c r="I616" s="264" t="str">
        <f>IFERROR(__xludf.DUMMYFUNCTION("""COMPUTED_VALUE"""),"")</f>
        <v/>
      </c>
      <c r="J616" s="264" t="str">
        <f>IFERROR(__xludf.DUMMYFUNCTION("""COMPUTED_VALUE"""),"")</f>
        <v/>
      </c>
      <c r="K616" s="263" t="str">
        <f>IFERROR(__xludf.DUMMYFUNCTION("""COMPUTED_VALUE"""),"")</f>
        <v/>
      </c>
      <c r="L616" s="263" t="str">
        <f>IFERROR(__xludf.DUMMYFUNCTION("""COMPUTED_VALUE"""),"")</f>
        <v/>
      </c>
      <c r="M616" s="263"/>
      <c r="N616" s="263"/>
      <c r="O616" s="263"/>
      <c r="P616" s="263"/>
      <c r="Q616" s="263"/>
      <c r="R616" s="263"/>
      <c r="S616" s="263"/>
      <c r="T616" s="263"/>
      <c r="U616" s="246"/>
      <c r="V616" s="246"/>
      <c r="W616" s="246"/>
      <c r="X616" s="246"/>
      <c r="Y616" s="246"/>
      <c r="Z616" s="246"/>
    </row>
    <row r="617">
      <c r="A617" s="263"/>
      <c r="B617" s="265" t="str">
        <f>IFERROR(__xludf.DUMMYFUNCTION("""COMPUTED_VALUE"""),"Regrowth")</f>
        <v>Regrowth</v>
      </c>
      <c r="C617" s="263"/>
      <c r="D617" s="264" t="str">
        <f>IFERROR(__xludf.DUMMYFUNCTION("""COMPUTED_VALUE"""),"Regrowth, Healing, Spell")</f>
        <v>Regrowth, Healing, Spell</v>
      </c>
      <c r="E617" s="264" t="str">
        <f>IFERROR(__xludf.DUMMYFUNCTION("""COMPUTED_VALUE"""),"60ft")</f>
        <v>60ft</v>
      </c>
      <c r="F617" s="266" t="str">
        <f>IFERROR(__xludf.DUMMYFUNCTION("""COMPUTED_VALUE"""),"You use nature's power to place Regrowth on an ally that lasts until the start of your next turn.")</f>
        <v>You use nature's power to place Regrowth on an ally that lasts until the start of your next turn.</v>
      </c>
      <c r="G617" s="263" t="str">
        <f>IFERROR(__xludf.DUMMYFUNCTION("""COMPUTED_VALUE"""),"")</f>
        <v/>
      </c>
      <c r="H617" s="265" t="str">
        <f>IFERROR(__xludf.DUMMYFUNCTION("""COMPUTED_VALUE"""),"1 AP, 1 MP")</f>
        <v>1 AP, 1 MP</v>
      </c>
      <c r="I617" s="264" t="str">
        <f>IFERROR(__xludf.DUMMYFUNCTION("""COMPUTED_VALUE"""),"1 AP")</f>
        <v>1 AP</v>
      </c>
      <c r="J617" s="263" t="str">
        <f>IFERROR(__xludf.DUMMYFUNCTION("""COMPUTED_VALUE"""),"1 MP")</f>
        <v>1 MP</v>
      </c>
      <c r="K617" s="263" t="str">
        <f>IFERROR(__xludf.DUMMYFUNCTION("""COMPUTED_VALUE"""),"")</f>
        <v/>
      </c>
      <c r="L617" s="263" t="str">
        <f>IFERROR(__xludf.DUMMYFUNCTION("""COMPUTED_VALUE"""),"")</f>
        <v/>
      </c>
      <c r="M617" s="263"/>
      <c r="N617" s="263"/>
      <c r="O617" s="263"/>
      <c r="P617" s="263"/>
      <c r="Q617" s="263"/>
      <c r="R617" s="263"/>
      <c r="S617" s="263"/>
      <c r="T617" s="263"/>
      <c r="U617" s="246"/>
      <c r="V617" s="246"/>
      <c r="W617" s="246"/>
      <c r="X617" s="246"/>
      <c r="Y617" s="246"/>
      <c r="Z617" s="246"/>
    </row>
    <row r="618">
      <c r="A618" s="263"/>
      <c r="B618" s="265" t="str">
        <f>IFERROR(__xludf.DUMMYFUNCTION("""COMPUTED_VALUE"""),"Reinforce Armor")</f>
        <v>Reinforce Armor</v>
      </c>
      <c r="C618" s="263"/>
      <c r="D618" s="264" t="str">
        <f>IFERROR(__xludf.DUMMYFUNCTION("""COMPUTED_VALUE"""),"")</f>
        <v/>
      </c>
      <c r="E618" s="264" t="str">
        <f>IFERROR(__xludf.DUMMYFUNCTION("""COMPUTED_VALUE"""),"Self")</f>
        <v>Self</v>
      </c>
      <c r="F618" s="266" t="str">
        <f>IFERROR(__xludf.DUMMYFUNCTION("""COMPUTED_VALUE"""),"Until the start of your next turn, the guard and block value gained from an armor and shield you crafted and are wearing is doubled.
Does not affect armor plates.")</f>
        <v>Until the start of your next turn, the guard and block value gained from an armor and shield you crafted and are wearing is doubled.
Does not affect armor plates.</v>
      </c>
      <c r="G618" s="263" t="str">
        <f>IFERROR(__xludf.DUMMYFUNCTION("""COMPUTED_VALUE"""),"Must be wearing armor or a shield you crafted.")</f>
        <v>Must be wearing armor or a shield you crafted.</v>
      </c>
      <c r="H618" s="265" t="str">
        <f>IFERROR(__xludf.DUMMYFUNCTION("""COMPUTED_VALUE"""),"2 MP, 0 RP")</f>
        <v>2 MP, 0 RP</v>
      </c>
      <c r="I618" s="264" t="str">
        <f>IFERROR(__xludf.DUMMYFUNCTION("""COMPUTED_VALUE"""),"")</f>
        <v/>
      </c>
      <c r="J618" s="263" t="str">
        <f>IFERROR(__xludf.DUMMYFUNCTION("""COMPUTED_VALUE"""),"2 MP")</f>
        <v>2 MP</v>
      </c>
      <c r="K618" s="263" t="str">
        <f>IFERROR(__xludf.DUMMYFUNCTION("""COMPUTED_VALUE"""),"0 RP")</f>
        <v>0 RP</v>
      </c>
      <c r="L618" s="263" t="str">
        <f>IFERROR(__xludf.DUMMYFUNCTION("""COMPUTED_VALUE"""),"")</f>
        <v/>
      </c>
      <c r="M618" s="263"/>
      <c r="N618" s="263"/>
      <c r="O618" s="263"/>
      <c r="P618" s="263"/>
      <c r="Q618" s="263"/>
      <c r="R618" s="263"/>
      <c r="S618" s="263"/>
      <c r="T618" s="263"/>
      <c r="U618" s="246"/>
      <c r="V618" s="246"/>
      <c r="W618" s="246"/>
      <c r="X618" s="246"/>
      <c r="Y618" s="246"/>
      <c r="Z618" s="246"/>
    </row>
    <row r="619">
      <c r="A619" s="263"/>
      <c r="B619" s="265" t="str">
        <f>IFERROR(__xludf.DUMMYFUNCTION("""COMPUTED_VALUE"""),"Repair Armor")</f>
        <v>Repair Armor</v>
      </c>
      <c r="C619" s="263"/>
      <c r="D619" s="264" t="str">
        <f>IFERROR(__xludf.DUMMYFUNCTION("""COMPUTED_VALUE"""),"Interlude, Errand")</f>
        <v>Interlude, Errand</v>
      </c>
      <c r="E619" s="264" t="str">
        <f>IFERROR(__xludf.DUMMYFUNCTION("""COMPUTED_VALUE"""),"")</f>
        <v/>
      </c>
      <c r="F619" s="266" t="str">
        <f>IFERROR(__xludf.DUMMYFUNCTION("""COMPUTED_VALUE"""),"Errand. You repair a broken armor.")</f>
        <v>Errand. You repair a broken armor.</v>
      </c>
      <c r="G619" s="263" t="str">
        <f>IFERROR(__xludf.DUMMYFUNCTION("""COMPUTED_VALUE"""),"")</f>
        <v/>
      </c>
      <c r="H619" s="265" t="str">
        <f>IFERROR(__xludf.DUMMYFUNCTION("""COMPUTED_VALUE"""),"")</f>
        <v/>
      </c>
      <c r="I619" s="264" t="str">
        <f>IFERROR(__xludf.DUMMYFUNCTION("""COMPUTED_VALUE"""),"")</f>
        <v/>
      </c>
      <c r="J619" s="264" t="str">
        <f>IFERROR(__xludf.DUMMYFUNCTION("""COMPUTED_VALUE"""),"")</f>
        <v/>
      </c>
      <c r="K619" s="263" t="str">
        <f>IFERROR(__xludf.DUMMYFUNCTION("""COMPUTED_VALUE"""),"")</f>
        <v/>
      </c>
      <c r="L619" s="263" t="str">
        <f>IFERROR(__xludf.DUMMYFUNCTION("""COMPUTED_VALUE"""),"")</f>
        <v/>
      </c>
      <c r="M619" s="263"/>
      <c r="N619" s="263"/>
      <c r="O619" s="263"/>
      <c r="P619" s="263"/>
      <c r="Q619" s="263"/>
      <c r="R619" s="263"/>
      <c r="S619" s="263"/>
      <c r="T619" s="263"/>
      <c r="U619" s="246"/>
      <c r="V619" s="246"/>
      <c r="W619" s="246"/>
      <c r="X619" s="246"/>
      <c r="Y619" s="246"/>
      <c r="Z619" s="246"/>
    </row>
    <row r="620">
      <c r="A620" s="263"/>
      <c r="B620" s="265" t="str">
        <f>IFERROR(__xludf.DUMMYFUNCTION("""COMPUTED_VALUE"""),"Repair Artifice")</f>
        <v>Repair Artifice</v>
      </c>
      <c r="C620" s="263"/>
      <c r="D620" s="264" t="str">
        <f>IFERROR(__xludf.DUMMYFUNCTION("""COMPUTED_VALUE"""),"Interlude, Errand")</f>
        <v>Interlude, Errand</v>
      </c>
      <c r="E620" s="264" t="str">
        <f>IFERROR(__xludf.DUMMYFUNCTION("""COMPUTED_VALUE"""),"")</f>
        <v/>
      </c>
      <c r="F620" s="266" t="str">
        <f>IFERROR(__xludf.DUMMYFUNCTION("""COMPUTED_VALUE"""),"Errand. You repair a broken artifice.")</f>
        <v>Errand. You repair a broken artifice.</v>
      </c>
      <c r="G620" s="264" t="str">
        <f>IFERROR(__xludf.DUMMYFUNCTION("""COMPUTED_VALUE"""),"")</f>
        <v/>
      </c>
      <c r="H620" s="265" t="str">
        <f>IFERROR(__xludf.DUMMYFUNCTION("""COMPUTED_VALUE"""),"")</f>
        <v/>
      </c>
      <c r="I620" s="263" t="str">
        <f>IFERROR(__xludf.DUMMYFUNCTION("""COMPUTED_VALUE"""),"")</f>
        <v/>
      </c>
      <c r="J620" s="264" t="str">
        <f>IFERROR(__xludf.DUMMYFUNCTION("""COMPUTED_VALUE"""),"")</f>
        <v/>
      </c>
      <c r="K620" s="264" t="str">
        <f>IFERROR(__xludf.DUMMYFUNCTION("""COMPUTED_VALUE"""),"")</f>
        <v/>
      </c>
      <c r="L620" s="263" t="str">
        <f>IFERROR(__xludf.DUMMYFUNCTION("""COMPUTED_VALUE"""),"")</f>
        <v/>
      </c>
      <c r="M620" s="263"/>
      <c r="N620" s="263"/>
      <c r="O620" s="263"/>
      <c r="P620" s="263"/>
      <c r="Q620" s="263"/>
      <c r="R620" s="263"/>
      <c r="S620" s="263"/>
      <c r="T620" s="263"/>
      <c r="U620" s="246"/>
      <c r="V620" s="246"/>
      <c r="W620" s="246"/>
      <c r="X620" s="246"/>
      <c r="Y620" s="246"/>
      <c r="Z620" s="246"/>
    </row>
    <row r="621">
      <c r="A621" s="263"/>
      <c r="B621" s="265" t="str">
        <f>IFERROR(__xludf.DUMMYFUNCTION("""COMPUTED_VALUE"""),"Repair Weapon")</f>
        <v>Repair Weapon</v>
      </c>
      <c r="C621" s="263"/>
      <c r="D621" s="264" t="str">
        <f>IFERROR(__xludf.DUMMYFUNCTION("""COMPUTED_VALUE"""),"Interlude, Errand")</f>
        <v>Interlude, Errand</v>
      </c>
      <c r="E621" s="264" t="str">
        <f>IFERROR(__xludf.DUMMYFUNCTION("""COMPUTED_VALUE"""),"")</f>
        <v/>
      </c>
      <c r="F621" s="266" t="str">
        <f>IFERROR(__xludf.DUMMYFUNCTION("""COMPUTED_VALUE"""),"Errand. You repair a broken smithing weapon.")</f>
        <v>Errand. You repair a broken smithing weapon.</v>
      </c>
      <c r="G621" s="264" t="str">
        <f>IFERROR(__xludf.DUMMYFUNCTION("""COMPUTED_VALUE"""),"")</f>
        <v/>
      </c>
      <c r="H621" s="265" t="str">
        <f>IFERROR(__xludf.DUMMYFUNCTION("""COMPUTED_VALUE"""),"")</f>
        <v/>
      </c>
      <c r="I621" s="264" t="str">
        <f>IFERROR(__xludf.DUMMYFUNCTION("""COMPUTED_VALUE"""),"")</f>
        <v/>
      </c>
      <c r="J621" s="264" t="str">
        <f>IFERROR(__xludf.DUMMYFUNCTION("""COMPUTED_VALUE"""),"")</f>
        <v/>
      </c>
      <c r="K621" s="263" t="str">
        <f>IFERROR(__xludf.DUMMYFUNCTION("""COMPUTED_VALUE"""),"")</f>
        <v/>
      </c>
      <c r="L621" s="263" t="str">
        <f>IFERROR(__xludf.DUMMYFUNCTION("""COMPUTED_VALUE"""),"")</f>
        <v/>
      </c>
      <c r="M621" s="263"/>
      <c r="N621" s="263"/>
      <c r="O621" s="263"/>
      <c r="P621" s="263"/>
      <c r="Q621" s="263"/>
      <c r="R621" s="263"/>
      <c r="S621" s="263"/>
      <c r="T621" s="263"/>
      <c r="U621" s="246"/>
      <c r="V621" s="246"/>
      <c r="W621" s="246"/>
      <c r="X621" s="246"/>
      <c r="Y621" s="246"/>
      <c r="Z621" s="246"/>
    </row>
    <row r="622">
      <c r="A622" s="263"/>
      <c r="B622" s="265" t="str">
        <f>IFERROR(__xludf.DUMMYFUNCTION("""COMPUTED_VALUE"""),"Repair Wood Weapon")</f>
        <v>Repair Wood Weapon</v>
      </c>
      <c r="C622" s="263"/>
      <c r="D622" s="264" t="str">
        <f>IFERROR(__xludf.DUMMYFUNCTION("""COMPUTED_VALUE"""),"Interlude, Errand")</f>
        <v>Interlude, Errand</v>
      </c>
      <c r="E622" s="264" t="str">
        <f>IFERROR(__xludf.DUMMYFUNCTION("""COMPUTED_VALUE"""),"")</f>
        <v/>
      </c>
      <c r="F622" s="266" t="str">
        <f>IFERROR(__xludf.DUMMYFUNCTION("""COMPUTED_VALUE"""),"Errand. You repair a broken carpentry weapon.")</f>
        <v>Errand. You repair a broken carpentry weapon.</v>
      </c>
      <c r="G622" s="264" t="str">
        <f>IFERROR(__xludf.DUMMYFUNCTION("""COMPUTED_VALUE"""),"")</f>
        <v/>
      </c>
      <c r="H622" s="265" t="str">
        <f>IFERROR(__xludf.DUMMYFUNCTION("""COMPUTED_VALUE"""),"")</f>
        <v/>
      </c>
      <c r="I622" s="264" t="str">
        <f>IFERROR(__xludf.DUMMYFUNCTION("""COMPUTED_VALUE"""),"")</f>
        <v/>
      </c>
      <c r="J622" s="263" t="str">
        <f>IFERROR(__xludf.DUMMYFUNCTION("""COMPUTED_VALUE"""),"")</f>
        <v/>
      </c>
      <c r="K622" s="263" t="str">
        <f>IFERROR(__xludf.DUMMYFUNCTION("""COMPUTED_VALUE"""),"")</f>
        <v/>
      </c>
      <c r="L622" s="263" t="str">
        <f>IFERROR(__xludf.DUMMYFUNCTION("""COMPUTED_VALUE"""),"")</f>
        <v/>
      </c>
      <c r="M622" s="263"/>
      <c r="N622" s="263"/>
      <c r="O622" s="263"/>
      <c r="P622" s="263"/>
      <c r="Q622" s="263"/>
      <c r="R622" s="263"/>
      <c r="S622" s="263"/>
      <c r="T622" s="263"/>
      <c r="U622" s="246"/>
      <c r="V622" s="246"/>
      <c r="W622" s="246"/>
      <c r="X622" s="246"/>
      <c r="Y622" s="246"/>
      <c r="Z622" s="246"/>
    </row>
    <row r="623">
      <c r="A623" s="263"/>
      <c r="B623" s="265" t="str">
        <f>IFERROR(__xludf.DUMMYFUNCTION("""COMPUTED_VALUE"""),"Rescue")</f>
        <v>Rescue</v>
      </c>
      <c r="C623" s="263"/>
      <c r="D623" s="264" t="str">
        <f>IFERROR(__xludf.DUMMYFUNCTION("""COMPUTED_VALUE"""),"Spell, Teleport")</f>
        <v>Spell, Teleport</v>
      </c>
      <c r="E623" s="264" t="str">
        <f>IFERROR(__xludf.DUMMYFUNCTION("""COMPUTED_VALUE"""),"60ft")</f>
        <v>60ft</v>
      </c>
      <c r="F623" s="266" t="str">
        <f>IFERROR(__xludf.DUMMYFUNCTION("""COMPUTED_VALUE"""),"You Teleport a willing ally within range to an empty square next to you. If the target is mounted, you may also teleport their mount together with the target.")</f>
        <v>You Teleport a willing ally within range to an empty square next to you. If the target is mounted, you may also teleport their mount together with the target.</v>
      </c>
      <c r="G623" s="264" t="str">
        <f>IFERROR(__xludf.DUMMYFUNCTION("""COMPUTED_VALUE"""),"")</f>
        <v/>
      </c>
      <c r="H623" s="265" t="str">
        <f>IFERROR(__xludf.DUMMYFUNCTION("""COMPUTED_VALUE"""),"2 AP, 2 MP")</f>
        <v>2 AP, 2 MP</v>
      </c>
      <c r="I623" s="264" t="str">
        <f>IFERROR(__xludf.DUMMYFUNCTION("""COMPUTED_VALUE"""),"2 AP")</f>
        <v>2 AP</v>
      </c>
      <c r="J623" s="264" t="str">
        <f>IFERROR(__xludf.DUMMYFUNCTION("""COMPUTED_VALUE"""),"2 MP")</f>
        <v>2 MP</v>
      </c>
      <c r="K623" s="263" t="str">
        <f>IFERROR(__xludf.DUMMYFUNCTION("""COMPUTED_VALUE"""),"")</f>
        <v/>
      </c>
      <c r="L623" s="263" t="str">
        <f>IFERROR(__xludf.DUMMYFUNCTION("""COMPUTED_VALUE"""),"")</f>
        <v/>
      </c>
      <c r="M623" s="263"/>
      <c r="N623" s="263"/>
      <c r="O623" s="263"/>
      <c r="P623" s="263"/>
      <c r="Q623" s="263"/>
      <c r="R623" s="263"/>
      <c r="S623" s="263"/>
      <c r="T623" s="263"/>
      <c r="U623" s="246"/>
      <c r="V623" s="246"/>
      <c r="W623" s="246"/>
      <c r="X623" s="246"/>
      <c r="Y623" s="246"/>
      <c r="Z623" s="246"/>
    </row>
    <row r="624">
      <c r="A624" s="263"/>
      <c r="B624" s="265" t="str">
        <f>IFERROR(__xludf.DUMMYFUNCTION("""COMPUTED_VALUE"""),"Rescue &amp; Drop")</f>
        <v>Rescue &amp; Drop</v>
      </c>
      <c r="C624" s="263"/>
      <c r="D624" s="264" t="str">
        <f>IFERROR(__xludf.DUMMYFUNCTION("""COMPUTED_VALUE"""),"")</f>
        <v/>
      </c>
      <c r="E624" s="264" t="str">
        <f>IFERROR(__xludf.DUMMYFUNCTION("""COMPUTED_VALUE"""),"5ft")</f>
        <v>5ft</v>
      </c>
      <c r="F624" s="266" t="str">
        <f>IFERROR(__xludf.DUMMYFUNCTION("""COMPUTED_VALUE"""),"You pick up a willing ally and put them on your mount. They travel with you on the back of your mount until either you or they spend 0 AP or 1 RP to place them back on the ground. An ally that is being rescued can not take any other actions until they are"&amp;" dropped.
Only 1 ally can be rescued at a time.")</f>
        <v>You pick up a willing ally and put them on your mount. They travel with you on the back of your mount until either you or they spend 0 AP or 1 RP to place them back on the ground. An ally that is being rescued can not take any other actions until they are dropped.
Only 1 ally can be rescued at a time.</v>
      </c>
      <c r="G624" s="264" t="str">
        <f>IFERROR(__xludf.DUMMYFUNCTION("""COMPUTED_VALUE"""),"Must be mounted.")</f>
        <v>Must be mounted.</v>
      </c>
      <c r="H624" s="265" t="str">
        <f>IFERROR(__xludf.DUMMYFUNCTION("""COMPUTED_VALUE"""),"1 AP")</f>
        <v>1 AP</v>
      </c>
      <c r="I624" s="263" t="str">
        <f>IFERROR(__xludf.DUMMYFUNCTION("""COMPUTED_VALUE"""),"1 AP")</f>
        <v>1 AP</v>
      </c>
      <c r="J624" s="264" t="str">
        <f>IFERROR(__xludf.DUMMYFUNCTION("""COMPUTED_VALUE"""),"")</f>
        <v/>
      </c>
      <c r="K624" s="264" t="str">
        <f>IFERROR(__xludf.DUMMYFUNCTION("""COMPUTED_VALUE"""),"")</f>
        <v/>
      </c>
      <c r="L624" s="263" t="str">
        <f>IFERROR(__xludf.DUMMYFUNCTION("""COMPUTED_VALUE"""),"")</f>
        <v/>
      </c>
      <c r="M624" s="263"/>
      <c r="N624" s="263"/>
      <c r="O624" s="263"/>
      <c r="P624" s="263"/>
      <c r="Q624" s="263"/>
      <c r="R624" s="263"/>
      <c r="S624" s="263"/>
      <c r="T624" s="263"/>
      <c r="U624" s="246"/>
      <c r="V624" s="246"/>
      <c r="W624" s="246"/>
      <c r="X624" s="246"/>
      <c r="Y624" s="246"/>
      <c r="Z624" s="246"/>
    </row>
    <row r="625">
      <c r="A625" s="263"/>
      <c r="B625" s="265" t="str">
        <f>IFERROR(__xludf.DUMMYFUNCTION("""COMPUTED_VALUE"""),"Resheathe")</f>
        <v>Resheathe</v>
      </c>
      <c r="C625" s="263"/>
      <c r="D625" s="264" t="str">
        <f>IFERROR(__xludf.DUMMYFUNCTION("""COMPUTED_VALUE"""),"")</f>
        <v/>
      </c>
      <c r="E625" s="264" t="str">
        <f>IFERROR(__xludf.DUMMYFUNCTION("""COMPUTED_VALUE"""),"Self")</f>
        <v>Self</v>
      </c>
      <c r="F625" s="266" t="str">
        <f>IFERROR(__xludf.DUMMYFUNCTION("""COMPUTED_VALUE"""),"You regain the Iai state. In addition, your next Iai strike this encounter gains Full Pierce.")</f>
        <v>You regain the Iai state. In addition, your next Iai strike this encounter gains Full Pierce.</v>
      </c>
      <c r="G625" s="263" t="str">
        <f>IFERROR(__xludf.DUMMYFUNCTION("""COMPUTED_VALUE"""),"Not in Iai state.")</f>
        <v>Not in Iai state.</v>
      </c>
      <c r="H625" s="265" t="str">
        <f>IFERROR(__xludf.DUMMYFUNCTION("""COMPUTED_VALUE"""),"4 AP")</f>
        <v>4 AP</v>
      </c>
      <c r="I625" s="264" t="str">
        <f>IFERROR(__xludf.DUMMYFUNCTION("""COMPUTED_VALUE"""),"4 AP")</f>
        <v>4 AP</v>
      </c>
      <c r="J625" s="264" t="str">
        <f>IFERROR(__xludf.DUMMYFUNCTION("""COMPUTED_VALUE"""),"")</f>
        <v/>
      </c>
      <c r="K625" s="263" t="str">
        <f>IFERROR(__xludf.DUMMYFUNCTION("""COMPUTED_VALUE"""),"")</f>
        <v/>
      </c>
      <c r="L625" s="263" t="str">
        <f>IFERROR(__xludf.DUMMYFUNCTION("""COMPUTED_VALUE"""),"")</f>
        <v/>
      </c>
      <c r="M625" s="263"/>
      <c r="N625" s="263"/>
      <c r="O625" s="263"/>
      <c r="P625" s="263"/>
      <c r="Q625" s="263"/>
      <c r="R625" s="263"/>
      <c r="S625" s="263"/>
      <c r="T625" s="263"/>
      <c r="U625" s="246"/>
      <c r="V625" s="246"/>
      <c r="W625" s="246"/>
      <c r="X625" s="246"/>
      <c r="Y625" s="246"/>
      <c r="Z625" s="246"/>
    </row>
    <row r="626">
      <c r="A626" s="263"/>
      <c r="B626" s="265" t="str">
        <f>IFERROR(__xludf.DUMMYFUNCTION("""COMPUTED_VALUE"""),"Resist Poison")</f>
        <v>Resist Poison</v>
      </c>
      <c r="C626" s="263"/>
      <c r="D626" s="264" t="str">
        <f>IFERROR(__xludf.DUMMYFUNCTION("""COMPUTED_VALUE"""),"Rapid")</f>
        <v>Rapid</v>
      </c>
      <c r="E626" s="264" t="str">
        <f>IFERROR(__xludf.DUMMYFUNCTION("""COMPUTED_VALUE"""),"Self")</f>
        <v>Self</v>
      </c>
      <c r="F626" s="266" t="str">
        <f>IFERROR(__xludf.DUMMYFUNCTION("""COMPUTED_VALUE"""),"You gain Resist Poison, which gives you Damage Reduction 100 against the triggering damage. You also resist the application of the poison, negating its effect.")</f>
        <v>You gain Resist Poison, which gives you Damage Reduction 100 against the triggering damage. You also resist the application of the poison, negating its effect.</v>
      </c>
      <c r="G626" s="263" t="str">
        <f>IFERROR(__xludf.DUMMYFUNCTION("""COMPUTED_VALUE"""),"You're about to take Poison damage or become afflicted with a Poison.")</f>
        <v>You're about to take Poison damage or become afflicted with a Poison.</v>
      </c>
      <c r="H626" s="265" t="str">
        <f>IFERROR(__xludf.DUMMYFUNCTION("""COMPUTED_VALUE"""),"1 RP")</f>
        <v>1 RP</v>
      </c>
      <c r="I626" s="264" t="str">
        <f>IFERROR(__xludf.DUMMYFUNCTION("""COMPUTED_VALUE"""),"")</f>
        <v/>
      </c>
      <c r="J626" s="264" t="str">
        <f>IFERROR(__xludf.DUMMYFUNCTION("""COMPUTED_VALUE"""),"")</f>
        <v/>
      </c>
      <c r="K626" s="263" t="str">
        <f>IFERROR(__xludf.DUMMYFUNCTION("""COMPUTED_VALUE"""),"1 RP")</f>
        <v>1 RP</v>
      </c>
      <c r="L626" s="263" t="str">
        <f>IFERROR(__xludf.DUMMYFUNCTION("""COMPUTED_VALUE"""),"")</f>
        <v/>
      </c>
      <c r="M626" s="263"/>
      <c r="N626" s="263"/>
      <c r="O626" s="263"/>
      <c r="P626" s="263"/>
      <c r="Q626" s="263"/>
      <c r="R626" s="263"/>
      <c r="S626" s="263"/>
      <c r="T626" s="263"/>
      <c r="U626" s="246"/>
      <c r="V626" s="246"/>
      <c r="W626" s="246"/>
      <c r="X626" s="246"/>
      <c r="Y626" s="246"/>
      <c r="Z626" s="246"/>
    </row>
    <row r="627">
      <c r="A627" s="263"/>
      <c r="B627" s="265" t="str">
        <f>IFERROR(__xludf.DUMMYFUNCTION("""COMPUTED_VALUE"""),"Resistant Venom")</f>
        <v>Resistant Venom</v>
      </c>
      <c r="C627" s="263"/>
      <c r="D627" s="264" t="str">
        <f>IFERROR(__xludf.DUMMYFUNCTION("""COMPUTED_VALUE"""),"Persist")</f>
        <v>Persist</v>
      </c>
      <c r="E627" s="264" t="str">
        <f>IFERROR(__xludf.DUMMYFUNCTION("""COMPUTED_VALUE"""),"")</f>
        <v/>
      </c>
      <c r="F627" s="266" t="str">
        <f>IFERROR(__xludf.DUMMYFUNCTION("""COMPUTED_VALUE"""),"Your Poison effects gain Persist 1.")</f>
        <v>Your Poison effects gain Persist 1.</v>
      </c>
      <c r="G627" s="263" t="str">
        <f>IFERROR(__xludf.DUMMYFUNCTION("""COMPUTED_VALUE"""),"")</f>
        <v/>
      </c>
      <c r="H627" s="265" t="str">
        <f>IFERROR(__xludf.DUMMYFUNCTION("""COMPUTED_VALUE"""),"")</f>
        <v/>
      </c>
      <c r="I627" s="264" t="str">
        <f>IFERROR(__xludf.DUMMYFUNCTION("""COMPUTED_VALUE"""),"")</f>
        <v/>
      </c>
      <c r="J627" s="263" t="str">
        <f>IFERROR(__xludf.DUMMYFUNCTION("""COMPUTED_VALUE"""),"")</f>
        <v/>
      </c>
      <c r="K627" s="263" t="str">
        <f>IFERROR(__xludf.DUMMYFUNCTION("""COMPUTED_VALUE"""),"")</f>
        <v/>
      </c>
      <c r="L627" s="263" t="str">
        <f>IFERROR(__xludf.DUMMYFUNCTION("""COMPUTED_VALUE"""),"")</f>
        <v/>
      </c>
      <c r="M627" s="263"/>
      <c r="N627" s="263"/>
      <c r="O627" s="263"/>
      <c r="P627" s="263"/>
      <c r="Q627" s="263"/>
      <c r="R627" s="263"/>
      <c r="S627" s="263"/>
      <c r="T627" s="263"/>
      <c r="U627" s="246"/>
      <c r="V627" s="246"/>
      <c r="W627" s="246"/>
      <c r="X627" s="246"/>
      <c r="Y627" s="246"/>
      <c r="Z627" s="246"/>
    </row>
    <row r="628">
      <c r="A628" s="263"/>
      <c r="B628" s="265" t="str">
        <f>IFERROR(__xludf.DUMMYFUNCTION("""COMPUTED_VALUE"""),"Revealing Light")</f>
        <v>Revealing Light</v>
      </c>
      <c r="C628" s="263"/>
      <c r="D628" s="264" t="str">
        <f>IFERROR(__xludf.DUMMYFUNCTION("""COMPUTED_VALUE"""),"")</f>
        <v/>
      </c>
      <c r="E628" s="264" t="str">
        <f>IFERROR(__xludf.DUMMYFUNCTION("""COMPUTED_VALUE"""),"Self")</f>
        <v>Self</v>
      </c>
      <c r="F628" s="266" t="str">
        <f>IFERROR(__xludf.DUMMYFUNCTION("""COMPUTED_VALUE"""),"You clap your hands and send out a pulse of solar light in a 40ft radius around you. All creatures within that range are immediately revealed, canceling any stealth, invisibility or similar technique to hide themselves. They glow brightly until the start "&amp;"of your next turn, giving them a -20 penalty to stealth checks.")</f>
        <v>You clap your hands and send out a pulse of solar light in a 40ft radius around you. All creatures within that range are immediately revealed, canceling any stealth, invisibility or similar technique to hide themselves. They glow brightly until the start of your next turn, giving them a -20 penalty to stealth checks.</v>
      </c>
      <c r="G628" s="263" t="str">
        <f>IFERROR(__xludf.DUMMYFUNCTION("""COMPUTED_VALUE"""),"")</f>
        <v/>
      </c>
      <c r="H628" s="267" t="str">
        <f>IFERROR(__xludf.DUMMYFUNCTION("""COMPUTED_VALUE"""),"2 AP, 2 MP")</f>
        <v>2 AP, 2 MP</v>
      </c>
      <c r="I628" s="263" t="str">
        <f>IFERROR(__xludf.DUMMYFUNCTION("""COMPUTED_VALUE"""),"2 AP")</f>
        <v>2 AP</v>
      </c>
      <c r="J628" s="263" t="str">
        <f>IFERROR(__xludf.DUMMYFUNCTION("""COMPUTED_VALUE"""),"2 MP")</f>
        <v>2 MP</v>
      </c>
      <c r="K628" s="263" t="str">
        <f>IFERROR(__xludf.DUMMYFUNCTION("""COMPUTED_VALUE"""),"")</f>
        <v/>
      </c>
      <c r="L628" s="263" t="str">
        <f>IFERROR(__xludf.DUMMYFUNCTION("""COMPUTED_VALUE"""),"")</f>
        <v/>
      </c>
      <c r="M628" s="263"/>
      <c r="N628" s="263"/>
      <c r="O628" s="263"/>
      <c r="P628" s="263"/>
      <c r="Q628" s="263"/>
      <c r="R628" s="263"/>
      <c r="S628" s="263"/>
      <c r="T628" s="263"/>
      <c r="U628" s="246"/>
      <c r="V628" s="246"/>
      <c r="W628" s="246"/>
      <c r="X628" s="246"/>
      <c r="Y628" s="246"/>
      <c r="Z628" s="246"/>
    </row>
    <row r="629">
      <c r="A629" s="263"/>
      <c r="B629" s="265" t="str">
        <f>IFERROR(__xludf.DUMMYFUNCTION("""COMPUTED_VALUE"""),"Reverse Polarity")</f>
        <v>Reverse Polarity</v>
      </c>
      <c r="C629" s="263"/>
      <c r="D629" s="264" t="str">
        <f>IFERROR(__xludf.DUMMYFUNCTION("""COMPUTED_VALUE"""),"")</f>
        <v/>
      </c>
      <c r="E629" s="264" t="str">
        <f>IFERROR(__xludf.DUMMYFUNCTION("""COMPUTED_VALUE"""),"")</f>
        <v/>
      </c>
      <c r="F629" s="266" t="str">
        <f>IFERROR(__xludf.DUMMYFUNCTION("""COMPUTED_VALUE"""),"You invert the roll result. (1 becomes 10, 2 becomes 9 etc)")</f>
        <v>You invert the roll result. (1 becomes 10, 2 becomes 9 etc)</v>
      </c>
      <c r="G629" s="263" t="str">
        <f>IFERROR(__xludf.DUMMYFUNCTION("""COMPUTED_VALUE"""),"Must be in a crafting session.")</f>
        <v>Must be in a crafting session.</v>
      </c>
      <c r="H629" s="265" t="str">
        <f>IFERROR(__xludf.DUMMYFUNCTION("""COMPUTED_VALUE"""),"")</f>
        <v/>
      </c>
      <c r="I629" s="264" t="str">
        <f>IFERROR(__xludf.DUMMYFUNCTION("""COMPUTED_VALUE"""),"")</f>
        <v/>
      </c>
      <c r="J629" s="264" t="str">
        <f>IFERROR(__xludf.DUMMYFUNCTION("""COMPUTED_VALUE"""),"")</f>
        <v/>
      </c>
      <c r="K629" s="263" t="str">
        <f>IFERROR(__xludf.DUMMYFUNCTION("""COMPUTED_VALUE"""),"")</f>
        <v/>
      </c>
      <c r="L629" s="263" t="str">
        <f>IFERROR(__xludf.DUMMYFUNCTION("""COMPUTED_VALUE"""),"")</f>
        <v/>
      </c>
      <c r="M629" s="263"/>
      <c r="N629" s="263"/>
      <c r="O629" s="263"/>
      <c r="P629" s="263"/>
      <c r="Q629" s="263"/>
      <c r="R629" s="263"/>
      <c r="S629" s="263"/>
      <c r="T629" s="263"/>
      <c r="U629" s="246"/>
      <c r="V629" s="246"/>
      <c r="W629" s="246"/>
      <c r="X629" s="246"/>
      <c r="Y629" s="246"/>
      <c r="Z629" s="246"/>
    </row>
    <row r="630">
      <c r="A630" s="263"/>
      <c r="B630" s="265" t="str">
        <f>IFERROR(__xludf.DUMMYFUNCTION("""COMPUTED_VALUE"""),"Ricochet")</f>
        <v>Ricochet</v>
      </c>
      <c r="C630" s="263"/>
      <c r="D630" s="264" t="str">
        <f>IFERROR(__xludf.DUMMYFUNCTION("""COMPUTED_VALUE"""),"")</f>
        <v/>
      </c>
      <c r="E630" s="264" t="str">
        <f>IFERROR(__xludf.DUMMYFUNCTION("""COMPUTED_VALUE"""),"Ranged Weapon Range")</f>
        <v>Ranged Weapon Range</v>
      </c>
      <c r="F630" s="266" t="str">
        <f>IFERROR(__xludf.DUMMYFUNCTION("""COMPUTED_VALUE"""),"You may make a Light (1 AP) or Heavy (2 AP) Attack against the target. The target does not benefit from Light Cover against this attack.")</f>
        <v>You may make a Light (1 AP) or Heavy (2 AP) Attack against the target. The target does not benefit from Light Cover against this attack.</v>
      </c>
      <c r="G630" s="264" t="str">
        <f>IFERROR(__xludf.DUMMYFUNCTION("""COMPUTED_VALUE"""),"Pistol only.")</f>
        <v>Pistol only.</v>
      </c>
      <c r="H630" s="265" t="str">
        <f>IFERROR(__xludf.DUMMYFUNCTION("""COMPUTED_VALUE"""),"1 AP")</f>
        <v>1 AP</v>
      </c>
      <c r="I630" s="264" t="str">
        <f>IFERROR(__xludf.DUMMYFUNCTION("""COMPUTED_VALUE"""),"1 AP")</f>
        <v>1 AP</v>
      </c>
      <c r="J630" s="264" t="str">
        <f>IFERROR(__xludf.DUMMYFUNCTION("""COMPUTED_VALUE"""),"")</f>
        <v/>
      </c>
      <c r="K630" s="263" t="str">
        <f>IFERROR(__xludf.DUMMYFUNCTION("""COMPUTED_VALUE"""),"")</f>
        <v/>
      </c>
      <c r="L630" s="263" t="str">
        <f>IFERROR(__xludf.DUMMYFUNCTION("""COMPUTED_VALUE"""),"")</f>
        <v/>
      </c>
      <c r="M630" s="263"/>
      <c r="N630" s="263"/>
      <c r="O630" s="263"/>
      <c r="P630" s="263"/>
      <c r="Q630" s="263"/>
      <c r="R630" s="263"/>
      <c r="S630" s="263"/>
      <c r="T630" s="263"/>
      <c r="U630" s="246"/>
      <c r="V630" s="246"/>
      <c r="W630" s="246"/>
      <c r="X630" s="246"/>
      <c r="Y630" s="246"/>
      <c r="Z630" s="246"/>
    </row>
    <row r="631">
      <c r="A631" s="263"/>
      <c r="B631" s="265" t="str">
        <f>IFERROR(__xludf.DUMMYFUNCTION("""COMPUTED_VALUE"""),"Rider &amp; Mount As One")</f>
        <v>Rider &amp; Mount As One</v>
      </c>
      <c r="C631" s="263"/>
      <c r="D631" s="264" t="str">
        <f>IFERROR(__xludf.DUMMYFUNCTION("""COMPUTED_VALUE"""),"")</f>
        <v/>
      </c>
      <c r="E631" s="264" t="str">
        <f>IFERROR(__xludf.DUMMYFUNCTION("""COMPUTED_VALUE"""),"Self")</f>
        <v>Self</v>
      </c>
      <c r="F631" s="266" t="str">
        <f>IFERROR(__xludf.DUMMYFUNCTION("""COMPUTED_VALUE"""),"While you are mounted and not flying you and your mount are considered the same entity for the purposes of what can target you. This means that while you are mounted, your mount cannot be targeted by anything (including allied effects) unless the effect s"&amp;"pecifically says it does. Any debuff or buff on you also affects your mount's movement and speed as if it was placed on the mount.")</f>
        <v>While you are mounted and not flying you and your mount are considered the same entity for the purposes of what can target you. This means that while you are mounted, your mount cannot be targeted by anything (including allied effects) unless the effect specifically says it does. Any debuff or buff on you also affects your mount's movement and speed as if it was placed on the mount.</v>
      </c>
      <c r="G631" s="263" t="str">
        <f>IFERROR(__xludf.DUMMYFUNCTION("""COMPUTED_VALUE"""),"")</f>
        <v/>
      </c>
      <c r="H631" s="265" t="str">
        <f>IFERROR(__xludf.DUMMYFUNCTION("""COMPUTED_VALUE"""),"")</f>
        <v/>
      </c>
      <c r="I631" s="264" t="str">
        <f>IFERROR(__xludf.DUMMYFUNCTION("""COMPUTED_VALUE"""),"")</f>
        <v/>
      </c>
      <c r="J631" s="264" t="str">
        <f>IFERROR(__xludf.DUMMYFUNCTION("""COMPUTED_VALUE"""),"")</f>
        <v/>
      </c>
      <c r="K631" s="263" t="str">
        <f>IFERROR(__xludf.DUMMYFUNCTION("""COMPUTED_VALUE"""),"")</f>
        <v/>
      </c>
      <c r="L631" s="263" t="str">
        <f>IFERROR(__xludf.DUMMYFUNCTION("""COMPUTED_VALUE"""),"")</f>
        <v/>
      </c>
      <c r="M631" s="263"/>
      <c r="N631" s="263"/>
      <c r="O631" s="263"/>
      <c r="P631" s="263"/>
      <c r="Q631" s="263"/>
      <c r="R631" s="263"/>
      <c r="S631" s="263"/>
      <c r="T631" s="263"/>
      <c r="U631" s="246"/>
      <c r="V631" s="246"/>
      <c r="W631" s="246"/>
      <c r="X631" s="246"/>
      <c r="Y631" s="246"/>
      <c r="Z631" s="246"/>
    </row>
    <row r="632">
      <c r="A632" s="263"/>
      <c r="B632" s="265" t="str">
        <f>IFERROR(__xludf.DUMMYFUNCTION("""COMPUTED_VALUE"""),"Riposte")</f>
        <v>Riposte</v>
      </c>
      <c r="C632" s="263"/>
      <c r="D632" s="264" t="str">
        <f>IFERROR(__xludf.DUMMYFUNCTION("""COMPUTED_VALUE"""),"Counter")</f>
        <v>Counter</v>
      </c>
      <c r="E632" s="264" t="str">
        <f>IFERROR(__xludf.DUMMYFUNCTION("""COMPUTED_VALUE"""),"Melee Weapon Range")</f>
        <v>Melee Weapon Range</v>
      </c>
      <c r="F632" s="266" t="str">
        <f>IFERROR(__xludf.DUMMYFUNCTION("""COMPUTED_VALUE"""),"You may make a Heavy Attack against the target that you used your Parry ability against.")</f>
        <v>You may make a Heavy Attack against the target that you used your Parry ability against.</v>
      </c>
      <c r="G632" s="263" t="str">
        <f>IFERROR(__xludf.DUMMYFUNCTION("""COMPUTED_VALUE"""),"May only be used after you use the Parry fencer ability and you regained the RP.")</f>
        <v>May only be used after you use the Parry fencer ability and you regained the RP.</v>
      </c>
      <c r="H632" s="265" t="str">
        <f>IFERROR(__xludf.DUMMYFUNCTION("""COMPUTED_VALUE"""),"1 RP")</f>
        <v>1 RP</v>
      </c>
      <c r="I632" s="263" t="str">
        <f>IFERROR(__xludf.DUMMYFUNCTION("""COMPUTED_VALUE"""),"")</f>
        <v/>
      </c>
      <c r="J632" s="264" t="str">
        <f>IFERROR(__xludf.DUMMYFUNCTION("""COMPUTED_VALUE"""),"")</f>
        <v/>
      </c>
      <c r="K632" s="264" t="str">
        <f>IFERROR(__xludf.DUMMYFUNCTION("""COMPUTED_VALUE"""),"1 RP")</f>
        <v>1 RP</v>
      </c>
      <c r="L632" s="263" t="str">
        <f>IFERROR(__xludf.DUMMYFUNCTION("""COMPUTED_VALUE"""),"")</f>
        <v/>
      </c>
      <c r="M632" s="263"/>
      <c r="N632" s="263"/>
      <c r="O632" s="263"/>
      <c r="P632" s="263"/>
      <c r="Q632" s="263"/>
      <c r="R632" s="263"/>
      <c r="S632" s="263"/>
      <c r="T632" s="263"/>
      <c r="U632" s="246"/>
      <c r="V632" s="246"/>
      <c r="W632" s="246"/>
      <c r="X632" s="246"/>
      <c r="Y632" s="246"/>
      <c r="Z632" s="246"/>
    </row>
    <row r="633">
      <c r="A633" s="263"/>
      <c r="B633" s="265" t="str">
        <f>IFERROR(__xludf.DUMMYFUNCTION("""COMPUTED_VALUE"""),"Riposte II")</f>
        <v>Riposte II</v>
      </c>
      <c r="C633" s="263"/>
      <c r="D633" s="264" t="str">
        <f>IFERROR(__xludf.DUMMYFUNCTION("""COMPUTED_VALUE"""),"Counter")</f>
        <v>Counter</v>
      </c>
      <c r="E633" s="264" t="str">
        <f>IFERROR(__xludf.DUMMYFUNCTION("""COMPUTED_VALUE"""),"Melee Weapon Range")</f>
        <v>Melee Weapon Range</v>
      </c>
      <c r="F633" s="266" t="str">
        <f>IFERROR(__xludf.DUMMYFUNCTION("""COMPUTED_VALUE"""),"You may make a Heavy Attack against the target that you used your Parry ability against.")</f>
        <v>You may make a Heavy Attack against the target that you used your Parry ability against.</v>
      </c>
      <c r="G633" s="264" t="str">
        <f>IFERROR(__xludf.DUMMYFUNCTION("""COMPUTED_VALUE"""),"May only be used after you use the Parry fencer ability and you regained the RP.")</f>
        <v>May only be used after you use the Parry fencer ability and you regained the RP.</v>
      </c>
      <c r="H633" s="265" t="str">
        <f>IFERROR(__xludf.DUMMYFUNCTION("""COMPUTED_VALUE"""),"2 MP, 0 RP")</f>
        <v>2 MP, 0 RP</v>
      </c>
      <c r="I633" s="264" t="str">
        <f>IFERROR(__xludf.DUMMYFUNCTION("""COMPUTED_VALUE"""),"")</f>
        <v/>
      </c>
      <c r="J633" s="264" t="str">
        <f>IFERROR(__xludf.DUMMYFUNCTION("""COMPUTED_VALUE"""),"2 MP")</f>
        <v>2 MP</v>
      </c>
      <c r="K633" s="263" t="str">
        <f>IFERROR(__xludf.DUMMYFUNCTION("""COMPUTED_VALUE"""),"0 RP")</f>
        <v>0 RP</v>
      </c>
      <c r="L633" s="263" t="str">
        <f>IFERROR(__xludf.DUMMYFUNCTION("""COMPUTED_VALUE"""),"")</f>
        <v/>
      </c>
      <c r="M633" s="263"/>
      <c r="N633" s="263"/>
      <c r="O633" s="263"/>
      <c r="P633" s="263"/>
      <c r="Q633" s="263"/>
      <c r="R633" s="263"/>
      <c r="S633" s="263"/>
      <c r="T633" s="263"/>
      <c r="U633" s="246"/>
      <c r="V633" s="246"/>
      <c r="W633" s="246"/>
      <c r="X633" s="246"/>
      <c r="Y633" s="246"/>
      <c r="Z633" s="246"/>
    </row>
    <row r="634">
      <c r="A634" s="263"/>
      <c r="B634" s="265" t="str">
        <f>IFERROR(__xludf.DUMMYFUNCTION("""COMPUTED_VALUE"""),"Rock Fang")</f>
        <v>Rock Fang</v>
      </c>
      <c r="C634" s="263"/>
      <c r="D634" s="263" t="str">
        <f>IFERROR(__xludf.DUMMYFUNCTION("""COMPUTED_VALUE"""),"Sunder")</f>
        <v>Sunder</v>
      </c>
      <c r="E634" s="264" t="str">
        <f>IFERROR(__xludf.DUMMYFUNCTION("""COMPUTED_VALUE"""),"Melee Weapon Range")</f>
        <v>Melee Weapon Range</v>
      </c>
      <c r="F634" s="266" t="str">
        <f>IFERROR(__xludf.DUMMYFUNCTION("""COMPUTED_VALUE"""),"Make a heavy attack against the target. On damage the target is affected by Armor Sunder 2, reducing their guard by 2 until the start of your next turn. This attack also immediately benefits from the Sunder effect.")</f>
        <v>Make a heavy attack against the target. On damage the target is affected by Armor Sunder 2, reducing their guard by 2 until the start of your next turn. This attack also immediately benefits from the Sunder effect.</v>
      </c>
      <c r="G634" s="263" t="str">
        <f>IFERROR(__xludf.DUMMYFUNCTION("""COMPUTED_VALUE"""),"Pickaxe only")</f>
        <v>Pickaxe only</v>
      </c>
      <c r="H634" s="265" t="str">
        <f>IFERROR(__xludf.DUMMYFUNCTION("""COMPUTED_VALUE"""),"3 AP")</f>
        <v>3 AP</v>
      </c>
      <c r="I634" s="264" t="str">
        <f>IFERROR(__xludf.DUMMYFUNCTION("""COMPUTED_VALUE"""),"3 AP")</f>
        <v>3 AP</v>
      </c>
      <c r="J634" s="264" t="str">
        <f>IFERROR(__xludf.DUMMYFUNCTION("""COMPUTED_VALUE"""),"")</f>
        <v/>
      </c>
      <c r="K634" s="263" t="str">
        <f>IFERROR(__xludf.DUMMYFUNCTION("""COMPUTED_VALUE"""),"")</f>
        <v/>
      </c>
      <c r="L634" s="263" t="str">
        <f>IFERROR(__xludf.DUMMYFUNCTION("""COMPUTED_VALUE"""),"")</f>
        <v/>
      </c>
      <c r="M634" s="263"/>
      <c r="N634" s="263"/>
      <c r="O634" s="263"/>
      <c r="P634" s="263"/>
      <c r="Q634" s="263"/>
      <c r="R634" s="263"/>
      <c r="S634" s="263"/>
      <c r="T634" s="263"/>
      <c r="U634" s="246"/>
      <c r="V634" s="246"/>
      <c r="W634" s="246"/>
      <c r="X634" s="246"/>
      <c r="Y634" s="246"/>
      <c r="Z634" s="246"/>
    </row>
    <row r="635">
      <c r="A635" s="263"/>
      <c r="B635" s="265" t="str">
        <f>IFERROR(__xludf.DUMMYFUNCTION("""COMPUTED_VALUE"""),"Rocket Jump")</f>
        <v>Rocket Jump</v>
      </c>
      <c r="C635" s="263"/>
      <c r="D635" s="264" t="str">
        <f>IFERROR(__xludf.DUMMYFUNCTION("""COMPUTED_VALUE"""),"Sidestep")</f>
        <v>Sidestep</v>
      </c>
      <c r="E635" s="264" t="str">
        <f>IFERROR(__xludf.DUMMYFUNCTION("""COMPUTED_VALUE"""),"Self")</f>
        <v>Self</v>
      </c>
      <c r="F635" s="266" t="str">
        <f>IFERROR(__xludf.DUMMYFUNCTION("""COMPUTED_VALUE"""),"You fire your cannon behind you and use the momentum to sidestep 10ft. This movement does not reduce the range of your cannon.")</f>
        <v>You fire your cannon behind you and use the momentum to sidestep 10ft. This movement does not reduce the range of your cannon.</v>
      </c>
      <c r="G635" s="263" t="str">
        <f>IFERROR(__xludf.DUMMYFUNCTION("""COMPUTED_VALUE"""),"Cannon only.")</f>
        <v>Cannon only.</v>
      </c>
      <c r="H635" s="265" t="str">
        <f>IFERROR(__xludf.DUMMYFUNCTION("""COMPUTED_VALUE"""),"0 AP, 1 MP")</f>
        <v>0 AP, 1 MP</v>
      </c>
      <c r="I635" s="264" t="str">
        <f>IFERROR(__xludf.DUMMYFUNCTION("""COMPUTED_VALUE"""),"0 AP")</f>
        <v>0 AP</v>
      </c>
      <c r="J635" s="264" t="str">
        <f>IFERROR(__xludf.DUMMYFUNCTION("""COMPUTED_VALUE"""),"1 MP")</f>
        <v>1 MP</v>
      </c>
      <c r="K635" s="263" t="str">
        <f>IFERROR(__xludf.DUMMYFUNCTION("""COMPUTED_VALUE"""),"")</f>
        <v/>
      </c>
      <c r="L635" s="263" t="str">
        <f>IFERROR(__xludf.DUMMYFUNCTION("""COMPUTED_VALUE"""),"")</f>
        <v/>
      </c>
      <c r="M635" s="263"/>
      <c r="N635" s="263"/>
      <c r="O635" s="263"/>
      <c r="P635" s="263"/>
      <c r="Q635" s="263"/>
      <c r="R635" s="263"/>
      <c r="S635" s="263"/>
      <c r="T635" s="263"/>
      <c r="U635" s="246"/>
      <c r="V635" s="246"/>
      <c r="W635" s="246"/>
      <c r="X635" s="246"/>
      <c r="Y635" s="246"/>
      <c r="Z635" s="246"/>
    </row>
    <row r="636">
      <c r="A636" s="263"/>
      <c r="B636" s="265" t="str">
        <f>IFERROR(__xludf.DUMMYFUNCTION("""COMPUTED_VALUE"""),"Ruminant Metabolism")</f>
        <v>Ruminant Metabolism</v>
      </c>
      <c r="C636" s="263"/>
      <c r="D636" s="264" t="str">
        <f>IFERROR(__xludf.DUMMYFUNCTION("""COMPUTED_VALUE"""),"")</f>
        <v/>
      </c>
      <c r="E636" s="264" t="str">
        <f>IFERROR(__xludf.DUMMYFUNCTION("""COMPUTED_VALUE"""),"")</f>
        <v/>
      </c>
      <c r="F636" s="266" t="str">
        <f>IFERROR(__xludf.DUMMYFUNCTION("""COMPUTED_VALUE"""),"You can go a day without eating before starvation applies.")</f>
        <v>You can go a day without eating before starvation applies.</v>
      </c>
      <c r="G636" s="264" t="str">
        <f>IFERROR(__xludf.DUMMYFUNCTION("""COMPUTED_VALUE"""),"")</f>
        <v/>
      </c>
      <c r="H636" s="265" t="str">
        <f>IFERROR(__xludf.DUMMYFUNCTION("""COMPUTED_VALUE"""),"")</f>
        <v/>
      </c>
      <c r="I636" s="264" t="str">
        <f>IFERROR(__xludf.DUMMYFUNCTION("""COMPUTED_VALUE"""),"")</f>
        <v/>
      </c>
      <c r="J636" s="263" t="str">
        <f>IFERROR(__xludf.DUMMYFUNCTION("""COMPUTED_VALUE"""),"")</f>
        <v/>
      </c>
      <c r="K636" s="263" t="str">
        <f>IFERROR(__xludf.DUMMYFUNCTION("""COMPUTED_VALUE"""),"")</f>
        <v/>
      </c>
      <c r="L636" s="263" t="str">
        <f>IFERROR(__xludf.DUMMYFUNCTION("""COMPUTED_VALUE"""),"")</f>
        <v/>
      </c>
      <c r="M636" s="263"/>
      <c r="N636" s="263"/>
      <c r="O636" s="263"/>
      <c r="P636" s="263"/>
      <c r="Q636" s="263"/>
      <c r="R636" s="263"/>
      <c r="S636" s="263"/>
      <c r="T636" s="263"/>
      <c r="U636" s="246"/>
      <c r="V636" s="246"/>
      <c r="W636" s="246"/>
      <c r="X636" s="246"/>
      <c r="Y636" s="246"/>
      <c r="Z636" s="246"/>
    </row>
    <row r="637">
      <c r="A637" s="263"/>
      <c r="B637" s="265" t="str">
        <f>IFERROR(__xludf.DUMMYFUNCTION("""COMPUTED_VALUE"""),"Running Shot")</f>
        <v>Running Shot</v>
      </c>
      <c r="C637" s="263"/>
      <c r="D637" s="264" t="str">
        <f>IFERROR(__xludf.DUMMYFUNCTION("""COMPUTED_VALUE"""),"")</f>
        <v/>
      </c>
      <c r="E637" s="264" t="str">
        <f>IFERROR(__xludf.DUMMYFUNCTION("""COMPUTED_VALUE"""),"Ranged Weapon Range")</f>
        <v>Ranged Weapon Range</v>
      </c>
      <c r="F637" s="266" t="str">
        <f>IFERROR(__xludf.DUMMYFUNCTION("""COMPUTED_VALUE"""),"You make a Heavy attack against the target.")</f>
        <v>You make a Heavy attack against the target.</v>
      </c>
      <c r="G637" s="263" t="str">
        <f>IFERROR(__xludf.DUMMYFUNCTION("""COMPUTED_VALUE"""),"Must be mounted and taking a movement action.")</f>
        <v>Must be mounted and taking a movement action.</v>
      </c>
      <c r="H637" s="265" t="str">
        <f>IFERROR(__xludf.DUMMYFUNCTION("""COMPUTED_VALUE"""),"1 RP")</f>
        <v>1 RP</v>
      </c>
      <c r="I637" s="264" t="str">
        <f>IFERROR(__xludf.DUMMYFUNCTION("""COMPUTED_VALUE"""),"")</f>
        <v/>
      </c>
      <c r="J637" s="264" t="str">
        <f>IFERROR(__xludf.DUMMYFUNCTION("""COMPUTED_VALUE"""),"")</f>
        <v/>
      </c>
      <c r="K637" s="263" t="str">
        <f>IFERROR(__xludf.DUMMYFUNCTION("""COMPUTED_VALUE"""),"1 RP")</f>
        <v>1 RP</v>
      </c>
      <c r="L637" s="263" t="str">
        <f>IFERROR(__xludf.DUMMYFUNCTION("""COMPUTED_VALUE"""),"")</f>
        <v/>
      </c>
      <c r="M637" s="263"/>
      <c r="N637" s="263"/>
      <c r="O637" s="263"/>
      <c r="P637" s="263"/>
      <c r="Q637" s="263"/>
      <c r="R637" s="263"/>
      <c r="S637" s="263"/>
      <c r="T637" s="263"/>
      <c r="U637" s="246"/>
      <c r="V637" s="246"/>
      <c r="W637" s="246"/>
      <c r="X637" s="246"/>
      <c r="Y637" s="246"/>
      <c r="Z637" s="246"/>
    </row>
    <row r="638">
      <c r="A638" s="263"/>
      <c r="B638" s="265" t="str">
        <f>IFERROR(__xludf.DUMMYFUNCTION("""COMPUTED_VALUE"""),"Rushing Knee Drop")</f>
        <v>Rushing Knee Drop</v>
      </c>
      <c r="C638" s="263"/>
      <c r="D638" s="264" t="str">
        <f>IFERROR(__xludf.DUMMYFUNCTION("""COMPUTED_VALUE"""),"Sure Hit, Unarmed Strike, Jump")</f>
        <v>Sure Hit, Unarmed Strike, Jump</v>
      </c>
      <c r="E638" s="264" t="str">
        <f>IFERROR(__xludf.DUMMYFUNCTION("""COMPUTED_VALUE"""),"15ft")</f>
        <v>15ft</v>
      </c>
      <c r="F638" s="266" t="str">
        <f>IFERROR(__xludf.DUMMYFUNCTION("""COMPUTED_VALUE"""),"You may spend either 1 AP or 1 RP to leap up to 15 ft and crush a prone enemy within 5ft with a knee attack, dealing Light Damage. This movement does not provoke attacks of opportunity.")</f>
        <v>You may spend either 1 AP or 1 RP to leap up to 15 ft and crush a prone enemy within 5ft with a knee attack, dealing Light Damage. This movement does not provoke attacks of opportunity.</v>
      </c>
      <c r="G638" s="263" t="str">
        <f>IFERROR(__xludf.DUMMYFUNCTION("""COMPUTED_VALUE"""),"An enemy is prone in range.")</f>
        <v>An enemy is prone in range.</v>
      </c>
      <c r="H638" s="265" t="str">
        <f>IFERROR(__xludf.DUMMYFUNCTION("""COMPUTED_VALUE"""),"1 AP, 1 RP")</f>
        <v>1 AP, 1 RP</v>
      </c>
      <c r="I638" s="263" t="str">
        <f>IFERROR(__xludf.DUMMYFUNCTION("""COMPUTED_VALUE"""),"1 AP")</f>
        <v>1 AP</v>
      </c>
      <c r="J638" s="264" t="str">
        <f>IFERROR(__xludf.DUMMYFUNCTION("""COMPUTED_VALUE"""),"")</f>
        <v/>
      </c>
      <c r="K638" s="264" t="str">
        <f>IFERROR(__xludf.DUMMYFUNCTION("""COMPUTED_VALUE"""),"1 RP")</f>
        <v>1 RP</v>
      </c>
      <c r="L638" s="263" t="str">
        <f>IFERROR(__xludf.DUMMYFUNCTION("""COMPUTED_VALUE"""),"")</f>
        <v/>
      </c>
      <c r="M638" s="263"/>
      <c r="N638" s="263"/>
      <c r="O638" s="263"/>
      <c r="P638" s="263"/>
      <c r="Q638" s="263"/>
      <c r="R638" s="263"/>
      <c r="S638" s="263"/>
      <c r="T638" s="263"/>
      <c r="U638" s="246"/>
      <c r="V638" s="246"/>
      <c r="W638" s="246"/>
      <c r="X638" s="246"/>
      <c r="Y638" s="246"/>
      <c r="Z638" s="246"/>
    </row>
    <row r="639">
      <c r="A639" s="263"/>
      <c r="B639" s="265" t="str">
        <f>IFERROR(__xludf.DUMMYFUNCTION("""COMPUTED_VALUE"""),"Ryujin's Mastery")</f>
        <v>Ryujin's Mastery</v>
      </c>
      <c r="C639" s="263"/>
      <c r="D639" s="264" t="str">
        <f>IFERROR(__xludf.DUMMYFUNCTION("""COMPUTED_VALUE"""),"")</f>
        <v/>
      </c>
      <c r="E639" s="264" t="str">
        <f>IFERROR(__xludf.DUMMYFUNCTION("""COMPUTED_VALUE"""),"")</f>
        <v/>
      </c>
      <c r="F639" s="266" t="str">
        <f>IFERROR(__xludf.DUMMYFUNCTION("""COMPUTED_VALUE"""),"You gain one of Elemental Mastery of your choice from the following options: Fire, Water, Ice, Wind, Lightning, or Earth.")</f>
        <v>You gain one of Elemental Mastery of your choice from the following options: Fire, Water, Ice, Wind, Lightning, or Earth.</v>
      </c>
      <c r="G639" s="263" t="str">
        <f>IFERROR(__xludf.DUMMYFUNCTION("""COMPUTED_VALUE"""),"")</f>
        <v/>
      </c>
      <c r="H639" s="265" t="str">
        <f>IFERROR(__xludf.DUMMYFUNCTION("""COMPUTED_VALUE"""),"")</f>
        <v/>
      </c>
      <c r="I639" s="264" t="str">
        <f>IFERROR(__xludf.DUMMYFUNCTION("""COMPUTED_VALUE"""),"")</f>
        <v/>
      </c>
      <c r="J639" s="264" t="str">
        <f>IFERROR(__xludf.DUMMYFUNCTION("""COMPUTED_VALUE"""),"")</f>
        <v/>
      </c>
      <c r="K639" s="263" t="str">
        <f>IFERROR(__xludf.DUMMYFUNCTION("""COMPUTED_VALUE"""),"")</f>
        <v/>
      </c>
      <c r="L639" s="263" t="str">
        <f>IFERROR(__xludf.DUMMYFUNCTION("""COMPUTED_VALUE"""),"")</f>
        <v/>
      </c>
      <c r="M639" s="263"/>
      <c r="N639" s="263"/>
      <c r="O639" s="263"/>
      <c r="P639" s="263"/>
      <c r="Q639" s="263"/>
      <c r="R639" s="263"/>
      <c r="S639" s="263"/>
      <c r="T639" s="263"/>
      <c r="U639" s="246"/>
      <c r="V639" s="246"/>
      <c r="W639" s="246"/>
      <c r="X639" s="246"/>
      <c r="Y639" s="246"/>
      <c r="Z639" s="246"/>
    </row>
    <row r="640">
      <c r="A640" s="263"/>
      <c r="B640" s="265" t="str">
        <f>IFERROR(__xludf.DUMMYFUNCTION("""COMPUTED_VALUE"""),"Sable Grace")</f>
        <v>Sable Grace</v>
      </c>
      <c r="C640" s="263"/>
      <c r="D640" s="264" t="str">
        <f>IFERROR(__xludf.DUMMYFUNCTION("""COMPUTED_VALUE"""),"Stealth")</f>
        <v>Stealth</v>
      </c>
      <c r="E640" s="264" t="str">
        <f>IFERROR(__xludf.DUMMYFUNCTION("""COMPUTED_VALUE"""),"")</f>
        <v/>
      </c>
      <c r="F640" s="266" t="str">
        <f>IFERROR(__xludf.DUMMYFUNCTION("""COMPUTED_VALUE"""),"You take the Dodge action against the triggering attack. You remove Lock-On from this attack and treat your Dodge as 99 against it.")</f>
        <v>You take the Dodge action against the triggering attack. You remove Lock-On from this attack and treat your Dodge as 99 against it.</v>
      </c>
      <c r="G640" s="263" t="str">
        <f>IFERROR(__xludf.DUMMYFUNCTION("""COMPUTED_VALUE"""),"You become the target of an attack. Can only be used during the night.")</f>
        <v>You become the target of an attack. Can only be used during the night.</v>
      </c>
      <c r="H640" s="265" t="str">
        <f>IFERROR(__xludf.DUMMYFUNCTION("""COMPUTED_VALUE"""),"1 MP, 1 RP")</f>
        <v>1 MP, 1 RP</v>
      </c>
      <c r="I640" s="263" t="str">
        <f>IFERROR(__xludf.DUMMYFUNCTION("""COMPUTED_VALUE"""),"")</f>
        <v/>
      </c>
      <c r="J640" s="264" t="str">
        <f>IFERROR(__xludf.DUMMYFUNCTION("""COMPUTED_VALUE"""),"1 MP")</f>
        <v>1 MP</v>
      </c>
      <c r="K640" s="264" t="str">
        <f>IFERROR(__xludf.DUMMYFUNCTION("""COMPUTED_VALUE"""),"1 RP")</f>
        <v>1 RP</v>
      </c>
      <c r="L640" s="263" t="str">
        <f>IFERROR(__xludf.DUMMYFUNCTION("""COMPUTED_VALUE"""),"")</f>
        <v/>
      </c>
      <c r="M640" s="263"/>
      <c r="N640" s="263"/>
      <c r="O640" s="263"/>
      <c r="P640" s="263"/>
      <c r="Q640" s="263"/>
      <c r="R640" s="263"/>
      <c r="S640" s="263"/>
      <c r="T640" s="263"/>
      <c r="U640" s="246"/>
      <c r="V640" s="246"/>
      <c r="W640" s="246"/>
      <c r="X640" s="246"/>
      <c r="Y640" s="246"/>
      <c r="Z640" s="246"/>
    </row>
    <row r="641">
      <c r="A641" s="263"/>
      <c r="B641" s="265" t="str">
        <f>IFERROR(__xludf.DUMMYFUNCTION("""COMPUTED_VALUE"""),"Sacrament")</f>
        <v>Sacrament</v>
      </c>
      <c r="C641" s="263"/>
      <c r="D641" s="264" t="str">
        <f>IFERROR(__xludf.DUMMYFUNCTION("""COMPUTED_VALUE"""),"Enchantment")</f>
        <v>Enchantment</v>
      </c>
      <c r="E641" s="264" t="str">
        <f>IFERROR(__xludf.DUMMYFUNCTION("""COMPUTED_VALUE"""),"Touch")</f>
        <v>Touch</v>
      </c>
      <c r="F641" s="266" t="str">
        <f>IFERROR(__xludf.DUMMYFUNCTION("""COMPUTED_VALUE"""),"You touch one willing ally’s or your own weapon and bless it. Until the end of the encounter, the weapon deals Holy Damage and grants a +1 Power Enchantment.")</f>
        <v>You touch one willing ally’s or your own weapon and bless it. Until the end of the encounter, the weapon deals Holy Damage and grants a +1 Power Enchantment.</v>
      </c>
      <c r="G641" s="263" t="str">
        <f>IFERROR(__xludf.DUMMYFUNCTION("""COMPUTED_VALUE"""),"")</f>
        <v/>
      </c>
      <c r="H641" s="265" t="str">
        <f>IFERROR(__xludf.DUMMYFUNCTION("""COMPUTED_VALUE"""),"2 AP, 0 MP")</f>
        <v>2 AP, 0 MP</v>
      </c>
      <c r="I641" s="264" t="str">
        <f>IFERROR(__xludf.DUMMYFUNCTION("""COMPUTED_VALUE"""),"2 AP")</f>
        <v>2 AP</v>
      </c>
      <c r="J641" s="263" t="str">
        <f>IFERROR(__xludf.DUMMYFUNCTION("""COMPUTED_VALUE"""),"0 MP")</f>
        <v>0 MP</v>
      </c>
      <c r="K641" s="263" t="str">
        <f>IFERROR(__xludf.DUMMYFUNCTION("""COMPUTED_VALUE"""),"")</f>
        <v/>
      </c>
      <c r="L641" s="263" t="str">
        <f>IFERROR(__xludf.DUMMYFUNCTION("""COMPUTED_VALUE"""),"")</f>
        <v/>
      </c>
      <c r="M641" s="263"/>
      <c r="N641" s="263"/>
      <c r="O641" s="263"/>
      <c r="P641" s="263"/>
      <c r="Q641" s="263"/>
      <c r="R641" s="263"/>
      <c r="S641" s="263"/>
      <c r="T641" s="263"/>
      <c r="U641" s="246"/>
      <c r="V641" s="246"/>
      <c r="W641" s="246"/>
      <c r="X641" s="246"/>
      <c r="Y641" s="246"/>
      <c r="Z641" s="246"/>
    </row>
    <row r="642">
      <c r="A642" s="263"/>
      <c r="B642" s="265" t="str">
        <f>IFERROR(__xludf.DUMMYFUNCTION("""COMPUTED_VALUE"""),"Sanctity Aura")</f>
        <v>Sanctity Aura</v>
      </c>
      <c r="C642" s="263"/>
      <c r="D642" s="264" t="str">
        <f>IFERROR(__xludf.DUMMYFUNCTION("""COMPUTED_VALUE"""),"Aura")</f>
        <v>Aura</v>
      </c>
      <c r="E642" s="264" t="str">
        <f>IFERROR(__xludf.DUMMYFUNCTION("""COMPUTED_VALUE"""),"Self")</f>
        <v>Self</v>
      </c>
      <c r="F642" s="266" t="str">
        <f>IFERROR(__xludf.DUMMYFUNCTION("""COMPUTED_VALUE"""),"You project an aura 30ft around you that blesses your allies.
When an ally makes an attack as part of one of your Gun Paladin abilities, they may choose to make the damage type of that attack the same as your Holy Weapon damage type.")</f>
        <v>You project an aura 30ft around you that blesses your allies.
When an ally makes an attack as part of one of your Gun Paladin abilities, they may choose to make the damage type of that attack the same as your Holy Weapon damage type.</v>
      </c>
      <c r="G642" s="264" t="str">
        <f>IFERROR(__xludf.DUMMYFUNCTION("""COMPUTED_VALUE"""),"")</f>
        <v/>
      </c>
      <c r="H642" s="267" t="str">
        <f>IFERROR(__xludf.DUMMYFUNCTION("""COMPUTED_VALUE"""),"1 AP")</f>
        <v>1 AP</v>
      </c>
      <c r="I642" s="263" t="str">
        <f>IFERROR(__xludf.DUMMYFUNCTION("""COMPUTED_VALUE"""),"1 AP")</f>
        <v>1 AP</v>
      </c>
      <c r="J642" s="263" t="str">
        <f>IFERROR(__xludf.DUMMYFUNCTION("""COMPUTED_VALUE"""),"")</f>
        <v/>
      </c>
      <c r="K642" s="263" t="str">
        <f>IFERROR(__xludf.DUMMYFUNCTION("""COMPUTED_VALUE"""),"")</f>
        <v/>
      </c>
      <c r="L642" s="263" t="str">
        <f>IFERROR(__xludf.DUMMYFUNCTION("""COMPUTED_VALUE"""),"")</f>
        <v/>
      </c>
      <c r="M642" s="263"/>
      <c r="N642" s="263"/>
      <c r="O642" s="263"/>
      <c r="P642" s="263"/>
      <c r="Q642" s="263"/>
      <c r="R642" s="263"/>
      <c r="S642" s="263"/>
      <c r="T642" s="263"/>
      <c r="U642" s="246"/>
      <c r="V642" s="246"/>
      <c r="W642" s="246"/>
      <c r="X642" s="246"/>
      <c r="Y642" s="246"/>
      <c r="Z642" s="246"/>
    </row>
    <row r="643">
      <c r="A643" s="263"/>
      <c r="B643" s="265" t="str">
        <f>IFERROR(__xludf.DUMMYFUNCTION("""COMPUTED_VALUE"""),"Sapping Ward")</f>
        <v>Sapping Ward</v>
      </c>
      <c r="C643" s="263"/>
      <c r="D643" s="264" t="str">
        <f>IFERROR(__xludf.DUMMYFUNCTION("""COMPUTED_VALUE"""),"Bounded Field, Spell")</f>
        <v>Bounded Field, Spell</v>
      </c>
      <c r="E643" s="264" t="str">
        <f>IFERROR(__xludf.DUMMYFUNCTION("""COMPUTED_VALUE"""),"Touch")</f>
        <v>Touch</v>
      </c>
      <c r="F643" s="266" t="str">
        <f>IFERROR(__xludf.DUMMYFUNCTION("""COMPUTED_VALUE"""),"A ward that can be placed on a normal-sized room or can be combined to ward off a house or larger area. Each ward can cover a 20ft radius and for each Sapping Ward placed in the same area as another Sapping Ward, this radius increases by 20ft (For example"&amp;", 60ft with 3 Sapping Wards) If someone other than you enters the area, they must make a save against your Potency or become Weakened. Non-heroic units that enter the area must make a save or become Stunned instead. These conditions last while they remain"&amp;" inside the field and for an additional 2 rounds after exiting it. Casting this takes 10 minutes of uninterrupted casting. Once triggered, the field remains active for 5 more minutes before vanishing. You may at the time of casting choose a number of peop"&amp;"le equal to your Focus that can enter the area without triggering the ward. If not triggered, Sapping Ward lasts until you remove it. While it remains, your maximum mana is reduced by 2 for each instance of Sapping Ward you have active. This is considered"&amp;" a tier 2 ward.")</f>
        <v>A ward that can be placed on a normal-sized room or can be combined to ward off a house or larger area. Each ward can cover a 20ft radius and for each Sapping Ward placed in the same area as another Sapping Ward, this radius increases by 20ft (For example, 60ft with 3 Sapping Wards) If someone other than you enters the area, they must make a save against your Potency or become Weakened. Non-heroic units that enter the area must make a save or become Stunned instead. These conditions last while they remain inside the field and for an additional 2 rounds after exiting it. Casting this takes 10 minutes of uninterrupted casting. Once triggered, the field remains active for 5 more minutes before vanishing. You may at the time of casting choose a number of people equal to your Focus that can enter the area without triggering the ward. If not triggered, Sapping Ward lasts until you remove it. While it remains, your maximum mana is reduced by 2 for each instance of Sapping Ward you have active. This is considered a tier 2 ward.</v>
      </c>
      <c r="G643" s="263" t="str">
        <f>IFERROR(__xludf.DUMMYFUNCTION("""COMPUTED_VALUE"""),"")</f>
        <v/>
      </c>
      <c r="H643" s="265" t="str">
        <f>IFERROR(__xludf.DUMMYFUNCTION("""COMPUTED_VALUE"""),"2 MP")</f>
        <v>2 MP</v>
      </c>
      <c r="I643" s="264" t="str">
        <f>IFERROR(__xludf.DUMMYFUNCTION("""COMPUTED_VALUE"""),"")</f>
        <v/>
      </c>
      <c r="J643" s="264" t="str">
        <f>IFERROR(__xludf.DUMMYFUNCTION("""COMPUTED_VALUE"""),"2 MP")</f>
        <v>2 MP</v>
      </c>
      <c r="K643" s="263" t="str">
        <f>IFERROR(__xludf.DUMMYFUNCTION("""COMPUTED_VALUE"""),"")</f>
        <v/>
      </c>
      <c r="L643" s="263" t="str">
        <f>IFERROR(__xludf.DUMMYFUNCTION("""COMPUTED_VALUE"""),"")</f>
        <v/>
      </c>
      <c r="M643" s="263"/>
      <c r="N643" s="263"/>
      <c r="O643" s="263"/>
      <c r="P643" s="263"/>
      <c r="Q643" s="263"/>
      <c r="R643" s="263"/>
      <c r="S643" s="263"/>
      <c r="T643" s="263"/>
      <c r="U643" s="246"/>
      <c r="V643" s="246"/>
      <c r="W643" s="246"/>
      <c r="X643" s="246"/>
      <c r="Y643" s="246"/>
      <c r="Z643" s="246"/>
    </row>
    <row r="644">
      <c r="A644" s="263"/>
      <c r="B644" s="265" t="str">
        <f>IFERROR(__xludf.DUMMYFUNCTION("""COMPUTED_VALUE"""),"Saprophytic Bolt")</f>
        <v>Saprophytic Bolt</v>
      </c>
      <c r="C644" s="263"/>
      <c r="D644" s="264" t="str">
        <f>IFERROR(__xludf.DUMMYFUNCTION("""COMPUTED_VALUE"""),"Healing, Spell, Earth")</f>
        <v>Healing, Spell, Earth</v>
      </c>
      <c r="E644" s="264" t="str">
        <f>IFERROR(__xludf.DUMMYFUNCTION("""COMPUTED_VALUE"""),"60ft")</f>
        <v>60ft</v>
      </c>
      <c r="F644" s="266" t="str">
        <f>IFERROR(__xludf.DUMMYFUNCTION("""COMPUTED_VALUE"""),"You may make a Light Attack against the target, dealing Earth damage. On damage, the current host of Spore Symbiote is Healed for your Power + 3.")</f>
        <v>You may make a Light Attack against the target, dealing Earth damage. On damage, the current host of Spore Symbiote is Healed for your Power + 3.</v>
      </c>
      <c r="G644" s="263" t="str">
        <f>IFERROR(__xludf.DUMMYFUNCTION("""COMPUTED_VALUE"""),"")</f>
        <v/>
      </c>
      <c r="H644" s="265" t="str">
        <f>IFERROR(__xludf.DUMMYFUNCTION("""COMPUTED_VALUE"""),"1 AP, 1 MP")</f>
        <v>1 AP, 1 MP</v>
      </c>
      <c r="I644" s="263" t="str">
        <f>IFERROR(__xludf.DUMMYFUNCTION("""COMPUTED_VALUE"""),"1 AP")</f>
        <v>1 AP</v>
      </c>
      <c r="J644" s="264" t="str">
        <f>IFERROR(__xludf.DUMMYFUNCTION("""COMPUTED_VALUE"""),"1 MP")</f>
        <v>1 MP</v>
      </c>
      <c r="K644" s="264" t="str">
        <f>IFERROR(__xludf.DUMMYFUNCTION("""COMPUTED_VALUE"""),"")</f>
        <v/>
      </c>
      <c r="L644" s="263" t="str">
        <f>IFERROR(__xludf.DUMMYFUNCTION("""COMPUTED_VALUE"""),"")</f>
        <v/>
      </c>
      <c r="M644" s="263"/>
      <c r="N644" s="263"/>
      <c r="O644" s="263"/>
      <c r="P644" s="263"/>
      <c r="Q644" s="263"/>
      <c r="R644" s="263"/>
      <c r="S644" s="263"/>
      <c r="T644" s="263"/>
      <c r="U644" s="246"/>
      <c r="V644" s="246"/>
      <c r="W644" s="246"/>
      <c r="X644" s="246"/>
      <c r="Y644" s="246"/>
      <c r="Z644" s="246"/>
    </row>
    <row r="645">
      <c r="A645" s="263"/>
      <c r="B645" s="265" t="str">
        <f>IFERROR(__xludf.DUMMYFUNCTION("""COMPUTED_VALUE"""),"Scarecrow's Gaze")</f>
        <v>Scarecrow's Gaze</v>
      </c>
      <c r="C645" s="263"/>
      <c r="D645" s="264" t="str">
        <f>IFERROR(__xludf.DUMMYFUNCTION("""COMPUTED_VALUE"""),"Fear, Mind Affecting, Circuit")</f>
        <v>Fear, Mind Affecting, Circuit</v>
      </c>
      <c r="E645" s="264" t="str">
        <f>IFERROR(__xludf.DUMMYFUNCTION("""COMPUTED_VALUE"""),"40ft")</f>
        <v>40ft</v>
      </c>
      <c r="F645" s="266" t="str">
        <f>IFERROR(__xludf.DUMMYFUNCTION("""COMPUTED_VALUE"""),"You summon the appearance of whatever someone fears the most. Every enemy within range must make a Save against your potency. On failure, they may not walk closer to you until the start of your next turn unless they have no valid targets to attack without"&amp;" doing so.")</f>
        <v>You summon the appearance of whatever someone fears the most. Every enemy within range must make a Save against your potency. On failure, they may not walk closer to you until the start of your next turn unless they have no valid targets to attack without doing so.</v>
      </c>
      <c r="G645" s="264" t="str">
        <f>IFERROR(__xludf.DUMMYFUNCTION("""COMPUTED_VALUE"""),"")</f>
        <v/>
      </c>
      <c r="H645" s="265" t="str">
        <f>IFERROR(__xludf.DUMMYFUNCTION("""COMPUTED_VALUE"""),"2 AP, 2 MP")</f>
        <v>2 AP, 2 MP</v>
      </c>
      <c r="I645" s="264" t="str">
        <f>IFERROR(__xludf.DUMMYFUNCTION("""COMPUTED_VALUE"""),"2 AP")</f>
        <v>2 AP</v>
      </c>
      <c r="J645" s="264" t="str">
        <f>IFERROR(__xludf.DUMMYFUNCTION("""COMPUTED_VALUE"""),"2 MP")</f>
        <v>2 MP</v>
      </c>
      <c r="K645" s="263" t="str">
        <f>IFERROR(__xludf.DUMMYFUNCTION("""COMPUTED_VALUE"""),"")</f>
        <v/>
      </c>
      <c r="L645" s="263" t="str">
        <f>IFERROR(__xludf.DUMMYFUNCTION("""COMPUTED_VALUE"""),"")</f>
        <v/>
      </c>
      <c r="M645" s="263"/>
      <c r="N645" s="263"/>
      <c r="O645" s="263"/>
      <c r="P645" s="263"/>
      <c r="Q645" s="263"/>
      <c r="R645" s="263"/>
      <c r="S645" s="263"/>
      <c r="T645" s="263"/>
      <c r="U645" s="246"/>
      <c r="V645" s="246"/>
      <c r="W645" s="246"/>
      <c r="X645" s="246"/>
      <c r="Y645" s="246"/>
      <c r="Z645" s="246"/>
    </row>
    <row r="646">
      <c r="A646" s="263"/>
      <c r="B646" s="265" t="str">
        <f>IFERROR(__xludf.DUMMYFUNCTION("""COMPUTED_VALUE"""),"Scent")</f>
        <v>Scent</v>
      </c>
      <c r="C646" s="263"/>
      <c r="D646" s="264" t="str">
        <f>IFERROR(__xludf.DUMMYFUNCTION("""COMPUTED_VALUE"""),"")</f>
        <v/>
      </c>
      <c r="E646" s="264" t="str">
        <f>IFERROR(__xludf.DUMMYFUNCTION("""COMPUTED_VALUE"""),"")</f>
        <v/>
      </c>
      <c r="F646" s="266" t="str">
        <f>IFERROR(__xludf.DUMMYFUNCTION("""COMPUTED_VALUE"""),"You gain a +5 Expertise bonus to Perception (Smell).")</f>
        <v>You gain a +5 Expertise bonus to Perception (Smell).</v>
      </c>
      <c r="G646" s="264" t="str">
        <f>IFERROR(__xludf.DUMMYFUNCTION("""COMPUTED_VALUE"""),"")</f>
        <v/>
      </c>
      <c r="H646" s="265" t="str">
        <f>IFERROR(__xludf.DUMMYFUNCTION("""COMPUTED_VALUE"""),"")</f>
        <v/>
      </c>
      <c r="I646" s="264" t="str">
        <f>IFERROR(__xludf.DUMMYFUNCTION("""COMPUTED_VALUE"""),"")</f>
        <v/>
      </c>
      <c r="J646" s="263" t="str">
        <f>IFERROR(__xludf.DUMMYFUNCTION("""COMPUTED_VALUE"""),"")</f>
        <v/>
      </c>
      <c r="K646" s="263" t="str">
        <f>IFERROR(__xludf.DUMMYFUNCTION("""COMPUTED_VALUE"""),"")</f>
        <v/>
      </c>
      <c r="L646" s="263" t="str">
        <f>IFERROR(__xludf.DUMMYFUNCTION("""COMPUTED_VALUE"""),"")</f>
        <v/>
      </c>
      <c r="M646" s="263"/>
      <c r="N646" s="263"/>
      <c r="O646" s="263"/>
      <c r="P646" s="263"/>
      <c r="Q646" s="263"/>
      <c r="R646" s="263"/>
      <c r="S646" s="263"/>
      <c r="T646" s="263"/>
      <c r="U646" s="246"/>
      <c r="V646" s="246"/>
      <c r="W646" s="246"/>
      <c r="X646" s="246"/>
      <c r="Y646" s="246"/>
      <c r="Z646" s="246"/>
    </row>
    <row r="647">
      <c r="A647" s="263"/>
      <c r="B647" s="265" t="str">
        <f>IFERROR(__xludf.DUMMYFUNCTION("""COMPUTED_VALUE"""),"Scent of Blood")</f>
        <v>Scent of Blood</v>
      </c>
      <c r="C647" s="263"/>
      <c r="D647" s="264" t="str">
        <f>IFERROR(__xludf.DUMMYFUNCTION("""COMPUTED_VALUE"""),"Quick")</f>
        <v>Quick</v>
      </c>
      <c r="E647" s="264" t="str">
        <f>IFERROR(__xludf.DUMMYFUNCTION("""COMPUTED_VALUE"""),"120ft")</f>
        <v>120ft</v>
      </c>
      <c r="F647" s="266" t="str">
        <f>IFERROR(__xludf.DUMMYFUNCTION("""COMPUTED_VALUE"""),"You sniff the air and become aware of all targets within range that have below half of their maximum HP. This does not reveal their HP percentage.")</f>
        <v>You sniff the air and become aware of all targets within range that have below half of their maximum HP. This does not reveal their HP percentage.</v>
      </c>
      <c r="G647" s="264" t="str">
        <f>IFERROR(__xludf.DUMMYFUNCTION("""COMPUTED_VALUE"""),"")</f>
        <v/>
      </c>
      <c r="H647" s="265" t="str">
        <f>IFERROR(__xludf.DUMMYFUNCTION("""COMPUTED_VALUE"""),"0 AP")</f>
        <v>0 AP</v>
      </c>
      <c r="I647" s="264" t="str">
        <f>IFERROR(__xludf.DUMMYFUNCTION("""COMPUTED_VALUE"""),"0 AP")</f>
        <v>0 AP</v>
      </c>
      <c r="J647" s="264" t="str">
        <f>IFERROR(__xludf.DUMMYFUNCTION("""COMPUTED_VALUE"""),"")</f>
        <v/>
      </c>
      <c r="K647" s="263" t="str">
        <f>IFERROR(__xludf.DUMMYFUNCTION("""COMPUTED_VALUE"""),"")</f>
        <v/>
      </c>
      <c r="L647" s="263" t="str">
        <f>IFERROR(__xludf.DUMMYFUNCTION("""COMPUTED_VALUE"""),"")</f>
        <v/>
      </c>
      <c r="M647" s="263"/>
      <c r="N647" s="263"/>
      <c r="O647" s="263"/>
      <c r="P647" s="263"/>
      <c r="Q647" s="263"/>
      <c r="R647" s="263"/>
      <c r="S647" s="263"/>
      <c r="T647" s="263"/>
      <c r="U647" s="246"/>
      <c r="V647" s="246"/>
      <c r="W647" s="246"/>
      <c r="X647" s="246"/>
      <c r="Y647" s="246"/>
      <c r="Z647" s="246"/>
    </row>
    <row r="648">
      <c r="A648" s="263"/>
      <c r="B648" s="265" t="str">
        <f>IFERROR(__xludf.DUMMYFUNCTION("""COMPUTED_VALUE"""),"Schadenfreude")</f>
        <v>Schadenfreude</v>
      </c>
      <c r="C648" s="263"/>
      <c r="D648" s="264" t="str">
        <f>IFERROR(__xludf.DUMMYFUNCTION("""COMPUTED_VALUE"""),"Dark")</f>
        <v>Dark</v>
      </c>
      <c r="E648" s="264" t="str">
        <f>IFERROR(__xludf.DUMMYFUNCTION("""COMPUTED_VALUE"""),"Self")</f>
        <v>Self</v>
      </c>
      <c r="F648" s="266" t="str">
        <f>IFERROR(__xludf.DUMMYFUNCTION("""COMPUTED_VALUE"""),"You redirect an attack to another ally in range of the triggering attack. If they don't react to this, your next Malevolent  Phantasm ignores the requirement and costs no mana.")</f>
        <v>You redirect an attack to another ally in range of the triggering attack. If they don't react to this, your next Malevolent  Phantasm ignores the requirement and costs no mana.</v>
      </c>
      <c r="G648" s="264" t="str">
        <f>IFERROR(__xludf.DUMMYFUNCTION("""COMPUTED_VALUE"""),"You are targeted by an attack.")</f>
        <v>You are targeted by an attack.</v>
      </c>
      <c r="H648" s="265" t="str">
        <f>IFERROR(__xludf.DUMMYFUNCTION("""COMPUTED_VALUE"""),"1 RP")</f>
        <v>1 RP</v>
      </c>
      <c r="I648" s="263" t="str">
        <f>IFERROR(__xludf.DUMMYFUNCTION("""COMPUTED_VALUE"""),"")</f>
        <v/>
      </c>
      <c r="J648" s="264" t="str">
        <f>IFERROR(__xludf.DUMMYFUNCTION("""COMPUTED_VALUE"""),"")</f>
        <v/>
      </c>
      <c r="K648" s="264" t="str">
        <f>IFERROR(__xludf.DUMMYFUNCTION("""COMPUTED_VALUE"""),"1 RP")</f>
        <v>1 RP</v>
      </c>
      <c r="L648" s="263" t="str">
        <f>IFERROR(__xludf.DUMMYFUNCTION("""COMPUTED_VALUE"""),"")</f>
        <v/>
      </c>
      <c r="M648" s="263"/>
      <c r="N648" s="263"/>
      <c r="O648" s="263"/>
      <c r="P648" s="263"/>
      <c r="Q648" s="263"/>
      <c r="R648" s="263"/>
      <c r="S648" s="263"/>
      <c r="T648" s="263"/>
      <c r="U648" s="246"/>
      <c r="V648" s="246"/>
      <c r="W648" s="246"/>
      <c r="X648" s="246"/>
      <c r="Y648" s="246"/>
      <c r="Z648" s="246"/>
    </row>
    <row r="649">
      <c r="A649" s="263"/>
      <c r="B649" s="265" t="str">
        <f>IFERROR(__xludf.DUMMYFUNCTION("""COMPUTED_VALUE"""),"Scorching Reprisal")</f>
        <v>Scorching Reprisal</v>
      </c>
      <c r="C649" s="263"/>
      <c r="D649" s="264" t="str">
        <f>IFERROR(__xludf.DUMMYFUNCTION("""COMPUTED_VALUE"""),"Opportunistic")</f>
        <v>Opportunistic</v>
      </c>
      <c r="E649" s="264" t="str">
        <f>IFERROR(__xludf.DUMMYFUNCTION("""COMPUTED_VALUE"""),"Melee Weapon Range")</f>
        <v>Melee Weapon Range</v>
      </c>
      <c r="F649" s="266" t="str">
        <f>IFERROR(__xludf.DUMMYFUNCTION("""COMPUTED_VALUE"""),"You make a Heavy attack of opportunity against the target. Your next basic attack of opportunity against that target before the start of your next turn costs 0 RP.")</f>
        <v>You make a Heavy attack of opportunity against the target. Your next basic attack of opportunity against that target before the start of your next turn costs 0 RP.</v>
      </c>
      <c r="G649" s="263" t="str">
        <f>IFERROR(__xludf.DUMMYFUNCTION("""COMPUTED_VALUE"""),"An enemy provokes an attack of opportunity.")</f>
        <v>An enemy provokes an attack of opportunity.</v>
      </c>
      <c r="H649" s="265" t="str">
        <f>IFERROR(__xludf.DUMMYFUNCTION("""COMPUTED_VALUE"""),"1 RP")</f>
        <v>1 RP</v>
      </c>
      <c r="I649" s="264" t="str">
        <f>IFERROR(__xludf.DUMMYFUNCTION("""COMPUTED_VALUE"""),"")</f>
        <v/>
      </c>
      <c r="J649" s="264" t="str">
        <f>IFERROR(__xludf.DUMMYFUNCTION("""COMPUTED_VALUE"""),"")</f>
        <v/>
      </c>
      <c r="K649" s="263" t="str">
        <f>IFERROR(__xludf.DUMMYFUNCTION("""COMPUTED_VALUE"""),"1 RP")</f>
        <v>1 RP</v>
      </c>
      <c r="L649" s="263" t="str">
        <f>IFERROR(__xludf.DUMMYFUNCTION("""COMPUTED_VALUE"""),"")</f>
        <v/>
      </c>
      <c r="M649" s="263"/>
      <c r="N649" s="263"/>
      <c r="O649" s="263"/>
      <c r="P649" s="263"/>
      <c r="Q649" s="263"/>
      <c r="R649" s="263"/>
      <c r="S649" s="263"/>
      <c r="T649" s="263"/>
      <c r="U649" s="246"/>
      <c r="V649" s="246"/>
      <c r="W649" s="246"/>
      <c r="X649" s="246"/>
      <c r="Y649" s="246"/>
      <c r="Z649" s="246"/>
    </row>
    <row r="650">
      <c r="A650" s="263"/>
      <c r="B650" s="265" t="str">
        <f>IFERROR(__xludf.DUMMYFUNCTION("""COMPUTED_VALUE"""),"Scout's Retreat")</f>
        <v>Scout's Retreat</v>
      </c>
      <c r="C650" s="263"/>
      <c r="D650" s="264" t="str">
        <f>IFERROR(__xludf.DUMMYFUNCTION("""COMPUTED_VALUE"""),"Stealth")</f>
        <v>Stealth</v>
      </c>
      <c r="E650" s="264" t="str">
        <f>IFERROR(__xludf.DUMMYFUNCTION("""COMPUTED_VALUE"""),"Self")</f>
        <v>Self</v>
      </c>
      <c r="F650" s="266" t="str">
        <f>IFERROR(__xludf.DUMMYFUNCTION("""COMPUTED_VALUE"""),"You disengage and may move up to two times your speed away from enemies towards the closest escape point.")</f>
        <v>You disengage and may move up to two times your speed away from enemies towards the closest escape point.</v>
      </c>
      <c r="G650" s="263" t="str">
        <f>IFERROR(__xludf.DUMMYFUNCTION("""COMPUTED_VALUE"""),"No known allies within 300ft of you")</f>
        <v>No known allies within 300ft of you</v>
      </c>
      <c r="H650" s="265" t="str">
        <f>IFERROR(__xludf.DUMMYFUNCTION("""COMPUTED_VALUE"""),"1 AP, 1 MP")</f>
        <v>1 AP, 1 MP</v>
      </c>
      <c r="I650" s="264" t="str">
        <f>IFERROR(__xludf.DUMMYFUNCTION("""COMPUTED_VALUE"""),"1 AP")</f>
        <v>1 AP</v>
      </c>
      <c r="J650" s="264" t="str">
        <f>IFERROR(__xludf.DUMMYFUNCTION("""COMPUTED_VALUE"""),"1 MP")</f>
        <v>1 MP</v>
      </c>
      <c r="K650" s="263" t="str">
        <f>IFERROR(__xludf.DUMMYFUNCTION("""COMPUTED_VALUE"""),"")</f>
        <v/>
      </c>
      <c r="L650" s="263" t="str">
        <f>IFERROR(__xludf.DUMMYFUNCTION("""COMPUTED_VALUE"""),"")</f>
        <v/>
      </c>
      <c r="M650" s="263"/>
      <c r="N650" s="263"/>
      <c r="O650" s="263"/>
      <c r="P650" s="263"/>
      <c r="Q650" s="263"/>
      <c r="R650" s="263"/>
      <c r="S650" s="263"/>
      <c r="T650" s="263"/>
      <c r="U650" s="246"/>
      <c r="V650" s="246"/>
      <c r="W650" s="246"/>
      <c r="X650" s="246"/>
      <c r="Y650" s="246"/>
      <c r="Z650" s="246"/>
    </row>
    <row r="651">
      <c r="A651" s="263"/>
      <c r="B651" s="265" t="str">
        <f>IFERROR(__xludf.DUMMYFUNCTION("""COMPUTED_VALUE"""),"Scouting Ahead")</f>
        <v>Scouting Ahead</v>
      </c>
      <c r="C651" s="263"/>
      <c r="D651" s="264" t="str">
        <f>IFERROR(__xludf.DUMMYFUNCTION("""COMPUTED_VALUE"""),"")</f>
        <v/>
      </c>
      <c r="E651" s="264" t="str">
        <f>IFERROR(__xludf.DUMMYFUNCTION("""COMPUTED_VALUE"""),"'-")</f>
        <v>'-</v>
      </c>
      <c r="F651" s="266" t="str">
        <f>IFERROR(__xludf.DUMMYFUNCTION("""COMPUTED_VALUE"""),"When traveling stealthily across the map, you can choose to move slightly ahead of the party when moving. If you do, you treat your roll as the lowest roll of the party.")</f>
        <v>When traveling stealthily across the map, you can choose to move slightly ahead of the party when moving. If you do, you treat your roll as the lowest roll of the party.</v>
      </c>
      <c r="G651" s="264" t="str">
        <f>IFERROR(__xludf.DUMMYFUNCTION("""COMPUTED_VALUE"""),"")</f>
        <v/>
      </c>
      <c r="H651" s="265" t="str">
        <f>IFERROR(__xludf.DUMMYFUNCTION("""COMPUTED_VALUE"""),"")</f>
        <v/>
      </c>
      <c r="I651" s="264" t="str">
        <f>IFERROR(__xludf.DUMMYFUNCTION("""COMPUTED_VALUE"""),"")</f>
        <v/>
      </c>
      <c r="J651" s="264" t="str">
        <f>IFERROR(__xludf.DUMMYFUNCTION("""COMPUTED_VALUE"""),"")</f>
        <v/>
      </c>
      <c r="K651" s="263" t="str">
        <f>IFERROR(__xludf.DUMMYFUNCTION("""COMPUTED_VALUE"""),"")</f>
        <v/>
      </c>
      <c r="L651" s="263" t="str">
        <f>IFERROR(__xludf.DUMMYFUNCTION("""COMPUTED_VALUE"""),"")</f>
        <v/>
      </c>
      <c r="M651" s="263"/>
      <c r="N651" s="263"/>
      <c r="O651" s="263"/>
      <c r="P651" s="263"/>
      <c r="Q651" s="263"/>
      <c r="R651" s="263"/>
      <c r="S651" s="263"/>
      <c r="T651" s="263"/>
      <c r="U651" s="246"/>
      <c r="V651" s="246"/>
      <c r="W651" s="246"/>
      <c r="X651" s="246"/>
      <c r="Y651" s="246"/>
      <c r="Z651" s="246"/>
    </row>
    <row r="652">
      <c r="A652" s="263"/>
      <c r="B652" s="265" t="str">
        <f>IFERROR(__xludf.DUMMYFUNCTION("""COMPUTED_VALUE"""),"Scry")</f>
        <v>Scry</v>
      </c>
      <c r="C652" s="263"/>
      <c r="D652" s="264" t="str">
        <f>IFERROR(__xludf.DUMMYFUNCTION("""COMPUTED_VALUE"""),"Divination, Spell, Concentration")</f>
        <v>Divination, Spell, Concentration</v>
      </c>
      <c r="E652" s="264" t="str">
        <f>IFERROR(__xludf.DUMMYFUNCTION("""COMPUTED_VALUE"""),"5000ft")</f>
        <v>5000ft</v>
      </c>
      <c r="F652" s="266" t="str">
        <f>IFERROR(__xludf.DUMMYFUNCTION("""COMPUTED_VALUE"""),"You designate a point that you can see within range, creating a magical ward at that point. If you focus you can shift your perception to that ward and see and hear everything within line of the sight of that ward in a 30ft radius. The ward can persist as"&amp;" long as you want over any distance, but you can only have one instance of Scry active at a time. The ward is invisible and inaudible, but can be detected through magical means.")</f>
        <v>You designate a point that you can see within range, creating a magical ward at that point. If you focus you can shift your perception to that ward and see and hear everything within line of the sight of that ward in a 30ft radius. The ward can persist as long as you want over any distance, but you can only have one instance of Scry active at a time. The ward is invisible and inaudible, but can be detected through magical means.</v>
      </c>
      <c r="G652" s="263" t="str">
        <f>IFERROR(__xludf.DUMMYFUNCTION("""COMPUTED_VALUE"""),"")</f>
        <v/>
      </c>
      <c r="H652" s="265" t="str">
        <f>IFERROR(__xludf.DUMMYFUNCTION("""COMPUTED_VALUE"""),"4 AP, 1 MP")</f>
        <v>4 AP, 1 MP</v>
      </c>
      <c r="I652" s="264" t="str">
        <f>IFERROR(__xludf.DUMMYFUNCTION("""COMPUTED_VALUE"""),"4 AP")</f>
        <v>4 AP</v>
      </c>
      <c r="J652" s="264" t="str">
        <f>IFERROR(__xludf.DUMMYFUNCTION("""COMPUTED_VALUE"""),"1 MP")</f>
        <v>1 MP</v>
      </c>
      <c r="K652" s="263" t="str">
        <f>IFERROR(__xludf.DUMMYFUNCTION("""COMPUTED_VALUE"""),"")</f>
        <v/>
      </c>
      <c r="L652" s="263" t="str">
        <f>IFERROR(__xludf.DUMMYFUNCTION("""COMPUTED_VALUE"""),"")</f>
        <v/>
      </c>
      <c r="M652" s="263"/>
      <c r="N652" s="263"/>
      <c r="O652" s="263"/>
      <c r="P652" s="263"/>
      <c r="Q652" s="263"/>
      <c r="R652" s="263"/>
      <c r="S652" s="263"/>
      <c r="T652" s="263"/>
      <c r="U652" s="246"/>
      <c r="V652" s="246"/>
      <c r="W652" s="246"/>
      <c r="X652" s="246"/>
      <c r="Y652" s="246"/>
      <c r="Z652" s="246"/>
    </row>
    <row r="653">
      <c r="A653" s="263"/>
      <c r="B653" s="265" t="str">
        <f>IFERROR(__xludf.DUMMYFUNCTION("""COMPUTED_VALUE"""),"Scurry Away")</f>
        <v>Scurry Away</v>
      </c>
      <c r="C653" s="263"/>
      <c r="D653" s="264" t="str">
        <f>IFERROR(__xludf.DUMMYFUNCTION("""COMPUTED_VALUE"""),"")</f>
        <v/>
      </c>
      <c r="E653" s="264" t="str">
        <f>IFERROR(__xludf.DUMMYFUNCTION("""COMPUTED_VALUE"""),"")</f>
        <v/>
      </c>
      <c r="F653" s="266" t="str">
        <f>IFERROR(__xludf.DUMMYFUNCTION("""COMPUTED_VALUE"""),"After using the Disengage or Feint action, your movement speed increases by 10ft until the end of your turn.")</f>
        <v>After using the Disengage or Feint action, your movement speed increases by 10ft until the end of your turn.</v>
      </c>
      <c r="G653" s="264" t="str">
        <f>IFERROR(__xludf.DUMMYFUNCTION("""COMPUTED_VALUE"""),"")</f>
        <v/>
      </c>
      <c r="H653" s="265" t="str">
        <f>IFERROR(__xludf.DUMMYFUNCTION("""COMPUTED_VALUE"""),"")</f>
        <v/>
      </c>
      <c r="I653" s="263" t="str">
        <f>IFERROR(__xludf.DUMMYFUNCTION("""COMPUTED_VALUE"""),"")</f>
        <v/>
      </c>
      <c r="J653" s="263" t="str">
        <f>IFERROR(__xludf.DUMMYFUNCTION("""COMPUTED_VALUE"""),"")</f>
        <v/>
      </c>
      <c r="K653" s="264" t="str">
        <f>IFERROR(__xludf.DUMMYFUNCTION("""COMPUTED_VALUE"""),"")</f>
        <v/>
      </c>
      <c r="L653" s="263" t="str">
        <f>IFERROR(__xludf.DUMMYFUNCTION("""COMPUTED_VALUE"""),"")</f>
        <v/>
      </c>
      <c r="M653" s="263"/>
      <c r="N653" s="263"/>
      <c r="O653" s="263"/>
      <c r="P653" s="263"/>
      <c r="Q653" s="263"/>
      <c r="R653" s="263"/>
      <c r="S653" s="263"/>
      <c r="T653" s="263"/>
      <c r="U653" s="246"/>
      <c r="V653" s="246"/>
      <c r="W653" s="246"/>
      <c r="X653" s="246"/>
      <c r="Y653" s="246"/>
      <c r="Z653" s="246"/>
    </row>
    <row r="654">
      <c r="A654" s="263"/>
      <c r="B654" s="265" t="str">
        <f>IFERROR(__xludf.DUMMYFUNCTION("""COMPUTED_VALUE"""),"Seal Cloak")</f>
        <v>Seal Cloak</v>
      </c>
      <c r="C654" s="263"/>
      <c r="D654" s="263" t="str">
        <f>IFERROR(__xludf.DUMMYFUNCTION("""COMPUTED_VALUE"""),"Transformation")</f>
        <v>Transformation</v>
      </c>
      <c r="E654" s="264" t="str">
        <f>IFERROR(__xludf.DUMMYFUNCTION("""COMPUTED_VALUE"""),"Self")</f>
        <v>Self</v>
      </c>
      <c r="F654" s="266" t="str">
        <f>IFERROR(__xludf.DUMMYFUNCTION("""COMPUTED_VALUE"""),"You manifest and don a seal cloak that has been with you since you were born, transforming you into your Seal Form.  While in seal form you gain a swim speed of 80 feet but you can only take basic actions while in Seal Form and you are proficient in melee"&amp;" attacking without weapons in seal form.  While in Seal Form, you can hold your breath underwater for up to 2 hours and your land speed is reduced to 5.  You can remove the cloak for 0 AP.")</f>
        <v>You manifest and don a seal cloak that has been with you since you were born, transforming you into your Seal Form.  While in seal form you gain a swim speed of 80 feet but you can only take basic actions while in Seal Form and you are proficient in melee attacking without weapons in seal form.  While in Seal Form, you can hold your breath underwater for up to 2 hours and your land speed is reduced to 5.  You can remove the cloak for 0 AP.</v>
      </c>
      <c r="G654" s="264" t="str">
        <f>IFERROR(__xludf.DUMMYFUNCTION("""COMPUTED_VALUE"""),"")</f>
        <v/>
      </c>
      <c r="H654" s="267" t="str">
        <f>IFERROR(__xludf.DUMMYFUNCTION("""COMPUTED_VALUE"""),"4 AP")</f>
        <v>4 AP</v>
      </c>
      <c r="I654" s="263" t="str">
        <f>IFERROR(__xludf.DUMMYFUNCTION("""COMPUTED_VALUE"""),"4 AP")</f>
        <v>4 AP</v>
      </c>
      <c r="J654" s="263" t="str">
        <f>IFERROR(__xludf.DUMMYFUNCTION("""COMPUTED_VALUE"""),"")</f>
        <v/>
      </c>
      <c r="K654" s="263" t="str">
        <f>IFERROR(__xludf.DUMMYFUNCTION("""COMPUTED_VALUE"""),"")</f>
        <v/>
      </c>
      <c r="L654" s="263" t="str">
        <f>IFERROR(__xludf.DUMMYFUNCTION("""COMPUTED_VALUE"""),"")</f>
        <v/>
      </c>
      <c r="M654" s="263"/>
      <c r="N654" s="263"/>
      <c r="O654" s="263"/>
      <c r="P654" s="263"/>
      <c r="Q654" s="263"/>
      <c r="R654" s="263"/>
      <c r="S654" s="263"/>
      <c r="T654" s="263"/>
      <c r="U654" s="246"/>
      <c r="V654" s="246"/>
      <c r="W654" s="246"/>
      <c r="X654" s="246"/>
      <c r="Y654" s="246"/>
      <c r="Z654" s="246"/>
    </row>
    <row r="655">
      <c r="A655" s="263"/>
      <c r="B655" s="265" t="str">
        <f>IFERROR(__xludf.DUMMYFUNCTION("""COMPUTED_VALUE"""),"Sealing Talisman")</f>
        <v>Sealing Talisman</v>
      </c>
      <c r="C655" s="263"/>
      <c r="D655" s="264" t="str">
        <f>IFERROR(__xludf.DUMMYFUNCTION("""COMPUTED_VALUE"""),"Stun")</f>
        <v>Stun</v>
      </c>
      <c r="E655" s="264" t="str">
        <f>IFERROR(__xludf.DUMMYFUNCTION("""COMPUTED_VALUE"""),"5ft")</f>
        <v>5ft</v>
      </c>
      <c r="F655" s="266" t="str">
        <f>IFERROR(__xludf.DUMMYFUNCTION("""COMPUTED_VALUE"""),"You attach a Sealing Talisman to the target. Non-heroics become Stunned immediately, while heroic targets must spend 2 AP to remove it from themselves. If they do not remove it by the end of their turn, they become Stunned. While the talisman remains atta"&amp;"ched, the target is stunned. Anyone within touching distance of the talisman may spend 2 AP to remove the talisman, immediately removing the stun effect. If the talisman is not removed, it lasts until the end of encounter or until the target takes damage."&amp;" A person can only be affected by 1 Sealing Talisman at a time.")</f>
        <v>You attach a Sealing Talisman to the target. Non-heroics become Stunned immediately, while heroic targets must spend 2 AP to remove it from themselves. If they do not remove it by the end of their turn, they become Stunned. While the talisman remains attached, the target is stunned. Anyone within touching distance of the talisman may spend 2 AP to remove the talisman, immediately removing the stun effect. If the talisman is not removed, it lasts until the end of encounter or until the target takes damage. A person can only be affected by 1 Sealing Talisman at a time.</v>
      </c>
      <c r="G655" s="263" t="str">
        <f>IFERROR(__xludf.DUMMYFUNCTION("""COMPUTED_VALUE"""),"The target has 0 RP. Must have a Sealing Talisman in hand.")</f>
        <v>The target has 0 RP. Must have a Sealing Talisman in hand.</v>
      </c>
      <c r="H655" s="265" t="str">
        <f>IFERROR(__xludf.DUMMYFUNCTION("""COMPUTED_VALUE"""),"0 AP")</f>
        <v>0 AP</v>
      </c>
      <c r="I655" s="264" t="str">
        <f>IFERROR(__xludf.DUMMYFUNCTION("""COMPUTED_VALUE"""),"0 AP")</f>
        <v>0 AP</v>
      </c>
      <c r="J655" s="263" t="str">
        <f>IFERROR(__xludf.DUMMYFUNCTION("""COMPUTED_VALUE"""),"")</f>
        <v/>
      </c>
      <c r="K655" s="263" t="str">
        <f>IFERROR(__xludf.DUMMYFUNCTION("""COMPUTED_VALUE"""),"")</f>
        <v/>
      </c>
      <c r="L655" s="263" t="str">
        <f>IFERROR(__xludf.DUMMYFUNCTION("""COMPUTED_VALUE"""),"")</f>
        <v/>
      </c>
      <c r="M655" s="263"/>
      <c r="N655" s="263"/>
      <c r="O655" s="263"/>
      <c r="P655" s="263"/>
      <c r="Q655" s="263"/>
      <c r="R655" s="263"/>
      <c r="S655" s="263"/>
      <c r="T655" s="263"/>
      <c r="U655" s="246"/>
      <c r="V655" s="246"/>
      <c r="W655" s="246"/>
      <c r="X655" s="246"/>
      <c r="Y655" s="246"/>
      <c r="Z655" s="246"/>
    </row>
    <row r="656">
      <c r="A656" s="263"/>
      <c r="B656" s="265" t="str">
        <f>IFERROR(__xludf.DUMMYFUNCTION("""COMPUTED_VALUE"""),"Second Tremor")</f>
        <v>Second Tremor</v>
      </c>
      <c r="C656" s="263"/>
      <c r="D656" s="264" t="str">
        <f>IFERROR(__xludf.DUMMYFUNCTION("""COMPUTED_VALUE"""),"Earth")</f>
        <v>Earth</v>
      </c>
      <c r="E656" s="264" t="str">
        <f>IFERROR(__xludf.DUMMYFUNCTION("""COMPUTED_VALUE"""),"120ft")</f>
        <v>120ft</v>
      </c>
      <c r="F656" s="266" t="str">
        <f>IFERROR(__xludf.DUMMYFUNCTION("""COMPUTED_VALUE"""),"The enemy falls prone and takes Light damage.")</f>
        <v>The enemy falls prone and takes Light damage.</v>
      </c>
      <c r="G656" s="263" t="str">
        <f>IFERROR(__xludf.DUMMYFUNCTION("""COMPUTED_VALUE"""),"An enemy stands up from prone or takes falling damage without falling prone.")</f>
        <v>An enemy stands up from prone or takes falling damage without falling prone.</v>
      </c>
      <c r="H656" s="267" t="str">
        <f>IFERROR(__xludf.DUMMYFUNCTION("""COMPUTED_VALUE"""),"1 RP")</f>
        <v>1 RP</v>
      </c>
      <c r="I656" s="263" t="str">
        <f>IFERROR(__xludf.DUMMYFUNCTION("""COMPUTED_VALUE"""),"")</f>
        <v/>
      </c>
      <c r="J656" s="263" t="str">
        <f>IFERROR(__xludf.DUMMYFUNCTION("""COMPUTED_VALUE"""),"")</f>
        <v/>
      </c>
      <c r="K656" s="263" t="str">
        <f>IFERROR(__xludf.DUMMYFUNCTION("""COMPUTED_VALUE"""),"1 RP")</f>
        <v>1 RP</v>
      </c>
      <c r="L656" s="263" t="str">
        <f>IFERROR(__xludf.DUMMYFUNCTION("""COMPUTED_VALUE"""),"")</f>
        <v/>
      </c>
      <c r="M656" s="263"/>
      <c r="N656" s="263"/>
      <c r="O656" s="263"/>
      <c r="P656" s="263"/>
      <c r="Q656" s="263"/>
      <c r="R656" s="263"/>
      <c r="S656" s="263"/>
      <c r="T656" s="263"/>
      <c r="U656" s="246"/>
      <c r="V656" s="246"/>
      <c r="W656" s="246"/>
      <c r="X656" s="246"/>
      <c r="Y656" s="246"/>
      <c r="Z656" s="246"/>
    </row>
    <row r="657">
      <c r="A657" s="263"/>
      <c r="B657" s="265" t="str">
        <f>IFERROR(__xludf.DUMMYFUNCTION("""COMPUTED_VALUE"""),"Secret Art ~ Faerie Light Eyes: Jade Shelterbelt")</f>
        <v>Secret Art ~ Faerie Light Eyes: Jade Shelterbelt</v>
      </c>
      <c r="C657" s="263"/>
      <c r="D657" s="264" t="str">
        <f>IFERROR(__xludf.DUMMYFUNCTION("""COMPUTED_VALUE"""),"Secret Art, Illusion")</f>
        <v>Secret Art, Illusion</v>
      </c>
      <c r="E657" s="264" t="str">
        <f>IFERROR(__xludf.DUMMYFUNCTION("""COMPUTED_VALUE"""),"Self")</f>
        <v>Self</v>
      </c>
      <c r="F657" s="266" t="str">
        <f>IFERROR(__xludf.DUMMYFUNCTION("""COMPUTED_VALUE"""),"Creates 5 Illusionary Heavy Spin Fluttering Blades within 20ft from you that last until the end of the encounter.
They are dispelled when Fluttering Blade is cancelled on them.
These do not count towards your Fluttering Blade limit.")</f>
        <v>Creates 5 Illusionary Heavy Spin Fluttering Blades within 20ft from you that last until the end of the encounter.
They are dispelled when Fluttering Blade is cancelled on them.
These do not count towards your Fluttering Blade limit.</v>
      </c>
      <c r="G657" s="263" t="str">
        <f>IFERROR(__xludf.DUMMYFUNCTION("""COMPUTED_VALUE"""),"")</f>
        <v/>
      </c>
      <c r="H657" s="265" t="str">
        <f>IFERROR(__xludf.DUMMYFUNCTION("""COMPUTED_VALUE"""),"4 AP, 2 MP")</f>
        <v>4 AP, 2 MP</v>
      </c>
      <c r="I657" s="264" t="str">
        <f>IFERROR(__xludf.DUMMYFUNCTION("""COMPUTED_VALUE"""),"4 AP")</f>
        <v>4 AP</v>
      </c>
      <c r="J657" s="263" t="str">
        <f>IFERROR(__xludf.DUMMYFUNCTION("""COMPUTED_VALUE"""),"2 MP")</f>
        <v>2 MP</v>
      </c>
      <c r="K657" s="263" t="str">
        <f>IFERROR(__xludf.DUMMYFUNCTION("""COMPUTED_VALUE"""),"")</f>
        <v/>
      </c>
      <c r="L657" s="263" t="str">
        <f>IFERROR(__xludf.DUMMYFUNCTION("""COMPUTED_VALUE"""),"")</f>
        <v/>
      </c>
      <c r="M657" s="263"/>
      <c r="N657" s="263"/>
      <c r="O657" s="263"/>
      <c r="P657" s="263"/>
      <c r="Q657" s="263"/>
      <c r="R657" s="263"/>
      <c r="S657" s="263"/>
      <c r="T657" s="263"/>
      <c r="U657" s="246"/>
      <c r="V657" s="246"/>
      <c r="W657" s="246"/>
      <c r="X657" s="246"/>
      <c r="Y657" s="246"/>
      <c r="Z657" s="246"/>
    </row>
    <row r="658">
      <c r="A658" s="263"/>
      <c r="B658" s="265" t="str">
        <f>IFERROR(__xludf.DUMMYFUNCTION("""COMPUTED_VALUE"""),"Secret Art: Revitalize")</f>
        <v>Secret Art: Revitalize</v>
      </c>
      <c r="C658" s="263"/>
      <c r="D658" s="263" t="str">
        <f>IFERROR(__xludf.DUMMYFUNCTION("""COMPUTED_VALUE"""),"Healing, Overcharge, Secret Art, Spell")</f>
        <v>Healing, Overcharge, Secret Art, Spell</v>
      </c>
      <c r="E658" s="264" t="str">
        <f>IFERROR(__xludf.DUMMYFUNCTION("""COMPUTED_VALUE"""),"60ft")</f>
        <v>60ft</v>
      </c>
      <c r="F658" s="266" t="str">
        <f>IFERROR(__xludf.DUMMYFUNCTION("""COMPUTED_VALUE"""),"You pray for a Downed ally. The ally’s HP becomes 0 and then heals for your Power x 3. They may stand up from prone after this healing.
Overcharge: You may pay X extra mana to make the target heal + 7 HP for every additional point of mana spent.
This abil"&amp;"ity does not work on Mortally Wounded allies.")</f>
        <v>You pray for a Downed ally. The ally’s HP becomes 0 and then heals for your Power x 3. They may stand up from prone after this healing.
Overcharge: You may pay X extra mana to make the target heal + 7 HP for every additional point of mana spent.
This ability does not work on Mortally Wounded allies.</v>
      </c>
      <c r="G658" s="264" t="str">
        <f>IFERROR(__xludf.DUMMYFUNCTION("""COMPUTED_VALUE"""),"Ally is downed.")</f>
        <v>Ally is downed.</v>
      </c>
      <c r="H658" s="265" t="str">
        <f>IFERROR(__xludf.DUMMYFUNCTION("""COMPUTED_VALUE"""),"2 AP, 2 MP")</f>
        <v>2 AP, 2 MP</v>
      </c>
      <c r="I658" s="263" t="str">
        <f>IFERROR(__xludf.DUMMYFUNCTION("""COMPUTED_VALUE"""),"2 AP")</f>
        <v>2 AP</v>
      </c>
      <c r="J658" s="263" t="str">
        <f>IFERROR(__xludf.DUMMYFUNCTION("""COMPUTED_VALUE"""),"2 MP")</f>
        <v>2 MP</v>
      </c>
      <c r="K658" s="264" t="str">
        <f>IFERROR(__xludf.DUMMYFUNCTION("""COMPUTED_VALUE"""),"")</f>
        <v/>
      </c>
      <c r="L658" s="263" t="str">
        <f>IFERROR(__xludf.DUMMYFUNCTION("""COMPUTED_VALUE"""),"")</f>
        <v/>
      </c>
      <c r="M658" s="263"/>
      <c r="N658" s="263"/>
      <c r="O658" s="263"/>
      <c r="P658" s="263"/>
      <c r="Q658" s="263"/>
      <c r="R658" s="263"/>
      <c r="S658" s="263"/>
      <c r="T658" s="263"/>
      <c r="U658" s="246"/>
      <c r="V658" s="246"/>
      <c r="W658" s="246"/>
      <c r="X658" s="246"/>
      <c r="Y658" s="246"/>
      <c r="Z658" s="246"/>
    </row>
    <row r="659">
      <c r="A659" s="263"/>
      <c r="B659" s="265" t="str">
        <f>IFERROR(__xludf.DUMMYFUNCTION("""COMPUTED_VALUE"""),"Secret Art: 7 Points of Death")</f>
        <v>Secret Art: 7 Points of Death</v>
      </c>
      <c r="C659" s="263"/>
      <c r="D659" s="264" t="str">
        <f>IFERROR(__xludf.DUMMYFUNCTION("""COMPUTED_VALUE"""),"Full Pierce, Secret Art")</f>
        <v>Full Pierce, Secret Art</v>
      </c>
      <c r="E659" s="264" t="str">
        <f>IFERROR(__xludf.DUMMYFUNCTION("""COMPUTED_VALUE"""),"Melee Weapon Range")</f>
        <v>Melee Weapon Range</v>
      </c>
      <c r="F659" s="266" t="str">
        <f>IFERROR(__xludf.DUMMYFUNCTION("""COMPUTED_VALUE"""),"You make a number of Precise Attacks up to the amount of Marks of Death on the target. Each attack deals damage equal to your Focus + Power instead of rolling for damage.")</f>
        <v>You make a number of Precise Attacks up to the amount of Marks of Death on the target. Each attack deals damage equal to your Focus + Power instead of rolling for damage.</v>
      </c>
      <c r="G659" s="264" t="str">
        <f>IFERROR(__xludf.DUMMYFUNCTION("""COMPUTED_VALUE"""),"Target is below half HP and has at least 1 Mark of Death.")</f>
        <v>Target is below half HP and has at least 1 Mark of Death.</v>
      </c>
      <c r="H659" s="265" t="str">
        <f>IFERROR(__xludf.DUMMYFUNCTION("""COMPUTED_VALUE"""),"3 AP, 3 MP")</f>
        <v>3 AP, 3 MP</v>
      </c>
      <c r="I659" s="263" t="str">
        <f>IFERROR(__xludf.DUMMYFUNCTION("""COMPUTED_VALUE"""),"3 AP")</f>
        <v>3 AP</v>
      </c>
      <c r="J659" s="263" t="str">
        <f>IFERROR(__xludf.DUMMYFUNCTION("""COMPUTED_VALUE"""),"3 MP")</f>
        <v>3 MP</v>
      </c>
      <c r="K659" s="264" t="str">
        <f>IFERROR(__xludf.DUMMYFUNCTION("""COMPUTED_VALUE"""),"")</f>
        <v/>
      </c>
      <c r="L659" s="263" t="str">
        <f>IFERROR(__xludf.DUMMYFUNCTION("""COMPUTED_VALUE"""),"")</f>
        <v/>
      </c>
      <c r="M659" s="263"/>
      <c r="N659" s="263"/>
      <c r="O659" s="263"/>
      <c r="P659" s="263"/>
      <c r="Q659" s="263"/>
      <c r="R659" s="263"/>
      <c r="S659" s="263"/>
      <c r="T659" s="263"/>
      <c r="U659" s="246"/>
      <c r="V659" s="246"/>
      <c r="W659" s="246"/>
      <c r="X659" s="246"/>
      <c r="Y659" s="246"/>
      <c r="Z659" s="246"/>
    </row>
    <row r="660">
      <c r="A660" s="263"/>
      <c r="B660" s="265" t="str">
        <f>IFERROR(__xludf.DUMMYFUNCTION("""COMPUTED_VALUE"""),"Secret Art: Absolute Compression")</f>
        <v>Secret Art: Absolute Compression</v>
      </c>
      <c r="C660" s="263"/>
      <c r="D660" s="264" t="str">
        <f>IFERROR(__xludf.DUMMYFUNCTION("""COMPUTED_VALUE"""),"Spell, Gravity, Full Pierce, Trick Attack, Secret Art")</f>
        <v>Spell, Gravity, Full Pierce, Trick Attack, Secret Art</v>
      </c>
      <c r="E660" s="264" t="str">
        <f>IFERROR(__xludf.DUMMYFUNCTION("""COMPUTED_VALUE"""),"120ft")</f>
        <v>120ft</v>
      </c>
      <c r="F660" s="266" t="str">
        <f>IFERROR(__xludf.DUMMYFUNCTION("""COMPUTED_VALUE"""),"You make an attack against the target that deals Double Heavy Physical(Crushing) damage.")</f>
        <v>You make an attack against the target that deals Double Heavy Physical(Crushing) damage.</v>
      </c>
      <c r="G660" s="264" t="str">
        <f>IFERROR(__xludf.DUMMYFUNCTION("""COMPUTED_VALUE"""),"")</f>
        <v/>
      </c>
      <c r="H660" s="265" t="str">
        <f>IFERROR(__xludf.DUMMYFUNCTION("""COMPUTED_VALUE"""),"4 AP, 2 MP")</f>
        <v>4 AP, 2 MP</v>
      </c>
      <c r="I660" s="263" t="str">
        <f>IFERROR(__xludf.DUMMYFUNCTION("""COMPUTED_VALUE"""),"4 AP")</f>
        <v>4 AP</v>
      </c>
      <c r="J660" s="263" t="str">
        <f>IFERROR(__xludf.DUMMYFUNCTION("""COMPUTED_VALUE"""),"2 MP")</f>
        <v>2 MP</v>
      </c>
      <c r="K660" s="264" t="str">
        <f>IFERROR(__xludf.DUMMYFUNCTION("""COMPUTED_VALUE"""),"")</f>
        <v/>
      </c>
      <c r="L660" s="263" t="str">
        <f>IFERROR(__xludf.DUMMYFUNCTION("""COMPUTED_VALUE"""),"")</f>
        <v/>
      </c>
      <c r="M660" s="263"/>
      <c r="N660" s="263"/>
      <c r="O660" s="263"/>
      <c r="P660" s="263"/>
      <c r="Q660" s="263"/>
      <c r="R660" s="263"/>
      <c r="S660" s="263"/>
      <c r="T660" s="263"/>
      <c r="U660" s="246"/>
      <c r="V660" s="246"/>
      <c r="W660" s="246"/>
      <c r="X660" s="246"/>
      <c r="Y660" s="246"/>
      <c r="Z660" s="246"/>
    </row>
    <row r="661">
      <c r="A661" s="263"/>
      <c r="B661" s="265" t="str">
        <f>IFERROR(__xludf.DUMMYFUNCTION("""COMPUTED_VALUE"""),"Secret Art: All of Creation")</f>
        <v>Secret Art: All of Creation</v>
      </c>
      <c r="C661" s="263"/>
      <c r="D661" s="264" t="str">
        <f>IFERROR(__xludf.DUMMYFUNCTION("""COMPUTED_VALUE"""),"Secret Art")</f>
        <v>Secret Art</v>
      </c>
      <c r="E661" s="264" t="str">
        <f>IFERROR(__xludf.DUMMYFUNCTION("""COMPUTED_VALUE"""),"")</f>
        <v/>
      </c>
      <c r="F661" s="266" t="str">
        <f>IFERROR(__xludf.DUMMYFUNCTION("""COMPUTED_VALUE"""),"Change the damage type of the target attack into any damage type except True.")</f>
        <v>Change the damage type of the target attack into any damage type except True.</v>
      </c>
      <c r="G661" s="264" t="str">
        <f>IFERROR(__xludf.DUMMYFUNCTION("""COMPUTED_VALUE"""),"")</f>
        <v/>
      </c>
      <c r="H661" s="265" t="str">
        <f>IFERROR(__xludf.DUMMYFUNCTION("""COMPUTED_VALUE"""),"0 RP")</f>
        <v>0 RP</v>
      </c>
      <c r="I661" s="264" t="str">
        <f>IFERROR(__xludf.DUMMYFUNCTION("""COMPUTED_VALUE"""),"")</f>
        <v/>
      </c>
      <c r="J661" s="264" t="str">
        <f>IFERROR(__xludf.DUMMYFUNCTION("""COMPUTED_VALUE"""),"")</f>
        <v/>
      </c>
      <c r="K661" s="263" t="str">
        <f>IFERROR(__xludf.DUMMYFUNCTION("""COMPUTED_VALUE"""),"0 RP")</f>
        <v>0 RP</v>
      </c>
      <c r="L661" s="263" t="str">
        <f>IFERROR(__xludf.DUMMYFUNCTION("""COMPUTED_VALUE"""),"")</f>
        <v/>
      </c>
      <c r="M661" s="263"/>
      <c r="N661" s="263"/>
      <c r="O661" s="263"/>
      <c r="P661" s="263"/>
      <c r="Q661" s="263"/>
      <c r="R661" s="263"/>
      <c r="S661" s="263"/>
      <c r="T661" s="263"/>
      <c r="U661" s="246"/>
      <c r="V661" s="246"/>
      <c r="W661" s="246"/>
      <c r="X661" s="246"/>
      <c r="Y661" s="246"/>
      <c r="Z661" s="246"/>
    </row>
    <row r="662">
      <c r="A662" s="263"/>
      <c r="B662" s="265" t="str">
        <f>IFERROR(__xludf.DUMMYFUNCTION("""COMPUTED_VALUE"""),"Secret Art: Ambush Shot")</f>
        <v>Secret Art: Ambush Shot</v>
      </c>
      <c r="C662" s="263"/>
      <c r="D662" s="264" t="str">
        <f>IFERROR(__xludf.DUMMYFUNCTION("""COMPUTED_VALUE"""),"Secret Art, Sure Hit, Full Pierce")</f>
        <v>Secret Art, Sure Hit, Full Pierce</v>
      </c>
      <c r="E662" s="264" t="str">
        <f>IFERROR(__xludf.DUMMYFUNCTION("""COMPUTED_VALUE"""),"Ranged Weapon Range")</f>
        <v>Ranged Weapon Range</v>
      </c>
      <c r="F662" s="266" t="str">
        <f>IFERROR(__xludf.DUMMYFUNCTION("""COMPUTED_VALUE"""),"You make a Heavy attack that does maximum damage instead of rolling. This attack does not break your stealth.")</f>
        <v>You make a Heavy attack that does maximum damage instead of rolling. This attack does not break your stealth.</v>
      </c>
      <c r="G662" s="263" t="str">
        <f>IFERROR(__xludf.DUMMYFUNCTION("""COMPUTED_VALUE"""),"Enemy must be unaware of your presence. Can only be used on the first turn of an encounter and must be your first attack.")</f>
        <v>Enemy must be unaware of your presence. Can only be used on the first turn of an encounter and must be your first attack.</v>
      </c>
      <c r="H662" s="265" t="str">
        <f>IFERROR(__xludf.DUMMYFUNCTION("""COMPUTED_VALUE"""),"2 AP")</f>
        <v>2 AP</v>
      </c>
      <c r="I662" s="264" t="str">
        <f>IFERROR(__xludf.DUMMYFUNCTION("""COMPUTED_VALUE"""),"2 AP")</f>
        <v>2 AP</v>
      </c>
      <c r="J662" s="263" t="str">
        <f>IFERROR(__xludf.DUMMYFUNCTION("""COMPUTED_VALUE"""),"")</f>
        <v/>
      </c>
      <c r="K662" s="263" t="str">
        <f>IFERROR(__xludf.DUMMYFUNCTION("""COMPUTED_VALUE"""),"")</f>
        <v/>
      </c>
      <c r="L662" s="263" t="str">
        <f>IFERROR(__xludf.DUMMYFUNCTION("""COMPUTED_VALUE"""),"")</f>
        <v/>
      </c>
      <c r="M662" s="263"/>
      <c r="N662" s="263"/>
      <c r="O662" s="263"/>
      <c r="P662" s="263"/>
      <c r="Q662" s="263"/>
      <c r="R662" s="263"/>
      <c r="S662" s="263"/>
      <c r="T662" s="263"/>
      <c r="U662" s="246"/>
      <c r="V662" s="246"/>
      <c r="W662" s="246"/>
      <c r="X662" s="246"/>
      <c r="Y662" s="246"/>
      <c r="Z662" s="246"/>
    </row>
    <row r="663">
      <c r="A663" s="263"/>
      <c r="B663" s="265" t="str">
        <f>IFERROR(__xludf.DUMMYFUNCTION("""COMPUTED_VALUE"""),"Secret Art: Anima Synthesis Form")</f>
        <v>Secret Art: Anima Synthesis Form</v>
      </c>
      <c r="C663" s="263"/>
      <c r="D663" s="264" t="str">
        <f>IFERROR(__xludf.DUMMYFUNCTION("""COMPUTED_VALUE"""),"Secret Art, Transformation")</f>
        <v>Secret Art, Transformation</v>
      </c>
      <c r="E663" s="264" t="str">
        <f>IFERROR(__xludf.DUMMYFUNCTION("""COMPUTED_VALUE"""),"Self")</f>
        <v>Self</v>
      </c>
      <c r="F663" s="266" t="str">
        <f>IFERROR(__xludf.DUMMYFUNCTION("""COMPUTED_VALUE"""),"You consume a gene and transform, granting yourself all abilities of the chimera subrace of that corresponding gene.
This lasts until the end of the encounter.
In addition, learning this skill grants you +1 to your gene inventory for the Biohacking skill."&amp;" Despite being transformed, you can still use Gene Activation to add additional abilities.
You cannot obtain and use abilities that require an IP or EP to use through this ability.")</f>
        <v>You consume a gene and transform, granting yourself all abilities of the chimera subrace of that corresponding gene.
This lasts until the end of the encounter.
In addition, learning this skill grants you +1 to your gene inventory for the Biohacking skill. Despite being transformed, you can still use Gene Activation to add additional abilities.
You cannot obtain and use abilities that require an IP or EP to use through this ability.</v>
      </c>
      <c r="G663" s="264" t="str">
        <f>IFERROR(__xludf.DUMMYFUNCTION("""COMPUTED_VALUE"""),"Must have the required gene in your gene inventory.")</f>
        <v>Must have the required gene in your gene inventory.</v>
      </c>
      <c r="H663" s="265" t="str">
        <f>IFERROR(__xludf.DUMMYFUNCTION("""COMPUTED_VALUE"""),"3 MP, 0 RP")</f>
        <v>3 MP, 0 RP</v>
      </c>
      <c r="I663" s="264" t="str">
        <f>IFERROR(__xludf.DUMMYFUNCTION("""COMPUTED_VALUE"""),"")</f>
        <v/>
      </c>
      <c r="J663" s="264" t="str">
        <f>IFERROR(__xludf.DUMMYFUNCTION("""COMPUTED_VALUE"""),"3 MP")</f>
        <v>3 MP</v>
      </c>
      <c r="K663" s="263" t="str">
        <f>IFERROR(__xludf.DUMMYFUNCTION("""COMPUTED_VALUE"""),"0 RP")</f>
        <v>0 RP</v>
      </c>
      <c r="L663" s="263" t="str">
        <f>IFERROR(__xludf.DUMMYFUNCTION("""COMPUTED_VALUE"""),"")</f>
        <v/>
      </c>
      <c r="M663" s="263"/>
      <c r="N663" s="263"/>
      <c r="O663" s="263"/>
      <c r="P663" s="263"/>
      <c r="Q663" s="263"/>
      <c r="R663" s="263"/>
      <c r="S663" s="263"/>
      <c r="T663" s="263"/>
      <c r="U663" s="246"/>
      <c r="V663" s="246"/>
      <c r="W663" s="246"/>
      <c r="X663" s="246"/>
      <c r="Y663" s="246"/>
      <c r="Z663" s="246"/>
    </row>
    <row r="664">
      <c r="A664" s="263"/>
      <c r="B664" s="265" t="str">
        <f>IFERROR(__xludf.DUMMYFUNCTION("""COMPUTED_VALUE"""),"Secret Art: Arlan Heaven's Fall Dive")</f>
        <v>Secret Art: Arlan Heaven's Fall Dive</v>
      </c>
      <c r="C664" s="263"/>
      <c r="D664" s="264" t="str">
        <f>IFERROR(__xludf.DUMMYFUNCTION("""COMPUTED_VALUE"""),"Secret Art, Sure Hit, Full Pierce, Strafe, Aerial Mage")</f>
        <v>Secret Art, Sure Hit, Full Pierce, Strafe, Aerial Mage</v>
      </c>
      <c r="E664" s="264" t="str">
        <f>IFERROR(__xludf.DUMMYFUNCTION("""COMPUTED_VALUE"""),"Self")</f>
        <v>Self</v>
      </c>
      <c r="F664" s="266" t="str">
        <f>IFERROR(__xludf.DUMMYFUNCTION("""COMPUTED_VALUE"""),"Your next Airship shot gains Sure Hit and Full Pierce.")</f>
        <v>Your next Airship shot gains Sure Hit and Full Pierce.</v>
      </c>
      <c r="G664" s="264" t="str">
        <f>IFERROR(__xludf.DUMMYFUNCTION("""COMPUTED_VALUE"""),"You have 100 or more strafe and just lost 100ft of altitude. Must be on an aerial staff in Aerial mode.")</f>
        <v>You have 100 or more strafe and just lost 100ft of altitude. Must be on an aerial staff in Aerial mode.</v>
      </c>
      <c r="H664" s="265" t="str">
        <f>IFERROR(__xludf.DUMMYFUNCTION("""COMPUTED_VALUE"""),"2 AP, 1 MP")</f>
        <v>2 AP, 1 MP</v>
      </c>
      <c r="I664" s="264" t="str">
        <f>IFERROR(__xludf.DUMMYFUNCTION("""COMPUTED_VALUE"""),"2 AP")</f>
        <v>2 AP</v>
      </c>
      <c r="J664" s="263" t="str">
        <f>IFERROR(__xludf.DUMMYFUNCTION("""COMPUTED_VALUE"""),"1 MP")</f>
        <v>1 MP</v>
      </c>
      <c r="K664" s="263" t="str">
        <f>IFERROR(__xludf.DUMMYFUNCTION("""COMPUTED_VALUE"""),"")</f>
        <v/>
      </c>
      <c r="L664" s="263" t="str">
        <f>IFERROR(__xludf.DUMMYFUNCTION("""COMPUTED_VALUE"""),"")</f>
        <v/>
      </c>
      <c r="M664" s="263"/>
      <c r="N664" s="263"/>
      <c r="O664" s="263"/>
      <c r="P664" s="263"/>
      <c r="Q664" s="263"/>
      <c r="R664" s="263"/>
      <c r="S664" s="263"/>
      <c r="T664" s="263"/>
      <c r="U664" s="246"/>
      <c r="V664" s="246"/>
      <c r="W664" s="246"/>
      <c r="X664" s="246"/>
      <c r="Y664" s="246"/>
      <c r="Z664" s="246"/>
    </row>
    <row r="665">
      <c r="A665" s="263"/>
      <c r="B665" s="265" t="str">
        <f>IFERROR(__xludf.DUMMYFUNCTION("""COMPUTED_VALUE"""),"Secret Art: Assassinate")</f>
        <v>Secret Art: Assassinate</v>
      </c>
      <c r="C665" s="263"/>
      <c r="D665" s="264" t="str">
        <f>IFERROR(__xludf.DUMMYFUNCTION("""COMPUTED_VALUE"""),"Full Pierce, Secret Art, Sure Hit")</f>
        <v>Full Pierce, Secret Art, Sure Hit</v>
      </c>
      <c r="E665" s="264" t="str">
        <f>IFERROR(__xludf.DUMMYFUNCTION("""COMPUTED_VALUE"""),"Melee Weapon Range")</f>
        <v>Melee Weapon Range</v>
      </c>
      <c r="F665" s="266" t="str">
        <f>IFERROR(__xludf.DUMMYFUNCTION("""COMPUTED_VALUE"""),"You attack the target for Heavy Damage.
If you surprised the enemy, are currently stealthed and have not been spotted by an enemy this entire encounter, this attack deals double heavy damage. You may move next to an enemy and still qualify as being stealt"&amp;"hed and not spotted, provided you use this ability immediately after that movement ends.")</f>
        <v>You attack the target for Heavy Damage.
If you surprised the enemy, are currently stealthed and have not been spotted by an enemy this entire encounter, this attack deals double heavy damage. You may move next to an enemy and still qualify as being stealthed and not spotted, provided you use this ability immediately after that movement ends.</v>
      </c>
      <c r="G665" s="263" t="str">
        <f>IFERROR(__xludf.DUMMYFUNCTION("""COMPUTED_VALUE"""),"Target must be marked by Death Mark. One-handed weapons only.")</f>
        <v>Target must be marked by Death Mark. One-handed weapons only.</v>
      </c>
      <c r="H665" s="265" t="str">
        <f>IFERROR(__xludf.DUMMYFUNCTION("""COMPUTED_VALUE"""),"2 AP, 3 MP")</f>
        <v>2 AP, 3 MP</v>
      </c>
      <c r="I665" s="264" t="str">
        <f>IFERROR(__xludf.DUMMYFUNCTION("""COMPUTED_VALUE"""),"2 AP")</f>
        <v>2 AP</v>
      </c>
      <c r="J665" s="264" t="str">
        <f>IFERROR(__xludf.DUMMYFUNCTION("""COMPUTED_VALUE"""),"3 MP")</f>
        <v>3 MP</v>
      </c>
      <c r="K665" s="263" t="str">
        <f>IFERROR(__xludf.DUMMYFUNCTION("""COMPUTED_VALUE"""),"")</f>
        <v/>
      </c>
      <c r="L665" s="263" t="str">
        <f>IFERROR(__xludf.DUMMYFUNCTION("""COMPUTED_VALUE"""),"")</f>
        <v/>
      </c>
      <c r="M665" s="263"/>
      <c r="N665" s="263"/>
      <c r="O665" s="263"/>
      <c r="P665" s="263"/>
      <c r="Q665" s="263"/>
      <c r="R665" s="263"/>
      <c r="S665" s="263"/>
      <c r="T665" s="263"/>
      <c r="U665" s="246"/>
      <c r="V665" s="246"/>
      <c r="W665" s="246"/>
      <c r="X665" s="246"/>
      <c r="Y665" s="246"/>
      <c r="Z665" s="246"/>
    </row>
    <row r="666">
      <c r="A666" s="263"/>
      <c r="B666" s="265" t="str">
        <f>IFERROR(__xludf.DUMMYFUNCTION("""COMPUTED_VALUE"""),"Secret Art: Beaver Timber Fang")</f>
        <v>Secret Art: Beaver Timber Fang</v>
      </c>
      <c r="C666" s="263"/>
      <c r="D666" s="264" t="str">
        <f>IFERROR(__xludf.DUMMYFUNCTION("""COMPUTED_VALUE"""),"Sure Hit, Secret Art")</f>
        <v>Sure Hit, Secret Art</v>
      </c>
      <c r="E666" s="263" t="str">
        <f>IFERROR(__xludf.DUMMYFUNCTION("""COMPUTED_VALUE"""),"Melee Weapon Range")</f>
        <v>Melee Weapon Range</v>
      </c>
      <c r="F666" s="266" t="str">
        <f>IFERROR(__xludf.DUMMYFUNCTION("""COMPUTED_VALUE"""),"Make a normal heavy attack against the target. Afterwards make a light attack against the target with Sure Hit that immediately renders the target prone, even if the damage is reduced to 0.")</f>
        <v>Make a normal heavy attack against the target. Afterwards make a light attack against the target with Sure Hit that immediately renders the target prone, even if the damage is reduced to 0.</v>
      </c>
      <c r="G666" s="263" t="str">
        <f>IFERROR(__xludf.DUMMYFUNCTION("""COMPUTED_VALUE"""),"")</f>
        <v/>
      </c>
      <c r="H666" s="267" t="str">
        <f>IFERROR(__xludf.DUMMYFUNCTION("""COMPUTED_VALUE"""),"2 AP, 3 MP")</f>
        <v>2 AP, 3 MP</v>
      </c>
      <c r="I666" s="263" t="str">
        <f>IFERROR(__xludf.DUMMYFUNCTION("""COMPUTED_VALUE"""),"2 AP")</f>
        <v>2 AP</v>
      </c>
      <c r="J666" s="263" t="str">
        <f>IFERROR(__xludf.DUMMYFUNCTION("""COMPUTED_VALUE"""),"3 MP")</f>
        <v>3 MP</v>
      </c>
      <c r="K666" s="263" t="str">
        <f>IFERROR(__xludf.DUMMYFUNCTION("""COMPUTED_VALUE"""),"")</f>
        <v/>
      </c>
      <c r="L666" s="263" t="str">
        <f>IFERROR(__xludf.DUMMYFUNCTION("""COMPUTED_VALUE"""),"")</f>
        <v/>
      </c>
      <c r="M666" s="263"/>
      <c r="N666" s="263"/>
      <c r="O666" s="263"/>
      <c r="P666" s="263"/>
      <c r="Q666" s="263"/>
      <c r="R666" s="263"/>
      <c r="S666" s="263"/>
      <c r="T666" s="263"/>
      <c r="U666" s="246"/>
      <c r="V666" s="246"/>
      <c r="W666" s="246"/>
      <c r="X666" s="246"/>
      <c r="Y666" s="246"/>
      <c r="Z666" s="246"/>
    </row>
    <row r="667">
      <c r="A667" s="263"/>
      <c r="B667" s="265" t="str">
        <f>IFERROR(__xludf.DUMMYFUNCTION("""COMPUTED_VALUE"""),"Secret Art: Bestial Wrath")</f>
        <v>Secret Art: Bestial Wrath</v>
      </c>
      <c r="C667" s="263"/>
      <c r="D667" s="264" t="str">
        <f>IFERROR(__xludf.DUMMYFUNCTION("""COMPUTED_VALUE"""),"Secret Art")</f>
        <v>Secret Art</v>
      </c>
      <c r="E667" s="264" t="str">
        <f>IFERROR(__xludf.DUMMYFUNCTION("""COMPUTED_VALUE"""),"Sight")</f>
        <v>Sight</v>
      </c>
      <c r="F667" s="266" t="str">
        <f>IFERROR(__xludf.DUMMYFUNCTION("""COMPUTED_VALUE"""),"Your summon gains Bestial Wrath and AP equal to its maximum AP they may immediately use. Bestial Wrath gives +2 Focus and +2 Power and prevents the summon from dropping below 1 HP. This effect lasts for 3 rounds or until the summon is reduced to 1 HP.")</f>
        <v>Your summon gains Bestial Wrath and AP equal to its maximum AP they may immediately use. Bestial Wrath gives +2 Focus and +2 Power and prevents the summon from dropping below 1 HP. This effect lasts for 3 rounds or until the summon is reduced to 1 HP.</v>
      </c>
      <c r="G667" s="263" t="str">
        <f>IFERROR(__xludf.DUMMYFUNCTION("""COMPUTED_VALUE"""),"Can only target your summoned animal.")</f>
        <v>Can only target your summoned animal.</v>
      </c>
      <c r="H667" s="265" t="str">
        <f>IFERROR(__xludf.DUMMYFUNCTION("""COMPUTED_VALUE"""),"2 AP, 3 MP")</f>
        <v>2 AP, 3 MP</v>
      </c>
      <c r="I667" s="264" t="str">
        <f>IFERROR(__xludf.DUMMYFUNCTION("""COMPUTED_VALUE"""),"2 AP")</f>
        <v>2 AP</v>
      </c>
      <c r="J667" s="263" t="str">
        <f>IFERROR(__xludf.DUMMYFUNCTION("""COMPUTED_VALUE"""),"3 MP")</f>
        <v>3 MP</v>
      </c>
      <c r="K667" s="263" t="str">
        <f>IFERROR(__xludf.DUMMYFUNCTION("""COMPUTED_VALUE"""),"")</f>
        <v/>
      </c>
      <c r="L667" s="263" t="str">
        <f>IFERROR(__xludf.DUMMYFUNCTION("""COMPUTED_VALUE"""),"")</f>
        <v/>
      </c>
      <c r="M667" s="263"/>
      <c r="N667" s="263"/>
      <c r="O667" s="263"/>
      <c r="P667" s="263"/>
      <c r="Q667" s="263"/>
      <c r="R667" s="263"/>
      <c r="S667" s="263"/>
      <c r="T667" s="263"/>
      <c r="U667" s="246"/>
      <c r="V667" s="246"/>
      <c r="W667" s="246"/>
      <c r="X667" s="246"/>
      <c r="Y667" s="246"/>
      <c r="Z667" s="246"/>
    </row>
    <row r="668">
      <c r="A668" s="263"/>
      <c r="B668" s="265" t="str">
        <f>IFERROR(__xludf.DUMMYFUNCTION("""COMPUTED_VALUE"""),"Secret Art: Black Hole")</f>
        <v>Secret Art: Black Hole</v>
      </c>
      <c r="C668" s="263"/>
      <c r="D668" s="264" t="str">
        <f>IFERROR(__xludf.DUMMYFUNCTION("""COMPUTED_VALUE"""),"Spell, Gravity, Secret Art")</f>
        <v>Spell, Gravity, Secret Art</v>
      </c>
      <c r="E668" s="264" t="str">
        <f>IFERROR(__xludf.DUMMYFUNCTION("""COMPUTED_VALUE"""),"60ft")</f>
        <v>60ft</v>
      </c>
      <c r="F668" s="266" t="str">
        <f>IFERROR(__xludf.DUMMYFUNCTION("""COMPUTED_VALUE"""),"You create a Black Hole at a target location within range. When you cast this and when you pay upkeep, all enemies within 120ft of the black hole must make a save or get pulled 20ft towards it.
All enemies within 120ft of the black hole that are moving aw"&amp;"ay from it are considered slowed for that movement.
Upkeep: 1 Mana. Instead of paying upkeep, you may detonate the Black Hole making a Heavy attack against all enemies within 15ft of the black hole.")</f>
        <v>You create a Black Hole at a target location within range. When you cast this and when you pay upkeep, all enemies within 120ft of the black hole must make a save or get pulled 20ft towards it.
All enemies within 120ft of the black hole that are moving away from it are considered slowed for that movement.
Upkeep: 1 Mana. Instead of paying upkeep, you may detonate the Black Hole making a Heavy attack against all enemies within 15ft of the black hole.</v>
      </c>
      <c r="G668" s="263" t="str">
        <f>IFERROR(__xludf.DUMMYFUNCTION("""COMPUTED_VALUE"""),"")</f>
        <v/>
      </c>
      <c r="H668" s="265" t="str">
        <f>IFERROR(__xludf.DUMMYFUNCTION("""COMPUTED_VALUE"""),"2 AP, 2 MP")</f>
        <v>2 AP, 2 MP</v>
      </c>
      <c r="I668" s="264" t="str">
        <f>IFERROR(__xludf.DUMMYFUNCTION("""COMPUTED_VALUE"""),"2 AP")</f>
        <v>2 AP</v>
      </c>
      <c r="J668" s="264" t="str">
        <f>IFERROR(__xludf.DUMMYFUNCTION("""COMPUTED_VALUE"""),"2 MP")</f>
        <v>2 MP</v>
      </c>
      <c r="K668" s="263" t="str">
        <f>IFERROR(__xludf.DUMMYFUNCTION("""COMPUTED_VALUE"""),"")</f>
        <v/>
      </c>
      <c r="L668" s="263" t="str">
        <f>IFERROR(__xludf.DUMMYFUNCTION("""COMPUTED_VALUE"""),"")</f>
        <v/>
      </c>
      <c r="M668" s="263"/>
      <c r="N668" s="263"/>
      <c r="O668" s="263"/>
      <c r="P668" s="263"/>
      <c r="Q668" s="263"/>
      <c r="R668" s="263"/>
      <c r="S668" s="263"/>
      <c r="T668" s="263"/>
      <c r="U668" s="246"/>
      <c r="V668" s="246"/>
      <c r="W668" s="246"/>
      <c r="X668" s="246"/>
      <c r="Y668" s="246"/>
      <c r="Z668" s="246"/>
    </row>
    <row r="669">
      <c r="A669" s="263"/>
      <c r="B669" s="265" t="str">
        <f>IFERROR(__xludf.DUMMYFUNCTION("""COMPUTED_VALUE"""),"Secret Art: Bladestorm")</f>
        <v>Secret Art: Bladestorm</v>
      </c>
      <c r="C669" s="263"/>
      <c r="D669" s="264" t="str">
        <f>IFERROR(__xludf.DUMMYFUNCTION("""COMPUTED_VALUE"""),"Secret Art, Stance, Upkeep, Scatter")</f>
        <v>Secret Art, Stance, Upkeep, Scatter</v>
      </c>
      <c r="E669" s="264" t="str">
        <f>IFERROR(__xludf.DUMMYFUNCTION("""COMPUTED_VALUE"""),"Self")</f>
        <v>Self</v>
      </c>
      <c r="F669" s="266" t="str">
        <f>IFERROR(__xludf.DUMMYFUNCTION("""COMPUTED_VALUE"""),"You enter a stance in which you continuously spin your weapon around your body. When activating this ability, you may make a Heavy attack against all enemies within your melee weapon range. While the stance lasts you may make a Heavy attack against all en"&amp;"emies within your melee weapon range at the start of your turn.
You can move while in this stance. If you move close enough to an enemy for them to be within your melee weapon range, you may make a Heavy attack against them.
You can only attack a creature"&amp;" once per round through this ability, regardless of how many times you move closer to them.
Upkeep: 2 Mana, 1 AP")</f>
        <v>You enter a stance in which you continuously spin your weapon around your body. When activating this ability, you may make a Heavy attack against all enemies within your melee weapon range. While the stance lasts you may make a Heavy attack against all enemies within your melee weapon range at the start of your turn.
You can move while in this stance. If you move close enough to an enemy for them to be within your melee weapon range, you may make a Heavy attack against them.
You can only attack a creature once per round through this ability, regardless of how many times you move closer to them.
Upkeep: 2 Mana, 1 AP</v>
      </c>
      <c r="G669" s="264" t="str">
        <f>IFERROR(__xludf.DUMMYFUNCTION("""COMPUTED_VALUE"""),"Two-handed weapons only. Slashing weapons only.")</f>
        <v>Two-handed weapons only. Slashing weapons only.</v>
      </c>
      <c r="H669" s="265" t="str">
        <f>IFERROR(__xludf.DUMMYFUNCTION("""COMPUTED_VALUE"""),"2 AP, 4 MP")</f>
        <v>2 AP, 4 MP</v>
      </c>
      <c r="I669" s="264" t="str">
        <f>IFERROR(__xludf.DUMMYFUNCTION("""COMPUTED_VALUE"""),"2 AP")</f>
        <v>2 AP</v>
      </c>
      <c r="J669" s="263" t="str">
        <f>IFERROR(__xludf.DUMMYFUNCTION("""COMPUTED_VALUE"""),"4 MP")</f>
        <v>4 MP</v>
      </c>
      <c r="K669" s="263" t="str">
        <f>IFERROR(__xludf.DUMMYFUNCTION("""COMPUTED_VALUE"""),"")</f>
        <v/>
      </c>
      <c r="L669" s="263" t="str">
        <f>IFERROR(__xludf.DUMMYFUNCTION("""COMPUTED_VALUE"""),"")</f>
        <v/>
      </c>
      <c r="M669" s="263"/>
      <c r="N669" s="263"/>
      <c r="O669" s="263"/>
      <c r="P669" s="263"/>
      <c r="Q669" s="263"/>
      <c r="R669" s="263"/>
      <c r="S669" s="263"/>
      <c r="T669" s="263"/>
      <c r="U669" s="246"/>
      <c r="V669" s="246"/>
      <c r="W669" s="246"/>
      <c r="X669" s="246"/>
      <c r="Y669" s="246"/>
      <c r="Z669" s="246"/>
    </row>
    <row r="670">
      <c r="A670" s="263"/>
      <c r="B670" s="265" t="str">
        <f>IFERROR(__xludf.DUMMYFUNCTION("""COMPUTED_VALUE"""),"Secret Art: Bloody Ritual")</f>
        <v>Secret Art: Bloody Ritual</v>
      </c>
      <c r="C670" s="263"/>
      <c r="D670" s="263" t="str">
        <f>IFERROR(__xludf.DUMMYFUNCTION("""COMPUTED_VALUE"""),"Secret Art, Slow, Blanketing, Sure Hit")</f>
        <v>Secret Art, Slow, Blanketing, Sure Hit</v>
      </c>
      <c r="E670" s="264" t="str">
        <f>IFERROR(__xludf.DUMMYFUNCTION("""COMPUTED_VALUE"""),"40ft")</f>
        <v>40ft</v>
      </c>
      <c r="F670" s="266" t="str">
        <f>IFERROR(__xludf.DUMMYFUNCTION("""COMPUTED_VALUE"""),"You create a blood tether to all enemies within range, causing them to be Slowed. The tether lasts until the start of your next turn or until they move out of the range of this ability.
At the start of your next turn, the tethers explode, dealing Heavy da"&amp;"mage to all tethered enemies as it sucks the life energy from them. For every enemy dealt damage with this ability, you recover 1 Mana or 5 HP (your choice). If an enemy dies while under the effect of the tether but before it explodes, you also gain this "&amp;"regeneration effect.")</f>
        <v>You create a blood tether to all enemies within range, causing them to be Slowed. The tether lasts until the start of your next turn or until they move out of the range of this ability.
At the start of your next turn, the tethers explode, dealing Heavy damage to all tethered enemies as it sucks the life energy from them. For every enemy dealt damage with this ability, you recover 1 Mana or 5 HP (your choice). If an enemy dies while under the effect of the tether but before it explodes, you also gain this regeneration effect.</v>
      </c>
      <c r="G670" s="263" t="str">
        <f>IFERROR(__xludf.DUMMYFUNCTION("""COMPUTED_VALUE"""),"")</f>
        <v/>
      </c>
      <c r="H670" s="265" t="str">
        <f>IFERROR(__xludf.DUMMYFUNCTION("""COMPUTED_VALUE"""),"2 AP, 3 MP")</f>
        <v>2 AP, 3 MP</v>
      </c>
      <c r="I670" s="264" t="str">
        <f>IFERROR(__xludf.DUMMYFUNCTION("""COMPUTED_VALUE"""),"2 AP")</f>
        <v>2 AP</v>
      </c>
      <c r="J670" s="263" t="str">
        <f>IFERROR(__xludf.DUMMYFUNCTION("""COMPUTED_VALUE"""),"3 MP")</f>
        <v>3 MP</v>
      </c>
      <c r="K670" s="263" t="str">
        <f>IFERROR(__xludf.DUMMYFUNCTION("""COMPUTED_VALUE"""),"")</f>
        <v/>
      </c>
      <c r="L670" s="263" t="str">
        <f>IFERROR(__xludf.DUMMYFUNCTION("""COMPUTED_VALUE"""),"")</f>
        <v/>
      </c>
      <c r="M670" s="263"/>
      <c r="N670" s="263"/>
      <c r="O670" s="263"/>
      <c r="P670" s="263"/>
      <c r="Q670" s="263"/>
      <c r="R670" s="263"/>
      <c r="S670" s="263"/>
      <c r="T670" s="263"/>
      <c r="U670" s="246"/>
      <c r="V670" s="246"/>
      <c r="W670" s="246"/>
      <c r="X670" s="246"/>
      <c r="Y670" s="246"/>
      <c r="Z670" s="246"/>
    </row>
    <row r="671">
      <c r="A671" s="263"/>
      <c r="B671" s="265" t="str">
        <f>IFERROR(__xludf.DUMMYFUNCTION("""COMPUTED_VALUE"""),"Secret Art: Chase the Horizon")</f>
        <v>Secret Art: Chase the Horizon</v>
      </c>
      <c r="C671" s="263"/>
      <c r="D671" s="264" t="str">
        <f>IFERROR(__xludf.DUMMYFUNCTION("""COMPUTED_VALUE"""),"Secret Art")</f>
        <v>Secret Art</v>
      </c>
      <c r="E671" s="264" t="str">
        <f>IFERROR(__xludf.DUMMYFUNCTION("""COMPUTED_VALUE"""),"Self")</f>
        <v>Self</v>
      </c>
      <c r="F671" s="266" t="str">
        <f>IFERROR(__xludf.DUMMYFUNCTION("""COMPUTED_VALUE"""),"You focus on a single enemy and maintain a constant position from them. Whenever the target moves, you may move the same amount as they did (up to your movement speed) away from them for 0 RP. This movement does not provoke attacks of opportunity from the"&amp;" target, but does provoke from other enemies.
Every time this happens, you may make a Light attack against the target with a ranged weapon. If the target spends multiple AP on a single movement action, you may make an amount of Light attacks equal to the "&amp;"AP they spent.
Lasts until the start of your next turn or until you can no longer see the target.")</f>
        <v>You focus on a single enemy and maintain a constant position from them. Whenever the target moves, you may move the same amount as they did (up to your movement speed) away from them for 0 RP. This movement does not provoke attacks of opportunity from the target, but does provoke from other enemies.
Every time this happens, you may make a Light attack against the target with a ranged weapon. If the target spends multiple AP on a single movement action, you may make an amount of Light attacks equal to the AP they spent.
Lasts until the start of your next turn or until you can no longer see the target.</v>
      </c>
      <c r="G671" s="264" t="str">
        <f>IFERROR(__xludf.DUMMYFUNCTION("""COMPUTED_VALUE"""),"Must be mounted.")</f>
        <v>Must be mounted.</v>
      </c>
      <c r="H671" s="265" t="str">
        <f>IFERROR(__xludf.DUMMYFUNCTION("""COMPUTED_VALUE"""),"0 AP, 3 MP")</f>
        <v>0 AP, 3 MP</v>
      </c>
      <c r="I671" s="264" t="str">
        <f>IFERROR(__xludf.DUMMYFUNCTION("""COMPUTED_VALUE"""),"0 AP")</f>
        <v>0 AP</v>
      </c>
      <c r="J671" s="263" t="str">
        <f>IFERROR(__xludf.DUMMYFUNCTION("""COMPUTED_VALUE"""),"3 MP")</f>
        <v>3 MP</v>
      </c>
      <c r="K671" s="263" t="str">
        <f>IFERROR(__xludf.DUMMYFUNCTION("""COMPUTED_VALUE"""),"")</f>
        <v/>
      </c>
      <c r="L671" s="263" t="str">
        <f>IFERROR(__xludf.DUMMYFUNCTION("""COMPUTED_VALUE"""),"")</f>
        <v/>
      </c>
      <c r="M671" s="263"/>
      <c r="N671" s="263"/>
      <c r="O671" s="263"/>
      <c r="P671" s="263"/>
      <c r="Q671" s="263"/>
      <c r="R671" s="263"/>
      <c r="S671" s="263"/>
      <c r="T671" s="263"/>
      <c r="U671" s="246"/>
      <c r="V671" s="246"/>
      <c r="W671" s="246"/>
      <c r="X671" s="246"/>
      <c r="Y671" s="246"/>
      <c r="Z671" s="246"/>
    </row>
    <row r="672">
      <c r="A672" s="263"/>
      <c r="B672" s="265" t="str">
        <f>IFERROR(__xludf.DUMMYFUNCTION("""COMPUTED_VALUE"""),"Secret Art: Checkmate")</f>
        <v>Secret Art: Checkmate</v>
      </c>
      <c r="C672" s="263"/>
      <c r="D672" s="263" t="str">
        <f>IFERROR(__xludf.DUMMYFUNCTION("""COMPUTED_VALUE"""),"Secret Art")</f>
        <v>Secret Art</v>
      </c>
      <c r="E672" s="264" t="str">
        <f>IFERROR(__xludf.DUMMYFUNCTION("""COMPUTED_VALUE"""),"Self")</f>
        <v>Self</v>
      </c>
      <c r="F672" s="266" t="str">
        <f>IFERROR(__xludf.DUMMYFUNCTION("""COMPUTED_VALUE"""),"You may move all your pieces as if you used Move Piece on them.")</f>
        <v>You may move all your pieces as if you used Move Piece on them.</v>
      </c>
      <c r="G672" s="263" t="str">
        <f>IFERROR(__xludf.DUMMYFUNCTION("""COMPUTED_VALUE"""),"")</f>
        <v/>
      </c>
      <c r="H672" s="265" t="str">
        <f>IFERROR(__xludf.DUMMYFUNCTION("""COMPUTED_VALUE"""),"4 AP, 2 MP")</f>
        <v>4 AP, 2 MP</v>
      </c>
      <c r="I672" s="263" t="str">
        <f>IFERROR(__xludf.DUMMYFUNCTION("""COMPUTED_VALUE"""),"4 AP")</f>
        <v>4 AP</v>
      </c>
      <c r="J672" s="264" t="str">
        <f>IFERROR(__xludf.DUMMYFUNCTION("""COMPUTED_VALUE"""),"2 MP")</f>
        <v>2 MP</v>
      </c>
      <c r="K672" s="264" t="str">
        <f>IFERROR(__xludf.DUMMYFUNCTION("""COMPUTED_VALUE"""),"")</f>
        <v/>
      </c>
      <c r="L672" s="263" t="str">
        <f>IFERROR(__xludf.DUMMYFUNCTION("""COMPUTED_VALUE"""),"")</f>
        <v/>
      </c>
      <c r="M672" s="263"/>
      <c r="N672" s="263"/>
      <c r="O672" s="263"/>
      <c r="P672" s="263"/>
      <c r="Q672" s="263"/>
      <c r="R672" s="263"/>
      <c r="S672" s="263"/>
      <c r="T672" s="263"/>
      <c r="U672" s="246"/>
      <c r="V672" s="246"/>
      <c r="W672" s="246"/>
      <c r="X672" s="246"/>
      <c r="Y672" s="246"/>
      <c r="Z672" s="246"/>
    </row>
    <row r="673">
      <c r="A673" s="263"/>
      <c r="B673" s="265" t="str">
        <f>IFERROR(__xludf.DUMMYFUNCTION("""COMPUTED_VALUE"""),"Secret Art: Divine Judgement")</f>
        <v>Secret Art: Divine Judgement</v>
      </c>
      <c r="C673" s="263"/>
      <c r="D673" s="264" t="str">
        <f>IFERROR(__xludf.DUMMYFUNCTION("""COMPUTED_VALUE"""),"Secret Art, Sure Hit, Full Pierce")</f>
        <v>Secret Art, Sure Hit, Full Pierce</v>
      </c>
      <c r="E673" s="264" t="str">
        <f>IFERROR(__xludf.DUMMYFUNCTION("""COMPUTED_VALUE"""),"Melee Weapon Range")</f>
        <v>Melee Weapon Range</v>
      </c>
      <c r="F673" s="266" t="str">
        <f>IFERROR(__xludf.DUMMYFUNCTION("""COMPUTED_VALUE"""),"You make a Heavy attack that deals Holy damage against the target. If your target’s HP is lower than the max damage your attack would deal, this attack gains Full Pierce and does maximum damage instead of rolling.
This calculation only involves your base "&amp;"damage (Base weapon damage + the power). Any other effects added to the damage such as Heavy Blade's bonus damage, Anathema on target etc do not affect the calculation and aren't maximized.
An enemy reduced to 0 HP or lower with this ability is immediatel"&amp;"y killed.")</f>
        <v>You make a Heavy attack that deals Holy damage against the target. If your target’s HP is lower than the max damage your attack would deal, this attack gains Full Pierce and does maximum damage instead of rolling.
This calculation only involves your base damage (Base weapon damage + the power). Any other effects added to the damage such as Heavy Blade's bonus damage, Anathema on target etc do not affect the calculation and aren't maximized.
An enemy reduced to 0 HP or lower with this ability is immediately killed.</v>
      </c>
      <c r="G673" s="263" t="str">
        <f>IFERROR(__xludf.DUMMYFUNCTION("""COMPUTED_VALUE"""),"Target has your Mark of Justice on them.")</f>
        <v>Target has your Mark of Justice on them.</v>
      </c>
      <c r="H673" s="265" t="str">
        <f>IFERROR(__xludf.DUMMYFUNCTION("""COMPUTED_VALUE"""),"2 AP, 4 MP")</f>
        <v>2 AP, 4 MP</v>
      </c>
      <c r="I673" s="264" t="str">
        <f>IFERROR(__xludf.DUMMYFUNCTION("""COMPUTED_VALUE"""),"2 AP")</f>
        <v>2 AP</v>
      </c>
      <c r="J673" s="263" t="str">
        <f>IFERROR(__xludf.DUMMYFUNCTION("""COMPUTED_VALUE"""),"4 MP")</f>
        <v>4 MP</v>
      </c>
      <c r="K673" s="263" t="str">
        <f>IFERROR(__xludf.DUMMYFUNCTION("""COMPUTED_VALUE"""),"")</f>
        <v/>
      </c>
      <c r="L673" s="263" t="str">
        <f>IFERROR(__xludf.DUMMYFUNCTION("""COMPUTED_VALUE"""),"")</f>
        <v/>
      </c>
      <c r="M673" s="263"/>
      <c r="N673" s="263"/>
      <c r="O673" s="263"/>
      <c r="P673" s="263"/>
      <c r="Q673" s="263"/>
      <c r="R673" s="263"/>
      <c r="S673" s="263"/>
      <c r="T673" s="263"/>
      <c r="U673" s="246"/>
      <c r="V673" s="246"/>
      <c r="W673" s="246"/>
      <c r="X673" s="246"/>
      <c r="Y673" s="246"/>
      <c r="Z673" s="246"/>
    </row>
    <row r="674">
      <c r="A674" s="263"/>
      <c r="B674" s="265" t="str">
        <f>IFERROR(__xludf.DUMMYFUNCTION("""COMPUTED_VALUE"""),"Secret Art: Divine Shield")</f>
        <v>Secret Art: Divine Shield</v>
      </c>
      <c r="C674" s="263"/>
      <c r="D674" s="264" t="str">
        <f>IFERROR(__xludf.DUMMYFUNCTION("""COMPUTED_VALUE"""),"Secret Art")</f>
        <v>Secret Art</v>
      </c>
      <c r="E674" s="264" t="str">
        <f>IFERROR(__xludf.DUMMYFUNCTION("""COMPUTED_VALUE"""),"Self")</f>
        <v>Self</v>
      </c>
      <c r="F674" s="266" t="str">
        <f>IFERROR(__xludf.DUMMYFUNCTION("""COMPUTED_VALUE"""),"Until the start of your next turn, you gain Damage Reduction 1000 against all damage types, but you only deal half damage.
You gain 2 AP.
Must be used as the first action in your turn.")</f>
        <v>Until the start of your next turn, you gain Damage Reduction 1000 against all damage types, but you only deal half damage.
You gain 2 AP.
Must be used as the first action in your turn.</v>
      </c>
      <c r="G674" s="263" t="str">
        <f>IFERROR(__xludf.DUMMYFUNCTION("""COMPUTED_VALUE"""),"")</f>
        <v/>
      </c>
      <c r="H674" s="265" t="str">
        <f>IFERROR(__xludf.DUMMYFUNCTION("""COMPUTED_VALUE"""),"0 AP")</f>
        <v>0 AP</v>
      </c>
      <c r="I674" s="263" t="str">
        <f>IFERROR(__xludf.DUMMYFUNCTION("""COMPUTED_VALUE"""),"0 AP")</f>
        <v>0 AP</v>
      </c>
      <c r="J674" s="263" t="str">
        <f>IFERROR(__xludf.DUMMYFUNCTION("""COMPUTED_VALUE"""),"")</f>
        <v/>
      </c>
      <c r="K674" s="264" t="str">
        <f>IFERROR(__xludf.DUMMYFUNCTION("""COMPUTED_VALUE"""),"")</f>
        <v/>
      </c>
      <c r="L674" s="263" t="str">
        <f>IFERROR(__xludf.DUMMYFUNCTION("""COMPUTED_VALUE"""),"")</f>
        <v/>
      </c>
      <c r="M674" s="263"/>
      <c r="N674" s="263"/>
      <c r="O674" s="263"/>
      <c r="P674" s="263"/>
      <c r="Q674" s="263"/>
      <c r="R674" s="263"/>
      <c r="S674" s="263"/>
      <c r="T674" s="263"/>
      <c r="U674" s="246"/>
      <c r="V674" s="246"/>
      <c r="W674" s="246"/>
      <c r="X674" s="246"/>
      <c r="Y674" s="246"/>
      <c r="Z674" s="246"/>
    </row>
    <row r="675">
      <c r="A675" s="263"/>
      <c r="B675" s="265" t="str">
        <f>IFERROR(__xludf.DUMMYFUNCTION("""COMPUTED_VALUE"""),"Secret Art: Double Accel")</f>
        <v>Secret Art: Double Accel</v>
      </c>
      <c r="C675" s="263"/>
      <c r="D675" s="264" t="str">
        <f>IFERROR(__xludf.DUMMYFUNCTION("""COMPUTED_VALUE"""),"Secret Art, Stealth")</f>
        <v>Secret Art, Stealth</v>
      </c>
      <c r="E675" s="264" t="str">
        <f>IFERROR(__xludf.DUMMYFUNCTION("""COMPUTED_VALUE"""),"Self")</f>
        <v>Self</v>
      </c>
      <c r="F675" s="266" t="str">
        <f>IFERROR(__xludf.DUMMYFUNCTION("""COMPUTED_VALUE"""),"You gain 4 AP. Your AP recovery is lowered by 3 until the end of your next turn.")</f>
        <v>You gain 4 AP. Your AP recovery is lowered by 3 until the end of your next turn.</v>
      </c>
      <c r="G675" s="264" t="str">
        <f>IFERROR(__xludf.DUMMYFUNCTION("""COMPUTED_VALUE"""),"")</f>
        <v/>
      </c>
      <c r="H675" s="265" t="str">
        <f>IFERROR(__xludf.DUMMYFUNCTION("""COMPUTED_VALUE"""),"0 AP")</f>
        <v>0 AP</v>
      </c>
      <c r="I675" s="264" t="str">
        <f>IFERROR(__xludf.DUMMYFUNCTION("""COMPUTED_VALUE"""),"0 AP")</f>
        <v>0 AP</v>
      </c>
      <c r="J675" s="264" t="str">
        <f>IFERROR(__xludf.DUMMYFUNCTION("""COMPUTED_VALUE"""),"")</f>
        <v/>
      </c>
      <c r="K675" s="263" t="str">
        <f>IFERROR(__xludf.DUMMYFUNCTION("""COMPUTED_VALUE"""),"")</f>
        <v/>
      </c>
      <c r="L675" s="263" t="str">
        <f>IFERROR(__xludf.DUMMYFUNCTION("""COMPUTED_VALUE"""),"")</f>
        <v/>
      </c>
      <c r="M675" s="263"/>
      <c r="N675" s="263"/>
      <c r="O675" s="263"/>
      <c r="P675" s="263"/>
      <c r="Q675" s="263"/>
      <c r="R675" s="263"/>
      <c r="S675" s="263"/>
      <c r="T675" s="263"/>
      <c r="U675" s="246"/>
      <c r="V675" s="246"/>
      <c r="W675" s="246"/>
      <c r="X675" s="246"/>
      <c r="Y675" s="246"/>
      <c r="Z675" s="246"/>
    </row>
    <row r="676">
      <c r="A676" s="263"/>
      <c r="B676" s="265" t="str">
        <f>IFERROR(__xludf.DUMMYFUNCTION("""COMPUTED_VALUE"""),"Secret Art: Dragonslaying Jump")</f>
        <v>Secret Art: Dragonslaying Jump</v>
      </c>
      <c r="C676" s="263"/>
      <c r="D676" s="263" t="str">
        <f>IFERROR(__xludf.DUMMYFUNCTION("""COMPUTED_VALUE"""),"Full Pierce, Jump, Overcharge, Secret Art, Sure Hit")</f>
        <v>Full Pierce, Jump, Overcharge, Secret Art, Sure Hit</v>
      </c>
      <c r="E676" s="264" t="str">
        <f>IFERROR(__xludf.DUMMYFUNCTION("""COMPUTED_VALUE"""),"120ft")</f>
        <v>120ft</v>
      </c>
      <c r="F676" s="266" t="str">
        <f>IFERROR(__xludf.DUMMYFUNCTION("""COMPUTED_VALUE"""),"You Jump up to the target, not provoking any attacks of opportunity, and make a Heavy Attack against it. On damage, the target plummets to the ground taking falling damage as normal. Overcharge: You may spend additional AP on this ability to increase the "&amp;"range by 60ft for every extra AP spent. If this increases the AP cost to more than what you currently have, it gains the Setup keyword.")</f>
        <v>You Jump up to the target, not provoking any attacks of opportunity, and make a Heavy Attack against it. On damage, the target plummets to the ground taking falling damage as normal. Overcharge: You may spend additional AP on this ability to increase the range by 60ft for every extra AP spent. If this increases the AP cost to more than what you currently have, it gains the Setup keyword.</v>
      </c>
      <c r="G676" s="263" t="str">
        <f>IFERROR(__xludf.DUMMYFUNCTION("""COMPUTED_VALUE"""),"Target must be airborne, polearm only.")</f>
        <v>Target must be airborne, polearm only.</v>
      </c>
      <c r="H676" s="265" t="str">
        <f>IFERROR(__xludf.DUMMYFUNCTION("""COMPUTED_VALUE"""),"4 AP, 2 MP")</f>
        <v>4 AP, 2 MP</v>
      </c>
      <c r="I676" s="264" t="str">
        <f>IFERROR(__xludf.DUMMYFUNCTION("""COMPUTED_VALUE"""),"4 AP")</f>
        <v>4 AP</v>
      </c>
      <c r="J676" s="263" t="str">
        <f>IFERROR(__xludf.DUMMYFUNCTION("""COMPUTED_VALUE"""),"2 MP")</f>
        <v>2 MP</v>
      </c>
      <c r="K676" s="263" t="str">
        <f>IFERROR(__xludf.DUMMYFUNCTION("""COMPUTED_VALUE"""),"")</f>
        <v/>
      </c>
      <c r="L676" s="263" t="str">
        <f>IFERROR(__xludf.DUMMYFUNCTION("""COMPUTED_VALUE"""),"")</f>
        <v/>
      </c>
      <c r="M676" s="263"/>
      <c r="N676" s="263"/>
      <c r="O676" s="263"/>
      <c r="P676" s="263"/>
      <c r="Q676" s="263"/>
      <c r="R676" s="263"/>
      <c r="S676" s="263"/>
      <c r="T676" s="263"/>
      <c r="U676" s="246"/>
      <c r="V676" s="246"/>
      <c r="W676" s="246"/>
      <c r="X676" s="246"/>
      <c r="Y676" s="246"/>
      <c r="Z676" s="246"/>
    </row>
    <row r="677">
      <c r="A677" s="263"/>
      <c r="B677" s="265" t="str">
        <f>IFERROR(__xludf.DUMMYFUNCTION("""COMPUTED_VALUE"""),"Secret Art: Dynamic Duo")</f>
        <v>Secret Art: Dynamic Duo</v>
      </c>
      <c r="C677" s="263"/>
      <c r="D677" s="263" t="str">
        <f>IFERROR(__xludf.DUMMYFUNCTION("""COMPUTED_VALUE"""),"Challenge, Secret Art")</f>
        <v>Challenge, Secret Art</v>
      </c>
      <c r="E677" s="264" t="str">
        <f>IFERROR(__xludf.DUMMYFUNCTION("""COMPUTED_VALUE"""),"Sight")</f>
        <v>Sight</v>
      </c>
      <c r="F677" s="266" t="str">
        <f>IFERROR(__xludf.DUMMYFUNCTION("""COMPUTED_VALUE"""),"You challenge all enemies in range until the start of your next turn. Any time you would be allowed to make an Attack of Opportunity, your Soulmate may make it instead. They may Sidestep up to their speed before making each Attack of Opportunity.")</f>
        <v>You challenge all enemies in range until the start of your next turn. Any time you would be allowed to make an Attack of Opportunity, your Soulmate may make it instead. They may Sidestep up to their speed before making each Attack of Opportunity.</v>
      </c>
      <c r="G677" s="263" t="str">
        <f>IFERROR(__xludf.DUMMYFUNCTION("""COMPUTED_VALUE"""),"")</f>
        <v/>
      </c>
      <c r="H677" s="265" t="str">
        <f>IFERROR(__xludf.DUMMYFUNCTION("""COMPUTED_VALUE"""),"2 AP, 1 MP")</f>
        <v>2 AP, 1 MP</v>
      </c>
      <c r="I677" s="264" t="str">
        <f>IFERROR(__xludf.DUMMYFUNCTION("""COMPUTED_VALUE"""),"2 AP")</f>
        <v>2 AP</v>
      </c>
      <c r="J677" s="264" t="str">
        <f>IFERROR(__xludf.DUMMYFUNCTION("""COMPUTED_VALUE"""),"1 MP")</f>
        <v>1 MP</v>
      </c>
      <c r="K677" s="263" t="str">
        <f>IFERROR(__xludf.DUMMYFUNCTION("""COMPUTED_VALUE"""),"")</f>
        <v/>
      </c>
      <c r="L677" s="263" t="str">
        <f>IFERROR(__xludf.DUMMYFUNCTION("""COMPUTED_VALUE"""),"")</f>
        <v/>
      </c>
      <c r="M677" s="263"/>
      <c r="N677" s="263"/>
      <c r="O677" s="263"/>
      <c r="P677" s="263"/>
      <c r="Q677" s="263"/>
      <c r="R677" s="263"/>
      <c r="S677" s="263"/>
      <c r="T677" s="263"/>
      <c r="U677" s="246"/>
      <c r="V677" s="246"/>
      <c r="W677" s="246"/>
      <c r="X677" s="246"/>
      <c r="Y677" s="246"/>
      <c r="Z677" s="246"/>
    </row>
    <row r="678">
      <c r="A678" s="263"/>
      <c r="B678" s="265" t="str">
        <f>IFERROR(__xludf.DUMMYFUNCTION("""COMPUTED_VALUE"""),"Secret Art: Earthquake")</f>
        <v>Secret Art: Earthquake</v>
      </c>
      <c r="C678" s="263"/>
      <c r="D678" s="264" t="str">
        <f>IFERROR(__xludf.DUMMYFUNCTION("""COMPUTED_VALUE"""),"Spell, Earth, Secret Art, Scatter")</f>
        <v>Spell, Earth, Secret Art, Scatter</v>
      </c>
      <c r="E678" s="264" t="str">
        <f>IFERROR(__xludf.DUMMYFUNCTION("""COMPUTED_VALUE"""),"160ft")</f>
        <v>160ft</v>
      </c>
      <c r="F678" s="266" t="str">
        <f>IFERROR(__xludf.DUMMYFUNCTION("""COMPUTED_VALUE"""),"You make a Light attack that deals Earth damage against all enemies in range that are touching the ground. On damage, they fall prone.
You also make a Light attack that deals Earth damage against all magically created walls and similar inanimate objects c"&amp;"reated by magic. You deal 10x damage against those targets.")</f>
        <v>You make a Light attack that deals Earth damage against all enemies in range that are touching the ground. On damage, they fall prone.
You also make a Light attack that deals Earth damage against all magically created walls and similar inanimate objects created by magic. You deal 10x damage against those targets.</v>
      </c>
      <c r="G678" s="264" t="str">
        <f>IFERROR(__xludf.DUMMYFUNCTION("""COMPUTED_VALUE"""),"")</f>
        <v/>
      </c>
      <c r="H678" s="265" t="str">
        <f>IFERROR(__xludf.DUMMYFUNCTION("""COMPUTED_VALUE"""),"4 AP, 3 MP")</f>
        <v>4 AP, 3 MP</v>
      </c>
      <c r="I678" s="263" t="str">
        <f>IFERROR(__xludf.DUMMYFUNCTION("""COMPUTED_VALUE"""),"4 AP")</f>
        <v>4 AP</v>
      </c>
      <c r="J678" s="263" t="str">
        <f>IFERROR(__xludf.DUMMYFUNCTION("""COMPUTED_VALUE"""),"3 MP")</f>
        <v>3 MP</v>
      </c>
      <c r="K678" s="264" t="str">
        <f>IFERROR(__xludf.DUMMYFUNCTION("""COMPUTED_VALUE"""),"")</f>
        <v/>
      </c>
      <c r="L678" s="263" t="str">
        <f>IFERROR(__xludf.DUMMYFUNCTION("""COMPUTED_VALUE"""),"")</f>
        <v/>
      </c>
      <c r="M678" s="263"/>
      <c r="N678" s="263"/>
      <c r="O678" s="263"/>
      <c r="P678" s="263"/>
      <c r="Q678" s="263"/>
      <c r="R678" s="263"/>
      <c r="S678" s="263"/>
      <c r="T678" s="263"/>
      <c r="U678" s="246"/>
      <c r="V678" s="246"/>
      <c r="W678" s="246"/>
      <c r="X678" s="246"/>
      <c r="Y678" s="246"/>
      <c r="Z678" s="246"/>
    </row>
    <row r="679">
      <c r="A679" s="263"/>
      <c r="B679" s="265" t="str">
        <f>IFERROR(__xludf.DUMMYFUNCTION("""COMPUTED_VALUE"""),"Secret Art: Efficient Spirit Control")</f>
        <v>Secret Art: Efficient Spirit Control</v>
      </c>
      <c r="C679" s="263"/>
      <c r="D679" s="264" t="str">
        <f>IFERROR(__xludf.DUMMYFUNCTION("""COMPUTED_VALUE"""),"Secret Art")</f>
        <v>Secret Art</v>
      </c>
      <c r="E679" s="264" t="str">
        <f>IFERROR(__xludf.DUMMYFUNCTION("""COMPUTED_VALUE"""),"Self")</f>
        <v>Self</v>
      </c>
      <c r="F679" s="266" t="str">
        <f>IFERROR(__xludf.DUMMYFUNCTION("""COMPUTED_VALUE"""),"You reduce the cost of your next non-healing keyword action by 2 mana. This cannot reduce the mana cost below 0.
Also resets your Circuits, allowing abilities with the Circuit keyword to be used for their reduced mana cost once more.")</f>
        <v>You reduce the cost of your next non-healing keyword action by 2 mana. This cannot reduce the mana cost below 0.
Also resets your Circuits, allowing abilities with the Circuit keyword to be used for their reduced mana cost once more.</v>
      </c>
      <c r="G679" s="263" t="str">
        <f>IFERROR(__xludf.DUMMYFUNCTION("""COMPUTED_VALUE"""),"")</f>
        <v/>
      </c>
      <c r="H679" s="265" t="str">
        <f>IFERROR(__xludf.DUMMYFUNCTION("""COMPUTED_VALUE"""),"0 RP")</f>
        <v>0 RP</v>
      </c>
      <c r="I679" s="264" t="str">
        <f>IFERROR(__xludf.DUMMYFUNCTION("""COMPUTED_VALUE"""),"")</f>
        <v/>
      </c>
      <c r="J679" s="264" t="str">
        <f>IFERROR(__xludf.DUMMYFUNCTION("""COMPUTED_VALUE"""),"")</f>
        <v/>
      </c>
      <c r="K679" s="263" t="str">
        <f>IFERROR(__xludf.DUMMYFUNCTION("""COMPUTED_VALUE"""),"0 RP")</f>
        <v>0 RP</v>
      </c>
      <c r="L679" s="263" t="str">
        <f>IFERROR(__xludf.DUMMYFUNCTION("""COMPUTED_VALUE"""),"")</f>
        <v/>
      </c>
      <c r="M679" s="263"/>
      <c r="N679" s="263"/>
      <c r="O679" s="263"/>
      <c r="P679" s="263"/>
      <c r="Q679" s="263"/>
      <c r="R679" s="263"/>
      <c r="S679" s="263"/>
      <c r="T679" s="263"/>
      <c r="U679" s="246"/>
      <c r="V679" s="246"/>
      <c r="W679" s="246"/>
      <c r="X679" s="246"/>
      <c r="Y679" s="246"/>
      <c r="Z679" s="246"/>
    </row>
    <row r="680">
      <c r="A680" s="263"/>
      <c r="B680" s="265" t="str">
        <f>IFERROR(__xludf.DUMMYFUNCTION("""COMPUTED_VALUE"""),"Secret Art: Endless Waltz")</f>
        <v>Secret Art: Endless Waltz</v>
      </c>
      <c r="C680" s="263"/>
      <c r="D680" s="263" t="str">
        <f>IFERROR(__xludf.DUMMYFUNCTION("""COMPUTED_VALUE"""),"Killing Blow, Secret Art")</f>
        <v>Killing Blow, Secret Art</v>
      </c>
      <c r="E680" s="263" t="str">
        <f>IFERROR(__xludf.DUMMYFUNCTION("""COMPUTED_VALUE"""),"Melee Weapon Range")</f>
        <v>Melee Weapon Range</v>
      </c>
      <c r="F680" s="266" t="str">
        <f>IFERROR(__xludf.DUMMYFUNCTION("""COMPUTED_VALUE"""),"You make two Light Attacks against the same target. On damage of this attack, you may repeat this attack for 0 AP.
Killing Blow: You may move up to twice your speed without provoking attacks of opportunity.")</f>
        <v>You make two Light Attacks against the same target. On damage of this attack, you may repeat this attack for 0 AP.
Killing Blow: You may move up to twice your speed without provoking attacks of opportunity.</v>
      </c>
      <c r="G680" s="263" t="str">
        <f>IFERROR(__xludf.DUMMYFUNCTION("""COMPUTED_VALUE"""),"")</f>
        <v/>
      </c>
      <c r="H680" s="267" t="str">
        <f>IFERROR(__xludf.DUMMYFUNCTION("""COMPUTED_VALUE"""),"4 AP, 1 MP")</f>
        <v>4 AP, 1 MP</v>
      </c>
      <c r="I680" s="263" t="str">
        <f>IFERROR(__xludf.DUMMYFUNCTION("""COMPUTED_VALUE"""),"4 AP")</f>
        <v>4 AP</v>
      </c>
      <c r="J680" s="263" t="str">
        <f>IFERROR(__xludf.DUMMYFUNCTION("""COMPUTED_VALUE"""),"1 MP")</f>
        <v>1 MP</v>
      </c>
      <c r="K680" s="263" t="str">
        <f>IFERROR(__xludf.DUMMYFUNCTION("""COMPUTED_VALUE"""),"")</f>
        <v/>
      </c>
      <c r="L680" s="263" t="str">
        <f>IFERROR(__xludf.DUMMYFUNCTION("""COMPUTED_VALUE"""),"")</f>
        <v/>
      </c>
      <c r="M680" s="263"/>
      <c r="N680" s="263"/>
      <c r="O680" s="263"/>
      <c r="P680" s="263"/>
      <c r="Q680" s="263"/>
      <c r="R680" s="263"/>
      <c r="S680" s="263"/>
      <c r="T680" s="263"/>
      <c r="U680" s="246"/>
      <c r="V680" s="246"/>
      <c r="W680" s="246"/>
      <c r="X680" s="246"/>
      <c r="Y680" s="246"/>
      <c r="Z680" s="246"/>
    </row>
    <row r="681">
      <c r="A681" s="263"/>
      <c r="B681" s="265" t="str">
        <f>IFERROR(__xludf.DUMMYFUNCTION("""COMPUTED_VALUE"""),"Secret Art: Entropic Magic Pulse")</f>
        <v>Secret Art: Entropic Magic Pulse</v>
      </c>
      <c r="C681" s="263"/>
      <c r="D681" s="264" t="str">
        <f>IFERROR(__xludf.DUMMYFUNCTION("""COMPUTED_VALUE"""),"Secret Art, Dispel")</f>
        <v>Secret Art, Dispel</v>
      </c>
      <c r="E681" s="264" t="str">
        <f>IFERROR(__xludf.DUMMYFUNCTION("""COMPUTED_VALUE"""),"200ft")</f>
        <v>200ft</v>
      </c>
      <c r="F681" s="266" t="str">
        <f>IFERROR(__xludf.DUMMYFUNCTION("""COMPUTED_VALUE"""),"You send out a wave of energy that disrupts spirit circuits that cancels all temporary magic effects in range. All non-permanent effects within range that are created by an ability with the Spell or Enchantment keyword are affected. Spells that do not hav"&amp;"e a time limit listed or create a permanent effect such as a Geomancer's fissure are not affected.
Bounded Fields and Secret Arts cannot be removed by this ability.
In addition, artifices cannot be used by anyone except you until the end of your next turn"&amp;".")</f>
        <v>You send out a wave of energy that disrupts spirit circuits that cancels all temporary magic effects in range. All non-permanent effects within range that are created by an ability with the Spell or Enchantment keyword are affected. Spells that do not have a time limit listed or create a permanent effect such as a Geomancer's fissure are not affected.
Bounded Fields and Secret Arts cannot be removed by this ability.
In addition, artifices cannot be used by anyone except you until the end of your next turn.</v>
      </c>
      <c r="G681" s="263" t="str">
        <f>IFERROR(__xludf.DUMMYFUNCTION("""COMPUTED_VALUE"""),"")</f>
        <v/>
      </c>
      <c r="H681" s="265" t="str">
        <f>IFERROR(__xludf.DUMMYFUNCTION("""COMPUTED_VALUE"""),"2 MP, 1 RP")</f>
        <v>2 MP, 1 RP</v>
      </c>
      <c r="I681" s="264" t="str">
        <f>IFERROR(__xludf.DUMMYFUNCTION("""COMPUTED_VALUE"""),"")</f>
        <v/>
      </c>
      <c r="J681" s="264" t="str">
        <f>IFERROR(__xludf.DUMMYFUNCTION("""COMPUTED_VALUE"""),"2 MP")</f>
        <v>2 MP</v>
      </c>
      <c r="K681" s="263" t="str">
        <f>IFERROR(__xludf.DUMMYFUNCTION("""COMPUTED_VALUE"""),"1 RP")</f>
        <v>1 RP</v>
      </c>
      <c r="L681" s="263" t="str">
        <f>IFERROR(__xludf.DUMMYFUNCTION("""COMPUTED_VALUE"""),"")</f>
        <v/>
      </c>
      <c r="M681" s="263"/>
      <c r="N681" s="263"/>
      <c r="O681" s="263"/>
      <c r="P681" s="263"/>
      <c r="Q681" s="263"/>
      <c r="R681" s="263"/>
      <c r="S681" s="263"/>
      <c r="T681" s="263"/>
      <c r="U681" s="246"/>
      <c r="V681" s="246"/>
      <c r="W681" s="246"/>
      <c r="X681" s="246"/>
      <c r="Y681" s="246"/>
      <c r="Z681" s="246"/>
    </row>
    <row r="682">
      <c r="A682" s="263"/>
      <c r="B682" s="265" t="str">
        <f>IFERROR(__xludf.DUMMYFUNCTION("""COMPUTED_VALUE"""),"Secret Art: Everything, Everywhere, All At Once")</f>
        <v>Secret Art: Everything, Everywhere, All At Once</v>
      </c>
      <c r="C682" s="263"/>
      <c r="D682" s="264" t="str">
        <f>IFERROR(__xludf.DUMMYFUNCTION("""COMPUTED_VALUE"""),"Secret Art")</f>
        <v>Secret Art</v>
      </c>
      <c r="E682" s="264" t="str">
        <f>IFERROR(__xludf.DUMMYFUNCTION("""COMPUTED_VALUE"""),"Melee Weapon Range")</f>
        <v>Melee Weapon Range</v>
      </c>
      <c r="F682" s="266" t="str">
        <f>IFERROR(__xludf.DUMMYFUNCTION("""COMPUTED_VALUE"""),"You make a Heavy Attack against the enemy.
You may then repeat this attack from each of your past selves and may target the same enemy multiple times.")</f>
        <v>You make a Heavy Attack against the enemy.
You may then repeat this attack from each of your past selves and may target the same enemy multiple times.</v>
      </c>
      <c r="G682" s="264" t="str">
        <f>IFERROR(__xludf.DUMMYFUNCTION("""COMPUTED_VALUE"""),"")</f>
        <v/>
      </c>
      <c r="H682" s="265" t="str">
        <f>IFERROR(__xludf.DUMMYFUNCTION("""COMPUTED_VALUE"""),"3 AP, 3 MP")</f>
        <v>3 AP, 3 MP</v>
      </c>
      <c r="I682" s="264" t="str">
        <f>IFERROR(__xludf.DUMMYFUNCTION("""COMPUTED_VALUE"""),"3 AP")</f>
        <v>3 AP</v>
      </c>
      <c r="J682" s="263" t="str">
        <f>IFERROR(__xludf.DUMMYFUNCTION("""COMPUTED_VALUE"""),"3 MP")</f>
        <v>3 MP</v>
      </c>
      <c r="K682" s="263" t="str">
        <f>IFERROR(__xludf.DUMMYFUNCTION("""COMPUTED_VALUE"""),"")</f>
        <v/>
      </c>
      <c r="L682" s="263" t="str">
        <f>IFERROR(__xludf.DUMMYFUNCTION("""COMPUTED_VALUE"""),"")</f>
        <v/>
      </c>
      <c r="M682" s="263"/>
      <c r="N682" s="263"/>
      <c r="O682" s="263"/>
      <c r="P682" s="263"/>
      <c r="Q682" s="263"/>
      <c r="R682" s="263"/>
      <c r="S682" s="263"/>
      <c r="T682" s="263"/>
      <c r="U682" s="246"/>
      <c r="V682" s="246"/>
      <c r="W682" s="246"/>
      <c r="X682" s="246"/>
      <c r="Y682" s="246"/>
      <c r="Z682" s="246"/>
    </row>
    <row r="683">
      <c r="A683" s="263"/>
      <c r="B683" s="265" t="str">
        <f>IFERROR(__xludf.DUMMYFUNCTION("""COMPUTED_VALUE"""),"Secret Art: Fan the hammer")</f>
        <v>Secret Art: Fan the hammer</v>
      </c>
      <c r="C683" s="263"/>
      <c r="D683" s="264" t="str">
        <f>IFERROR(__xludf.DUMMYFUNCTION("""COMPUTED_VALUE"""),"Secret Art")</f>
        <v>Secret Art</v>
      </c>
      <c r="E683" s="264" t="str">
        <f>IFERROR(__xludf.DUMMYFUNCTION("""COMPUTED_VALUE"""),"20ft")</f>
        <v>20ft</v>
      </c>
      <c r="F683" s="266" t="str">
        <f>IFERROR(__xludf.DUMMYFUNCTION("""COMPUTED_VALUE"""),"You may make 4 Heavy Attacks against the target. Afterwards, the weapon used for this ability cannot be used again until the end of the encounter.
If an enemy reacts to this ability with a Dodge or Block type reaction, that reaction is valid for all 4 att"&amp;"acks.")</f>
        <v>You may make 4 Heavy Attacks against the target. Afterwards, the weapon used for this ability cannot be used again until the end of the encounter.
If an enemy reacts to this ability with a Dodge or Block type reaction, that reaction is valid for all 4 attacks.</v>
      </c>
      <c r="G683" s="263" t="str">
        <f>IFERROR(__xludf.DUMMYFUNCTION("""COMPUTED_VALUE"""),"Pistol only")</f>
        <v>Pistol only</v>
      </c>
      <c r="H683" s="265" t="str">
        <f>IFERROR(__xludf.DUMMYFUNCTION("""COMPUTED_VALUE"""),"4 AP, 3 MP")</f>
        <v>4 AP, 3 MP</v>
      </c>
      <c r="I683" s="264" t="str">
        <f>IFERROR(__xludf.DUMMYFUNCTION("""COMPUTED_VALUE"""),"4 AP")</f>
        <v>4 AP</v>
      </c>
      <c r="J683" s="264" t="str">
        <f>IFERROR(__xludf.DUMMYFUNCTION("""COMPUTED_VALUE"""),"3 MP")</f>
        <v>3 MP</v>
      </c>
      <c r="K683" s="263" t="str">
        <f>IFERROR(__xludf.DUMMYFUNCTION("""COMPUTED_VALUE"""),"")</f>
        <v/>
      </c>
      <c r="L683" s="263" t="str">
        <f>IFERROR(__xludf.DUMMYFUNCTION("""COMPUTED_VALUE"""),"")</f>
        <v/>
      </c>
      <c r="M683" s="263"/>
      <c r="N683" s="263"/>
      <c r="O683" s="263"/>
      <c r="P683" s="263"/>
      <c r="Q683" s="263"/>
      <c r="R683" s="263"/>
      <c r="S683" s="263"/>
      <c r="T683" s="263"/>
      <c r="U683" s="246"/>
      <c r="V683" s="246"/>
      <c r="W683" s="246"/>
      <c r="X683" s="246"/>
      <c r="Y683" s="246"/>
      <c r="Z683" s="246"/>
    </row>
    <row r="684">
      <c r="A684" s="263"/>
      <c r="B684" s="265" t="str">
        <f>IFERROR(__xludf.DUMMYFUNCTION("""COMPUTED_VALUE"""),"Secret Art: Forbid")</f>
        <v>Secret Art: Forbid</v>
      </c>
      <c r="C684" s="263"/>
      <c r="D684" s="264" t="str">
        <f>IFERROR(__xludf.DUMMYFUNCTION("""COMPUTED_VALUE"""),"Mystic Eye, Secret Art, Mind Affecting")</f>
        <v>Mystic Eye, Secret Art, Mind Affecting</v>
      </c>
      <c r="E684" s="264" t="str">
        <f>IFERROR(__xludf.DUMMYFUNCTION("""COMPUTED_VALUE"""),"60ft")</f>
        <v>60ft</v>
      </c>
      <c r="F684" s="266" t="str">
        <f>IFERROR(__xludf.DUMMYFUNCTION("""COMPUTED_VALUE"""),"You choose a target and pick between basic actions or abilities.
Until the start of your next turn, any time the target does the chosen action, they take Full Pierce damage equal to your Focus per AP spent on it.")</f>
        <v>You choose a target and pick between basic actions or abilities.
Until the start of your next turn, any time the target does the chosen action, they take Full Pierce damage equal to your Focus per AP spent on it.</v>
      </c>
      <c r="G684" s="263" t="str">
        <f>IFERROR(__xludf.DUMMYFUNCTION("""COMPUTED_VALUE"""),"")</f>
        <v/>
      </c>
      <c r="H684" s="265" t="str">
        <f>IFERROR(__xludf.DUMMYFUNCTION("""COMPUTED_VALUE"""),"0 AP, 3 MP")</f>
        <v>0 AP, 3 MP</v>
      </c>
      <c r="I684" s="264" t="str">
        <f>IFERROR(__xludf.DUMMYFUNCTION("""COMPUTED_VALUE"""),"0 AP")</f>
        <v>0 AP</v>
      </c>
      <c r="J684" s="263" t="str">
        <f>IFERROR(__xludf.DUMMYFUNCTION("""COMPUTED_VALUE"""),"3 MP")</f>
        <v>3 MP</v>
      </c>
      <c r="K684" s="263" t="str">
        <f>IFERROR(__xludf.DUMMYFUNCTION("""COMPUTED_VALUE"""),"")</f>
        <v/>
      </c>
      <c r="L684" s="263" t="str">
        <f>IFERROR(__xludf.DUMMYFUNCTION("""COMPUTED_VALUE"""),"")</f>
        <v/>
      </c>
      <c r="M684" s="263"/>
      <c r="N684" s="263"/>
      <c r="O684" s="263"/>
      <c r="P684" s="263"/>
      <c r="Q684" s="263"/>
      <c r="R684" s="263"/>
      <c r="S684" s="263"/>
      <c r="T684" s="263"/>
      <c r="U684" s="246"/>
      <c r="V684" s="246"/>
      <c r="W684" s="246"/>
      <c r="X684" s="246"/>
      <c r="Y684" s="246"/>
      <c r="Z684" s="246"/>
    </row>
    <row r="685">
      <c r="A685" s="263"/>
      <c r="B685" s="265" t="str">
        <f>IFERROR(__xludf.DUMMYFUNCTION("""COMPUTED_VALUE"""),"Secret Art: Full Combo")</f>
        <v>Secret Art: Full Combo</v>
      </c>
      <c r="C685" s="263"/>
      <c r="D685" s="263" t="str">
        <f>IFERROR(__xludf.DUMMYFUNCTION("""COMPUTED_VALUE"""),"Song, Idol, Sound, Secret Art, Upkeep")</f>
        <v>Song, Idol, Sound, Secret Art, Upkeep</v>
      </c>
      <c r="E685" s="264" t="str">
        <f>IFERROR(__xludf.DUMMYFUNCTION("""COMPUTED_VALUE"""),"30ft")</f>
        <v>30ft</v>
      </c>
      <c r="F685" s="266" t="str">
        <f>IFERROR(__xludf.DUMMYFUNCTION("""COMPUTED_VALUE"""),"Your allies gain +4 Song bonus to their damage rolls. This is doubled on Heavy attacks.
If an ally misses an attack, this bonus is reduced to +1.
Upkeep: 1 AP")</f>
        <v>Your allies gain +4 Song bonus to their damage rolls. This is doubled on Heavy attacks.
If an ally misses an attack, this bonus is reduced to +1.
Upkeep: 1 AP</v>
      </c>
      <c r="G685" s="264" t="str">
        <f>IFERROR(__xludf.DUMMYFUNCTION("""COMPUTED_VALUE"""),"")</f>
        <v/>
      </c>
      <c r="H685" s="265" t="str">
        <f>IFERROR(__xludf.DUMMYFUNCTION("""COMPUTED_VALUE"""),"1 AP, 3 MP")</f>
        <v>1 AP, 3 MP</v>
      </c>
      <c r="I685" s="263" t="str">
        <f>IFERROR(__xludf.DUMMYFUNCTION("""COMPUTED_VALUE"""),"1 AP")</f>
        <v>1 AP</v>
      </c>
      <c r="J685" s="264" t="str">
        <f>IFERROR(__xludf.DUMMYFUNCTION("""COMPUTED_VALUE"""),"3 MP")</f>
        <v>3 MP</v>
      </c>
      <c r="K685" s="263" t="str">
        <f>IFERROR(__xludf.DUMMYFUNCTION("""COMPUTED_VALUE"""),"")</f>
        <v/>
      </c>
      <c r="L685" s="263" t="str">
        <f>IFERROR(__xludf.DUMMYFUNCTION("""COMPUTED_VALUE"""),"")</f>
        <v/>
      </c>
      <c r="M685" s="263"/>
      <c r="N685" s="263"/>
      <c r="O685" s="263"/>
      <c r="P685" s="263"/>
      <c r="Q685" s="263"/>
      <c r="R685" s="263"/>
      <c r="S685" s="263"/>
      <c r="T685" s="263"/>
      <c r="U685" s="246"/>
      <c r="V685" s="246"/>
      <c r="W685" s="246"/>
      <c r="X685" s="246"/>
      <c r="Y685" s="246"/>
      <c r="Z685" s="246"/>
    </row>
    <row r="686">
      <c r="A686" s="263"/>
      <c r="B686" s="265" t="str">
        <f>IFERROR(__xludf.DUMMYFUNCTION("""COMPUTED_VALUE"""),"Secret Art: Gae Bolg")</f>
        <v>Secret Art: Gae Bolg</v>
      </c>
      <c r="C686" s="263"/>
      <c r="D686" s="263" t="str">
        <f>IFERROR(__xludf.DUMMYFUNCTION("""COMPUTED_VALUE"""),"Secret Art, Sure Hit")</f>
        <v>Secret Art, Sure Hit</v>
      </c>
      <c r="E686" s="264" t="str">
        <f>IFERROR(__xludf.DUMMYFUNCTION("""COMPUTED_VALUE"""),"Melee Weapon Range")</f>
        <v>Melee Weapon Range</v>
      </c>
      <c r="F686" s="266" t="str">
        <f>IFERROR(__xludf.DUMMYFUNCTION("""COMPUTED_VALUE"""),"Make a Heavy attack against the target. Unless your accuracy roll is a 1, your roll is treated as if you rolled a 20 and it gains Sure Hit.
It is treated as a critical hit even though it's Sure Hit, unless the target blocks.")</f>
        <v>Make a Heavy attack against the target. Unless your accuracy roll is a 1, your roll is treated as if you rolled a 20 and it gains Sure Hit.
It is treated as a critical hit even though it's Sure Hit, unless the target blocks.</v>
      </c>
      <c r="G686" s="264" t="str">
        <f>IFERROR(__xludf.DUMMYFUNCTION("""COMPUTED_VALUE"""),"Polearm only.")</f>
        <v>Polearm only.</v>
      </c>
      <c r="H686" s="265" t="str">
        <f>IFERROR(__xludf.DUMMYFUNCTION("""COMPUTED_VALUE"""),"2 AP, 2 MP")</f>
        <v>2 AP, 2 MP</v>
      </c>
      <c r="I686" s="264" t="str">
        <f>IFERROR(__xludf.DUMMYFUNCTION("""COMPUTED_VALUE"""),"2 AP")</f>
        <v>2 AP</v>
      </c>
      <c r="J686" s="263" t="str">
        <f>IFERROR(__xludf.DUMMYFUNCTION("""COMPUTED_VALUE"""),"2 MP")</f>
        <v>2 MP</v>
      </c>
      <c r="K686" s="263" t="str">
        <f>IFERROR(__xludf.DUMMYFUNCTION("""COMPUTED_VALUE"""),"")</f>
        <v/>
      </c>
      <c r="L686" s="263" t="str">
        <f>IFERROR(__xludf.DUMMYFUNCTION("""COMPUTED_VALUE"""),"")</f>
        <v/>
      </c>
      <c r="M686" s="263"/>
      <c r="N686" s="263"/>
      <c r="O686" s="263"/>
      <c r="P686" s="263"/>
      <c r="Q686" s="263"/>
      <c r="R686" s="263"/>
      <c r="S686" s="263"/>
      <c r="T686" s="263"/>
      <c r="U686" s="246"/>
      <c r="V686" s="246"/>
      <c r="W686" s="246"/>
      <c r="X686" s="246"/>
      <c r="Y686" s="246"/>
      <c r="Z686" s="246"/>
    </row>
    <row r="687">
      <c r="A687" s="263"/>
      <c r="B687" s="265" t="str">
        <f>IFERROR(__xludf.DUMMYFUNCTION("""COMPUTED_VALUE"""),"Secret Art: Galaxy Stop")</f>
        <v>Secret Art: Galaxy Stop</v>
      </c>
      <c r="C687" s="263"/>
      <c r="D687" s="264" t="str">
        <f>IFERROR(__xludf.DUMMYFUNCTION("""COMPUTED_VALUE"""),"Secret Art, Spell")</f>
        <v>Secret Art, Spell</v>
      </c>
      <c r="E687" s="264" t="str">
        <f>IFERROR(__xludf.DUMMYFUNCTION("""COMPUTED_VALUE"""),"2000ft Radius")</f>
        <v>2000ft Radius</v>
      </c>
      <c r="F687" s="266" t="str">
        <f>IFERROR(__xludf.DUMMYFUNCTION("""COMPUTED_VALUE"""),"You create a space-time anomaly that freezes time itself in a local area for a short while, affecting all but the strong-willed.  All non-heroic units in range cannot take any actions until the end of their next turn.")</f>
        <v>You create a space-time anomaly that freezes time itself in a local area for a short while, affecting all but the strong-willed.  All non-heroic units in range cannot take any actions until the end of their next turn.</v>
      </c>
      <c r="G687" s="263" t="str">
        <f>IFERROR(__xludf.DUMMYFUNCTION("""COMPUTED_VALUE"""),"")</f>
        <v/>
      </c>
      <c r="H687" s="267" t="str">
        <f>IFERROR(__xludf.DUMMYFUNCTION("""COMPUTED_VALUE"""),"3 AP, 3 MP")</f>
        <v>3 AP, 3 MP</v>
      </c>
      <c r="I687" s="263" t="str">
        <f>IFERROR(__xludf.DUMMYFUNCTION("""COMPUTED_VALUE"""),"3 AP")</f>
        <v>3 AP</v>
      </c>
      <c r="J687" s="263" t="str">
        <f>IFERROR(__xludf.DUMMYFUNCTION("""COMPUTED_VALUE"""),"3 MP")</f>
        <v>3 MP</v>
      </c>
      <c r="K687" s="263" t="str">
        <f>IFERROR(__xludf.DUMMYFUNCTION("""COMPUTED_VALUE"""),"")</f>
        <v/>
      </c>
      <c r="L687" s="263" t="str">
        <f>IFERROR(__xludf.DUMMYFUNCTION("""COMPUTED_VALUE"""),"")</f>
        <v/>
      </c>
      <c r="M687" s="263"/>
      <c r="N687" s="263"/>
      <c r="O687" s="263"/>
      <c r="P687" s="263"/>
      <c r="Q687" s="263"/>
      <c r="R687" s="263"/>
      <c r="S687" s="263"/>
      <c r="T687" s="263"/>
      <c r="U687" s="246"/>
      <c r="V687" s="246"/>
      <c r="W687" s="246"/>
      <c r="X687" s="246"/>
      <c r="Y687" s="246"/>
      <c r="Z687" s="246"/>
    </row>
    <row r="688">
      <c r="A688" s="263"/>
      <c r="B688" s="265" t="str">
        <f>IFERROR(__xludf.DUMMYFUNCTION("""COMPUTED_VALUE"""),"Secret Art: Gate of Fate")</f>
        <v>Secret Art: Gate of Fate</v>
      </c>
      <c r="C688" s="263"/>
      <c r="D688" s="263" t="str">
        <f>IFERROR(__xludf.DUMMYFUNCTION("""COMPUTED_VALUE"""),"Divination, Secret Art, Aid")</f>
        <v>Divination, Secret Art, Aid</v>
      </c>
      <c r="E688" s="264" t="str">
        <f>IFERROR(__xludf.DUMMYFUNCTION("""COMPUTED_VALUE"""),"120ft")</f>
        <v>120ft</v>
      </c>
      <c r="F688" s="266" t="str">
        <f>IFERROR(__xludf.DUMMYFUNCTION("""COMPUTED_VALUE"""),"You subvert fate and a bad end, twisting reality into its most fortunate outcome. When a target ally rolls a 1, you can instead change it to a 20.")</f>
        <v>You subvert fate and a bad end, twisting reality into its most fortunate outcome. When a target ally rolls a 1, you can instead change it to a 20.</v>
      </c>
      <c r="G688" s="263" t="str">
        <f>IFERROR(__xludf.DUMMYFUNCTION("""COMPUTED_VALUE"""),"An ally rolls a 1.")</f>
        <v>An ally rolls a 1.</v>
      </c>
      <c r="H688" s="265" t="str">
        <f>IFERROR(__xludf.DUMMYFUNCTION("""COMPUTED_VALUE"""),"1 MP, 0 RP")</f>
        <v>1 MP, 0 RP</v>
      </c>
      <c r="I688" s="264" t="str">
        <f>IFERROR(__xludf.DUMMYFUNCTION("""COMPUTED_VALUE"""),"")</f>
        <v/>
      </c>
      <c r="J688" s="264" t="str">
        <f>IFERROR(__xludf.DUMMYFUNCTION("""COMPUTED_VALUE"""),"1 MP")</f>
        <v>1 MP</v>
      </c>
      <c r="K688" s="263" t="str">
        <f>IFERROR(__xludf.DUMMYFUNCTION("""COMPUTED_VALUE"""),"0 RP")</f>
        <v>0 RP</v>
      </c>
      <c r="L688" s="263" t="str">
        <f>IFERROR(__xludf.DUMMYFUNCTION("""COMPUTED_VALUE"""),"")</f>
        <v/>
      </c>
      <c r="M688" s="263"/>
      <c r="N688" s="263"/>
      <c r="O688" s="263"/>
      <c r="P688" s="263"/>
      <c r="Q688" s="263"/>
      <c r="R688" s="263"/>
      <c r="S688" s="263"/>
      <c r="T688" s="263"/>
      <c r="U688" s="246"/>
      <c r="V688" s="246"/>
      <c r="W688" s="246"/>
      <c r="X688" s="246"/>
      <c r="Y688" s="246"/>
      <c r="Z688" s="246"/>
    </row>
    <row r="689">
      <c r="A689" s="263"/>
      <c r="B689" s="265" t="str">
        <f>IFERROR(__xludf.DUMMYFUNCTION("""COMPUTED_VALUE"""),"Secret Art: Guiding Shot")</f>
        <v>Secret Art: Guiding Shot</v>
      </c>
      <c r="C689" s="263"/>
      <c r="D689" s="263" t="str">
        <f>IFERROR(__xludf.DUMMYFUNCTION("""COMPUTED_VALUE"""),"Secret Art, Sure Hit")</f>
        <v>Secret Art, Sure Hit</v>
      </c>
      <c r="E689" s="264" t="str">
        <f>IFERROR(__xludf.DUMMYFUNCTION("""COMPUTED_VALUE"""),"Ranged Weapon Range")</f>
        <v>Ranged Weapon Range</v>
      </c>
      <c r="F689" s="266" t="str">
        <f>IFERROR(__xludf.DUMMYFUNCTION("""COMPUTED_VALUE"""),"You may make a Heavy attack against the target. The target may spend 1 RP to avoid the attack. If they do, you may Sidestep them up to 20ft in a direction of your choice and then trigger a Place Trap effect, provided you have at least one set up.
This tra"&amp;"p effect does not count towards your per encounter limitation. You may not Sidestep an enemy into a hazard (such as off a cliff or into fire) apart from your trap, unless the target has nowhere else to go.
Alternatively, you may choose to move an enemy in"&amp;"to a Bear Trap you set up within the 20ft movement instead of a Place Trap effect. You can only choose one of these two options, not both.")</f>
        <v>You may make a Heavy attack against the target. The target may spend 1 RP to avoid the attack. If they do, you may Sidestep them up to 20ft in a direction of your choice and then trigger a Place Trap effect, provided you have at least one set up.
This trap effect does not count towards your per encounter limitation. You may not Sidestep an enemy into a hazard (such as off a cliff or into fire) apart from your trap, unless the target has nowhere else to go.
Alternatively, you may choose to move an enemy into a Bear Trap you set up within the 20ft movement instead of a Place Trap effect. You can only choose one of these two options, not both.</v>
      </c>
      <c r="G689" s="263" t="str">
        <f>IFERROR(__xludf.DUMMYFUNCTION("""COMPUTED_VALUE"""),"")</f>
        <v/>
      </c>
      <c r="H689" s="267" t="str">
        <f>IFERROR(__xludf.DUMMYFUNCTION("""COMPUTED_VALUE"""),"2 AP, 2 MP")</f>
        <v>2 AP, 2 MP</v>
      </c>
      <c r="I689" s="263" t="str">
        <f>IFERROR(__xludf.DUMMYFUNCTION("""COMPUTED_VALUE"""),"2 AP")</f>
        <v>2 AP</v>
      </c>
      <c r="J689" s="263" t="str">
        <f>IFERROR(__xludf.DUMMYFUNCTION("""COMPUTED_VALUE"""),"2 MP")</f>
        <v>2 MP</v>
      </c>
      <c r="K689" s="263" t="str">
        <f>IFERROR(__xludf.DUMMYFUNCTION("""COMPUTED_VALUE"""),"")</f>
        <v/>
      </c>
      <c r="L689" s="263" t="str">
        <f>IFERROR(__xludf.DUMMYFUNCTION("""COMPUTED_VALUE"""),"")</f>
        <v/>
      </c>
      <c r="M689" s="263"/>
      <c r="N689" s="263"/>
      <c r="O689" s="263"/>
      <c r="P689" s="263"/>
      <c r="Q689" s="263"/>
      <c r="R689" s="263"/>
      <c r="S689" s="263"/>
      <c r="T689" s="263"/>
      <c r="U689" s="246"/>
      <c r="V689" s="246"/>
      <c r="W689" s="246"/>
      <c r="X689" s="246"/>
      <c r="Y689" s="246"/>
      <c r="Z689" s="246"/>
    </row>
    <row r="690">
      <c r="A690" s="263"/>
      <c r="B690" s="265" t="str">
        <f>IFERROR(__xludf.DUMMYFUNCTION("""COMPUTED_VALUE"""),"Secret Art: Jade Skin")</f>
        <v>Secret Art: Jade Skin</v>
      </c>
      <c r="C690" s="263"/>
      <c r="D690" s="263" t="str">
        <f>IFERROR(__xludf.DUMMYFUNCTION("""COMPUTED_VALUE"""),"Secret Art, Disarm")</f>
        <v>Secret Art, Disarm</v>
      </c>
      <c r="E690" s="263" t="str">
        <f>IFERROR(__xludf.DUMMYFUNCTION("""COMPUTED_VALUE"""),"Self")</f>
        <v>Self</v>
      </c>
      <c r="F690" s="266" t="str">
        <f>IFERROR(__xludf.DUMMYFUNCTION("""COMPUTED_VALUE"""),"You take the Block action against the triggering attack. If you reduce the damage to 0, the attacker becomes Disarmed until the start of their next turn.")</f>
        <v>You take the Block action against the triggering attack. If you reduce the damage to 0, the attacker becomes Disarmed until the start of their next turn.</v>
      </c>
      <c r="G690" s="263" t="str">
        <f>IFERROR(__xludf.DUMMYFUNCTION("""COMPUTED_VALUE"""),"You are attacked by a Melee attack.")</f>
        <v>You are attacked by a Melee attack.</v>
      </c>
      <c r="H690" s="267" t="str">
        <f>IFERROR(__xludf.DUMMYFUNCTION("""COMPUTED_VALUE"""),"2 MP, 0 RP")</f>
        <v>2 MP, 0 RP</v>
      </c>
      <c r="I690" s="263" t="str">
        <f>IFERROR(__xludf.DUMMYFUNCTION("""COMPUTED_VALUE"""),"")</f>
        <v/>
      </c>
      <c r="J690" s="263" t="str">
        <f>IFERROR(__xludf.DUMMYFUNCTION("""COMPUTED_VALUE"""),"2 MP")</f>
        <v>2 MP</v>
      </c>
      <c r="K690" s="263" t="str">
        <f>IFERROR(__xludf.DUMMYFUNCTION("""COMPUTED_VALUE"""),"0 RP")</f>
        <v>0 RP</v>
      </c>
      <c r="L690" s="263" t="str">
        <f>IFERROR(__xludf.DUMMYFUNCTION("""COMPUTED_VALUE"""),"")</f>
        <v/>
      </c>
      <c r="M690" s="263"/>
      <c r="N690" s="263"/>
      <c r="O690" s="263"/>
      <c r="P690" s="263"/>
      <c r="Q690" s="263"/>
      <c r="R690" s="263"/>
      <c r="S690" s="263"/>
      <c r="T690" s="263"/>
      <c r="U690" s="246"/>
      <c r="V690" s="246"/>
      <c r="W690" s="246"/>
      <c r="X690" s="246"/>
      <c r="Y690" s="246"/>
      <c r="Z690" s="246"/>
    </row>
    <row r="691">
      <c r="A691" s="263"/>
      <c r="B691" s="265" t="str">
        <f>IFERROR(__xludf.DUMMYFUNCTION("""COMPUTED_VALUE"""),"Secret Art: Life Bet")</f>
        <v>Secret Art: Life Bet</v>
      </c>
      <c r="C691" s="263"/>
      <c r="D691" s="264" t="str">
        <f>IFERROR(__xludf.DUMMYFUNCTION("""COMPUTED_VALUE"""),"Secret Art")</f>
        <v>Secret Art</v>
      </c>
      <c r="E691" s="264" t="str">
        <f>IFERROR(__xludf.DUMMYFUNCTION("""COMPUTED_VALUE"""),"Melee Weapon Range")</f>
        <v>Melee Weapon Range</v>
      </c>
      <c r="F691" s="266" t="str">
        <f>IFERROR(__xludf.DUMMYFUNCTION("""COMPUTED_VALUE"""),"You reduce your HP to 1 and make a Heavy attack against the target. You gain a bonus to the damage roll of this attack equal to the amount of HP you lost through this ability.
If this attack fails to meet the base evasion of the target, the HP you lost is"&amp;" refunded. It still counts as your one secret art use of the fight regardless.")</f>
        <v>You reduce your HP to 1 and make a Heavy attack against the target. You gain a bonus to the damage roll of this attack equal to the amount of HP you lost through this ability.
If this attack fails to meet the base evasion of the target, the HP you lost is refunded. It still counts as your one secret art use of the fight regardless.</v>
      </c>
      <c r="G691" s="263" t="str">
        <f>IFERROR(__xludf.DUMMYFUNCTION("""COMPUTED_VALUE"""),"")</f>
        <v/>
      </c>
      <c r="H691" s="265" t="str">
        <f>IFERROR(__xludf.DUMMYFUNCTION("""COMPUTED_VALUE"""),"2 AP")</f>
        <v>2 AP</v>
      </c>
      <c r="I691" s="264" t="str">
        <f>IFERROR(__xludf.DUMMYFUNCTION("""COMPUTED_VALUE"""),"2 AP")</f>
        <v>2 AP</v>
      </c>
      <c r="J691" s="264" t="str">
        <f>IFERROR(__xludf.DUMMYFUNCTION("""COMPUTED_VALUE"""),"")</f>
        <v/>
      </c>
      <c r="K691" s="263" t="str">
        <f>IFERROR(__xludf.DUMMYFUNCTION("""COMPUTED_VALUE"""),"")</f>
        <v/>
      </c>
      <c r="L691" s="263" t="str">
        <f>IFERROR(__xludf.DUMMYFUNCTION("""COMPUTED_VALUE"""),"")</f>
        <v/>
      </c>
      <c r="M691" s="263"/>
      <c r="N691" s="263"/>
      <c r="O691" s="263"/>
      <c r="P691" s="263"/>
      <c r="Q691" s="263"/>
      <c r="R691" s="263"/>
      <c r="S691" s="263"/>
      <c r="T691" s="263"/>
      <c r="U691" s="246"/>
      <c r="V691" s="246"/>
      <c r="W691" s="246"/>
      <c r="X691" s="246"/>
      <c r="Y691" s="246"/>
      <c r="Z691" s="246"/>
    </row>
    <row r="692">
      <c r="A692" s="263"/>
      <c r="B692" s="265" t="str">
        <f>IFERROR(__xludf.DUMMYFUNCTION("""COMPUTED_VALUE"""),"Secret Art: Life Sacrifice")</f>
        <v>Secret Art: Life Sacrifice</v>
      </c>
      <c r="C692" s="263"/>
      <c r="D692" s="264" t="str">
        <f>IFERROR(__xludf.DUMMYFUNCTION("""COMPUTED_VALUE"""),"Healing, Secret Art, Aid")</f>
        <v>Healing, Secret Art, Aid</v>
      </c>
      <c r="E692" s="264" t="str">
        <f>IFERROR(__xludf.DUMMYFUNCTION("""COMPUTED_VALUE"""),"40ft")</f>
        <v>40ft</v>
      </c>
      <c r="F692" s="266" t="str">
        <f>IFERROR(__xludf.DUMMYFUNCTION("""COMPUTED_VALUE"""),"You lose HP until your HP reaches 1. Target ally within range recovers that much HP. Any HP that exceeds the target’s max HP becomes temporary HP.
This HP loss cannot be mitigated in any way and ignores temporary HP. This does not trigger effects that wou"&amp;"ld trigger upon taking damage.")</f>
        <v>You lose HP until your HP reaches 1. Target ally within range recovers that much HP. Any HP that exceeds the target’s max HP becomes temporary HP.
This HP loss cannot be mitigated in any way and ignores temporary HP. This does not trigger effects that would trigger upon taking damage.</v>
      </c>
      <c r="G692" s="264" t="str">
        <f>IFERROR(__xludf.DUMMYFUNCTION("""COMPUTED_VALUE"""),"")</f>
        <v/>
      </c>
      <c r="H692" s="265" t="str">
        <f>IFERROR(__xludf.DUMMYFUNCTION("""COMPUTED_VALUE"""),"1 AP")</f>
        <v>1 AP</v>
      </c>
      <c r="I692" s="264" t="str">
        <f>IFERROR(__xludf.DUMMYFUNCTION("""COMPUTED_VALUE"""),"1 AP")</f>
        <v>1 AP</v>
      </c>
      <c r="J692" s="264" t="str">
        <f>IFERROR(__xludf.DUMMYFUNCTION("""COMPUTED_VALUE"""),"")</f>
        <v/>
      </c>
      <c r="K692" s="263" t="str">
        <f>IFERROR(__xludf.DUMMYFUNCTION("""COMPUTED_VALUE"""),"")</f>
        <v/>
      </c>
      <c r="L692" s="263" t="str">
        <f>IFERROR(__xludf.DUMMYFUNCTION("""COMPUTED_VALUE"""),"")</f>
        <v/>
      </c>
      <c r="M692" s="263"/>
      <c r="N692" s="263"/>
      <c r="O692" s="263"/>
      <c r="P692" s="263"/>
      <c r="Q692" s="263"/>
      <c r="R692" s="263"/>
      <c r="S692" s="263"/>
      <c r="T692" s="263"/>
      <c r="U692" s="246"/>
      <c r="V692" s="246"/>
      <c r="W692" s="246"/>
      <c r="X692" s="246"/>
      <c r="Y692" s="246"/>
      <c r="Z692" s="246"/>
    </row>
    <row r="693">
      <c r="A693" s="263"/>
      <c r="B693" s="265" t="str">
        <f>IFERROR(__xludf.DUMMYFUNCTION("""COMPUTED_VALUE"""),"Secret Art: Lifesaver")</f>
        <v>Secret Art: Lifesaver</v>
      </c>
      <c r="C693" s="263"/>
      <c r="D693" s="263" t="str">
        <f>IFERROR(__xludf.DUMMYFUNCTION("""COMPUTED_VALUE"""),"Secret Art, Shield, Spell")</f>
        <v>Secret Art, Shield, Spell</v>
      </c>
      <c r="E693" s="264" t="str">
        <f>IFERROR(__xludf.DUMMYFUNCTION("""COMPUTED_VALUE"""),"40ft")</f>
        <v>40ft</v>
      </c>
      <c r="F693" s="266" t="str">
        <f>IFERROR(__xludf.DUMMYFUNCTION("""COMPUTED_VALUE"""),"The target gains temporary HP until the end of the encounter equal to their missing HP.")</f>
        <v>The target gains temporary HP until the end of the encounter equal to their missing HP.</v>
      </c>
      <c r="G693" s="263" t="str">
        <f>IFERROR(__xludf.DUMMYFUNCTION("""COMPUTED_VALUE"""),"")</f>
        <v/>
      </c>
      <c r="H693" s="265" t="str">
        <f>IFERROR(__xludf.DUMMYFUNCTION("""COMPUTED_VALUE"""),"4 AP, 5 MP")</f>
        <v>4 AP, 5 MP</v>
      </c>
      <c r="I693" s="264" t="str">
        <f>IFERROR(__xludf.DUMMYFUNCTION("""COMPUTED_VALUE"""),"4 AP")</f>
        <v>4 AP</v>
      </c>
      <c r="J693" s="263" t="str">
        <f>IFERROR(__xludf.DUMMYFUNCTION("""COMPUTED_VALUE"""),"5 MP")</f>
        <v>5 MP</v>
      </c>
      <c r="K693" s="263" t="str">
        <f>IFERROR(__xludf.DUMMYFUNCTION("""COMPUTED_VALUE"""),"")</f>
        <v/>
      </c>
      <c r="L693" s="263" t="str">
        <f>IFERROR(__xludf.DUMMYFUNCTION("""COMPUTED_VALUE"""),"")</f>
        <v/>
      </c>
      <c r="M693" s="263"/>
      <c r="N693" s="263"/>
      <c r="O693" s="263"/>
      <c r="P693" s="263"/>
      <c r="Q693" s="263"/>
      <c r="R693" s="263"/>
      <c r="S693" s="263"/>
      <c r="T693" s="263"/>
      <c r="U693" s="246"/>
      <c r="V693" s="246"/>
      <c r="W693" s="246"/>
      <c r="X693" s="246"/>
      <c r="Y693" s="246"/>
      <c r="Z693" s="246"/>
    </row>
    <row r="694">
      <c r="A694" s="263"/>
      <c r="B694" s="265" t="str">
        <f>IFERROR(__xludf.DUMMYFUNCTION("""COMPUTED_VALUE"""),"Secret Art: Lightning Field")</f>
        <v>Secret Art: Lightning Field</v>
      </c>
      <c r="C694" s="263"/>
      <c r="D694" s="263" t="str">
        <f>IFERROR(__xludf.DUMMYFUNCTION("""COMPUTED_VALUE"""),"Lightning, Secret Art, Spell, Upkeep")</f>
        <v>Lightning, Secret Art, Spell, Upkeep</v>
      </c>
      <c r="E694" s="264" t="str">
        <f>IFERROR(__xludf.DUMMYFUNCTION("""COMPUTED_VALUE"""),"30ft")</f>
        <v>30ft</v>
      </c>
      <c r="F694" s="266" t="str">
        <f>IFERROR(__xludf.DUMMYFUNCTION("""COMPUTED_VALUE"""),"You conjure a statically charged field around you, applying Static X where X equals your Focus x 3 to all enemies within 30ft of you. Enemies already afflicted by Static immediately take damage equal to 3 + half the static value. While within your Lightni"&amp;"ng Field, the Static on enemies is not removed at the end of their turn.
This field lasts until the end of your next turn.
Upkeep: You may pay 1 Mana at the start of your turn to repeat the initial effect and extend the duration of the field by 1 turn.")</f>
        <v>You conjure a statically charged field around you, applying Static X where X equals your Focus x 3 to all enemies within 30ft of you. Enemies already afflicted by Static immediately take damage equal to 3 + half the static value. While within your Lightning Field, the Static on enemies is not removed at the end of their turn.
This field lasts until the end of your next turn.
Upkeep: You may pay 1 Mana at the start of your turn to repeat the initial effect and extend the duration of the field by 1 turn.</v>
      </c>
      <c r="G694" s="264" t="str">
        <f>IFERROR(__xludf.DUMMYFUNCTION("""COMPUTED_VALUE"""),"")</f>
        <v/>
      </c>
      <c r="H694" s="265" t="str">
        <f>IFERROR(__xludf.DUMMYFUNCTION("""COMPUTED_VALUE"""),"2 AP, 3 MP")</f>
        <v>2 AP, 3 MP</v>
      </c>
      <c r="I694" s="264" t="str">
        <f>IFERROR(__xludf.DUMMYFUNCTION("""COMPUTED_VALUE"""),"2 AP")</f>
        <v>2 AP</v>
      </c>
      <c r="J694" s="264" t="str">
        <f>IFERROR(__xludf.DUMMYFUNCTION("""COMPUTED_VALUE"""),"3 MP")</f>
        <v>3 MP</v>
      </c>
      <c r="K694" s="263" t="str">
        <f>IFERROR(__xludf.DUMMYFUNCTION("""COMPUTED_VALUE"""),"")</f>
        <v/>
      </c>
      <c r="L694" s="263" t="str">
        <f>IFERROR(__xludf.DUMMYFUNCTION("""COMPUTED_VALUE"""),"")</f>
        <v/>
      </c>
      <c r="M694" s="263"/>
      <c r="N694" s="263"/>
      <c r="O694" s="263"/>
      <c r="P694" s="263"/>
      <c r="Q694" s="263"/>
      <c r="R694" s="263"/>
      <c r="S694" s="263"/>
      <c r="T694" s="263"/>
      <c r="U694" s="246"/>
      <c r="V694" s="246"/>
      <c r="W694" s="246"/>
      <c r="X694" s="246"/>
      <c r="Y694" s="246"/>
      <c r="Z694" s="246"/>
    </row>
    <row r="695">
      <c r="A695" s="263"/>
      <c r="B695" s="265" t="str">
        <f>IFERROR(__xludf.DUMMYFUNCTION("""COMPUTED_VALUE"""),"Secret Art: Lightning Release")</f>
        <v>Secret Art: Lightning Release</v>
      </c>
      <c r="C695" s="263"/>
      <c r="D695" s="263" t="str">
        <f>IFERROR(__xludf.DUMMYFUNCTION("""COMPUTED_VALUE"""),"Secret Art, Transformation")</f>
        <v>Secret Art, Transformation</v>
      </c>
      <c r="E695" s="263" t="str">
        <f>IFERROR(__xludf.DUMMYFUNCTION("""COMPUTED_VALUE"""),"Self")</f>
        <v>Self</v>
      </c>
      <c r="F695" s="266" t="str">
        <f>IFERROR(__xludf.DUMMYFUNCTION("""COMPUTED_VALUE"""),"You infuse yourself with Lightning and gain Lightning Release until the end of the encounter, allowing you to deal Lightning damage with your unarmed attacks and immediately enter the Heavenly Lightning Stance. While this lasts, you also gain the followin"&amp;"g benefits:
Your movement speed is doubled.
You can make an additional attack when you use Double Punch.
When making an unarmed attack, your critical threshold is lowered by 1 (19-20 base). Whenever you hit with a critical hit with an unarmed attack that "&amp;"deals Lightning damage, the attack arcs to a different enemy within 20ft of the original target. This attack uses the same attack roll and damage, but cannot arc again.
If you ever leave the Lightning Stance, you lose the benefit of this.")</f>
        <v>You infuse yourself with Lightning and gain Lightning Release until the end of the encounter, allowing you to deal Lightning damage with your unarmed attacks and immediately enter the Heavenly Lightning Stance. While this lasts, you also gain the following benefits:
Your movement speed is doubled.
You can make an additional attack when you use Double Punch.
When making an unarmed attack, your critical threshold is lowered by 1 (19-20 base). Whenever you hit with a critical hit with an unarmed attack that deals Lightning damage, the attack arcs to a different enemy within 20ft of the original target. This attack uses the same attack roll and damage, but cannot arc again.
If you ever leave the Lightning Stance, you lose the benefit of this.</v>
      </c>
      <c r="G695" s="263" t="str">
        <f>IFERROR(__xludf.DUMMYFUNCTION("""COMPUTED_VALUE"""),"")</f>
        <v/>
      </c>
      <c r="H695" s="267" t="str">
        <f>IFERROR(__xludf.DUMMYFUNCTION("""COMPUTED_VALUE"""),"0 AP, 3 MP")</f>
        <v>0 AP, 3 MP</v>
      </c>
      <c r="I695" s="263" t="str">
        <f>IFERROR(__xludf.DUMMYFUNCTION("""COMPUTED_VALUE"""),"0 AP")</f>
        <v>0 AP</v>
      </c>
      <c r="J695" s="263" t="str">
        <f>IFERROR(__xludf.DUMMYFUNCTION("""COMPUTED_VALUE"""),"3 MP")</f>
        <v>3 MP</v>
      </c>
      <c r="K695" s="263" t="str">
        <f>IFERROR(__xludf.DUMMYFUNCTION("""COMPUTED_VALUE"""),"")</f>
        <v/>
      </c>
      <c r="L695" s="263" t="str">
        <f>IFERROR(__xludf.DUMMYFUNCTION("""COMPUTED_VALUE"""),"")</f>
        <v/>
      </c>
      <c r="M695" s="263"/>
      <c r="N695" s="263"/>
      <c r="O695" s="263"/>
      <c r="P695" s="263"/>
      <c r="Q695" s="263"/>
      <c r="R695" s="263"/>
      <c r="S695" s="263"/>
      <c r="T695" s="263"/>
      <c r="U695" s="246"/>
      <c r="V695" s="246"/>
      <c r="W695" s="246"/>
      <c r="X695" s="246"/>
      <c r="Y695" s="246"/>
      <c r="Z695" s="246"/>
    </row>
    <row r="696">
      <c r="A696" s="263"/>
      <c r="B696" s="265" t="str">
        <f>IFERROR(__xludf.DUMMYFUNCTION("""COMPUTED_VALUE"""),"Secret Art: Meteor")</f>
        <v>Secret Art: Meteor</v>
      </c>
      <c r="C696" s="263"/>
      <c r="D696" s="264" t="str">
        <f>IFERROR(__xludf.DUMMYFUNCTION("""COMPUTED_VALUE"""),"Fire, Overcharge, Spell, Sure Hit, Secret Art, Blanketing")</f>
        <v>Fire, Overcharge, Spell, Sure Hit, Secret Art, Blanketing</v>
      </c>
      <c r="E696" s="264" t="str">
        <f>IFERROR(__xludf.DUMMYFUNCTION("""COMPUTED_VALUE"""),"120ft")</f>
        <v>120ft</v>
      </c>
      <c r="F696" s="266" t="str">
        <f>IFERROR(__xludf.DUMMYFUNCTION("""COMPUTED_VALUE"""),"You mark a 30x30ft area and begin summoning a meteor to strike it at the start of your next turn. Those in the area when it lands take Heavy Fire Damage. You cannot use the Prepare action on this ability. Overcharge: You may spend extra AP on this ability"&amp;" to increase the damage and size of it. For every extra 2 AP spent on it, the size increases by 5ft and the damage increases by your Power. If the Overcharge increases the AP cost to above 4, this ability gains the Setup keyword. You mark the area of this"&amp;" ability when you have finished spending all AP on it and not before. The maximum AP you can spend on this ability is 16 AP.")</f>
        <v>You mark a 30x30ft area and begin summoning a meteor to strike it at the start of your next turn. Those in the area when it lands take Heavy Fire Damage. You cannot use the Prepare action on this ability. Overcharge: You may spend extra AP on this ability to increase the damage and size of it. For every extra 2 AP spent on it, the size increases by 5ft and the damage increases by your Power. If the Overcharge increases the AP cost to above 4, this ability gains the Setup keyword. You mark the area of this ability when you have finished spending all AP on it and not before. The maximum AP you can spend on this ability is 16 AP.</v>
      </c>
      <c r="G696" s="263" t="str">
        <f>IFERROR(__xludf.DUMMYFUNCTION("""COMPUTED_VALUE"""),"")</f>
        <v/>
      </c>
      <c r="H696" s="265" t="str">
        <f>IFERROR(__xludf.DUMMYFUNCTION("""COMPUTED_VALUE"""),"2 AP, 4 MP")</f>
        <v>2 AP, 4 MP</v>
      </c>
      <c r="I696" s="264" t="str">
        <f>IFERROR(__xludf.DUMMYFUNCTION("""COMPUTED_VALUE"""),"2 AP")</f>
        <v>2 AP</v>
      </c>
      <c r="J696" s="264" t="str">
        <f>IFERROR(__xludf.DUMMYFUNCTION("""COMPUTED_VALUE"""),"4 MP")</f>
        <v>4 MP</v>
      </c>
      <c r="K696" s="263" t="str">
        <f>IFERROR(__xludf.DUMMYFUNCTION("""COMPUTED_VALUE"""),"")</f>
        <v/>
      </c>
      <c r="L696" s="263" t="str">
        <f>IFERROR(__xludf.DUMMYFUNCTION("""COMPUTED_VALUE"""),"")</f>
        <v/>
      </c>
      <c r="M696" s="263"/>
      <c r="N696" s="263"/>
      <c r="O696" s="263"/>
      <c r="P696" s="263"/>
      <c r="Q696" s="263"/>
      <c r="R696" s="263"/>
      <c r="S696" s="263"/>
      <c r="T696" s="263"/>
      <c r="U696" s="246"/>
      <c r="V696" s="246"/>
      <c r="W696" s="246"/>
      <c r="X696" s="246"/>
      <c r="Y696" s="246"/>
      <c r="Z696" s="246"/>
    </row>
    <row r="697">
      <c r="A697" s="263"/>
      <c r="B697" s="265" t="str">
        <f>IFERROR(__xludf.DUMMYFUNCTION("""COMPUTED_VALUE"""),"Secret Art: Moving Castle")</f>
        <v>Secret Art: Moving Castle</v>
      </c>
      <c r="C697" s="263"/>
      <c r="D697" s="264" t="str">
        <f>IFERROR(__xludf.DUMMYFUNCTION("""COMPUTED_VALUE"""),"Secret Art, Aura, Upkeep")</f>
        <v>Secret Art, Aura, Upkeep</v>
      </c>
      <c r="E697" s="264" t="str">
        <f>IFERROR(__xludf.DUMMYFUNCTION("""COMPUTED_VALUE"""),"Self")</f>
        <v>Self</v>
      </c>
      <c r="F697" s="266" t="str">
        <f>IFERROR(__xludf.DUMMYFUNCTION("""COMPUTED_VALUE"""),"You project a defensive aura up to 15ft around you, granting all allies (excluding yourself) the Bulwark buff. While under the effects of Bulwark, allies take 3 less damage.
While projecting this aura, you may spend 0 RP to sidestep up to your movement. A"&amp;"fter you do so, you may not do so again until the start of your next turn.
Upkeep: You must spend 1 mana at the start of your turn to continue this effect.")</f>
        <v>You project a defensive aura up to 15ft around you, granting all allies (excluding yourself) the Bulwark buff. While under the effects of Bulwark, allies take 3 less damage.
While projecting this aura, you may spend 0 RP to sidestep up to your movement. After you do so, you may not do so again until the start of your next turn.
Upkeep: You must spend 1 mana at the start of your turn to continue this effect.</v>
      </c>
      <c r="G697" s="263" t="str">
        <f>IFERROR(__xludf.DUMMYFUNCTION("""COMPUTED_VALUE"""),"")</f>
        <v/>
      </c>
      <c r="H697" s="265" t="str">
        <f>IFERROR(__xludf.DUMMYFUNCTION("""COMPUTED_VALUE"""),"2 AP, 2 MP")</f>
        <v>2 AP, 2 MP</v>
      </c>
      <c r="I697" s="264" t="str">
        <f>IFERROR(__xludf.DUMMYFUNCTION("""COMPUTED_VALUE"""),"2 AP")</f>
        <v>2 AP</v>
      </c>
      <c r="J697" s="264" t="str">
        <f>IFERROR(__xludf.DUMMYFUNCTION("""COMPUTED_VALUE"""),"2 MP")</f>
        <v>2 MP</v>
      </c>
      <c r="K697" s="263" t="str">
        <f>IFERROR(__xludf.DUMMYFUNCTION("""COMPUTED_VALUE"""),"")</f>
        <v/>
      </c>
      <c r="L697" s="263" t="str">
        <f>IFERROR(__xludf.DUMMYFUNCTION("""COMPUTED_VALUE"""),"")</f>
        <v/>
      </c>
      <c r="M697" s="263"/>
      <c r="N697" s="263"/>
      <c r="O697" s="263"/>
      <c r="P697" s="263"/>
      <c r="Q697" s="263"/>
      <c r="R697" s="263"/>
      <c r="S697" s="263"/>
      <c r="T697" s="263"/>
      <c r="U697" s="246"/>
      <c r="V697" s="246"/>
      <c r="W697" s="246"/>
      <c r="X697" s="246"/>
      <c r="Y697" s="246"/>
      <c r="Z697" s="246"/>
    </row>
    <row r="698">
      <c r="A698" s="263"/>
      <c r="B698" s="265" t="str">
        <f>IFERROR(__xludf.DUMMYFUNCTION("""COMPUTED_VALUE"""),"Secret Art: Mushroomize")</f>
        <v>Secret Art: Mushroomize</v>
      </c>
      <c r="C698" s="263"/>
      <c r="D698" s="264" t="str">
        <f>IFERROR(__xludf.DUMMYFUNCTION("""COMPUTED_VALUE"""),"Healing, Spell, Upkeep, Concentration")</f>
        <v>Healing, Spell, Upkeep, Concentration</v>
      </c>
      <c r="E698" s="264" t="str">
        <f>IFERROR(__xludf.DUMMYFUNCTION("""COMPUTED_VALUE"""),"Sight")</f>
        <v>Sight</v>
      </c>
      <c r="F698" s="266" t="str">
        <f>IFERROR(__xludf.DUMMYFUNCTION("""COMPUTED_VALUE"""),"You fill your target with mycelium from your spore symbiote, removing the Downed state from them and preventing them from entering the downed State while this effect lasts. Removing Spore Symbiote from the target cancels this effect. This effect ends at t"&amp;"he start of your next turn unless you spend 1 mana to continue the effect.  When paying upkeep, if the target is below 0 HP, heal the target for your power + 3.
This effect ends if the target’s HP is reduced to negative their maximum HP amount.
You can us"&amp;"e 1 RP instead of 2 AP to use this ability.")</f>
        <v>You fill your target with mycelium from your spore symbiote, removing the Downed state from them and preventing them from entering the downed State while this effect lasts. Removing Spore Symbiote from the target cancels this effect. This effect ends at the start of your next turn unless you spend 1 mana to continue the effect.  When paying upkeep, if the target is below 0 HP, heal the target for your power + 3.
This effect ends if the target’s HP is reduced to negative their maximum HP amount.
You can use 1 RP instead of 2 AP to use this ability.</v>
      </c>
      <c r="G698" s="263" t="str">
        <f>IFERROR(__xludf.DUMMYFUNCTION("""COMPUTED_VALUE"""),"Must be used on your Spore Symbiote target that is in the Downed state.")</f>
        <v>Must be used on your Spore Symbiote target that is in the Downed state.</v>
      </c>
      <c r="H698" s="265" t="str">
        <f>IFERROR(__xludf.DUMMYFUNCTION("""COMPUTED_VALUE"""),"2 AP")</f>
        <v>2 AP</v>
      </c>
      <c r="I698" s="264" t="str">
        <f>IFERROR(__xludf.DUMMYFUNCTION("""COMPUTED_VALUE"""),"2 AP")</f>
        <v>2 AP</v>
      </c>
      <c r="J698" s="263" t="str">
        <f>IFERROR(__xludf.DUMMYFUNCTION("""COMPUTED_VALUE"""),"")</f>
        <v/>
      </c>
      <c r="K698" s="263" t="str">
        <f>IFERROR(__xludf.DUMMYFUNCTION("""COMPUTED_VALUE"""),"")</f>
        <v/>
      </c>
      <c r="L698" s="263" t="str">
        <f>IFERROR(__xludf.DUMMYFUNCTION("""COMPUTED_VALUE"""),"")</f>
        <v/>
      </c>
      <c r="M698" s="263"/>
      <c r="N698" s="263"/>
      <c r="O698" s="263"/>
      <c r="P698" s="263"/>
      <c r="Q698" s="263"/>
      <c r="R698" s="263"/>
      <c r="S698" s="263"/>
      <c r="T698" s="263"/>
      <c r="U698" s="246"/>
      <c r="V698" s="246"/>
      <c r="W698" s="246"/>
      <c r="X698" s="246"/>
      <c r="Y698" s="246"/>
      <c r="Z698" s="246"/>
    </row>
    <row r="699">
      <c r="A699" s="263"/>
      <c r="B699" s="265" t="str">
        <f>IFERROR(__xludf.DUMMYFUNCTION("""COMPUTED_VALUE"""),"Secret Art: Mythical Awakening")</f>
        <v>Secret Art: Mythical Awakening</v>
      </c>
      <c r="C699" s="263"/>
      <c r="D699" s="264" t="str">
        <f>IFERROR(__xludf.DUMMYFUNCTION("""COMPUTED_VALUE"""),"Secret Art")</f>
        <v>Secret Art</v>
      </c>
      <c r="E699" s="264" t="str">
        <f>IFERROR(__xludf.DUMMYFUNCTION("""COMPUTED_VALUE"""),"Self")</f>
        <v>Self</v>
      </c>
      <c r="F699" s="266" t="str">
        <f>IFERROR(__xludf.DUMMYFUNCTION("""COMPUTED_VALUE"""),"You channel your power into your mount, allowing it to unleash a devastating attack based on what type of mount it is.
Pegasus: Bellerophon: You Sidestep towards a target within 60ft and make a Heavy attack against it. This attack has Lock-on and costs 1 "&amp;"RP and 2 Mana
Wyvern: Reginliev: You make a Heavy attack against all enemies in a 5ft wide line up to a point within 60ft. You also make a Heavy attack against all enemies within 10ft of the selected point, though enemies can also take an attack from this"&amp;" ability once. This attack costs 2 AP and 2 Mana.
Dragonfly: Darting Mirage: You move at incredible speed and create several illusionary afterimages in your wake. Until the start of your next turn, every attack against you or your mount that is not a crit"&amp;"ical hit or does not have the Sure Hit keyword  automatically misses. This is an Illusion effect. This ability costs 0 AP and 4 Mana.
All these attacks are made with your mount’s stats instead of your own.")</f>
        <v>You channel your power into your mount, allowing it to unleash a devastating attack based on what type of mount it is.
Pegasus: Bellerophon: You Sidestep towards a target within 60ft and make a Heavy attack against it. This attack has Lock-on and costs 1 RP and 2 Mana
Wyvern: Reginliev: You make a Heavy attack against all enemies in a 5ft wide line up to a point within 60ft. You also make a Heavy attack against all enemies within 10ft of the selected point, though enemies can also take an attack from this ability once. This attack costs 2 AP and 2 Mana.
Dragonfly: Darting Mirage: You move at incredible speed and create several illusionary afterimages in your wake. Until the start of your next turn, every attack against you or your mount that is not a critical hit or does not have the Sure Hit keyword  automatically misses. This is an Illusion effect. This ability costs 0 AP and 4 Mana.
All these attacks are made with your mount’s stats instead of your own.</v>
      </c>
      <c r="G699" s="263" t="str">
        <f>IFERROR(__xludf.DUMMYFUNCTION("""COMPUTED_VALUE"""),"Must be mounted on a mount mentioned in the description.")</f>
        <v>Must be mounted on a mount mentioned in the description.</v>
      </c>
      <c r="H699" s="265" t="str">
        <f>IFERROR(__xludf.DUMMYFUNCTION("""COMPUTED_VALUE"""),"")</f>
        <v/>
      </c>
      <c r="I699" s="264" t="str">
        <f>IFERROR(__xludf.DUMMYFUNCTION("""COMPUTED_VALUE"""),"")</f>
        <v/>
      </c>
      <c r="J699" s="263" t="str">
        <f>IFERROR(__xludf.DUMMYFUNCTION("""COMPUTED_VALUE"""),"")</f>
        <v/>
      </c>
      <c r="K699" s="263" t="str">
        <f>IFERROR(__xludf.DUMMYFUNCTION("""COMPUTED_VALUE"""),"")</f>
        <v/>
      </c>
      <c r="L699" s="263" t="str">
        <f>IFERROR(__xludf.DUMMYFUNCTION("""COMPUTED_VALUE"""),"")</f>
        <v/>
      </c>
      <c r="M699" s="263"/>
      <c r="N699" s="263"/>
      <c r="O699" s="263"/>
      <c r="P699" s="263"/>
      <c r="Q699" s="263"/>
      <c r="R699" s="263"/>
      <c r="S699" s="263"/>
      <c r="T699" s="263"/>
      <c r="U699" s="246"/>
      <c r="V699" s="246"/>
      <c r="W699" s="246"/>
      <c r="X699" s="246"/>
      <c r="Y699" s="246"/>
      <c r="Z699" s="246"/>
    </row>
    <row r="700">
      <c r="A700" s="263"/>
      <c r="B700" s="265" t="str">
        <f>IFERROR(__xludf.DUMMYFUNCTION("""COMPUTED_VALUE"""),"Secret Art: Nightcaller")</f>
        <v>Secret Art: Nightcaller</v>
      </c>
      <c r="C700" s="263"/>
      <c r="D700" s="263" t="str">
        <f>IFERROR(__xludf.DUMMYFUNCTION("""COMPUTED_VALUE"""),"Secret Art, Stealth")</f>
        <v>Secret Art, Stealth</v>
      </c>
      <c r="E700" s="264" t="str">
        <f>IFERROR(__xludf.DUMMYFUNCTION("""COMPUTED_VALUE"""),"Self")</f>
        <v>Self</v>
      </c>
      <c r="F700" s="266" t="str">
        <f>IFERROR(__xludf.DUMMYFUNCTION("""COMPUTED_VALUE"""),"Until the end of the encounter, it is considered night for all your abilities and items that are affected by it.")</f>
        <v>Until the end of the encounter, it is considered night for all your abilities and items that are affected by it.</v>
      </c>
      <c r="G700" s="263" t="str">
        <f>IFERROR(__xludf.DUMMYFUNCTION("""COMPUTED_VALUE"""),"")</f>
        <v/>
      </c>
      <c r="H700" s="265" t="str">
        <f>IFERROR(__xludf.DUMMYFUNCTION("""COMPUTED_VALUE"""),"0 AP, 4 MP")</f>
        <v>0 AP, 4 MP</v>
      </c>
      <c r="I700" s="263" t="str">
        <f>IFERROR(__xludf.DUMMYFUNCTION("""COMPUTED_VALUE"""),"0 AP")</f>
        <v>0 AP</v>
      </c>
      <c r="J700" s="264" t="str">
        <f>IFERROR(__xludf.DUMMYFUNCTION("""COMPUTED_VALUE"""),"4 MP")</f>
        <v>4 MP</v>
      </c>
      <c r="K700" s="264" t="str">
        <f>IFERROR(__xludf.DUMMYFUNCTION("""COMPUTED_VALUE"""),"")</f>
        <v/>
      </c>
      <c r="L700" s="263" t="str">
        <f>IFERROR(__xludf.DUMMYFUNCTION("""COMPUTED_VALUE"""),"")</f>
        <v/>
      </c>
      <c r="M700" s="263"/>
      <c r="N700" s="263"/>
      <c r="O700" s="263"/>
      <c r="P700" s="263"/>
      <c r="Q700" s="263"/>
      <c r="R700" s="263"/>
      <c r="S700" s="263"/>
      <c r="T700" s="263"/>
      <c r="U700" s="246"/>
      <c r="V700" s="246"/>
      <c r="W700" s="246"/>
      <c r="X700" s="246"/>
      <c r="Y700" s="246"/>
      <c r="Z700" s="246"/>
    </row>
    <row r="701">
      <c r="A701" s="263"/>
      <c r="B701" s="265" t="str">
        <f>IFERROR(__xludf.DUMMYFUNCTION("""COMPUTED_VALUE"""),"Secret Art: Overcharge")</f>
        <v>Secret Art: Overcharge</v>
      </c>
      <c r="C701" s="263"/>
      <c r="D701" s="263" t="str">
        <f>IFERROR(__xludf.DUMMYFUNCTION("""COMPUTED_VALUE"""),"Secret Art")</f>
        <v>Secret Art</v>
      </c>
      <c r="E701" s="264" t="str">
        <f>IFERROR(__xludf.DUMMYFUNCTION("""COMPUTED_VALUE"""),"Self")</f>
        <v>Self</v>
      </c>
      <c r="F701" s="266" t="str">
        <f>IFERROR(__xludf.DUMMYFUNCTION("""COMPUTED_VALUE"""),"Reduces the mana cost of your next Spell cast this turn by 3. You cannot gain mana from this.")</f>
        <v>Reduces the mana cost of your next Spell cast this turn by 3. You cannot gain mana from this.</v>
      </c>
      <c r="G701" s="264" t="str">
        <f>IFERROR(__xludf.DUMMYFUNCTION("""COMPUTED_VALUE"""),"")</f>
        <v/>
      </c>
      <c r="H701" s="265" t="str">
        <f>IFERROR(__xludf.DUMMYFUNCTION("""COMPUTED_VALUE"""),"0 AP")</f>
        <v>0 AP</v>
      </c>
      <c r="I701" s="264" t="str">
        <f>IFERROR(__xludf.DUMMYFUNCTION("""COMPUTED_VALUE"""),"0 AP")</f>
        <v>0 AP</v>
      </c>
      <c r="J701" s="263" t="str">
        <f>IFERROR(__xludf.DUMMYFUNCTION("""COMPUTED_VALUE"""),"")</f>
        <v/>
      </c>
      <c r="K701" s="263" t="str">
        <f>IFERROR(__xludf.DUMMYFUNCTION("""COMPUTED_VALUE"""),"")</f>
        <v/>
      </c>
      <c r="L701" s="263" t="str">
        <f>IFERROR(__xludf.DUMMYFUNCTION("""COMPUTED_VALUE"""),"")</f>
        <v/>
      </c>
      <c r="M701" s="263"/>
      <c r="N701" s="263"/>
      <c r="O701" s="263"/>
      <c r="P701" s="263"/>
      <c r="Q701" s="263"/>
      <c r="R701" s="263"/>
      <c r="S701" s="263"/>
      <c r="T701" s="263"/>
      <c r="U701" s="246"/>
      <c r="V701" s="246"/>
      <c r="W701" s="246"/>
      <c r="X701" s="246"/>
      <c r="Y701" s="246"/>
      <c r="Z701" s="246"/>
    </row>
    <row r="702">
      <c r="A702" s="263"/>
      <c r="B702" s="265" t="str">
        <f>IFERROR(__xludf.DUMMYFUNCTION("""COMPUTED_VALUE"""),"Secret Art: Override")</f>
        <v>Secret Art: Override</v>
      </c>
      <c r="C702" s="263"/>
      <c r="D702" s="263" t="str">
        <f>IFERROR(__xludf.DUMMYFUNCTION("""COMPUTED_VALUE"""),"Secret Art, Sure Hit, Pass, Blanketing")</f>
        <v>Secret Art, Sure Hit, Pass, Blanketing</v>
      </c>
      <c r="E702" s="263" t="str">
        <f>IFERROR(__xludf.DUMMYFUNCTION("""COMPUTED_VALUE"""),"Self")</f>
        <v>Self</v>
      </c>
      <c r="F702" s="266" t="str">
        <f>IFERROR(__xludf.DUMMYFUNCTION("""COMPUTED_VALUE"""),"You make a Heavy attack against all enemies in a line and move through them. You keep moving through enemies until you reach an empty spot you can stand in. If there is no valid end position due to an ally occupying the spot or terrain (such as a wall) be"&amp;"ing in the way, you cannot use this ability.")</f>
        <v>You make a Heavy attack against all enemies in a line and move through them. You keep moving through enemies until you reach an empty spot you can stand in. If there is no valid end position due to an ally occupying the spot or terrain (such as a wall) being in the way, you cannot use this ability.</v>
      </c>
      <c r="G702" s="264" t="str">
        <f>IFERROR(__xludf.DUMMYFUNCTION("""COMPUTED_VALUE"""),"Must be mounted.")</f>
        <v>Must be mounted.</v>
      </c>
      <c r="H702" s="267" t="str">
        <f>IFERROR(__xludf.DUMMYFUNCTION("""COMPUTED_VALUE"""),"3 AP, 3 MP")</f>
        <v>3 AP, 3 MP</v>
      </c>
      <c r="I702" s="263" t="str">
        <f>IFERROR(__xludf.DUMMYFUNCTION("""COMPUTED_VALUE"""),"3 AP")</f>
        <v>3 AP</v>
      </c>
      <c r="J702" s="263" t="str">
        <f>IFERROR(__xludf.DUMMYFUNCTION("""COMPUTED_VALUE"""),"3 MP")</f>
        <v>3 MP</v>
      </c>
      <c r="K702" s="263" t="str">
        <f>IFERROR(__xludf.DUMMYFUNCTION("""COMPUTED_VALUE"""),"")</f>
        <v/>
      </c>
      <c r="L702" s="263" t="str">
        <f>IFERROR(__xludf.DUMMYFUNCTION("""COMPUTED_VALUE"""),"")</f>
        <v/>
      </c>
      <c r="M702" s="263"/>
      <c r="N702" s="263"/>
      <c r="O702" s="263"/>
      <c r="P702" s="263"/>
      <c r="Q702" s="263"/>
      <c r="R702" s="263"/>
      <c r="S702" s="263"/>
      <c r="T702" s="263"/>
      <c r="U702" s="246"/>
      <c r="V702" s="246"/>
      <c r="W702" s="246"/>
      <c r="X702" s="246"/>
      <c r="Y702" s="246"/>
      <c r="Z702" s="246"/>
    </row>
    <row r="703">
      <c r="A703" s="263"/>
      <c r="B703" s="265" t="str">
        <f>IFERROR(__xludf.DUMMYFUNCTION("""COMPUTED_VALUE"""),"Secret Art: Perfect Repetition")</f>
        <v>Secret Art: Perfect Repetition</v>
      </c>
      <c r="C703" s="263"/>
      <c r="D703" s="264" t="str">
        <f>IFERROR(__xludf.DUMMYFUNCTION("""COMPUTED_VALUE"""),"Secret Art")</f>
        <v>Secret Art</v>
      </c>
      <c r="E703" s="264" t="str">
        <f>IFERROR(__xludf.DUMMYFUNCTION("""COMPUTED_VALUE"""),"Ranged Weapon Range")</f>
        <v>Ranged Weapon Range</v>
      </c>
      <c r="F703" s="266" t="str">
        <f>IFERROR(__xludf.DUMMYFUNCTION("""COMPUTED_VALUE"""),"You may make a Heavy Attack against the target. On damage, on the next turn, you may repeat this attack against the same target using the same accuracy check as the initial attack. You may continue to repeat this attack on subsequent turns until you spend"&amp;" a turn not using this move or if the attack fails to deal damage.")</f>
        <v>You may make a Heavy Attack against the target. On damage, on the next turn, you may repeat this attack against the same target using the same accuracy check as the initial attack. You may continue to repeat this attack on subsequent turns until you spend a turn not using this move or if the attack fails to deal damage.</v>
      </c>
      <c r="G703" s="264" t="str">
        <f>IFERROR(__xludf.DUMMYFUNCTION("""COMPUTED_VALUE"""),"")</f>
        <v/>
      </c>
      <c r="H703" s="265" t="str">
        <f>IFERROR(__xludf.DUMMYFUNCTION("""COMPUTED_VALUE"""),"2 AP")</f>
        <v>2 AP</v>
      </c>
      <c r="I703" s="264" t="str">
        <f>IFERROR(__xludf.DUMMYFUNCTION("""COMPUTED_VALUE"""),"2 AP")</f>
        <v>2 AP</v>
      </c>
      <c r="J703" s="264" t="str">
        <f>IFERROR(__xludf.DUMMYFUNCTION("""COMPUTED_VALUE"""),"")</f>
        <v/>
      </c>
      <c r="K703" s="263" t="str">
        <f>IFERROR(__xludf.DUMMYFUNCTION("""COMPUTED_VALUE"""),"")</f>
        <v/>
      </c>
      <c r="L703" s="263" t="str">
        <f>IFERROR(__xludf.DUMMYFUNCTION("""COMPUTED_VALUE"""),"")</f>
        <v/>
      </c>
      <c r="M703" s="263"/>
      <c r="N703" s="263"/>
      <c r="O703" s="263"/>
      <c r="P703" s="263"/>
      <c r="Q703" s="263"/>
      <c r="R703" s="263"/>
      <c r="S703" s="263"/>
      <c r="T703" s="263"/>
      <c r="U703" s="246"/>
      <c r="V703" s="246"/>
      <c r="W703" s="246"/>
      <c r="X703" s="246"/>
      <c r="Y703" s="246"/>
      <c r="Z703" s="246"/>
    </row>
    <row r="704">
      <c r="A704" s="263"/>
      <c r="B704" s="265" t="str">
        <f>IFERROR(__xludf.DUMMYFUNCTION("""COMPUTED_VALUE"""),"Secret Art: Pyroblast")</f>
        <v>Secret Art: Pyroblast</v>
      </c>
      <c r="C704" s="263"/>
      <c r="D704" s="263" t="str">
        <f>IFERROR(__xludf.DUMMYFUNCTION("""COMPUTED_VALUE"""),"Fire, Secret Art, Spell")</f>
        <v>Fire, Secret Art, Spell</v>
      </c>
      <c r="E704" s="263" t="str">
        <f>IFERROR(__xludf.DUMMYFUNCTION("""COMPUTED_VALUE"""),"60ft")</f>
        <v>60ft</v>
      </c>
      <c r="F704" s="266" t="str">
        <f>IFERROR(__xludf.DUMMYFUNCTION("""COMPUTED_VALUE"""),"You may make a Heavy Attack against the target that deals double Heavy Fire Damage. This attack gains Lock On against a target that has the Burning condition that you inflicted on it.")</f>
        <v>You may make a Heavy Attack against the target that deals double Heavy Fire Damage. This attack gains Lock On against a target that has the Burning condition that you inflicted on it.</v>
      </c>
      <c r="G704" s="264" t="str">
        <f>IFERROR(__xludf.DUMMYFUNCTION("""COMPUTED_VALUE"""),"")</f>
        <v/>
      </c>
      <c r="H704" s="267" t="str">
        <f>IFERROR(__xludf.DUMMYFUNCTION("""COMPUTED_VALUE"""),"4 AP")</f>
        <v>4 AP</v>
      </c>
      <c r="I704" s="263" t="str">
        <f>IFERROR(__xludf.DUMMYFUNCTION("""COMPUTED_VALUE"""),"4 AP")</f>
        <v>4 AP</v>
      </c>
      <c r="J704" s="263" t="str">
        <f>IFERROR(__xludf.DUMMYFUNCTION("""COMPUTED_VALUE"""),"")</f>
        <v/>
      </c>
      <c r="K704" s="263" t="str">
        <f>IFERROR(__xludf.DUMMYFUNCTION("""COMPUTED_VALUE"""),"")</f>
        <v/>
      </c>
      <c r="L704" s="263" t="str">
        <f>IFERROR(__xludf.DUMMYFUNCTION("""COMPUTED_VALUE"""),"")</f>
        <v/>
      </c>
      <c r="M704" s="263"/>
      <c r="N704" s="263"/>
      <c r="O704" s="263"/>
      <c r="P704" s="263"/>
      <c r="Q704" s="263"/>
      <c r="R704" s="263"/>
      <c r="S704" s="263"/>
      <c r="T704" s="263"/>
      <c r="U704" s="246"/>
      <c r="V704" s="246"/>
      <c r="W704" s="246"/>
      <c r="X704" s="246"/>
      <c r="Y704" s="246"/>
      <c r="Z704" s="246"/>
    </row>
    <row r="705">
      <c r="A705" s="263"/>
      <c r="B705" s="265" t="str">
        <f>IFERROR(__xludf.DUMMYFUNCTION("""COMPUTED_VALUE"""),"Secret Art: Razor Hurricane")</f>
        <v>Secret Art: Razor Hurricane</v>
      </c>
      <c r="C705" s="263"/>
      <c r="D705" s="264" t="str">
        <f>IFERROR(__xludf.DUMMYFUNCTION("""COMPUTED_VALUE"""),"Concentration, Full Pierce, Secret Art, Spell, Wind, Scatter")</f>
        <v>Concentration, Full Pierce, Secret Art, Spell, Wind, Scatter</v>
      </c>
      <c r="E705" s="264" t="str">
        <f>IFERROR(__xludf.DUMMYFUNCTION("""COMPUTED_VALUE"""),"30ft")</f>
        <v>30ft</v>
      </c>
      <c r="F705" s="266" t="str">
        <f>IFERROR(__xludf.DUMMYFUNCTION("""COMPUTED_VALUE"""),"You create a rapid spinning hurricane with a 15x15 size and 50ft in height in the target location. All creatures caught in the hurricane immediately take Wind Light Damage and are pushed out of the Hurricane. Every creature that enters the hurricane immed"&amp;"iately takes Wind Light Damage and must succeed at a save against your Potency or be pushed back 20ft. Leaving the hurricane does no damage and requires no save. Upkeep: You must spend 1 Mana and 2 AP at the start of each turn or the spell ends. When you "&amp;"pay this Upkeep, you may move the hurricane up to 20ft. Any creature that comes into contact with the hurricane during this move takes damage and must make a save as if they had entered it.")</f>
        <v>You create a rapid spinning hurricane with a 15x15 size and 50ft in height in the target location. All creatures caught in the hurricane immediately take Wind Light Damage and are pushed out of the Hurricane. Every creature that enters the hurricane immediately takes Wind Light Damage and must succeed at a save against your Potency or be pushed back 20ft. Leaving the hurricane does no damage and requires no save. Upkeep: You must spend 1 Mana and 2 AP at the start of each turn or the spell ends. When you pay this Upkeep, you may move the hurricane up to 20ft. Any creature that comes into contact with the hurricane during this move takes damage and must make a save as if they had entered it.</v>
      </c>
      <c r="G705" s="263" t="str">
        <f>IFERROR(__xludf.DUMMYFUNCTION("""COMPUTED_VALUE"""),"")</f>
        <v/>
      </c>
      <c r="H705" s="265" t="str">
        <f>IFERROR(__xludf.DUMMYFUNCTION("""COMPUTED_VALUE"""),"4 AP, 3 MP")</f>
        <v>4 AP, 3 MP</v>
      </c>
      <c r="I705" s="264" t="str">
        <f>IFERROR(__xludf.DUMMYFUNCTION("""COMPUTED_VALUE"""),"4 AP")</f>
        <v>4 AP</v>
      </c>
      <c r="J705" s="264" t="str">
        <f>IFERROR(__xludf.DUMMYFUNCTION("""COMPUTED_VALUE"""),"3 MP")</f>
        <v>3 MP</v>
      </c>
      <c r="K705" s="263" t="str">
        <f>IFERROR(__xludf.DUMMYFUNCTION("""COMPUTED_VALUE"""),"")</f>
        <v/>
      </c>
      <c r="L705" s="263" t="str">
        <f>IFERROR(__xludf.DUMMYFUNCTION("""COMPUTED_VALUE"""),"")</f>
        <v/>
      </c>
      <c r="M705" s="263"/>
      <c r="N705" s="263"/>
      <c r="O705" s="263"/>
      <c r="P705" s="263"/>
      <c r="Q705" s="263"/>
      <c r="R705" s="263"/>
      <c r="S705" s="263"/>
      <c r="T705" s="263"/>
      <c r="U705" s="246"/>
      <c r="V705" s="246"/>
      <c r="W705" s="246"/>
      <c r="X705" s="246"/>
      <c r="Y705" s="246"/>
      <c r="Z705" s="246"/>
    </row>
    <row r="706">
      <c r="A706" s="263"/>
      <c r="B706" s="265" t="str">
        <f>IFERROR(__xludf.DUMMYFUNCTION("""COMPUTED_VALUE"""),"Secret Art: Rewind")</f>
        <v>Secret Art: Rewind</v>
      </c>
      <c r="C706" s="263"/>
      <c r="D706" s="264" t="str">
        <f>IFERROR(__xludf.DUMMYFUNCTION("""COMPUTED_VALUE"""),"Secret Art")</f>
        <v>Secret Art</v>
      </c>
      <c r="E706" s="264" t="str">
        <f>IFERROR(__xludf.DUMMYFUNCTION("""COMPUTED_VALUE"""),"Self")</f>
        <v>Self</v>
      </c>
      <c r="F706" s="266" t="str">
        <f>IFERROR(__xludf.DUMMYFUNCTION("""COMPUTED_VALUE"""),"You rewind time to before your last action. All results based on your last action are reversed- All HP, Mana, AP and RP are returned to how they were. The ability you used in that action is no longer considered used, but this ability is.")</f>
        <v>You rewind time to before your last action. All results based on your last action are reversed- All HP, Mana, AP and RP are returned to how they were. The ability you used in that action is no longer considered used, but this ability is.</v>
      </c>
      <c r="G706" s="263" t="str">
        <f>IFERROR(__xludf.DUMMYFUNCTION("""COMPUTED_VALUE"""),"Can only be used on your turn.")</f>
        <v>Can only be used on your turn.</v>
      </c>
      <c r="H706" s="265" t="str">
        <f>IFERROR(__xludf.DUMMYFUNCTION("""COMPUTED_VALUE"""),"1 MP, 0 RP")</f>
        <v>1 MP, 0 RP</v>
      </c>
      <c r="I706" s="264" t="str">
        <f>IFERROR(__xludf.DUMMYFUNCTION("""COMPUTED_VALUE"""),"")</f>
        <v/>
      </c>
      <c r="J706" s="263" t="str">
        <f>IFERROR(__xludf.DUMMYFUNCTION("""COMPUTED_VALUE"""),"1 MP")</f>
        <v>1 MP</v>
      </c>
      <c r="K706" s="263" t="str">
        <f>IFERROR(__xludf.DUMMYFUNCTION("""COMPUTED_VALUE"""),"0 RP")</f>
        <v>0 RP</v>
      </c>
      <c r="L706" s="263" t="str">
        <f>IFERROR(__xludf.DUMMYFUNCTION("""COMPUTED_VALUE"""),"")</f>
        <v/>
      </c>
      <c r="M706" s="263"/>
      <c r="N706" s="263"/>
      <c r="O706" s="263"/>
      <c r="P706" s="263"/>
      <c r="Q706" s="263"/>
      <c r="R706" s="263"/>
      <c r="S706" s="263"/>
      <c r="T706" s="263"/>
      <c r="U706" s="246"/>
      <c r="V706" s="246"/>
      <c r="W706" s="246"/>
      <c r="X706" s="246"/>
      <c r="Y706" s="246"/>
      <c r="Z706" s="246"/>
    </row>
    <row r="707">
      <c r="A707" s="263"/>
      <c r="B707" s="265" t="str">
        <f>IFERROR(__xludf.DUMMYFUNCTION("""COMPUTED_VALUE"""),"Secret Art: Ride of the Valkyrie")</f>
        <v>Secret Art: Ride of the Valkyrie</v>
      </c>
      <c r="C707" s="263"/>
      <c r="D707" s="264" t="str">
        <f>IFERROR(__xludf.DUMMYFUNCTION("""COMPUTED_VALUE"""),"Secret Art, Sidestep, Healing, Pass")</f>
        <v>Secret Art, Sidestep, Healing, Pass</v>
      </c>
      <c r="E707" s="264" t="str">
        <f>IFERROR(__xludf.DUMMYFUNCTION("""COMPUTED_VALUE"""),"Self")</f>
        <v>Self</v>
      </c>
      <c r="F707" s="266" t="str">
        <f>IFERROR(__xludf.DUMMYFUNCTION("""COMPUTED_VALUE"""),"You Sidestep up to your speed and can move through enemies for this movement. You and every ally you pass through are healed for 11 + (Power x 2).
This movement must always be in a straight line, regardless of your mount type.")</f>
        <v>You Sidestep up to your speed and can move through enemies for this movement. You and every ally you pass through are healed for 11 + (Power x 2).
This movement must always be in a straight line, regardless of your mount type.</v>
      </c>
      <c r="G707" s="263" t="str">
        <f>IFERROR(__xludf.DUMMYFUNCTION("""COMPUTED_VALUE"""),"Must be mounted.")</f>
        <v>Must be mounted.</v>
      </c>
      <c r="H707" s="265" t="str">
        <f>IFERROR(__xludf.DUMMYFUNCTION("""COMPUTED_VALUE"""),"4 AP, 3 MP")</f>
        <v>4 AP, 3 MP</v>
      </c>
      <c r="I707" s="264" t="str">
        <f>IFERROR(__xludf.DUMMYFUNCTION("""COMPUTED_VALUE"""),"4 AP")</f>
        <v>4 AP</v>
      </c>
      <c r="J707" s="264" t="str">
        <f>IFERROR(__xludf.DUMMYFUNCTION("""COMPUTED_VALUE"""),"3 MP")</f>
        <v>3 MP</v>
      </c>
      <c r="K707" s="263" t="str">
        <f>IFERROR(__xludf.DUMMYFUNCTION("""COMPUTED_VALUE"""),"")</f>
        <v/>
      </c>
      <c r="L707" s="263" t="str">
        <f>IFERROR(__xludf.DUMMYFUNCTION("""COMPUTED_VALUE"""),"")</f>
        <v/>
      </c>
      <c r="M707" s="263"/>
      <c r="N707" s="263"/>
      <c r="O707" s="263"/>
      <c r="P707" s="263"/>
      <c r="Q707" s="263"/>
      <c r="R707" s="263"/>
      <c r="S707" s="263"/>
      <c r="T707" s="263"/>
      <c r="U707" s="246"/>
      <c r="V707" s="246"/>
      <c r="W707" s="246"/>
      <c r="X707" s="246"/>
      <c r="Y707" s="246"/>
      <c r="Z707" s="246"/>
    </row>
    <row r="708">
      <c r="A708" s="263"/>
      <c r="B708" s="265" t="str">
        <f>IFERROR(__xludf.DUMMYFUNCTION("""COMPUTED_VALUE"""),"Secret Art: Seventeen Dissection")</f>
        <v>Secret Art: Seventeen Dissection</v>
      </c>
      <c r="C708" s="263"/>
      <c r="D708" s="264" t="str">
        <f>IFERROR(__xludf.DUMMYFUNCTION("""COMPUTED_VALUE"""),"Full Pierce, Secret Art, Sure Hit")</f>
        <v>Full Pierce, Secret Art, Sure Hit</v>
      </c>
      <c r="E708" s="264" t="str">
        <f>IFERROR(__xludf.DUMMYFUNCTION("""COMPUTED_VALUE"""),"Melee Weapon Range")</f>
        <v>Melee Weapon Range</v>
      </c>
      <c r="F708" s="266" t="str">
        <f>IFERROR(__xludf.DUMMYFUNCTION("""COMPUTED_VALUE"""),"You deal 17 true damage to the target. If this damage lowers the target’s HP to 0 or lower, they immediately die.
If the target of this attack is a non-heroic unit, they instantly die regardless of their remaining HP.")</f>
        <v>You deal 17 true damage to the target. If this damage lowers the target’s HP to 0 or lower, they immediately die.
If the target of this attack is a non-heroic unit, they instantly die regardless of their remaining HP.</v>
      </c>
      <c r="G708" s="264" t="str">
        <f>IFERROR(__xludf.DUMMYFUNCTION("""COMPUTED_VALUE"""),"Slashing weapons only.")</f>
        <v>Slashing weapons only.</v>
      </c>
      <c r="H708" s="265" t="str">
        <f>IFERROR(__xludf.DUMMYFUNCTION("""COMPUTED_VALUE"""),"3 AP")</f>
        <v>3 AP</v>
      </c>
      <c r="I708" s="264" t="str">
        <f>IFERROR(__xludf.DUMMYFUNCTION("""COMPUTED_VALUE"""),"3 AP")</f>
        <v>3 AP</v>
      </c>
      <c r="J708" s="263" t="str">
        <f>IFERROR(__xludf.DUMMYFUNCTION("""COMPUTED_VALUE"""),"")</f>
        <v/>
      </c>
      <c r="K708" s="263" t="str">
        <f>IFERROR(__xludf.DUMMYFUNCTION("""COMPUTED_VALUE"""),"")</f>
        <v/>
      </c>
      <c r="L708" s="263" t="str">
        <f>IFERROR(__xludf.DUMMYFUNCTION("""COMPUTED_VALUE"""),"")</f>
        <v/>
      </c>
      <c r="M708" s="263"/>
      <c r="N708" s="263"/>
      <c r="O708" s="263"/>
      <c r="P708" s="263"/>
      <c r="Q708" s="263"/>
      <c r="R708" s="263"/>
      <c r="S708" s="263"/>
      <c r="T708" s="263"/>
      <c r="U708" s="246"/>
      <c r="V708" s="246"/>
      <c r="W708" s="246"/>
      <c r="X708" s="246"/>
      <c r="Y708" s="246"/>
      <c r="Z708" s="246"/>
    </row>
    <row r="709">
      <c r="A709" s="263"/>
      <c r="B709" s="265" t="str">
        <f>IFERROR(__xludf.DUMMYFUNCTION("""COMPUTED_VALUE"""),"Secret Art: Shatter")</f>
        <v>Secret Art: Shatter</v>
      </c>
      <c r="C709" s="263"/>
      <c r="D709" s="263" t="str">
        <f>IFERROR(__xludf.DUMMYFUNCTION("""COMPUTED_VALUE"""),"Secret Art, Sure Hit")</f>
        <v>Secret Art, Sure Hit</v>
      </c>
      <c r="E709" s="264" t="str">
        <f>IFERROR(__xludf.DUMMYFUNCTION("""COMPUTED_VALUE"""),"Melee Weapon Range")</f>
        <v>Melee Weapon Range</v>
      </c>
      <c r="F709" s="266" t="str">
        <f>IFERROR(__xludf.DUMMYFUNCTION("""COMPUTED_VALUE"""),"You make a Heavy Attack against the target using a Blacksmith’s Hammer. If the target chooses to Block the attack, they gain 100 damage reduction against it. If they do, choose one equipped non-divine arms weapon in their hand that has equal or less craft"&amp;"ed enhancements than your hammer and destroy that item, giving it the Broken condition.")</f>
        <v>You make a Heavy Attack against the target using a Blacksmith’s Hammer. If the target chooses to Block the attack, they gain 100 damage reduction against it. If they do, choose one equipped non-divine arms weapon in their hand that has equal or less crafted enhancements than your hammer and destroy that item, giving it the Broken condition.</v>
      </c>
      <c r="G709" s="263" t="str">
        <f>IFERROR(__xludf.DUMMYFUNCTION("""COMPUTED_VALUE"""),"Attack must be made with a Blacksmith's Hammer.")</f>
        <v>Attack must be made with a Blacksmith's Hammer.</v>
      </c>
      <c r="H709" s="265" t="str">
        <f>IFERROR(__xludf.DUMMYFUNCTION("""COMPUTED_VALUE"""),"2 AP, 2 MP")</f>
        <v>2 AP, 2 MP</v>
      </c>
      <c r="I709" s="264" t="str">
        <f>IFERROR(__xludf.DUMMYFUNCTION("""COMPUTED_VALUE"""),"2 AP")</f>
        <v>2 AP</v>
      </c>
      <c r="J709" s="263" t="str">
        <f>IFERROR(__xludf.DUMMYFUNCTION("""COMPUTED_VALUE"""),"2 MP")</f>
        <v>2 MP</v>
      </c>
      <c r="K709" s="263" t="str">
        <f>IFERROR(__xludf.DUMMYFUNCTION("""COMPUTED_VALUE"""),"")</f>
        <v/>
      </c>
      <c r="L709" s="263" t="str">
        <f>IFERROR(__xludf.DUMMYFUNCTION("""COMPUTED_VALUE"""),"")</f>
        <v/>
      </c>
      <c r="M709" s="263"/>
      <c r="N709" s="263"/>
      <c r="O709" s="263"/>
      <c r="P709" s="263"/>
      <c r="Q709" s="263"/>
      <c r="R709" s="263"/>
      <c r="S709" s="263"/>
      <c r="T709" s="263"/>
      <c r="U709" s="246"/>
      <c r="V709" s="246"/>
      <c r="W709" s="246"/>
      <c r="X709" s="246"/>
      <c r="Y709" s="246"/>
      <c r="Z709" s="246"/>
    </row>
    <row r="710">
      <c r="A710" s="263"/>
      <c r="B710" s="265" t="str">
        <f>IFERROR(__xludf.DUMMYFUNCTION("""COMPUTED_VALUE"""),"Secret Art: Shield Wall")</f>
        <v>Secret Art: Shield Wall</v>
      </c>
      <c r="C710" s="263"/>
      <c r="D710" s="264" t="str">
        <f>IFERROR(__xludf.DUMMYFUNCTION("""COMPUTED_VALUE"""),"Secret Art")</f>
        <v>Secret Art</v>
      </c>
      <c r="E710" s="264" t="str">
        <f>IFERROR(__xludf.DUMMYFUNCTION("""COMPUTED_VALUE"""),"20ft")</f>
        <v>20ft</v>
      </c>
      <c r="F710" s="266" t="str">
        <f>IFERROR(__xludf.DUMMYFUNCTION("""COMPUTED_VALUE"""),"You and your allies in range gain Shield Wall, which reduces the damage they take from the triggering attack by 75.")</f>
        <v>You and your allies in range gain Shield Wall, which reduces the damage they take from the triggering attack by 75.</v>
      </c>
      <c r="G710" s="264" t="str">
        <f>IFERROR(__xludf.DUMMYFUNCTION("""COMPUTED_VALUE"""),"Usable when you are the target of an ability that affects an area, using a shield.")</f>
        <v>Usable when you are the target of an ability that affects an area, using a shield.</v>
      </c>
      <c r="H710" s="265" t="str">
        <f>IFERROR(__xludf.DUMMYFUNCTION("""COMPUTED_VALUE"""),"6 MP, 1 RP")</f>
        <v>6 MP, 1 RP</v>
      </c>
      <c r="I710" s="264" t="str">
        <f>IFERROR(__xludf.DUMMYFUNCTION("""COMPUTED_VALUE"""),"")</f>
        <v/>
      </c>
      <c r="J710" s="264" t="str">
        <f>IFERROR(__xludf.DUMMYFUNCTION("""COMPUTED_VALUE"""),"6 MP")</f>
        <v>6 MP</v>
      </c>
      <c r="K710" s="263" t="str">
        <f>IFERROR(__xludf.DUMMYFUNCTION("""COMPUTED_VALUE"""),"1 RP")</f>
        <v>1 RP</v>
      </c>
      <c r="L710" s="263" t="str">
        <f>IFERROR(__xludf.DUMMYFUNCTION("""COMPUTED_VALUE"""),"")</f>
        <v/>
      </c>
      <c r="M710" s="263"/>
      <c r="N710" s="263"/>
      <c r="O710" s="263"/>
      <c r="P710" s="263"/>
      <c r="Q710" s="263"/>
      <c r="R710" s="263"/>
      <c r="S710" s="263"/>
      <c r="T710" s="263"/>
      <c r="U710" s="246"/>
      <c r="V710" s="246"/>
      <c r="W710" s="246"/>
      <c r="X710" s="246"/>
      <c r="Y710" s="246"/>
      <c r="Z710" s="246"/>
    </row>
    <row r="711">
      <c r="A711" s="263"/>
      <c r="B711" s="265" t="str">
        <f>IFERROR(__xludf.DUMMYFUNCTION("""COMPUTED_VALUE"""),"Secret Art: Shock &amp; Awe")</f>
        <v>Secret Art: Shock &amp; Awe</v>
      </c>
      <c r="C711" s="263"/>
      <c r="D711" s="264" t="str">
        <f>IFERROR(__xludf.DUMMYFUNCTION("""COMPUTED_VALUE"""),"Secret Art")</f>
        <v>Secret Art</v>
      </c>
      <c r="E711" s="264" t="str">
        <f>IFERROR(__xludf.DUMMYFUNCTION("""COMPUTED_VALUE"""),"40ft")</f>
        <v>40ft</v>
      </c>
      <c r="F711" s="266" t="str">
        <f>IFERROR(__xludf.DUMMYFUNCTION("""COMPUTED_VALUE"""),"You and up to 3 other allies within range gain 3 AP they must spend immediately. On their next turn, they regain 1 less AP.
These AP may not be spent on Setup abilities and normal once per turn ability limitations apply.")</f>
        <v>You and up to 3 other allies within range gain 3 AP they must spend immediately. On their next turn, they regain 1 less AP.
These AP may not be spent on Setup abilities and normal once per turn ability limitations apply.</v>
      </c>
      <c r="G711" s="264" t="str">
        <f>IFERROR(__xludf.DUMMYFUNCTION("""COMPUTED_VALUE"""),"")</f>
        <v/>
      </c>
      <c r="H711" s="265" t="str">
        <f>IFERROR(__xludf.DUMMYFUNCTION("""COMPUTED_VALUE"""),"4 AP, 1 MP")</f>
        <v>4 AP, 1 MP</v>
      </c>
      <c r="I711" s="264" t="str">
        <f>IFERROR(__xludf.DUMMYFUNCTION("""COMPUTED_VALUE"""),"4 AP")</f>
        <v>4 AP</v>
      </c>
      <c r="J711" s="263" t="str">
        <f>IFERROR(__xludf.DUMMYFUNCTION("""COMPUTED_VALUE"""),"1 MP")</f>
        <v>1 MP</v>
      </c>
      <c r="K711" s="263" t="str">
        <f>IFERROR(__xludf.DUMMYFUNCTION("""COMPUTED_VALUE"""),"")</f>
        <v/>
      </c>
      <c r="L711" s="263" t="str">
        <f>IFERROR(__xludf.DUMMYFUNCTION("""COMPUTED_VALUE"""),"")</f>
        <v/>
      </c>
      <c r="M711" s="263"/>
      <c r="N711" s="263"/>
      <c r="O711" s="263"/>
      <c r="P711" s="263"/>
      <c r="Q711" s="263"/>
      <c r="R711" s="263"/>
      <c r="S711" s="263"/>
      <c r="T711" s="263"/>
      <c r="U711" s="246"/>
      <c r="V711" s="246"/>
      <c r="W711" s="246"/>
      <c r="X711" s="246"/>
      <c r="Y711" s="246"/>
      <c r="Z711" s="246"/>
    </row>
    <row r="712">
      <c r="A712" s="263"/>
      <c r="B712" s="265" t="str">
        <f>IFERROR(__xludf.DUMMYFUNCTION("""COMPUTED_VALUE"""),"Secret Art: Shot From The Blue")</f>
        <v>Secret Art: Shot From The Blue</v>
      </c>
      <c r="C712" s="263"/>
      <c r="D712" s="264" t="str">
        <f>IFERROR(__xludf.DUMMYFUNCTION("""COMPUTED_VALUE"""),"Flashback, Secret Art")</f>
        <v>Flashback, Secret Art</v>
      </c>
      <c r="E712" s="264" t="str">
        <f>IFERROR(__xludf.DUMMYFUNCTION("""COMPUTED_VALUE"""),"Self")</f>
        <v>Self</v>
      </c>
      <c r="F712" s="266" t="str">
        <f>IFERROR(__xludf.DUMMYFUNCTION("""COMPUTED_VALUE"""),"You recall hiring a sniper specifically for a situation like this.
The sniper mercenary, off screen, takes a single shot at the target before retreating. You grant the signal, and the sniper fires, dealing heavy damage with full pierce and sure hit to the"&amp;" target. This shot uses the stats from the Sniper NPC, attacking with +6 Accuracy (if relevant) and dealing 4d6+10 damage.
Shot From The Blue does not gain Sure Hit and Full Pierce against targets with Instinct.
If the target is a grunt, kill them instant"&amp;"ly.")</f>
        <v>You recall hiring a sniper specifically for a situation like this.
The sniper mercenary, off screen, takes a single shot at the target before retreating. You grant the signal, and the sniper fires, dealing heavy damage with full pierce and sure hit to the target. This shot uses the stats from the Sniper NPC, attacking with +6 Accuracy (if relevant) and dealing 4d6+10 damage.
Shot From The Blue does not gain Sure Hit and Full Pierce against targets with Instinct.
If the target is a grunt, kill them instantly.</v>
      </c>
      <c r="G712" s="263" t="str">
        <f>IFERROR(__xludf.DUMMYFUNCTION("""COMPUTED_VALUE"""),"Target is outdoors or reasonably visible from outdoors. Costs 500 Clim to use.")</f>
        <v>Target is outdoors or reasonably visible from outdoors. Costs 500 Clim to use.</v>
      </c>
      <c r="H712" s="265" t="str">
        <f>IFERROR(__xludf.DUMMYFUNCTION("""COMPUTED_VALUE"""),"3 MP, 0 RP")</f>
        <v>3 MP, 0 RP</v>
      </c>
      <c r="I712" s="264" t="str">
        <f>IFERROR(__xludf.DUMMYFUNCTION("""COMPUTED_VALUE"""),"")</f>
        <v/>
      </c>
      <c r="J712" s="263" t="str">
        <f>IFERROR(__xludf.DUMMYFUNCTION("""COMPUTED_VALUE"""),"3 MP")</f>
        <v>3 MP</v>
      </c>
      <c r="K712" s="263" t="str">
        <f>IFERROR(__xludf.DUMMYFUNCTION("""COMPUTED_VALUE"""),"0 RP")</f>
        <v>0 RP</v>
      </c>
      <c r="L712" s="263" t="str">
        <f>IFERROR(__xludf.DUMMYFUNCTION("""COMPUTED_VALUE"""),"")</f>
        <v/>
      </c>
      <c r="M712" s="263"/>
      <c r="N712" s="263"/>
      <c r="O712" s="263"/>
      <c r="P712" s="263"/>
      <c r="Q712" s="263"/>
      <c r="R712" s="263"/>
      <c r="S712" s="263"/>
      <c r="T712" s="263"/>
      <c r="U712" s="246"/>
      <c r="V712" s="246"/>
      <c r="W712" s="246"/>
      <c r="X712" s="246"/>
      <c r="Y712" s="246"/>
      <c r="Z712" s="246"/>
    </row>
    <row r="713">
      <c r="A713" s="263"/>
      <c r="B713" s="265" t="str">
        <f>IFERROR(__xludf.DUMMYFUNCTION("""COMPUTED_VALUE"""),"Secret Art: Skeletal Champion")</f>
        <v>Secret Art: Skeletal Champion</v>
      </c>
      <c r="C713" s="263"/>
      <c r="D713" s="264" t="str">
        <f>IFERROR(__xludf.DUMMYFUNCTION("""COMPUTED_VALUE"""),"Summon, Secret Art, Upkeep, Overcharge")</f>
        <v>Summon, Secret Art, Upkeep, Overcharge</v>
      </c>
      <c r="E713" s="264" t="str">
        <f>IFERROR(__xludf.DUMMYFUNCTION("""COMPUTED_VALUE"""),"40ft")</f>
        <v>40ft</v>
      </c>
      <c r="F713" s="266" t="str">
        <f>IFERROR(__xludf.DUMMYFUNCTION("""COMPUTED_VALUE"""),"You drain the surrounding area of energy and form a skeletal champion until the end of the encounter. (Stats can be found in the Monster page)
This champion takes 2 of your summon limit. Any zombies you had active when you summoned this are instead conver"&amp;"ted into temporary HP for the champion at a rate of 5 HP per zombie.
The champion acts after you on the initiative, but cannot take AP actions on the turn it is summoned.
Upkeep: 2 AP
Overcharge: You may spend 5 mana to give your summon the ability to act"&amp;" on the turn it is summoned.")</f>
        <v>You drain the surrounding area of energy and form a skeletal champion until the end of the encounter. (Stats can be found in the Monster page)
This champion takes 2 of your summon limit. Any zombies you had active when you summoned this are instead converted into temporary HP for the champion at a rate of 5 HP per zombie.
The champion acts after you on the initiative, but cannot take AP actions on the turn it is summoned.
Upkeep: 2 AP
Overcharge: You may spend 5 mana to give your summon the ability to act on the turn it is summoned.</v>
      </c>
      <c r="G713" s="263" t="str">
        <f>IFERROR(__xludf.DUMMYFUNCTION("""COMPUTED_VALUE"""),"")</f>
        <v/>
      </c>
      <c r="H713" s="265" t="str">
        <f>IFERROR(__xludf.DUMMYFUNCTION("""COMPUTED_VALUE"""),"4 AP, 2 MP")</f>
        <v>4 AP, 2 MP</v>
      </c>
      <c r="I713" s="264" t="str">
        <f>IFERROR(__xludf.DUMMYFUNCTION("""COMPUTED_VALUE"""),"4 AP")</f>
        <v>4 AP</v>
      </c>
      <c r="J713" s="263" t="str">
        <f>IFERROR(__xludf.DUMMYFUNCTION("""COMPUTED_VALUE"""),"2 MP")</f>
        <v>2 MP</v>
      </c>
      <c r="K713" s="263" t="str">
        <f>IFERROR(__xludf.DUMMYFUNCTION("""COMPUTED_VALUE"""),"")</f>
        <v/>
      </c>
      <c r="L713" s="263" t="str">
        <f>IFERROR(__xludf.DUMMYFUNCTION("""COMPUTED_VALUE"""),"")</f>
        <v/>
      </c>
      <c r="M713" s="263"/>
      <c r="N713" s="263"/>
      <c r="O713" s="263"/>
      <c r="P713" s="263"/>
      <c r="Q713" s="263"/>
      <c r="R713" s="263"/>
      <c r="S713" s="263"/>
      <c r="T713" s="263"/>
      <c r="U713" s="246"/>
      <c r="V713" s="246"/>
      <c r="W713" s="246"/>
      <c r="X713" s="246"/>
      <c r="Y713" s="246"/>
      <c r="Z713" s="246"/>
    </row>
    <row r="714">
      <c r="A714" s="263"/>
      <c r="B714" s="265" t="str">
        <f>IFERROR(__xludf.DUMMYFUNCTION("""COMPUTED_VALUE"""),"Secret Art: Spectrum Blade")</f>
        <v>Secret Art: Spectrum Blade</v>
      </c>
      <c r="C714" s="263"/>
      <c r="D714" s="264" t="str">
        <f>IFERROR(__xludf.DUMMYFUNCTION("""COMPUTED_VALUE"""),"Enchantment, Secret Art")</f>
        <v>Enchantment, Secret Art</v>
      </c>
      <c r="E714" s="264" t="str">
        <f>IFERROR(__xludf.DUMMYFUNCTION("""COMPUTED_VALUE"""),"Self")</f>
        <v>Self</v>
      </c>
      <c r="F714" s="266" t="str">
        <f>IFERROR(__xludf.DUMMYFUNCTION("""COMPUTED_VALUE"""),"Until the end of the encounter, you enchant your weapon with every single element. When using Elemental Strike or Elemental Sweep, you may choose which effect you want regardless of the damage type your attack deals. When you deal damage, you apply the da"&amp;"mage type that would deal the most damage.
In addition, your weapon gains a +1 Power bonus until the end of the encounter. If it already had a +1 Power bonus through an enchantment, this bonus is instead increased to +2.
If you are not holding the enchant"&amp;"ed weapon at the start of your turn, your weapon loses this benefit.")</f>
        <v>Until the end of the encounter, you enchant your weapon with every single element. When using Elemental Strike or Elemental Sweep, you may choose which effect you want regardless of the damage type your attack deals. When you deal damage, you apply the damage type that would deal the most damage.
In addition, your weapon gains a +1 Power bonus until the end of the encounter. If it already had a +1 Power bonus through an enchantment, this bonus is instead increased to +2.
If you are not holding the enchanted weapon at the start of your turn, your weapon loses this benefit.</v>
      </c>
      <c r="G714" s="263" t="str">
        <f>IFERROR(__xludf.DUMMYFUNCTION("""COMPUTED_VALUE"""),"")</f>
        <v/>
      </c>
      <c r="H714" s="265" t="str">
        <f>IFERROR(__xludf.DUMMYFUNCTION("""COMPUTED_VALUE"""),"1 AP, 2 MP")</f>
        <v>1 AP, 2 MP</v>
      </c>
      <c r="I714" s="264" t="str">
        <f>IFERROR(__xludf.DUMMYFUNCTION("""COMPUTED_VALUE"""),"1 AP")</f>
        <v>1 AP</v>
      </c>
      <c r="J714" s="263" t="str">
        <f>IFERROR(__xludf.DUMMYFUNCTION("""COMPUTED_VALUE"""),"2 MP")</f>
        <v>2 MP</v>
      </c>
      <c r="K714" s="263" t="str">
        <f>IFERROR(__xludf.DUMMYFUNCTION("""COMPUTED_VALUE"""),"")</f>
        <v/>
      </c>
      <c r="L714" s="263" t="str">
        <f>IFERROR(__xludf.DUMMYFUNCTION("""COMPUTED_VALUE"""),"")</f>
        <v/>
      </c>
      <c r="M714" s="263"/>
      <c r="N714" s="263"/>
      <c r="O714" s="263"/>
      <c r="P714" s="263"/>
      <c r="Q714" s="263"/>
      <c r="R714" s="263"/>
      <c r="S714" s="263"/>
      <c r="T714" s="263"/>
      <c r="U714" s="246"/>
      <c r="V714" s="246"/>
      <c r="W714" s="246"/>
      <c r="X714" s="246"/>
      <c r="Y714" s="246"/>
      <c r="Z714" s="246"/>
    </row>
    <row r="715">
      <c r="A715" s="263"/>
      <c r="B715" s="265" t="str">
        <f>IFERROR(__xludf.DUMMYFUNCTION("""COMPUTED_VALUE"""),"Secret Art: Spirit Stigma")</f>
        <v>Secret Art: Spirit Stigma</v>
      </c>
      <c r="C715" s="263"/>
      <c r="D715" s="264" t="str">
        <f>IFERROR(__xludf.DUMMYFUNCTION("""COMPUTED_VALUE"""),"Secret Art, Spell, Dark")</f>
        <v>Secret Art, Spell, Dark</v>
      </c>
      <c r="E715" s="264" t="str">
        <f>IFERROR(__xludf.DUMMYFUNCTION("""COMPUTED_VALUE"""),"60ft")</f>
        <v>60ft</v>
      </c>
      <c r="F715" s="266" t="str">
        <f>IFERROR(__xludf.DUMMYFUNCTION("""COMPUTED_VALUE"""),"You stigmatize the targets spirit, they are inflicted with Spirit Stigma until the start of your next turn. A target with Spirit Stigma counts as a willing ally for your Eremancer abilities and damaging them fulfills the Malevolent  Phantasm requirement.")</f>
        <v>You stigmatize the targets spirit, they are inflicted with Spirit Stigma until the start of your next turn. A target with Spirit Stigma counts as a willing ally for your Eremancer abilities and damaging them fulfills the Malevolent  Phantasm requirement.</v>
      </c>
      <c r="G715" s="263" t="str">
        <f>IFERROR(__xludf.DUMMYFUNCTION("""COMPUTED_VALUE"""),"")</f>
        <v/>
      </c>
      <c r="H715" s="265" t="str">
        <f>IFERROR(__xludf.DUMMYFUNCTION("""COMPUTED_VALUE"""),"0 AP")</f>
        <v>0 AP</v>
      </c>
      <c r="I715" s="264" t="str">
        <f>IFERROR(__xludf.DUMMYFUNCTION("""COMPUTED_VALUE"""),"0 AP")</f>
        <v>0 AP</v>
      </c>
      <c r="J715" s="263" t="str">
        <f>IFERROR(__xludf.DUMMYFUNCTION("""COMPUTED_VALUE"""),"")</f>
        <v/>
      </c>
      <c r="K715" s="263" t="str">
        <f>IFERROR(__xludf.DUMMYFUNCTION("""COMPUTED_VALUE"""),"")</f>
        <v/>
      </c>
      <c r="L715" s="263" t="str">
        <f>IFERROR(__xludf.DUMMYFUNCTION("""COMPUTED_VALUE"""),"")</f>
        <v/>
      </c>
      <c r="M715" s="263"/>
      <c r="N715" s="263"/>
      <c r="O715" s="263"/>
      <c r="P715" s="263"/>
      <c r="Q715" s="263"/>
      <c r="R715" s="263"/>
      <c r="S715" s="263"/>
      <c r="T715" s="263"/>
      <c r="U715" s="246"/>
      <c r="V715" s="246"/>
      <c r="W715" s="246"/>
      <c r="X715" s="246"/>
      <c r="Y715" s="246"/>
      <c r="Z715" s="246"/>
    </row>
    <row r="716">
      <c r="A716" s="263"/>
      <c r="B716" s="265" t="str">
        <f>IFERROR(__xludf.DUMMYFUNCTION("""COMPUTED_VALUE"""),"Secret Art: Summon Eidolon")</f>
        <v>Secret Art: Summon Eidolon</v>
      </c>
      <c r="C716" s="263"/>
      <c r="D716" s="264" t="str">
        <f>IFERROR(__xludf.DUMMYFUNCTION("""COMPUTED_VALUE"""),"Summon, Spell, Upkeep, Secret Art, Overcharge")</f>
        <v>Summon, Spell, Upkeep, Secret Art, Overcharge</v>
      </c>
      <c r="E716" s="264" t="str">
        <f>IFERROR(__xludf.DUMMYFUNCTION("""COMPUTED_VALUE"""),"30ft")</f>
        <v>30ft</v>
      </c>
      <c r="F716" s="266" t="str">
        <f>IFERROR(__xludf.DUMMYFUNCTION("""COMPUTED_VALUE"""),"Your contracted Eidolon hears your call and sends a proxy of themselves to fight for you.  The Eidolon called and the costs are dependent on your attunement.  Lasts up to 5 minutes.  You must pay the upkeep cost under the Eidolon’s Summon Skill or the Eid"&amp;"olon vanishes.
Unless the summon has a skill that says otherwise, a summon acts after you on initiative, but cannot act the round it is summoned, except for RP actions.
Overcharge: You may spend 5 mana to give your summon the ability to act on the turn it"&amp;" is summoned.")</f>
        <v>Your contracted Eidolon hears your call and sends a proxy of themselves to fight for you.  The Eidolon called and the costs are dependent on your attunement.  Lasts up to 5 minutes.  You must pay the upkeep cost under the Eidolon’s Summon Skill or the Eidolon vanishes.
Unless the summon has a skill that says otherwise, a summon acts after you on initiative, but cannot act the round it is summoned, except for RP actions.
Overcharge: You may spend 5 mana to give your summon the ability to act on the turn it is summoned.</v>
      </c>
      <c r="G716" s="263" t="str">
        <f>IFERROR(__xludf.DUMMYFUNCTION("""COMPUTED_VALUE"""),"")</f>
        <v/>
      </c>
      <c r="H716" s="265" t="str">
        <f>IFERROR(__xludf.DUMMYFUNCTION("""COMPUTED_VALUE"""),"")</f>
        <v/>
      </c>
      <c r="I716" s="264" t="str">
        <f>IFERROR(__xludf.DUMMYFUNCTION("""COMPUTED_VALUE"""),"")</f>
        <v/>
      </c>
      <c r="J716" s="264" t="str">
        <f>IFERROR(__xludf.DUMMYFUNCTION("""COMPUTED_VALUE"""),"")</f>
        <v/>
      </c>
      <c r="K716" s="263" t="str">
        <f>IFERROR(__xludf.DUMMYFUNCTION("""COMPUTED_VALUE"""),"")</f>
        <v/>
      </c>
      <c r="L716" s="263" t="str">
        <f>IFERROR(__xludf.DUMMYFUNCTION("""COMPUTED_VALUE"""),"")</f>
        <v/>
      </c>
      <c r="M716" s="263"/>
      <c r="N716" s="263"/>
      <c r="O716" s="263"/>
      <c r="P716" s="263"/>
      <c r="Q716" s="263"/>
      <c r="R716" s="263"/>
      <c r="S716" s="263"/>
      <c r="T716" s="263"/>
      <c r="U716" s="246"/>
      <c r="V716" s="246"/>
      <c r="W716" s="246"/>
      <c r="X716" s="246"/>
      <c r="Y716" s="246"/>
      <c r="Z716" s="246"/>
    </row>
    <row r="717">
      <c r="A717" s="263"/>
      <c r="B717" s="265" t="str">
        <f>IFERROR(__xludf.DUMMYFUNCTION("""COMPUTED_VALUE"""),"Secret Art: Surge of Elements")</f>
        <v>Secret Art: Surge of Elements</v>
      </c>
      <c r="C717" s="263"/>
      <c r="D717" s="264" t="str">
        <f>IFERROR(__xludf.DUMMYFUNCTION("""COMPUTED_VALUE"""),"Spell, Secret Art, Overcharge")</f>
        <v>Spell, Secret Art, Overcharge</v>
      </c>
      <c r="E717" s="264" t="str">
        <f>IFERROR(__xludf.DUMMYFUNCTION("""COMPUTED_VALUE"""),"120ft")</f>
        <v>120ft</v>
      </c>
      <c r="F717" s="266" t="str">
        <f>IFERROR(__xludf.DUMMYFUNCTION("""COMPUTED_VALUE"""),"You channel all masteries of the elements and fire a barrage of elemental bolts at the target.
You make 7 light attacks, doing Arcane, Fire, Water, Frost, Wind, Lightning and Earth damage respectively.
Overcharge: You may spend one more mana to make addit"&amp;"ional Light attacks, one that does Holy damage and one that does Dark damage.")</f>
        <v>You channel all masteries of the elements and fire a barrage of elemental bolts at the target.
You make 7 light attacks, doing Arcane, Fire, Water, Frost, Wind, Lightning and Earth damage respectively.
Overcharge: You may spend one more mana to make additional Light attacks, one that does Holy damage and one that does Dark damage.</v>
      </c>
      <c r="G717" s="264" t="str">
        <f>IFERROR(__xludf.DUMMYFUNCTION("""COMPUTED_VALUE"""),"")</f>
        <v/>
      </c>
      <c r="H717" s="265" t="str">
        <f>IFERROR(__xludf.DUMMYFUNCTION("""COMPUTED_VALUE"""),"4 AP, 3 MP")</f>
        <v>4 AP, 3 MP</v>
      </c>
      <c r="I717" s="264" t="str">
        <f>IFERROR(__xludf.DUMMYFUNCTION("""COMPUTED_VALUE"""),"4 AP")</f>
        <v>4 AP</v>
      </c>
      <c r="J717" s="264" t="str">
        <f>IFERROR(__xludf.DUMMYFUNCTION("""COMPUTED_VALUE"""),"3 MP")</f>
        <v>3 MP</v>
      </c>
      <c r="K717" s="263" t="str">
        <f>IFERROR(__xludf.DUMMYFUNCTION("""COMPUTED_VALUE"""),"")</f>
        <v/>
      </c>
      <c r="L717" s="263" t="str">
        <f>IFERROR(__xludf.DUMMYFUNCTION("""COMPUTED_VALUE"""),"")</f>
        <v/>
      </c>
      <c r="M717" s="263"/>
      <c r="N717" s="263"/>
      <c r="O717" s="263"/>
      <c r="P717" s="263"/>
      <c r="Q717" s="263"/>
      <c r="R717" s="263"/>
      <c r="S717" s="263"/>
      <c r="T717" s="263"/>
      <c r="U717" s="246"/>
      <c r="V717" s="246"/>
      <c r="W717" s="246"/>
      <c r="X717" s="246"/>
      <c r="Y717" s="246"/>
      <c r="Z717" s="246"/>
    </row>
    <row r="718">
      <c r="A718" s="263"/>
      <c r="B718" s="265" t="str">
        <f>IFERROR(__xludf.DUMMYFUNCTION("""COMPUTED_VALUE"""),"Secret Art: The Grand Theater")</f>
        <v>Secret Art: The Grand Theater</v>
      </c>
      <c r="C718" s="263"/>
      <c r="D718" s="263" t="str">
        <f>IFERROR(__xludf.DUMMYFUNCTION("""COMPUTED_VALUE"""),"Secret Art")</f>
        <v>Secret Art</v>
      </c>
      <c r="E718" s="263" t="str">
        <f>IFERROR(__xludf.DUMMYFUNCTION("""COMPUTED_VALUE"""),"40ft")</f>
        <v>40ft</v>
      </c>
      <c r="F718" s="266" t="str">
        <f>IFERROR(__xludf.DUMMYFUNCTION("""COMPUTED_VALUE"""),"All allies within range may sidestep up to their movement speed.
You may Sidestep all enemies within range up to their movement speed.
After all targets have moved, everyone that was originally in range of this ability immediately gains 2 AP they must spe"&amp;"nd on attacks against other creatures if possible.")</f>
        <v>All allies within range may sidestep up to their movement speed.
You may Sidestep all enemies within range up to their movement speed.
After all targets have moved, everyone that was originally in range of this ability immediately gains 2 AP they must spend on attacks against other creatures if possible.</v>
      </c>
      <c r="G718" s="264" t="str">
        <f>IFERROR(__xludf.DUMMYFUNCTION("""COMPUTED_VALUE"""),"")</f>
        <v/>
      </c>
      <c r="H718" s="267" t="str">
        <f>IFERROR(__xludf.DUMMYFUNCTION("""COMPUTED_VALUE"""),"4 AP, 3 MP")</f>
        <v>4 AP, 3 MP</v>
      </c>
      <c r="I718" s="263" t="str">
        <f>IFERROR(__xludf.DUMMYFUNCTION("""COMPUTED_VALUE"""),"4 AP")</f>
        <v>4 AP</v>
      </c>
      <c r="J718" s="263" t="str">
        <f>IFERROR(__xludf.DUMMYFUNCTION("""COMPUTED_VALUE"""),"3 MP")</f>
        <v>3 MP</v>
      </c>
      <c r="K718" s="263" t="str">
        <f>IFERROR(__xludf.DUMMYFUNCTION("""COMPUTED_VALUE"""),"")</f>
        <v/>
      </c>
      <c r="L718" s="263" t="str">
        <f>IFERROR(__xludf.DUMMYFUNCTION("""COMPUTED_VALUE"""),"")</f>
        <v/>
      </c>
      <c r="M718" s="263"/>
      <c r="N718" s="263"/>
      <c r="O718" s="263"/>
      <c r="P718" s="263"/>
      <c r="Q718" s="263"/>
      <c r="R718" s="263"/>
      <c r="S718" s="263"/>
      <c r="T718" s="263"/>
      <c r="U718" s="246"/>
      <c r="V718" s="246"/>
      <c r="W718" s="246"/>
      <c r="X718" s="246"/>
      <c r="Y718" s="246"/>
      <c r="Z718" s="246"/>
    </row>
    <row r="719">
      <c r="A719" s="263"/>
      <c r="B719" s="265" t="str">
        <f>IFERROR(__xludf.DUMMYFUNCTION("""COMPUTED_VALUE"""),"Secret Art: Titan Blade")</f>
        <v>Secret Art: Titan Blade</v>
      </c>
      <c r="C719" s="263"/>
      <c r="D719" s="264" t="str">
        <f>IFERROR(__xludf.DUMMYFUNCTION("""COMPUTED_VALUE"""),"Sure Hit, Full Pierce, Secret Art, Scatter")</f>
        <v>Sure Hit, Full Pierce, Secret Art, Scatter</v>
      </c>
      <c r="E719" s="264" t="str">
        <f>IFERROR(__xludf.DUMMYFUNCTION("""COMPUTED_VALUE"""),"40ft")</f>
        <v>40ft</v>
      </c>
      <c r="F719" s="266" t="str">
        <f>IFERROR(__xludf.DUMMYFUNCTION("""COMPUTED_VALUE"""),"You greatly increase the size and weight of your weapons, then slam them down in a direction. You make a melee Heavy attack against all enemies in a 15ft wide line up to the range. On damage, a target is knocked prone.
After the initial hit, a shockwave f"&amp;"ollows. You make another Heavy attack against any enemy still in the original line’s range. This second attack has the Sure Hit and Full Pierce qualities against a prone target.")</f>
        <v>You greatly increase the size and weight of your weapons, then slam them down in a direction. You make a melee Heavy attack against all enemies in a 15ft wide line up to the range. On damage, a target is knocked prone.
After the initial hit, a shockwave follows. You make another Heavy attack against any enemy still in the original line’s range. This second attack has the Sure Hit and Full Pierce qualities against a prone target.</v>
      </c>
      <c r="G719" s="264" t="str">
        <f>IFERROR(__xludf.DUMMYFUNCTION("""COMPUTED_VALUE"""),"Must be wielding two Two-Handed melee weapons.")</f>
        <v>Must be wielding two Two-Handed melee weapons.</v>
      </c>
      <c r="H719" s="265" t="str">
        <f>IFERROR(__xludf.DUMMYFUNCTION("""COMPUTED_VALUE"""),"2 AP, 4 MP")</f>
        <v>2 AP, 4 MP</v>
      </c>
      <c r="I719" s="263" t="str">
        <f>IFERROR(__xludf.DUMMYFUNCTION("""COMPUTED_VALUE"""),"2 AP")</f>
        <v>2 AP</v>
      </c>
      <c r="J719" s="263" t="str">
        <f>IFERROR(__xludf.DUMMYFUNCTION("""COMPUTED_VALUE"""),"4 MP")</f>
        <v>4 MP</v>
      </c>
      <c r="K719" s="264" t="str">
        <f>IFERROR(__xludf.DUMMYFUNCTION("""COMPUTED_VALUE"""),"")</f>
        <v/>
      </c>
      <c r="L719" s="263" t="str">
        <f>IFERROR(__xludf.DUMMYFUNCTION("""COMPUTED_VALUE"""),"")</f>
        <v/>
      </c>
      <c r="M719" s="263"/>
      <c r="N719" s="263"/>
      <c r="O719" s="263"/>
      <c r="P719" s="263"/>
      <c r="Q719" s="263"/>
      <c r="R719" s="263"/>
      <c r="S719" s="263"/>
      <c r="T719" s="263"/>
      <c r="U719" s="246"/>
      <c r="V719" s="246"/>
      <c r="W719" s="246"/>
      <c r="X719" s="246"/>
      <c r="Y719" s="246"/>
      <c r="Z719" s="246"/>
    </row>
    <row r="720">
      <c r="A720" s="263"/>
      <c r="B720" s="265" t="str">
        <f>IFERROR(__xludf.DUMMYFUNCTION("""COMPUTED_VALUE"""),"Secret Art: Transmute Proto Armatae")</f>
        <v>Secret Art: Transmute Proto Armatae</v>
      </c>
      <c r="C720" s="263"/>
      <c r="D720" s="264" t="str">
        <f>IFERROR(__xludf.DUMMYFUNCTION("""COMPUTED_VALUE"""),"Secret Art")</f>
        <v>Secret Art</v>
      </c>
      <c r="E720" s="264" t="str">
        <f>IFERROR(__xludf.DUMMYFUNCTION("""COMPUTED_VALUE"""),"Self")</f>
        <v>Self</v>
      </c>
      <c r="F720" s="266" t="str">
        <f>IFERROR(__xludf.DUMMYFUNCTION("""COMPUTED_VALUE"""),"You touch the ground, transmuting a Proto Armatae of your own design.  The Proto Armatae lifts you up and immediately encases you into its cockpit.   The Proto Armatae is 15ft tall and is a large creature that occupies a 15ftx15ft space.  All creatures an"&amp;"d moveable objects surrounding the Proto Armatae are pushed back away from its zone of control in a burst of steam.  The Armatae also gains a temporary shield with 20 HP that disappears at the start of your next turn.
You must use your own actions to caus"&amp;"e the Proto Armatae to move and attack.  You can eject from a transmutation hatch on the top at the center of the Proto Armatae for 1 AP, in which the Proto Armatae stops functioning.  When you re-enter you must close the hatch for 1 AP before the Proto A"&amp;"rmatae functions again.
The Proto Armatae has health equal to 15 + 5x Focus and it uses your AP and RP for actions.  You can channel your Transmuter abilities through the Proto Armatae, and Transmute Weapon can create a giant sized weapon for the Armatae "&amp;"to use.
You may also spend 1 RP to use this ability instead of the AP cost.
Only usable once.  You regain the use of this ability when you gain an Interlude Point.
Proto Armatae
HP: –
Evasion: 9/19
Guard: 4/14
Mini Transmutation Cannon (Right Arm)
Cost: 0"&amp;" AP
Range: 40ft
Description:  Fires a mini transmutation cannon of deconstructive energy making a light attack against a target.  Doesn’t provoke attacks of opportunity.
Humanoid Gripper (Left Arm)
Description: Humanoid Gripper can make all basic attacks."&amp;" It is proficient in any transmuted weapon it holds. Its regular melee attacks deal physical damage and any transmuted weapon it wields gains the benefit of that weapon category.")</f>
        <v>You touch the ground, transmuting a Proto Armatae of your own design.  The Proto Armatae lifts you up and immediately encases you into its cockpit.   The Proto Armatae is 15ft tall and is a large creature that occupies a 15ftx15ft space.  All creatures and moveable objects surrounding the Proto Armatae are pushed back away from its zone of control in a burst of steam.  The Armatae also gains a temporary shield with 20 HP that disappears at the start of your next turn.
You must use your own actions to cause the Proto Armatae to move and attack.  You can eject from a transmutation hatch on the top at the center of the Proto Armatae for 1 AP, in which the Proto Armatae stops functioning.  When you re-enter you must close the hatch for 1 AP before the Proto Armatae functions again.
The Proto Armatae has health equal to 15 + 5x Focus and it uses your AP and RP for actions.  You can channel your Transmuter abilities through the Proto Armatae, and Transmute Weapon can create a giant sized weapon for the Armatae to use.
You may also spend 1 RP to use this ability instead of the AP cost.
Only usable once.  You regain the use of this ability when you gain an Interlude Point.
Proto Armatae
HP: –
Evasion: 9/19
Guard: 4/14
Mini Transmutation Cannon (Right Arm)
Cost: 0 AP
Range: 40ft
Description:  Fires a mini transmutation cannon of deconstructive energy making a light attack against a target.  Doesn’t provoke attacks of opportunity.
Humanoid Gripper (Left Arm)
Description: Humanoid Gripper can make all basic attacks. It is proficient in any transmuted weapon it holds. Its regular melee attacks deal physical damage and any transmuted weapon it wields gains the benefit of that weapon category.</v>
      </c>
      <c r="G720" s="263" t="str">
        <f>IFERROR(__xludf.DUMMYFUNCTION("""COMPUTED_VALUE"""),"")</f>
        <v/>
      </c>
      <c r="H720" s="265" t="str">
        <f>IFERROR(__xludf.DUMMYFUNCTION("""COMPUTED_VALUE"""),"2 AP, 4 MP")</f>
        <v>2 AP, 4 MP</v>
      </c>
      <c r="I720" s="263" t="str">
        <f>IFERROR(__xludf.DUMMYFUNCTION("""COMPUTED_VALUE"""),"2 AP")</f>
        <v>2 AP</v>
      </c>
      <c r="J720" s="264" t="str">
        <f>IFERROR(__xludf.DUMMYFUNCTION("""COMPUTED_VALUE"""),"4 MP")</f>
        <v>4 MP</v>
      </c>
      <c r="K720" s="264" t="str">
        <f>IFERROR(__xludf.DUMMYFUNCTION("""COMPUTED_VALUE"""),"")</f>
        <v/>
      </c>
      <c r="L720" s="263" t="str">
        <f>IFERROR(__xludf.DUMMYFUNCTION("""COMPUTED_VALUE"""),"")</f>
        <v/>
      </c>
      <c r="M720" s="263"/>
      <c r="N720" s="263"/>
      <c r="O720" s="263"/>
      <c r="P720" s="263"/>
      <c r="Q720" s="263"/>
      <c r="R720" s="263"/>
      <c r="S720" s="263"/>
      <c r="T720" s="263"/>
      <c r="U720" s="246"/>
      <c r="V720" s="246"/>
      <c r="W720" s="246"/>
      <c r="X720" s="246"/>
      <c r="Y720" s="246"/>
      <c r="Z720" s="246"/>
    </row>
    <row r="721">
      <c r="A721" s="263"/>
      <c r="B721" s="265" t="str">
        <f>IFERROR(__xludf.DUMMYFUNCTION("""COMPUTED_VALUE"""),"Secret Art: True Serenity")</f>
        <v>Secret Art: True Serenity</v>
      </c>
      <c r="C721" s="263"/>
      <c r="D721" s="264" t="str">
        <f>IFERROR(__xludf.DUMMYFUNCTION("""COMPUTED_VALUE"""),"Secret Art, Stance")</f>
        <v>Secret Art, Stance</v>
      </c>
      <c r="E721" s="264" t="str">
        <f>IFERROR(__xludf.DUMMYFUNCTION("""COMPUTED_VALUE"""),"Self")</f>
        <v>Self</v>
      </c>
      <c r="F721" s="266" t="str">
        <f>IFERROR(__xludf.DUMMYFUNCTION("""COMPUTED_VALUE"""),"You enter the Serene Water stance and gain an additional +17 bonus to your Evasion until the start of your next turn.")</f>
        <v>You enter the Serene Water stance and gain an additional +17 bonus to your Evasion until the start of your next turn.</v>
      </c>
      <c r="G721" s="263" t="str">
        <f>IFERROR(__xludf.DUMMYFUNCTION("""COMPUTED_VALUE"""),"")</f>
        <v/>
      </c>
      <c r="H721" s="265" t="str">
        <f>IFERROR(__xludf.DUMMYFUNCTION("""COMPUTED_VALUE"""),"2 MP, 1 RP")</f>
        <v>2 MP, 1 RP</v>
      </c>
      <c r="I721" s="264" t="str">
        <f>IFERROR(__xludf.DUMMYFUNCTION("""COMPUTED_VALUE"""),"")</f>
        <v/>
      </c>
      <c r="J721" s="264" t="str">
        <f>IFERROR(__xludf.DUMMYFUNCTION("""COMPUTED_VALUE"""),"2 MP")</f>
        <v>2 MP</v>
      </c>
      <c r="K721" s="263" t="str">
        <f>IFERROR(__xludf.DUMMYFUNCTION("""COMPUTED_VALUE"""),"1 RP")</f>
        <v>1 RP</v>
      </c>
      <c r="L721" s="263" t="str">
        <f>IFERROR(__xludf.DUMMYFUNCTION("""COMPUTED_VALUE"""),"")</f>
        <v/>
      </c>
      <c r="M721" s="263"/>
      <c r="N721" s="263"/>
      <c r="O721" s="263"/>
      <c r="P721" s="263"/>
      <c r="Q721" s="263"/>
      <c r="R721" s="263"/>
      <c r="S721" s="263"/>
      <c r="T721" s="263"/>
      <c r="U721" s="246"/>
      <c r="V721" s="246"/>
      <c r="W721" s="246"/>
      <c r="X721" s="246"/>
      <c r="Y721" s="246"/>
      <c r="Z721" s="246"/>
    </row>
    <row r="722">
      <c r="A722" s="263"/>
      <c r="B722" s="265" t="str">
        <f>IFERROR(__xludf.DUMMYFUNCTION("""COMPUTED_VALUE"""),"Secret Art: Tsubame Gaeshi")</f>
        <v>Secret Art: Tsubame Gaeshi</v>
      </c>
      <c r="C722" s="263"/>
      <c r="D722" s="263" t="str">
        <f>IFERROR(__xludf.DUMMYFUNCTION("""COMPUTED_VALUE"""),"Lock On, Secret Art, Sure Hit")</f>
        <v>Lock On, Secret Art, Sure Hit</v>
      </c>
      <c r="E722" s="264" t="str">
        <f>IFERROR(__xludf.DUMMYFUNCTION("""COMPUTED_VALUE"""),"Melee Weapon Range")</f>
        <v>Melee Weapon Range</v>
      </c>
      <c r="F722" s="266" t="str">
        <f>IFERROR(__xludf.DUMMYFUNCTION("""COMPUTED_VALUE"""),"You may make a Heavy Attack against the target 3 times. On the first miss, the next attacks gain Lock On. On the second miss, the next attack gains Sure Hit. These only apply to attacks made during Tsubame Gaeshi.")</f>
        <v>You may make a Heavy Attack against the target 3 times. On the first miss, the next attacks gain Lock On. On the second miss, the next attack gains Sure Hit. These only apply to attacks made during Tsubame Gaeshi.</v>
      </c>
      <c r="G722" s="263" t="str">
        <f>IFERROR(__xludf.DUMMYFUNCTION("""COMPUTED_VALUE"""),"Katana only.")</f>
        <v>Katana only.</v>
      </c>
      <c r="H722" s="265" t="str">
        <f>IFERROR(__xludf.DUMMYFUNCTION("""COMPUTED_VALUE"""),"4 AP, 3 MP")</f>
        <v>4 AP, 3 MP</v>
      </c>
      <c r="I722" s="264" t="str">
        <f>IFERROR(__xludf.DUMMYFUNCTION("""COMPUTED_VALUE"""),"4 AP")</f>
        <v>4 AP</v>
      </c>
      <c r="J722" s="264" t="str">
        <f>IFERROR(__xludf.DUMMYFUNCTION("""COMPUTED_VALUE"""),"3 MP")</f>
        <v>3 MP</v>
      </c>
      <c r="K722" s="263" t="str">
        <f>IFERROR(__xludf.DUMMYFUNCTION("""COMPUTED_VALUE"""),"")</f>
        <v/>
      </c>
      <c r="L722" s="263" t="str">
        <f>IFERROR(__xludf.DUMMYFUNCTION("""COMPUTED_VALUE"""),"")</f>
        <v/>
      </c>
      <c r="M722" s="263"/>
      <c r="N722" s="263"/>
      <c r="O722" s="263"/>
      <c r="P722" s="263"/>
      <c r="Q722" s="263"/>
      <c r="R722" s="263"/>
      <c r="S722" s="263"/>
      <c r="T722" s="263"/>
      <c r="U722" s="246"/>
      <c r="V722" s="246"/>
      <c r="W722" s="246"/>
      <c r="X722" s="246"/>
      <c r="Y722" s="246"/>
      <c r="Z722" s="246"/>
    </row>
    <row r="723">
      <c r="A723" s="263"/>
      <c r="B723" s="265" t="str">
        <f>IFERROR(__xludf.DUMMYFUNCTION("""COMPUTED_VALUE"""),"Secret Art: Ultimate Spell")</f>
        <v>Secret Art: Ultimate Spell</v>
      </c>
      <c r="C723" s="263"/>
      <c r="D723" s="264" t="str">
        <f>IFERROR(__xludf.DUMMYFUNCTION("""COMPUTED_VALUE"""),"Secret Art")</f>
        <v>Secret Art</v>
      </c>
      <c r="E723" s="264" t="str">
        <f>IFERROR(__xludf.DUMMYFUNCTION("""COMPUTED_VALUE"""),"Self")</f>
        <v>Self</v>
      </c>
      <c r="F723" s="266" t="str">
        <f>IFERROR(__xludf.DUMMYFUNCTION("""COMPUTED_VALUE"""),"The next Spell you cast this turn with an AP cost lower than 5 deals true damage.")</f>
        <v>The next Spell you cast this turn with an AP cost lower than 5 deals true damage.</v>
      </c>
      <c r="G723" s="263" t="str">
        <f>IFERROR(__xludf.DUMMYFUNCTION("""COMPUTED_VALUE"""),"")</f>
        <v/>
      </c>
      <c r="H723" s="265" t="str">
        <f>IFERROR(__xludf.DUMMYFUNCTION("""COMPUTED_VALUE"""),"0 AP, 4 MP")</f>
        <v>0 AP, 4 MP</v>
      </c>
      <c r="I723" s="263" t="str">
        <f>IFERROR(__xludf.DUMMYFUNCTION("""COMPUTED_VALUE"""),"0 AP")</f>
        <v>0 AP</v>
      </c>
      <c r="J723" s="264" t="str">
        <f>IFERROR(__xludf.DUMMYFUNCTION("""COMPUTED_VALUE"""),"4 MP")</f>
        <v>4 MP</v>
      </c>
      <c r="K723" s="264" t="str">
        <f>IFERROR(__xludf.DUMMYFUNCTION("""COMPUTED_VALUE"""),"")</f>
        <v/>
      </c>
      <c r="L723" s="263" t="str">
        <f>IFERROR(__xludf.DUMMYFUNCTION("""COMPUTED_VALUE"""),"")</f>
        <v/>
      </c>
      <c r="M723" s="263"/>
      <c r="N723" s="263"/>
      <c r="O723" s="263"/>
      <c r="P723" s="263"/>
      <c r="Q723" s="263"/>
      <c r="R723" s="263"/>
      <c r="S723" s="263"/>
      <c r="T723" s="263"/>
      <c r="U723" s="246"/>
      <c r="V723" s="246"/>
      <c r="W723" s="246"/>
      <c r="X723" s="246"/>
      <c r="Y723" s="246"/>
      <c r="Z723" s="246"/>
    </row>
    <row r="724">
      <c r="A724" s="263"/>
      <c r="B724" s="265" t="str">
        <f>IFERROR(__xludf.DUMMYFUNCTION("""COMPUTED_VALUE"""),"Secret Art: Unholy Strength")</f>
        <v>Secret Art: Unholy Strength</v>
      </c>
      <c r="C724" s="263"/>
      <c r="D724" s="264" t="str">
        <f>IFERROR(__xludf.DUMMYFUNCTION("""COMPUTED_VALUE"""),"Secret Art, Upkeep")</f>
        <v>Secret Art, Upkeep</v>
      </c>
      <c r="E724" s="264" t="str">
        <f>IFERROR(__xludf.DUMMYFUNCTION("""COMPUTED_VALUE"""),"Self")</f>
        <v>Self</v>
      </c>
      <c r="F724" s="266" t="str">
        <f>IFERROR(__xludf.DUMMYFUNCTION("""COMPUTED_VALUE"""),"You Gain Unholy Strength which grants +2 Power and Focus. While Unholy Strength is active your attacks/abilities that use your melee weapon to deal physical damage inflict Dark Damage instead and your Bone Armor will not break from damage.
Upkeep: 1 Mana.")</f>
        <v>You Gain Unholy Strength which grants +2 Power and Focus. While Unholy Strength is active your attacks/abilities that use your melee weapon to deal physical damage inflict Dark Damage instead and your Bone Armor will not break from damage.
Upkeep: 1 Mana.</v>
      </c>
      <c r="G724" s="263" t="str">
        <f>IFERROR(__xludf.DUMMYFUNCTION("""COMPUTED_VALUE"""),"")</f>
        <v/>
      </c>
      <c r="H724" s="265" t="str">
        <f>IFERROR(__xludf.DUMMYFUNCTION("""COMPUTED_VALUE"""),"2 AP, 3 MP")</f>
        <v>2 AP, 3 MP</v>
      </c>
      <c r="I724" s="264" t="str">
        <f>IFERROR(__xludf.DUMMYFUNCTION("""COMPUTED_VALUE"""),"2 AP")</f>
        <v>2 AP</v>
      </c>
      <c r="J724" s="263" t="str">
        <f>IFERROR(__xludf.DUMMYFUNCTION("""COMPUTED_VALUE"""),"3 MP")</f>
        <v>3 MP</v>
      </c>
      <c r="K724" s="263" t="str">
        <f>IFERROR(__xludf.DUMMYFUNCTION("""COMPUTED_VALUE"""),"")</f>
        <v/>
      </c>
      <c r="L724" s="263" t="str">
        <f>IFERROR(__xludf.DUMMYFUNCTION("""COMPUTED_VALUE"""),"")</f>
        <v/>
      </c>
      <c r="M724" s="263"/>
      <c r="N724" s="263"/>
      <c r="O724" s="263"/>
      <c r="P724" s="263"/>
      <c r="Q724" s="263"/>
      <c r="R724" s="263"/>
      <c r="S724" s="263"/>
      <c r="T724" s="263"/>
      <c r="U724" s="246"/>
      <c r="V724" s="246"/>
      <c r="W724" s="246"/>
      <c r="X724" s="246"/>
      <c r="Y724" s="246"/>
      <c r="Z724" s="246"/>
    </row>
    <row r="725">
      <c r="A725" s="263"/>
      <c r="B725" s="265" t="str">
        <f>IFERROR(__xludf.DUMMYFUNCTION("""COMPUTED_VALUE"""),"Secret Art: Unstoppable Onslaught")</f>
        <v>Secret Art: Unstoppable Onslaught</v>
      </c>
      <c r="C725" s="263"/>
      <c r="D725" s="264" t="str">
        <f>IFERROR(__xludf.DUMMYFUNCTION("""COMPUTED_VALUE"""),"Secret Art, Sure Hit, Mind Affecting, Fear, Challenge, Shaken")</f>
        <v>Secret Art, Sure Hit, Mind Affecting, Fear, Challenge, Shaken</v>
      </c>
      <c r="E725" s="264" t="str">
        <f>IFERROR(__xludf.DUMMYFUNCTION("""COMPUTED_VALUE"""),"Self")</f>
        <v>Self</v>
      </c>
      <c r="F725" s="266" t="str">
        <f>IFERROR(__xludf.DUMMYFUNCTION("""COMPUTED_VALUE"""),"You may move up to your speed in a line. All enemies you pass through and all enemies within 15ft of your ending position take Light damage, become Challenged and Shaken until the start of your next turn.")</f>
        <v>You may move up to your speed in a line. All enemies you pass through and all enemies within 15ft of your ending position take Light damage, become Challenged and Shaken until the start of your next turn.</v>
      </c>
      <c r="G725" s="263" t="str">
        <f>IFERROR(__xludf.DUMMYFUNCTION("""COMPUTED_VALUE"""),"Must be mounted.")</f>
        <v>Must be mounted.</v>
      </c>
      <c r="H725" s="265" t="str">
        <f>IFERROR(__xludf.DUMMYFUNCTION("""COMPUTED_VALUE"""),"2 AP")</f>
        <v>2 AP</v>
      </c>
      <c r="I725" s="264" t="str">
        <f>IFERROR(__xludf.DUMMYFUNCTION("""COMPUTED_VALUE"""),"2 AP")</f>
        <v>2 AP</v>
      </c>
      <c r="J725" s="263" t="str">
        <f>IFERROR(__xludf.DUMMYFUNCTION("""COMPUTED_VALUE"""),"")</f>
        <v/>
      </c>
      <c r="K725" s="263" t="str">
        <f>IFERROR(__xludf.DUMMYFUNCTION("""COMPUTED_VALUE"""),"")</f>
        <v/>
      </c>
      <c r="L725" s="263" t="str">
        <f>IFERROR(__xludf.DUMMYFUNCTION("""COMPUTED_VALUE"""),"")</f>
        <v/>
      </c>
      <c r="M725" s="263"/>
      <c r="N725" s="263"/>
      <c r="O725" s="263"/>
      <c r="P725" s="263"/>
      <c r="Q725" s="263"/>
      <c r="R725" s="263"/>
      <c r="S725" s="263"/>
      <c r="T725" s="263"/>
      <c r="U725" s="246"/>
      <c r="V725" s="246"/>
      <c r="W725" s="246"/>
      <c r="X725" s="246"/>
      <c r="Y725" s="246"/>
      <c r="Z725" s="246"/>
    </row>
    <row r="726">
      <c r="A726" s="263"/>
      <c r="B726" s="265" t="str">
        <f>IFERROR(__xludf.DUMMYFUNCTION("""COMPUTED_VALUE"""),"Secret Art: Vanishing Thousand Steps")</f>
        <v>Secret Art: Vanishing Thousand Steps</v>
      </c>
      <c r="C726" s="263"/>
      <c r="D726" s="263" t="str">
        <f>IFERROR(__xludf.DUMMYFUNCTION("""COMPUTED_VALUE"""),"Secret Art, Sidestep")</f>
        <v>Secret Art, Sidestep</v>
      </c>
      <c r="E726" s="263" t="str">
        <f>IFERROR(__xludf.DUMMYFUNCTION("""COMPUTED_VALUE"""),"Sight")</f>
        <v>Sight</v>
      </c>
      <c r="F726" s="266" t="str">
        <f>IFERROR(__xludf.DUMMYFUNCTION("""COMPUTED_VALUE"""),"You may sidestep to a target within range and make a Heavy attack against them.
Then, until the end of the turn, you may Sidestep to any enemy you can see as part of a melee attack you are about to make. You gain Windflow stacks as if you spent AP on the "&amp;"movement equal to the AP spent on the attack.")</f>
        <v>You may sidestep to a target within range and make a Heavy attack against them.
Then, until the end of the turn, you may Sidestep to any enemy you can see as part of a melee attack you are about to make. You gain Windflow stacks as if you spent AP on the movement equal to the AP spent on the attack.</v>
      </c>
      <c r="G726" s="263" t="str">
        <f>IFERROR(__xludf.DUMMYFUNCTION("""COMPUTED_VALUE"""),"")</f>
        <v/>
      </c>
      <c r="H726" s="267" t="str">
        <f>IFERROR(__xludf.DUMMYFUNCTION("""COMPUTED_VALUE"""),"0 AP, 3 MP")</f>
        <v>0 AP, 3 MP</v>
      </c>
      <c r="I726" s="263" t="str">
        <f>IFERROR(__xludf.DUMMYFUNCTION("""COMPUTED_VALUE"""),"0 AP")</f>
        <v>0 AP</v>
      </c>
      <c r="J726" s="263" t="str">
        <f>IFERROR(__xludf.DUMMYFUNCTION("""COMPUTED_VALUE"""),"3 MP")</f>
        <v>3 MP</v>
      </c>
      <c r="K726" s="263" t="str">
        <f>IFERROR(__xludf.DUMMYFUNCTION("""COMPUTED_VALUE"""),"")</f>
        <v/>
      </c>
      <c r="L726" s="263" t="str">
        <f>IFERROR(__xludf.DUMMYFUNCTION("""COMPUTED_VALUE"""),"")</f>
        <v/>
      </c>
      <c r="M726" s="263"/>
      <c r="N726" s="263"/>
      <c r="O726" s="263"/>
      <c r="P726" s="263"/>
      <c r="Q726" s="263"/>
      <c r="R726" s="263"/>
      <c r="S726" s="263"/>
      <c r="T726" s="263"/>
      <c r="U726" s="246"/>
      <c r="V726" s="246"/>
      <c r="W726" s="246"/>
      <c r="X726" s="246"/>
      <c r="Y726" s="246"/>
      <c r="Z726" s="246"/>
    </row>
    <row r="727">
      <c r="A727" s="263"/>
      <c r="B727" s="265" t="str">
        <f>IFERROR(__xludf.DUMMYFUNCTION("""COMPUTED_VALUE"""),"Secret Art: Void")</f>
        <v>Secret Art: Void</v>
      </c>
      <c r="C727" s="263"/>
      <c r="D727" s="263" t="str">
        <f>IFERROR(__xludf.DUMMYFUNCTION("""COMPUTED_VALUE"""),"Mystic Eye, Secret Art")</f>
        <v>Mystic Eye, Secret Art</v>
      </c>
      <c r="E727" s="264" t="str">
        <f>IFERROR(__xludf.DUMMYFUNCTION("""COMPUTED_VALUE"""),"60ft")</f>
        <v>60ft</v>
      </c>
      <c r="F727" s="266" t="str">
        <f>IFERROR(__xludf.DUMMYFUNCTION("""COMPUTED_VALUE"""),"You target one buff or passive effect you can identify from a grunt or heroic target within range. It is immediately removed and cannot be re-applied for the rest of the encounter.")</f>
        <v>You target one buff or passive effect you can identify from a grunt or heroic target within range. It is immediately removed and cannot be re-applied for the rest of the encounter.</v>
      </c>
      <c r="G727" s="263" t="str">
        <f>IFERROR(__xludf.DUMMYFUNCTION("""COMPUTED_VALUE"""),"")</f>
        <v/>
      </c>
      <c r="H727" s="265" t="str">
        <f>IFERROR(__xludf.DUMMYFUNCTION("""COMPUTED_VALUE"""),"1 AP, 1 MP")</f>
        <v>1 AP, 1 MP</v>
      </c>
      <c r="I727" s="264" t="str">
        <f>IFERROR(__xludf.DUMMYFUNCTION("""COMPUTED_VALUE"""),"1 AP")</f>
        <v>1 AP</v>
      </c>
      <c r="J727" s="263" t="str">
        <f>IFERROR(__xludf.DUMMYFUNCTION("""COMPUTED_VALUE"""),"1 MP")</f>
        <v>1 MP</v>
      </c>
      <c r="K727" s="263" t="str">
        <f>IFERROR(__xludf.DUMMYFUNCTION("""COMPUTED_VALUE"""),"")</f>
        <v/>
      </c>
      <c r="L727" s="263" t="str">
        <f>IFERROR(__xludf.DUMMYFUNCTION("""COMPUTED_VALUE"""),"")</f>
        <v/>
      </c>
      <c r="M727" s="263"/>
      <c r="N727" s="263"/>
      <c r="O727" s="263"/>
      <c r="P727" s="263"/>
      <c r="Q727" s="263"/>
      <c r="R727" s="263"/>
      <c r="S727" s="263"/>
      <c r="T727" s="263"/>
      <c r="U727" s="246"/>
      <c r="V727" s="246"/>
      <c r="W727" s="246"/>
      <c r="X727" s="246"/>
      <c r="Y727" s="246"/>
      <c r="Z727" s="246"/>
    </row>
    <row r="728">
      <c r="A728" s="263"/>
      <c r="B728" s="265" t="str">
        <f>IFERROR(__xludf.DUMMYFUNCTION("""COMPUTED_VALUE"""),"Secret Art: Walking Church")</f>
        <v>Secret Art: Walking Church</v>
      </c>
      <c r="C728" s="263"/>
      <c r="D728" s="263" t="str">
        <f>IFERROR(__xludf.DUMMYFUNCTION("""COMPUTED_VALUE"""),"Secret Art")</f>
        <v>Secret Art</v>
      </c>
      <c r="E728" s="264" t="str">
        <f>IFERROR(__xludf.DUMMYFUNCTION("""COMPUTED_VALUE"""),"120ft")</f>
        <v>120ft</v>
      </c>
      <c r="F728" s="266" t="str">
        <f>IFERROR(__xludf.DUMMYFUNCTION("""COMPUTED_VALUE"""),"Blesses the target, granting them the status of a church. Until the end of your next turn, the target gains Damage Reduction 1000 against all damage types.")</f>
        <v>Blesses the target, granting them the status of a church. Until the end of your next turn, the target gains Damage Reduction 1000 against all damage types.</v>
      </c>
      <c r="G728" s="263" t="str">
        <f>IFERROR(__xludf.DUMMYFUNCTION("""COMPUTED_VALUE"""),"")</f>
        <v/>
      </c>
      <c r="H728" s="265" t="str">
        <f>IFERROR(__xludf.DUMMYFUNCTION("""COMPUTED_VALUE"""),"1 MP, 1 RP")</f>
        <v>1 MP, 1 RP</v>
      </c>
      <c r="I728" s="264" t="str">
        <f>IFERROR(__xludf.DUMMYFUNCTION("""COMPUTED_VALUE"""),"")</f>
        <v/>
      </c>
      <c r="J728" s="263" t="str">
        <f>IFERROR(__xludf.DUMMYFUNCTION("""COMPUTED_VALUE"""),"1 MP")</f>
        <v>1 MP</v>
      </c>
      <c r="K728" s="263" t="str">
        <f>IFERROR(__xludf.DUMMYFUNCTION("""COMPUTED_VALUE"""),"1 RP")</f>
        <v>1 RP</v>
      </c>
      <c r="L728" s="263" t="str">
        <f>IFERROR(__xludf.DUMMYFUNCTION("""COMPUTED_VALUE"""),"")</f>
        <v/>
      </c>
      <c r="M728" s="263"/>
      <c r="N728" s="263"/>
      <c r="O728" s="263"/>
      <c r="P728" s="263"/>
      <c r="Q728" s="263"/>
      <c r="R728" s="263"/>
      <c r="S728" s="263"/>
      <c r="T728" s="263"/>
      <c r="U728" s="246"/>
      <c r="V728" s="246"/>
      <c r="W728" s="246"/>
      <c r="X728" s="246"/>
      <c r="Y728" s="246"/>
      <c r="Z728" s="246"/>
    </row>
    <row r="729">
      <c r="A729" s="263"/>
      <c r="B729" s="265" t="str">
        <f>IFERROR(__xludf.DUMMYFUNCTION("""COMPUTED_VALUE"""),"Secret Art: Whirling Death")</f>
        <v>Secret Art: Whirling Death</v>
      </c>
      <c r="C729" s="263"/>
      <c r="D729" s="264" t="str">
        <f>IFERROR(__xludf.DUMMYFUNCTION("""COMPUTED_VALUE"""),"Secret Art, Stance, Scatter")</f>
        <v>Secret Art, Stance, Scatter</v>
      </c>
      <c r="E729" s="264" t="str">
        <f>IFERROR(__xludf.DUMMYFUNCTION("""COMPUTED_VALUE"""),"Self")</f>
        <v>Self</v>
      </c>
      <c r="F729" s="266" t="str">
        <f>IFERROR(__xludf.DUMMYFUNCTION("""COMPUTED_VALUE"""),"You enter the Whirling Death stance, spinning wildly and shooting at enemies within range. While in this Stance you may spend 2 AP to make a basic Light Attack with a pistol against all enemies within 20ft.
When you kill an enemy or make them enter the do"&amp;"wned state from with this attack, you may repeat the attack.
The Stance lasts until you enter a different Stance or until you make an attack that is not tied to this ability.")</f>
        <v>You enter the Whirling Death stance, spinning wildly and shooting at enemies within range. While in this Stance you may spend 2 AP to make a basic Light Attack with a pistol against all enemies within 20ft.
When you kill an enemy or make them enter the downed state from with this attack, you may repeat the attack.
The Stance lasts until you enter a different Stance or until you make an attack that is not tied to this ability.</v>
      </c>
      <c r="G729" s="263" t="str">
        <f>IFERROR(__xludf.DUMMYFUNCTION("""COMPUTED_VALUE"""),"")</f>
        <v/>
      </c>
      <c r="H729" s="265" t="str">
        <f>IFERROR(__xludf.DUMMYFUNCTION("""COMPUTED_VALUE"""),"0 AP, 3 MP")</f>
        <v>0 AP, 3 MP</v>
      </c>
      <c r="I729" s="264" t="str">
        <f>IFERROR(__xludf.DUMMYFUNCTION("""COMPUTED_VALUE"""),"0 AP")</f>
        <v>0 AP</v>
      </c>
      <c r="J729" s="264" t="str">
        <f>IFERROR(__xludf.DUMMYFUNCTION("""COMPUTED_VALUE"""),"3 MP")</f>
        <v>3 MP</v>
      </c>
      <c r="K729" s="263" t="str">
        <f>IFERROR(__xludf.DUMMYFUNCTION("""COMPUTED_VALUE"""),"")</f>
        <v/>
      </c>
      <c r="L729" s="263" t="str">
        <f>IFERROR(__xludf.DUMMYFUNCTION("""COMPUTED_VALUE"""),"")</f>
        <v/>
      </c>
      <c r="M729" s="263"/>
      <c r="N729" s="263"/>
      <c r="O729" s="263"/>
      <c r="P729" s="263"/>
      <c r="Q729" s="263"/>
      <c r="R729" s="263"/>
      <c r="S729" s="263"/>
      <c r="T729" s="263"/>
      <c r="U729" s="246"/>
      <c r="V729" s="246"/>
      <c r="W729" s="246"/>
      <c r="X729" s="246"/>
      <c r="Y729" s="246"/>
      <c r="Z729" s="246"/>
    </row>
    <row r="730">
      <c r="A730" s="263"/>
      <c r="B730" s="265" t="str">
        <f>IFERROR(__xludf.DUMMYFUNCTION("""COMPUTED_VALUE"""),"Secret Art: Whiteout")</f>
        <v>Secret Art: Whiteout</v>
      </c>
      <c r="C730" s="263"/>
      <c r="D730" s="264" t="str">
        <f>IFERROR(__xludf.DUMMYFUNCTION("""COMPUTED_VALUE"""),"Encounter Start, Frost, Spell, Upkeep, Concentration, Secret Art")</f>
        <v>Encounter Start, Frost, Spell, Upkeep, Concentration, Secret Art</v>
      </c>
      <c r="E730" s="264" t="str">
        <f>IFERROR(__xludf.DUMMYFUNCTION("""COMPUTED_VALUE"""),"2500ft radius on self")</f>
        <v>2500ft radius on self</v>
      </c>
      <c r="F730" s="266" t="str">
        <f>IFERROR(__xludf.DUMMYFUNCTION("""COMPUTED_VALUE"""),"You create a sudden snowstorm that obscures sight, creating difficult battle conditions.
Attack accuracy for all affected units is reduced by your Focus and sight range is reduced to 60ft. A creature can only target something within their sight range.
You"&amp;" and creatures with Frost Immunity are not affected by this ability.
You may activate this ability as an Encounter Start action during the Encounter Start phase of an encounter. If you do, you do not pay the RP or initial mana cost.
Upkeep: You must pay 2"&amp;" mana at the start of your turn or the effect ends at the end of that turn.")</f>
        <v>You create a sudden snowstorm that obscures sight, creating difficult battle conditions.
Attack accuracy for all affected units is reduced by your Focus and sight range is reduced to 60ft. A creature can only target something within their sight range.
You and creatures with Frost Immunity are not affected by this ability.
You may activate this ability as an Encounter Start action during the Encounter Start phase of an encounter. If you do, you do not pay the RP or initial mana cost.
Upkeep: You must pay 2 mana at the start of your turn or the effect ends at the end of that turn.</v>
      </c>
      <c r="G730" s="263" t="str">
        <f>IFERROR(__xludf.DUMMYFUNCTION("""COMPUTED_VALUE"""),"")</f>
        <v/>
      </c>
      <c r="H730" s="267" t="str">
        <f>IFERROR(__xludf.DUMMYFUNCTION("""COMPUTED_VALUE"""),"1 MP, 1 RP")</f>
        <v>1 MP, 1 RP</v>
      </c>
      <c r="I730" s="263" t="str">
        <f>IFERROR(__xludf.DUMMYFUNCTION("""COMPUTED_VALUE"""),"")</f>
        <v/>
      </c>
      <c r="J730" s="263" t="str">
        <f>IFERROR(__xludf.DUMMYFUNCTION("""COMPUTED_VALUE"""),"1 MP")</f>
        <v>1 MP</v>
      </c>
      <c r="K730" s="263" t="str">
        <f>IFERROR(__xludf.DUMMYFUNCTION("""COMPUTED_VALUE"""),"1 RP")</f>
        <v>1 RP</v>
      </c>
      <c r="L730" s="263" t="str">
        <f>IFERROR(__xludf.DUMMYFUNCTION("""COMPUTED_VALUE"""),"")</f>
        <v/>
      </c>
      <c r="M730" s="263"/>
      <c r="N730" s="263"/>
      <c r="O730" s="263"/>
      <c r="P730" s="263"/>
      <c r="Q730" s="263"/>
      <c r="R730" s="263"/>
      <c r="S730" s="263"/>
      <c r="T730" s="263"/>
      <c r="U730" s="246"/>
      <c r="V730" s="246"/>
      <c r="W730" s="246"/>
      <c r="X730" s="246"/>
      <c r="Y730" s="246"/>
      <c r="Z730" s="246"/>
    </row>
    <row r="731">
      <c r="A731" s="263"/>
      <c r="B731" s="265" t="str">
        <f>IFERROR(__xludf.DUMMYFUNCTION("""COMPUTED_VALUE"""),"Secret Art: Within This Ink, The Perfect Answer")</f>
        <v>Secret Art: Within This Ink, The Perfect Answer</v>
      </c>
      <c r="C731" s="263"/>
      <c r="D731" s="263" t="str">
        <f>IFERROR(__xludf.DUMMYFUNCTION("""COMPUTED_VALUE"""),"Flashback, Secret Art")</f>
        <v>Flashback, Secret Art</v>
      </c>
      <c r="E731" s="264" t="str">
        <f>IFERROR(__xludf.DUMMYFUNCTION("""COMPUTED_VALUE"""),"Special")</f>
        <v>Special</v>
      </c>
      <c r="F731" s="266" t="str">
        <f>IFERROR(__xludf.DUMMYFUNCTION("""COMPUTED_VALUE"""),"You draw and immediately use a special talisman.
This talisman may have any spell in the base game on it (meaning it’s on the website), though it cannot be a secret or esoteric art. Any costs for this spell must be paid as normal. You must pay the require"&amp;"d calligraphy units as if you made the spell yourself. If you can’t pay the required amount, you go into ‘debt’. While in debt, you cannot create any more talisman or use this ability.
To clear the debt, you must pay the required amount of calligraphy uni"&amp;"ts at any point.
After you use this ability, you cannot do so again until the end of the arc.")</f>
        <v>You draw and immediately use a special talisman.
This talisman may have any spell in the base game on it (meaning it’s on the website), though it cannot be a secret or esoteric art. Any costs for this spell must be paid as normal. You must pay the required calligraphy units as if you made the spell yourself. If you can’t pay the required amount, you go into ‘debt’. While in debt, you cannot create any more talisman or use this ability.
To clear the debt, you must pay the required amount of calligraphy units at any point.
After you use this ability, you cannot do so again until the end of the arc.</v>
      </c>
      <c r="G731" s="264" t="str">
        <f>IFERROR(__xludf.DUMMYFUNCTION("""COMPUTED_VALUE"""),"")</f>
        <v/>
      </c>
      <c r="H731" s="265" t="str">
        <f>IFERROR(__xludf.DUMMYFUNCTION("""COMPUTED_VALUE"""),"0 AP")</f>
        <v>0 AP</v>
      </c>
      <c r="I731" s="264" t="str">
        <f>IFERROR(__xludf.DUMMYFUNCTION("""COMPUTED_VALUE"""),"0 AP")</f>
        <v>0 AP</v>
      </c>
      <c r="J731" s="263" t="str">
        <f>IFERROR(__xludf.DUMMYFUNCTION("""COMPUTED_VALUE"""),"")</f>
        <v/>
      </c>
      <c r="K731" s="264" t="str">
        <f>IFERROR(__xludf.DUMMYFUNCTION("""COMPUTED_VALUE"""),"")</f>
        <v/>
      </c>
      <c r="L731" s="263" t="str">
        <f>IFERROR(__xludf.DUMMYFUNCTION("""COMPUTED_VALUE"""),"")</f>
        <v/>
      </c>
      <c r="M731" s="263"/>
      <c r="N731" s="263"/>
      <c r="O731" s="263"/>
      <c r="P731" s="263"/>
      <c r="Q731" s="263"/>
      <c r="R731" s="263"/>
      <c r="S731" s="263"/>
      <c r="T731" s="263"/>
      <c r="U731" s="246"/>
      <c r="V731" s="246"/>
      <c r="W731" s="246"/>
      <c r="X731" s="246"/>
      <c r="Y731" s="246"/>
      <c r="Z731" s="246"/>
    </row>
    <row r="732">
      <c r="A732" s="263"/>
      <c r="B732" s="265" t="str">
        <f>IFERROR(__xludf.DUMMYFUNCTION("""COMPUTED_VALUE"""),"Secret Talisman")</f>
        <v>Secret Talisman</v>
      </c>
      <c r="C732" s="263"/>
      <c r="D732" s="264" t="str">
        <f>IFERROR(__xludf.DUMMYFUNCTION("""COMPUTED_VALUE"""),"Special")</f>
        <v>Special</v>
      </c>
      <c r="E732" s="264" t="str">
        <f>IFERROR(__xludf.DUMMYFUNCTION("""COMPUTED_VALUE"""),"Special")</f>
        <v>Special</v>
      </c>
      <c r="F732" s="266" t="str">
        <f>IFERROR(__xludf.DUMMYFUNCTION("""COMPUTED_VALUE"""),"You use a talisman you possess that contains a Secret Art. This functions like using a normal talisman. You may only use this once per encounter. Does not count towards your Secret Art usage for this encounter.")</f>
        <v>You use a talisman you possess that contains a Secret Art. This functions like using a normal talisman. You may only use this once per encounter. Does not count towards your Secret Art usage for this encounter.</v>
      </c>
      <c r="G732" s="264" t="str">
        <f>IFERROR(__xludf.DUMMYFUNCTION("""COMPUTED_VALUE"""),"Special")</f>
        <v>Special</v>
      </c>
      <c r="H732" s="265" t="str">
        <f>IFERROR(__xludf.DUMMYFUNCTION("""COMPUTED_VALUE"""),"Special")</f>
        <v>Special</v>
      </c>
      <c r="I732" s="264" t="str">
        <f>IFERROR(__xludf.DUMMYFUNCTION("""COMPUTED_VALUE"""),"")</f>
        <v/>
      </c>
      <c r="J732" s="264" t="str">
        <f>IFERROR(__xludf.DUMMYFUNCTION("""COMPUTED_VALUE"""),"")</f>
        <v/>
      </c>
      <c r="K732" s="263" t="str">
        <f>IFERROR(__xludf.DUMMYFUNCTION("""COMPUTED_VALUE"""),"")</f>
        <v/>
      </c>
      <c r="L732" s="263" t="str">
        <f>IFERROR(__xludf.DUMMYFUNCTION("""COMPUTED_VALUE"""),"")</f>
        <v/>
      </c>
      <c r="M732" s="263"/>
      <c r="N732" s="263"/>
      <c r="O732" s="263"/>
      <c r="P732" s="263"/>
      <c r="Q732" s="263"/>
      <c r="R732" s="263"/>
      <c r="S732" s="263"/>
      <c r="T732" s="263"/>
      <c r="U732" s="246"/>
      <c r="V732" s="246"/>
      <c r="W732" s="246"/>
      <c r="X732" s="246"/>
      <c r="Y732" s="246"/>
      <c r="Z732" s="246"/>
    </row>
    <row r="733">
      <c r="A733" s="263"/>
      <c r="B733" s="265" t="str">
        <f>IFERROR(__xludf.DUMMYFUNCTION("""COMPUTED_VALUE"""),"Seismic Shove")</f>
        <v>Seismic Shove</v>
      </c>
      <c r="C733" s="263"/>
      <c r="D733" s="264" t="str">
        <f>IFERROR(__xludf.DUMMYFUNCTION("""COMPUTED_VALUE"""),"Spell, Earth")</f>
        <v>Spell, Earth</v>
      </c>
      <c r="E733" s="264" t="str">
        <f>IFERROR(__xludf.DUMMYFUNCTION("""COMPUTED_VALUE"""),"80ft")</f>
        <v>80ft</v>
      </c>
      <c r="F733" s="266" t="str">
        <f>IFERROR(__xludf.DUMMYFUNCTION("""COMPUTED_VALUE"""),"You make a Light attack that deals Earth damage against the target. On damage, you may push the target 5ft in any direction.")</f>
        <v>You make a Light attack that deals Earth damage against the target. On damage, you may push the target 5ft in any direction.</v>
      </c>
      <c r="G733" s="263" t="str">
        <f>IFERROR(__xludf.DUMMYFUNCTION("""COMPUTED_VALUE"""),"")</f>
        <v/>
      </c>
      <c r="H733" s="265" t="str">
        <f>IFERROR(__xludf.DUMMYFUNCTION("""COMPUTED_VALUE"""),"1 AP, 1 MP")</f>
        <v>1 AP, 1 MP</v>
      </c>
      <c r="I733" s="264" t="str">
        <f>IFERROR(__xludf.DUMMYFUNCTION("""COMPUTED_VALUE"""),"1 AP")</f>
        <v>1 AP</v>
      </c>
      <c r="J733" s="263" t="str">
        <f>IFERROR(__xludf.DUMMYFUNCTION("""COMPUTED_VALUE"""),"1 MP")</f>
        <v>1 MP</v>
      </c>
      <c r="K733" s="263" t="str">
        <f>IFERROR(__xludf.DUMMYFUNCTION("""COMPUTED_VALUE"""),"")</f>
        <v/>
      </c>
      <c r="L733" s="263" t="str">
        <f>IFERROR(__xludf.DUMMYFUNCTION("""COMPUTED_VALUE"""),"")</f>
        <v/>
      </c>
      <c r="M733" s="263"/>
      <c r="N733" s="263"/>
      <c r="O733" s="263"/>
      <c r="P733" s="263"/>
      <c r="Q733" s="263"/>
      <c r="R733" s="263"/>
      <c r="S733" s="263"/>
      <c r="T733" s="263"/>
      <c r="U733" s="246"/>
      <c r="V733" s="246"/>
      <c r="W733" s="246"/>
      <c r="X733" s="246"/>
      <c r="Y733" s="246"/>
      <c r="Z733" s="246"/>
    </row>
    <row r="734">
      <c r="A734" s="263"/>
      <c r="B734" s="265" t="str">
        <f>IFERROR(__xludf.DUMMYFUNCTION("""COMPUTED_VALUE"""),"Selective Casting")</f>
        <v>Selective Casting</v>
      </c>
      <c r="C734" s="263"/>
      <c r="D734" s="264" t="str">
        <f>IFERROR(__xludf.DUMMYFUNCTION("""COMPUTED_VALUE"""),"Circuit")</f>
        <v>Circuit</v>
      </c>
      <c r="E734" s="264" t="str">
        <f>IFERROR(__xludf.DUMMYFUNCTION("""COMPUTED_VALUE"""),"Self")</f>
        <v>Self</v>
      </c>
      <c r="F734" s="266" t="str">
        <f>IFERROR(__xludf.DUMMYFUNCTION("""COMPUTED_VALUE"""),"For the next Spell you cast, you may choose to have it not affect a number of targets equal to your Focus.
Only affects spells with an instantaneous effect (excluding setup things). Lingering spell effects such as Glittershards cannot be used with Selecti"&amp;"ve Casting.")</f>
        <v>For the next Spell you cast, you may choose to have it not affect a number of targets equal to your Focus.
Only affects spells with an instantaneous effect (excluding setup things). Lingering spell effects such as Glittershards cannot be used with Selective Casting.</v>
      </c>
      <c r="G734" s="263" t="str">
        <f>IFERROR(__xludf.DUMMYFUNCTION("""COMPUTED_VALUE"""),"")</f>
        <v/>
      </c>
      <c r="H734" s="265" t="str">
        <f>IFERROR(__xludf.DUMMYFUNCTION("""COMPUTED_VALUE"""),"1 MP, 0 RP")</f>
        <v>1 MP, 0 RP</v>
      </c>
      <c r="I734" s="264" t="str">
        <f>IFERROR(__xludf.DUMMYFUNCTION("""COMPUTED_VALUE"""),"")</f>
        <v/>
      </c>
      <c r="J734" s="264" t="str">
        <f>IFERROR(__xludf.DUMMYFUNCTION("""COMPUTED_VALUE"""),"1 MP")</f>
        <v>1 MP</v>
      </c>
      <c r="K734" s="263" t="str">
        <f>IFERROR(__xludf.DUMMYFUNCTION("""COMPUTED_VALUE"""),"0 RP")</f>
        <v>0 RP</v>
      </c>
      <c r="L734" s="263" t="str">
        <f>IFERROR(__xludf.DUMMYFUNCTION("""COMPUTED_VALUE"""),"")</f>
        <v/>
      </c>
      <c r="M734" s="263"/>
      <c r="N734" s="263"/>
      <c r="O734" s="263"/>
      <c r="P734" s="263"/>
      <c r="Q734" s="263"/>
      <c r="R734" s="263"/>
      <c r="S734" s="263"/>
      <c r="T734" s="263"/>
      <c r="U734" s="246"/>
      <c r="V734" s="246"/>
      <c r="W734" s="246"/>
      <c r="X734" s="246"/>
      <c r="Y734" s="246"/>
      <c r="Z734" s="246"/>
    </row>
    <row r="735">
      <c r="A735" s="263"/>
      <c r="B735" s="265" t="str">
        <f>IFERROR(__xludf.DUMMYFUNCTION("""COMPUTED_VALUE"""),"Send To Armory")</f>
        <v>Send To Armory</v>
      </c>
      <c r="C735" s="263"/>
      <c r="D735" s="264" t="str">
        <f>IFERROR(__xludf.DUMMYFUNCTION("""COMPUTED_VALUE"""),"Spell")</f>
        <v>Spell</v>
      </c>
      <c r="E735" s="264" t="str">
        <f>IFERROR(__xludf.DUMMYFUNCTION("""COMPUTED_VALUE"""),"Touch")</f>
        <v>Touch</v>
      </c>
      <c r="F735" s="266" t="str">
        <f>IFERROR(__xludf.DUMMYFUNCTION("""COMPUTED_VALUE"""),"You touch an item not held or carried by another creature and immediately teleport it to your Dimensional Armory into an unoccupied space (if there is room).  If there is no space the spell fails.  Some magic items can be rejected by the dimensional armor"&amp;"y.  Living creatures cannot be teleported into the Dimensional Armory.
Overcharge: You spend 1 minute instead of 2 AP, reducing the mana cost by 1.")</f>
        <v>You touch an item not held or carried by another creature and immediately teleport it to your Dimensional Armory into an unoccupied space (if there is room).  If there is no space the spell fails.  Some magic items can be rejected by the dimensional armory.  Living creatures cannot be teleported into the Dimensional Armory.
Overcharge: You spend 1 minute instead of 2 AP, reducing the mana cost by 1.</v>
      </c>
      <c r="G735" s="263" t="str">
        <f>IFERROR(__xludf.DUMMYFUNCTION("""COMPUTED_VALUE"""),"You have a Dimensional Armory active.")</f>
        <v>You have a Dimensional Armory active.</v>
      </c>
      <c r="H735" s="267" t="str">
        <f>IFERROR(__xludf.DUMMYFUNCTION("""COMPUTED_VALUE"""),"2 AP, 1 MP")</f>
        <v>2 AP, 1 MP</v>
      </c>
      <c r="I735" s="263" t="str">
        <f>IFERROR(__xludf.DUMMYFUNCTION("""COMPUTED_VALUE"""),"2 AP")</f>
        <v>2 AP</v>
      </c>
      <c r="J735" s="263" t="str">
        <f>IFERROR(__xludf.DUMMYFUNCTION("""COMPUTED_VALUE"""),"1 MP")</f>
        <v>1 MP</v>
      </c>
      <c r="K735" s="263" t="str">
        <f>IFERROR(__xludf.DUMMYFUNCTION("""COMPUTED_VALUE"""),"")</f>
        <v/>
      </c>
      <c r="L735" s="263" t="str">
        <f>IFERROR(__xludf.DUMMYFUNCTION("""COMPUTED_VALUE"""),"")</f>
        <v/>
      </c>
      <c r="M735" s="263"/>
      <c r="N735" s="263"/>
      <c r="O735" s="263"/>
      <c r="P735" s="263"/>
      <c r="Q735" s="263"/>
      <c r="R735" s="263"/>
      <c r="S735" s="263"/>
      <c r="T735" s="263"/>
      <c r="U735" s="246"/>
      <c r="V735" s="246"/>
      <c r="W735" s="246"/>
      <c r="X735" s="246"/>
      <c r="Y735" s="246"/>
      <c r="Z735" s="246"/>
    </row>
    <row r="736">
      <c r="A736" s="263"/>
      <c r="B736" s="265" t="str">
        <f>IFERROR(__xludf.DUMMYFUNCTION("""COMPUTED_VALUE"""),"Sense Magic")</f>
        <v>Sense Magic</v>
      </c>
      <c r="C736" s="263"/>
      <c r="D736" s="264" t="str">
        <f>IFERROR(__xludf.DUMMYFUNCTION("""COMPUTED_VALUE"""),"Sensory, Spell")</f>
        <v>Sensory, Spell</v>
      </c>
      <c r="E736" s="264" t="str">
        <f>IFERROR(__xludf.DUMMYFUNCTION("""COMPUTED_VALUE"""),"60ft radius centered on self")</f>
        <v>60ft radius centered on self</v>
      </c>
      <c r="F736" s="266" t="str">
        <f>IFERROR(__xludf.DUMMYFUNCTION("""COMPUTED_VALUE"""),"You can detect active magical effects that aren’t hidden within range. Hidden magical effects may require a Perception or Insight check.")</f>
        <v>You can detect active magical effects that aren’t hidden within range. Hidden magical effects may require a Perception or Insight check.</v>
      </c>
      <c r="G736" s="263" t="str">
        <f>IFERROR(__xludf.DUMMYFUNCTION("""COMPUTED_VALUE"""),"None")</f>
        <v>None</v>
      </c>
      <c r="H736" s="265" t="str">
        <f>IFERROR(__xludf.DUMMYFUNCTION("""COMPUTED_VALUE"""),"1 AP")</f>
        <v>1 AP</v>
      </c>
      <c r="I736" s="264" t="str">
        <f>IFERROR(__xludf.DUMMYFUNCTION("""COMPUTED_VALUE"""),"1 AP")</f>
        <v>1 AP</v>
      </c>
      <c r="J736" s="263" t="str">
        <f>IFERROR(__xludf.DUMMYFUNCTION("""COMPUTED_VALUE"""),"")</f>
        <v/>
      </c>
      <c r="K736" s="263" t="str">
        <f>IFERROR(__xludf.DUMMYFUNCTION("""COMPUTED_VALUE"""),"")</f>
        <v/>
      </c>
      <c r="L736" s="263" t="str">
        <f>IFERROR(__xludf.DUMMYFUNCTION("""COMPUTED_VALUE"""),"")</f>
        <v/>
      </c>
      <c r="M736" s="263"/>
      <c r="N736" s="263"/>
      <c r="O736" s="263"/>
      <c r="P736" s="263"/>
      <c r="Q736" s="263"/>
      <c r="R736" s="263"/>
      <c r="S736" s="263"/>
      <c r="T736" s="263"/>
      <c r="U736" s="246"/>
      <c r="V736" s="246"/>
      <c r="W736" s="246"/>
      <c r="X736" s="246"/>
      <c r="Y736" s="246"/>
      <c r="Z736" s="246"/>
    </row>
    <row r="737">
      <c r="A737" s="263"/>
      <c r="B737" s="265" t="str">
        <f>IFERROR(__xludf.DUMMYFUNCTION("""COMPUTED_VALUE"""),"Separate wheat from chaff")</f>
        <v>Separate wheat from chaff</v>
      </c>
      <c r="C737" s="263"/>
      <c r="D737" s="264" t="str">
        <f>IFERROR(__xludf.DUMMYFUNCTION("""COMPUTED_VALUE"""),"Killing Blow, Fear, Mind Affecting, Scatter")</f>
        <v>Killing Blow, Fear, Mind Affecting, Scatter</v>
      </c>
      <c r="E737" s="264" t="str">
        <f>IFERROR(__xludf.DUMMYFUNCTION("""COMPUTED_VALUE"""),"10ft")</f>
        <v>10ft</v>
      </c>
      <c r="F737" s="266" t="str">
        <f>IFERROR(__xludf.DUMMYFUNCTION("""COMPUTED_VALUE"""),"You make a Light attack against all enemies in range. On damage, you push the target back 5ft. If you landed a Killing Blow, all that took damage become Shaken as well.")</f>
        <v>You make a Light attack against all enemies in range. On damage, you push the target back 5ft. If you landed a Killing Blow, all that took damage become Shaken as well.</v>
      </c>
      <c r="G737" s="263" t="str">
        <f>IFERROR(__xludf.DUMMYFUNCTION("""COMPUTED_VALUE"""),"Scythe only")</f>
        <v>Scythe only</v>
      </c>
      <c r="H737" s="267" t="str">
        <f>IFERROR(__xludf.DUMMYFUNCTION("""COMPUTED_VALUE"""),"3 AP, 1 MP")</f>
        <v>3 AP, 1 MP</v>
      </c>
      <c r="I737" s="263" t="str">
        <f>IFERROR(__xludf.DUMMYFUNCTION("""COMPUTED_VALUE"""),"3 AP")</f>
        <v>3 AP</v>
      </c>
      <c r="J737" s="263" t="str">
        <f>IFERROR(__xludf.DUMMYFUNCTION("""COMPUTED_VALUE"""),"1 MP")</f>
        <v>1 MP</v>
      </c>
      <c r="K737" s="263" t="str">
        <f>IFERROR(__xludf.DUMMYFUNCTION("""COMPUTED_VALUE"""),"")</f>
        <v/>
      </c>
      <c r="L737" s="263" t="str">
        <f>IFERROR(__xludf.DUMMYFUNCTION("""COMPUTED_VALUE"""),"")</f>
        <v/>
      </c>
      <c r="M737" s="263"/>
      <c r="N737" s="263"/>
      <c r="O737" s="263"/>
      <c r="P737" s="263"/>
      <c r="Q737" s="263"/>
      <c r="R737" s="263"/>
      <c r="S737" s="263"/>
      <c r="T737" s="263"/>
      <c r="U737" s="246"/>
      <c r="V737" s="246"/>
      <c r="W737" s="246"/>
      <c r="X737" s="246"/>
      <c r="Y737" s="246"/>
      <c r="Z737" s="246"/>
    </row>
    <row r="738">
      <c r="A738" s="263"/>
      <c r="B738" s="265" t="str">
        <f>IFERROR(__xludf.DUMMYFUNCTION("""COMPUTED_VALUE"""),"Serene Water Stance")</f>
        <v>Serene Water Stance</v>
      </c>
      <c r="C738" s="263"/>
      <c r="D738" s="263" t="str">
        <f>IFERROR(__xludf.DUMMYFUNCTION("""COMPUTED_VALUE"""),"Stance")</f>
        <v>Stance</v>
      </c>
      <c r="E738" s="264" t="str">
        <f>IFERROR(__xludf.DUMMYFUNCTION("""COMPUTED_VALUE"""),"Self")</f>
        <v>Self</v>
      </c>
      <c r="F738" s="266" t="str">
        <f>IFERROR(__xludf.DUMMYFUNCTION("""COMPUTED_VALUE"""),"You enter the Serene Water Stance. While in this Stance, you gain a +3 bonus to your evasion and you may move 5ft everytime an accuracy check against you misses. This movement does not provoke attacks of opportunity. This Stance lasts until you enter a di"&amp;"fferent Stance, you use the Block action or until you move, with the exceptions of this ability and movement abilities with the Unarmed Strike keyword. Making an attack does not cancel this Stance.")</f>
        <v>You enter the Serene Water Stance. While in this Stance, you gain a +3 bonus to your evasion and you may move 5ft everytime an accuracy check against you misses. This movement does not provoke attacks of opportunity. This Stance lasts until you enter a different Stance, you use the Block action or until you move, with the exceptions of this ability and movement abilities with the Unarmed Strike keyword. Making an attack does not cancel this Stance.</v>
      </c>
      <c r="G738" s="263" t="str">
        <f>IFERROR(__xludf.DUMMYFUNCTION("""COMPUTED_VALUE"""),"An attack against you misses.")</f>
        <v>An attack against you misses.</v>
      </c>
      <c r="H738" s="265" t="str">
        <f>IFERROR(__xludf.DUMMYFUNCTION("""COMPUTED_VALUE"""),"1 MP, 0 RP")</f>
        <v>1 MP, 0 RP</v>
      </c>
      <c r="I738" s="264" t="str">
        <f>IFERROR(__xludf.DUMMYFUNCTION("""COMPUTED_VALUE"""),"")</f>
        <v/>
      </c>
      <c r="J738" s="263" t="str">
        <f>IFERROR(__xludf.DUMMYFUNCTION("""COMPUTED_VALUE"""),"1 MP")</f>
        <v>1 MP</v>
      </c>
      <c r="K738" s="263" t="str">
        <f>IFERROR(__xludf.DUMMYFUNCTION("""COMPUTED_VALUE"""),"0 RP")</f>
        <v>0 RP</v>
      </c>
      <c r="L738" s="263" t="str">
        <f>IFERROR(__xludf.DUMMYFUNCTION("""COMPUTED_VALUE"""),"")</f>
        <v/>
      </c>
      <c r="M738" s="263"/>
      <c r="N738" s="263"/>
      <c r="O738" s="263"/>
      <c r="P738" s="263"/>
      <c r="Q738" s="263"/>
      <c r="R738" s="263"/>
      <c r="S738" s="263"/>
      <c r="T738" s="263"/>
      <c r="U738" s="246"/>
      <c r="V738" s="246"/>
      <c r="W738" s="246"/>
      <c r="X738" s="246"/>
      <c r="Y738" s="246"/>
      <c r="Z738" s="246"/>
    </row>
    <row r="739">
      <c r="A739" s="263"/>
      <c r="B739" s="265" t="str">
        <f>IFERROR(__xludf.DUMMYFUNCTION("""COMPUTED_VALUE"""),"Shade Form")</f>
        <v>Shade Form</v>
      </c>
      <c r="C739" s="263"/>
      <c r="D739" s="263" t="str">
        <f>IFERROR(__xludf.DUMMYFUNCTION("""COMPUTED_VALUE"""),"Shadow, Stealth")</f>
        <v>Shadow, Stealth</v>
      </c>
      <c r="E739" s="264" t="str">
        <f>IFERROR(__xludf.DUMMYFUNCTION("""COMPUTED_VALUE"""),"Self")</f>
        <v>Self</v>
      </c>
      <c r="F739" s="266" t="str">
        <f>IFERROR(__xludf.DUMMYFUNCTION("""COMPUTED_VALUE"""),"You become like a shade becoming near weightless and gaining the ability to pass through spaces occupied by other creatures. You can also slip through small cracks in walls or doors, as long as they are at least 1inch wide and tall. Upkeep: You must pay 2"&amp;" mana at the start of each turn or this ability ends. During the night, the mana cost and Upkeep of this is reduced by 2.")</f>
        <v>You become like a shade becoming near weightless and gaining the ability to pass through spaces occupied by other creatures. You can also slip through small cracks in walls or doors, as long as they are at least 1inch wide and tall. Upkeep: You must pay 2 mana at the start of each turn or this ability ends. During the night, the mana cost and Upkeep of this is reduced by 2.</v>
      </c>
      <c r="G739" s="264" t="str">
        <f>IFERROR(__xludf.DUMMYFUNCTION("""COMPUTED_VALUE"""),"")</f>
        <v/>
      </c>
      <c r="H739" s="265" t="str">
        <f>IFERROR(__xludf.DUMMYFUNCTION("""COMPUTED_VALUE"""),"1 AP, 2 MP")</f>
        <v>1 AP, 2 MP</v>
      </c>
      <c r="I739" s="264" t="str">
        <f>IFERROR(__xludf.DUMMYFUNCTION("""COMPUTED_VALUE"""),"1 AP")</f>
        <v>1 AP</v>
      </c>
      <c r="J739" s="263" t="str">
        <f>IFERROR(__xludf.DUMMYFUNCTION("""COMPUTED_VALUE"""),"2 MP")</f>
        <v>2 MP</v>
      </c>
      <c r="K739" s="263" t="str">
        <f>IFERROR(__xludf.DUMMYFUNCTION("""COMPUTED_VALUE"""),"")</f>
        <v/>
      </c>
      <c r="L739" s="263" t="str">
        <f>IFERROR(__xludf.DUMMYFUNCTION("""COMPUTED_VALUE"""),"")</f>
        <v/>
      </c>
      <c r="M739" s="263"/>
      <c r="N739" s="263"/>
      <c r="O739" s="263"/>
      <c r="P739" s="263"/>
      <c r="Q739" s="263"/>
      <c r="R739" s="263"/>
      <c r="S739" s="263"/>
      <c r="T739" s="263"/>
      <c r="U739" s="246"/>
      <c r="V739" s="246"/>
      <c r="W739" s="246"/>
      <c r="X739" s="246"/>
      <c r="Y739" s="246"/>
      <c r="Z739" s="246"/>
    </row>
    <row r="740">
      <c r="A740" s="263"/>
      <c r="B740" s="265" t="str">
        <f>IFERROR(__xludf.DUMMYFUNCTION("""COMPUTED_VALUE"""),"Shadow Cloak")</f>
        <v>Shadow Cloak</v>
      </c>
      <c r="C740" s="263"/>
      <c r="D740" s="264" t="str">
        <f>IFERROR(__xludf.DUMMYFUNCTION("""COMPUTED_VALUE"""),"Shadow, Stealth")</f>
        <v>Shadow, Stealth</v>
      </c>
      <c r="E740" s="264" t="str">
        <f>IFERROR(__xludf.DUMMYFUNCTION("""COMPUTED_VALUE"""),"Self")</f>
        <v>Self</v>
      </c>
      <c r="F740" s="266" t="str">
        <f>IFERROR(__xludf.DUMMYFUNCTION("""COMPUTED_VALUE"""),"You cloak yourself in Shadows, giving you a +5 bonus on Stealth checks for 1 hour or until end of encounter. It also allows you to hide even when not behind cover or concealment. During the night, the mana cost of this is reduced by 2.")</f>
        <v>You cloak yourself in Shadows, giving you a +5 bonus on Stealth checks for 1 hour or until end of encounter. It also allows you to hide even when not behind cover or concealment. During the night, the mana cost of this is reduced by 2.</v>
      </c>
      <c r="G740" s="263" t="str">
        <f>IFERROR(__xludf.DUMMYFUNCTION("""COMPUTED_VALUE"""),"")</f>
        <v/>
      </c>
      <c r="H740" s="265" t="str">
        <f>IFERROR(__xludf.DUMMYFUNCTION("""COMPUTED_VALUE"""),"2 AP, 2 MP")</f>
        <v>2 AP, 2 MP</v>
      </c>
      <c r="I740" s="264" t="str">
        <f>IFERROR(__xludf.DUMMYFUNCTION("""COMPUTED_VALUE"""),"2 AP")</f>
        <v>2 AP</v>
      </c>
      <c r="J740" s="263" t="str">
        <f>IFERROR(__xludf.DUMMYFUNCTION("""COMPUTED_VALUE"""),"2 MP")</f>
        <v>2 MP</v>
      </c>
      <c r="K740" s="264" t="str">
        <f>IFERROR(__xludf.DUMMYFUNCTION("""COMPUTED_VALUE"""),"")</f>
        <v/>
      </c>
      <c r="L740" s="263" t="str">
        <f>IFERROR(__xludf.DUMMYFUNCTION("""COMPUTED_VALUE"""),"")</f>
        <v/>
      </c>
      <c r="M740" s="263"/>
      <c r="N740" s="263"/>
      <c r="O740" s="263"/>
      <c r="P740" s="263"/>
      <c r="Q740" s="263"/>
      <c r="R740" s="263"/>
      <c r="S740" s="263"/>
      <c r="T740" s="263"/>
      <c r="U740" s="246"/>
      <c r="V740" s="246"/>
      <c r="W740" s="246"/>
      <c r="X740" s="246"/>
      <c r="Y740" s="246"/>
      <c r="Z740" s="246"/>
    </row>
    <row r="741">
      <c r="A741" s="263"/>
      <c r="B741" s="265" t="str">
        <f>IFERROR(__xludf.DUMMYFUNCTION("""COMPUTED_VALUE"""),"Shadow Counter")</f>
        <v>Shadow Counter</v>
      </c>
      <c r="C741" s="263"/>
      <c r="D741" s="264" t="str">
        <f>IFERROR(__xludf.DUMMYFUNCTION("""COMPUTED_VALUE"""),"Setup, Unarmed Strike")</f>
        <v>Setup, Unarmed Strike</v>
      </c>
      <c r="E741" s="264" t="str">
        <f>IFERROR(__xludf.DUMMYFUNCTION("""COMPUTED_VALUE"""),"Melee Weapon Range")</f>
        <v>Melee Weapon Range</v>
      </c>
      <c r="F741" s="266" t="str">
        <f>IFERROR(__xludf.DUMMYFUNCTION("""COMPUTED_VALUE"""),"You prepare a powerful heavy attack against a single enemy. This attack deals extra damage based on half your missing health.
If that enemy provokes an AoO while you are charging this ability, you may immediately use this ability as if you finished chargi"&amp;"ng it.")</f>
        <v>You prepare a powerful heavy attack against a single enemy. This attack deals extra damage based on half your missing health.
If that enemy provokes an AoO while you are charging this ability, you may immediately use this ability as if you finished charging it.</v>
      </c>
      <c r="G741" s="264" t="str">
        <f>IFERROR(__xludf.DUMMYFUNCTION("""COMPUTED_VALUE"""),"Must be in Inexorable Shadow Stance.")</f>
        <v>Must be in Inexorable Shadow Stance.</v>
      </c>
      <c r="H741" s="265" t="str">
        <f>IFERROR(__xludf.DUMMYFUNCTION("""COMPUTED_VALUE"""),"2 AP, 1 MP")</f>
        <v>2 AP, 1 MP</v>
      </c>
      <c r="I741" s="264" t="str">
        <f>IFERROR(__xludf.DUMMYFUNCTION("""COMPUTED_VALUE"""),"2 AP")</f>
        <v>2 AP</v>
      </c>
      <c r="J741" s="264" t="str">
        <f>IFERROR(__xludf.DUMMYFUNCTION("""COMPUTED_VALUE"""),"1 MP")</f>
        <v>1 MP</v>
      </c>
      <c r="K741" s="263" t="str">
        <f>IFERROR(__xludf.DUMMYFUNCTION("""COMPUTED_VALUE"""),"")</f>
        <v/>
      </c>
      <c r="L741" s="263" t="str">
        <f>IFERROR(__xludf.DUMMYFUNCTION("""COMPUTED_VALUE"""),"")</f>
        <v/>
      </c>
      <c r="M741" s="263"/>
      <c r="N741" s="263"/>
      <c r="O741" s="263"/>
      <c r="P741" s="263"/>
      <c r="Q741" s="263"/>
      <c r="R741" s="263"/>
      <c r="S741" s="263"/>
      <c r="T741" s="263"/>
      <c r="U741" s="246"/>
      <c r="V741" s="246"/>
      <c r="W741" s="246"/>
      <c r="X741" s="246"/>
      <c r="Y741" s="246"/>
      <c r="Z741" s="246"/>
    </row>
    <row r="742">
      <c r="A742" s="263"/>
      <c r="B742" s="265" t="str">
        <f>IFERROR(__xludf.DUMMYFUNCTION("""COMPUTED_VALUE"""),"Shadow Step")</f>
        <v>Shadow Step</v>
      </c>
      <c r="C742" s="263"/>
      <c r="D742" s="264" t="str">
        <f>IFERROR(__xludf.DUMMYFUNCTION("""COMPUTED_VALUE"""),"Shadow, Teleport, Stealth")</f>
        <v>Shadow, Teleport, Stealth</v>
      </c>
      <c r="E742" s="264" t="str">
        <f>IFERROR(__xludf.DUMMYFUNCTION("""COMPUTED_VALUE"""),"Self")</f>
        <v>Self</v>
      </c>
      <c r="F742" s="266" t="str">
        <f>IFERROR(__xludf.DUMMYFUNCTION("""COMPUTED_VALUE"""),"You may Teleport up to twice your movement speed. During the night, the mana cost of this is reduced by 2.")</f>
        <v>You may Teleport up to twice your movement speed. During the night, the mana cost of this is reduced by 2.</v>
      </c>
      <c r="G742" s="264" t="str">
        <f>IFERROR(__xludf.DUMMYFUNCTION("""COMPUTED_VALUE"""),"")</f>
        <v/>
      </c>
      <c r="H742" s="265" t="str">
        <f>IFERROR(__xludf.DUMMYFUNCTION("""COMPUTED_VALUE"""),"1 AP, 2 MP")</f>
        <v>1 AP, 2 MP</v>
      </c>
      <c r="I742" s="264" t="str">
        <f>IFERROR(__xludf.DUMMYFUNCTION("""COMPUTED_VALUE"""),"1 AP")</f>
        <v>1 AP</v>
      </c>
      <c r="J742" s="264" t="str">
        <f>IFERROR(__xludf.DUMMYFUNCTION("""COMPUTED_VALUE"""),"2 MP")</f>
        <v>2 MP</v>
      </c>
      <c r="K742" s="263" t="str">
        <f>IFERROR(__xludf.DUMMYFUNCTION("""COMPUTED_VALUE"""),"")</f>
        <v/>
      </c>
      <c r="L742" s="263" t="str">
        <f>IFERROR(__xludf.DUMMYFUNCTION("""COMPUTED_VALUE"""),"")</f>
        <v/>
      </c>
      <c r="M742" s="263"/>
      <c r="N742" s="263"/>
      <c r="O742" s="263"/>
      <c r="P742" s="263"/>
      <c r="Q742" s="263"/>
      <c r="R742" s="263"/>
      <c r="S742" s="263"/>
      <c r="T742" s="263"/>
      <c r="U742" s="246"/>
      <c r="V742" s="246"/>
      <c r="W742" s="246"/>
      <c r="X742" s="246"/>
      <c r="Y742" s="246"/>
      <c r="Z742" s="246"/>
    </row>
    <row r="743">
      <c r="A743" s="263"/>
      <c r="B743" s="265" t="str">
        <f>IFERROR(__xludf.DUMMYFUNCTION("""COMPUTED_VALUE"""),"Share Armor")</f>
        <v>Share Armor</v>
      </c>
      <c r="C743" s="263"/>
      <c r="D743" s="263" t="str">
        <f>IFERROR(__xludf.DUMMYFUNCTION("""COMPUTED_VALUE"""),"Aid")</f>
        <v>Aid</v>
      </c>
      <c r="E743" s="264" t="str">
        <f>IFERROR(__xludf.DUMMYFUNCTION("""COMPUTED_VALUE"""),"30ft")</f>
        <v>30ft</v>
      </c>
      <c r="F743" s="266" t="str">
        <f>IFERROR(__xludf.DUMMYFUNCTION("""COMPUTED_VALUE"""),"Your ally may treat their guard and block as if they were wearing your armor and shield until the end of the current creature’s turn. If multiple creatures of the same type move on the same initiative, it lasts through all of their turns.
Any temporary in"&amp;"creases to the guard/block of this armor (such as through reinforce armor) is not transferred over. Any increases from armor plates or cloak are also not carried over. (But the target's own plates or cloak may apply.)")</f>
        <v>Your ally may treat their guard and block as if they were wearing your armor and shield until the end of the current creature’s turn. If multiple creatures of the same type move on the same initiative, it lasts through all of their turns.
Any temporary increases to the guard/block of this armor (such as through reinforce armor) is not transferred over. Any increases from armor plates or cloak are also not carried over. (But the target's own plates or cloak may apply.)</v>
      </c>
      <c r="G743" s="264" t="str">
        <f>IFERROR(__xludf.DUMMYFUNCTION("""COMPUTED_VALUE"""),"Must be wearing armor.")</f>
        <v>Must be wearing armor.</v>
      </c>
      <c r="H743" s="265" t="str">
        <f>IFERROR(__xludf.DUMMYFUNCTION("""COMPUTED_VALUE"""),"1 RP")</f>
        <v>1 RP</v>
      </c>
      <c r="I743" s="264" t="str">
        <f>IFERROR(__xludf.DUMMYFUNCTION("""COMPUTED_VALUE"""),"")</f>
        <v/>
      </c>
      <c r="J743" s="264" t="str">
        <f>IFERROR(__xludf.DUMMYFUNCTION("""COMPUTED_VALUE"""),"")</f>
        <v/>
      </c>
      <c r="K743" s="263" t="str">
        <f>IFERROR(__xludf.DUMMYFUNCTION("""COMPUTED_VALUE"""),"1 RP")</f>
        <v>1 RP</v>
      </c>
      <c r="L743" s="263" t="str">
        <f>IFERROR(__xludf.DUMMYFUNCTION("""COMPUTED_VALUE"""),"")</f>
        <v/>
      </c>
      <c r="M743" s="263"/>
      <c r="N743" s="263"/>
      <c r="O743" s="263"/>
      <c r="P743" s="263"/>
      <c r="Q743" s="263"/>
      <c r="R743" s="263"/>
      <c r="S743" s="263"/>
      <c r="T743" s="263"/>
      <c r="U743" s="246"/>
      <c r="V743" s="246"/>
      <c r="W743" s="246"/>
      <c r="X743" s="246"/>
      <c r="Y743" s="246"/>
      <c r="Z743" s="246"/>
    </row>
    <row r="744">
      <c r="A744" s="263"/>
      <c r="B744" s="265" t="str">
        <f>IFERROR(__xludf.DUMMYFUNCTION("""COMPUTED_VALUE"""),"Shared Defense")</f>
        <v>Shared Defense</v>
      </c>
      <c r="C744" s="263"/>
      <c r="D744" s="263" t="str">
        <f>IFERROR(__xludf.DUMMYFUNCTION("""COMPUTED_VALUE"""),"")</f>
        <v/>
      </c>
      <c r="E744" s="264" t="str">
        <f>IFERROR(__xludf.DUMMYFUNCTION("""COMPUTED_VALUE"""),"120ft")</f>
        <v>120ft</v>
      </c>
      <c r="F744" s="266" t="str">
        <f>IFERROR(__xludf.DUMMYFUNCTION("""COMPUTED_VALUE"""),"Your mount (the last mount you were riding on this arc) may use your defenses instead of its own while within range. In addition, you may spend RP for it while dismounted if your mount is in range.")</f>
        <v>Your mount (the last mount you were riding on this arc) may use your defenses instead of its own while within range. In addition, you may spend RP for it while dismounted if your mount is in range.</v>
      </c>
      <c r="G744" s="263" t="str">
        <f>IFERROR(__xludf.DUMMYFUNCTION("""COMPUTED_VALUE"""),"Must be dismounted.")</f>
        <v>Must be dismounted.</v>
      </c>
      <c r="H744" s="265" t="str">
        <f>IFERROR(__xludf.DUMMYFUNCTION("""COMPUTED_VALUE"""),"")</f>
        <v/>
      </c>
      <c r="I744" s="264" t="str">
        <f>IFERROR(__xludf.DUMMYFUNCTION("""COMPUTED_VALUE"""),"")</f>
        <v/>
      </c>
      <c r="J744" s="263" t="str">
        <f>IFERROR(__xludf.DUMMYFUNCTION("""COMPUTED_VALUE"""),"")</f>
        <v/>
      </c>
      <c r="K744" s="263" t="str">
        <f>IFERROR(__xludf.DUMMYFUNCTION("""COMPUTED_VALUE"""),"")</f>
        <v/>
      </c>
      <c r="L744" s="263" t="str">
        <f>IFERROR(__xludf.DUMMYFUNCTION("""COMPUTED_VALUE"""),"")</f>
        <v/>
      </c>
      <c r="M744" s="263"/>
      <c r="N744" s="263"/>
      <c r="O744" s="263"/>
      <c r="P744" s="263"/>
      <c r="Q744" s="263"/>
      <c r="R744" s="263"/>
      <c r="S744" s="263"/>
      <c r="T744" s="263"/>
      <c r="U744" s="246"/>
      <c r="V744" s="246"/>
      <c r="W744" s="246"/>
      <c r="X744" s="246"/>
      <c r="Y744" s="246"/>
      <c r="Z744" s="246"/>
    </row>
    <row r="745">
      <c r="A745" s="263"/>
      <c r="B745" s="265" t="str">
        <f>IFERROR(__xludf.DUMMYFUNCTION("""COMPUTED_VALUE"""),"Shatter")</f>
        <v>Shatter</v>
      </c>
      <c r="C745" s="263"/>
      <c r="D745" s="263" t="str">
        <f>IFERROR(__xludf.DUMMYFUNCTION("""COMPUTED_VALUE"""),"Sound, Scatter")</f>
        <v>Sound, Scatter</v>
      </c>
      <c r="E745" s="264" t="str">
        <f>IFERROR(__xludf.DUMMYFUNCTION("""COMPUTED_VALUE"""),"30ft")</f>
        <v>30ft</v>
      </c>
      <c r="F745" s="266" t="str">
        <f>IFERROR(__xludf.DUMMYFUNCTION("""COMPUTED_VALUE"""),"Every enemy within range must make a save against your Potency or take Light Damage. Any unattended objects made of glass or a similar vulnerable material also shatter.")</f>
        <v>Every enemy within range must make a save against your Potency or take Light Damage. Any unattended objects made of glass or a similar vulnerable material also shatter.</v>
      </c>
      <c r="G745" s="263" t="str">
        <f>IFERROR(__xludf.DUMMYFUNCTION("""COMPUTED_VALUE"""),"")</f>
        <v/>
      </c>
      <c r="H745" s="265" t="str">
        <f>IFERROR(__xludf.DUMMYFUNCTION("""COMPUTED_VALUE"""),"3 AP")</f>
        <v>3 AP</v>
      </c>
      <c r="I745" s="264" t="str">
        <f>IFERROR(__xludf.DUMMYFUNCTION("""COMPUTED_VALUE"""),"3 AP")</f>
        <v>3 AP</v>
      </c>
      <c r="J745" s="263" t="str">
        <f>IFERROR(__xludf.DUMMYFUNCTION("""COMPUTED_VALUE"""),"")</f>
        <v/>
      </c>
      <c r="K745" s="264" t="str">
        <f>IFERROR(__xludf.DUMMYFUNCTION("""COMPUTED_VALUE"""),"")</f>
        <v/>
      </c>
      <c r="L745" s="263" t="str">
        <f>IFERROR(__xludf.DUMMYFUNCTION("""COMPUTED_VALUE"""),"")</f>
        <v/>
      </c>
      <c r="M745" s="263"/>
      <c r="N745" s="263"/>
      <c r="O745" s="263"/>
      <c r="P745" s="263"/>
      <c r="Q745" s="263"/>
      <c r="R745" s="263"/>
      <c r="S745" s="263"/>
      <c r="T745" s="263"/>
      <c r="U745" s="246"/>
      <c r="V745" s="246"/>
      <c r="W745" s="246"/>
      <c r="X745" s="246"/>
      <c r="Y745" s="246"/>
      <c r="Z745" s="246"/>
    </row>
    <row r="746">
      <c r="A746" s="263"/>
      <c r="B746" s="265" t="str">
        <f>IFERROR(__xludf.DUMMYFUNCTION("""COMPUTED_VALUE"""),"Shatter Time")</f>
        <v>Shatter Time</v>
      </c>
      <c r="C746" s="263"/>
      <c r="D746" s="264" t="str">
        <f>IFERROR(__xludf.DUMMYFUNCTION("""COMPUTED_VALUE"""),"Encounter Start")</f>
        <v>Encounter Start</v>
      </c>
      <c r="E746" s="264" t="str">
        <f>IFERROR(__xludf.DUMMYFUNCTION("""COMPUTED_VALUE"""),"Self")</f>
        <v>Self</v>
      </c>
      <c r="F746" s="266" t="str">
        <f>IFERROR(__xludf.DUMMYFUNCTION("""COMPUTED_VALUE"""),"For this encounter you may act during different parts of a round. When you end your turn with AP remaining, you may choose to act immediately after another creature ends their turn. You do not regain AP or RP and these extra actions are not considered tur"&amp;"ns. You may take these extra actions multiple times during a round, provided you have AP remaining.
You cannot use Setup abilities during this extra actions.")</f>
        <v>For this encounter you may act during different parts of a round. When you end your turn with AP remaining, you may choose to act immediately after another creature ends their turn. You do not regain AP or RP and these extra actions are not considered turns. You may take these extra actions multiple times during a round, provided you have AP remaining.
You cannot use Setup abilities during this extra actions.</v>
      </c>
      <c r="G746" s="263" t="str">
        <f>IFERROR(__xludf.DUMMYFUNCTION("""COMPUTED_VALUE"""),"")</f>
        <v/>
      </c>
      <c r="H746" s="267" t="str">
        <f>IFERROR(__xludf.DUMMYFUNCTION("""COMPUTED_VALUE"""),"")</f>
        <v/>
      </c>
      <c r="I746" s="263" t="str">
        <f>IFERROR(__xludf.DUMMYFUNCTION("""COMPUTED_VALUE"""),"")</f>
        <v/>
      </c>
      <c r="J746" s="263" t="str">
        <f>IFERROR(__xludf.DUMMYFUNCTION("""COMPUTED_VALUE"""),"")</f>
        <v/>
      </c>
      <c r="K746" s="263" t="str">
        <f>IFERROR(__xludf.DUMMYFUNCTION("""COMPUTED_VALUE"""),"")</f>
        <v/>
      </c>
      <c r="L746" s="263" t="str">
        <f>IFERROR(__xludf.DUMMYFUNCTION("""COMPUTED_VALUE"""),"")</f>
        <v/>
      </c>
      <c r="M746" s="263"/>
      <c r="N746" s="263"/>
      <c r="O746" s="263"/>
      <c r="P746" s="263"/>
      <c r="Q746" s="263"/>
      <c r="R746" s="263"/>
      <c r="S746" s="263"/>
      <c r="T746" s="263"/>
      <c r="U746" s="246"/>
      <c r="V746" s="246"/>
      <c r="W746" s="246"/>
      <c r="X746" s="246"/>
      <c r="Y746" s="246"/>
      <c r="Z746" s="246"/>
    </row>
    <row r="747">
      <c r="A747" s="263"/>
      <c r="B747" s="265" t="str">
        <f>IFERROR(__xludf.DUMMYFUNCTION("""COMPUTED_VALUE"""),"Sheet Ice")</f>
        <v>Sheet Ice</v>
      </c>
      <c r="C747" s="263"/>
      <c r="D747" s="263" t="str">
        <f>IFERROR(__xludf.DUMMYFUNCTION("""COMPUTED_VALUE"""),"Frost, Spell, Upkeep")</f>
        <v>Frost, Spell, Upkeep</v>
      </c>
      <c r="E747" s="264" t="str">
        <f>IFERROR(__xludf.DUMMYFUNCTION("""COMPUTED_VALUE"""),"120ft")</f>
        <v>120ft</v>
      </c>
      <c r="F747" s="266" t="str">
        <f>IFERROR(__xludf.DUMMYFUNCTION("""COMPUTED_VALUE"""),"You freeze the ground in a 20x20 area, creating difficult terrain that lasts until the end of your next turn. You may use 1 mana per instance of this spell to continue the effect until the end of your next turn.")</f>
        <v>You freeze the ground in a 20x20 area, creating difficult terrain that lasts until the end of your next turn. You may use 1 mana per instance of this spell to continue the effect until the end of your next turn.</v>
      </c>
      <c r="G747" s="263" t="str">
        <f>IFERROR(__xludf.DUMMYFUNCTION("""COMPUTED_VALUE"""),"")</f>
        <v/>
      </c>
      <c r="H747" s="265" t="str">
        <f>IFERROR(__xludf.DUMMYFUNCTION("""COMPUTED_VALUE"""),"1 AP")</f>
        <v>1 AP</v>
      </c>
      <c r="I747" s="264" t="str">
        <f>IFERROR(__xludf.DUMMYFUNCTION("""COMPUTED_VALUE"""),"1 AP")</f>
        <v>1 AP</v>
      </c>
      <c r="J747" s="263" t="str">
        <f>IFERROR(__xludf.DUMMYFUNCTION("""COMPUTED_VALUE"""),"")</f>
        <v/>
      </c>
      <c r="K747" s="263" t="str">
        <f>IFERROR(__xludf.DUMMYFUNCTION("""COMPUTED_VALUE"""),"")</f>
        <v/>
      </c>
      <c r="L747" s="263" t="str">
        <f>IFERROR(__xludf.DUMMYFUNCTION("""COMPUTED_VALUE"""),"")</f>
        <v/>
      </c>
      <c r="M747" s="263"/>
      <c r="N747" s="263"/>
      <c r="O747" s="263"/>
      <c r="P747" s="263"/>
      <c r="Q747" s="263"/>
      <c r="R747" s="263"/>
      <c r="S747" s="263"/>
      <c r="T747" s="263"/>
      <c r="U747" s="246"/>
      <c r="V747" s="246"/>
      <c r="W747" s="246"/>
      <c r="X747" s="246"/>
      <c r="Y747" s="246"/>
      <c r="Z747" s="246"/>
    </row>
    <row r="748">
      <c r="A748" s="263"/>
      <c r="B748" s="265" t="str">
        <f>IFERROR(__xludf.DUMMYFUNCTION("""COMPUTED_VALUE"""),"Shelter")</f>
        <v>Shelter</v>
      </c>
      <c r="C748" s="263"/>
      <c r="D748" s="263" t="str">
        <f>IFERROR(__xludf.DUMMYFUNCTION("""COMPUTED_VALUE"""),"")</f>
        <v/>
      </c>
      <c r="E748" s="263" t="str">
        <f>IFERROR(__xludf.DUMMYFUNCTION("""COMPUTED_VALUE"""),"5ft")</f>
        <v>5ft</v>
      </c>
      <c r="F748" s="266" t="str">
        <f>IFERROR(__xludf.DUMMYFUNCTION("""COMPUTED_VALUE"""),"The attack targeting your VIP instead targets you. You may use this even if you’re also a target of the attack and both attacks will resolve against you. You also gain the benefits of the Block action against the triggering attack.")</f>
        <v>The attack targeting your VIP instead targets you. You may use this even if you’re also a target of the attack and both attacks will resolve against you. You also gain the benefits of the Block action against the triggering attack.</v>
      </c>
      <c r="G748" s="264" t="str">
        <f>IFERROR(__xludf.DUMMYFUNCTION("""COMPUTED_VALUE"""),"Your VIP is the target of an attack.")</f>
        <v>Your VIP is the target of an attack.</v>
      </c>
      <c r="H748" s="267" t="str">
        <f>IFERROR(__xludf.DUMMYFUNCTION("""COMPUTED_VALUE"""),"1 RP")</f>
        <v>1 RP</v>
      </c>
      <c r="I748" s="263" t="str">
        <f>IFERROR(__xludf.DUMMYFUNCTION("""COMPUTED_VALUE"""),"")</f>
        <v/>
      </c>
      <c r="J748" s="263" t="str">
        <f>IFERROR(__xludf.DUMMYFUNCTION("""COMPUTED_VALUE"""),"")</f>
        <v/>
      </c>
      <c r="K748" s="263" t="str">
        <f>IFERROR(__xludf.DUMMYFUNCTION("""COMPUTED_VALUE"""),"1 RP")</f>
        <v>1 RP</v>
      </c>
      <c r="L748" s="263" t="str">
        <f>IFERROR(__xludf.DUMMYFUNCTION("""COMPUTED_VALUE"""),"")</f>
        <v/>
      </c>
      <c r="M748" s="263"/>
      <c r="N748" s="263"/>
      <c r="O748" s="263"/>
      <c r="P748" s="263"/>
      <c r="Q748" s="263"/>
      <c r="R748" s="263"/>
      <c r="S748" s="263"/>
      <c r="T748" s="263"/>
      <c r="U748" s="246"/>
      <c r="V748" s="246"/>
      <c r="W748" s="246"/>
      <c r="X748" s="246"/>
      <c r="Y748" s="246"/>
      <c r="Z748" s="246"/>
    </row>
    <row r="749">
      <c r="A749" s="263"/>
      <c r="B749" s="265" t="str">
        <f>IFERROR(__xludf.DUMMYFUNCTION("""COMPUTED_VALUE"""),"Shield Burst")</f>
        <v>Shield Burst</v>
      </c>
      <c r="C749" s="263"/>
      <c r="D749" s="263" t="str">
        <f>IFERROR(__xludf.DUMMYFUNCTION("""COMPUTED_VALUE"""),"Spell")</f>
        <v>Spell</v>
      </c>
      <c r="E749" s="264" t="str">
        <f>IFERROR(__xludf.DUMMYFUNCTION("""COMPUTED_VALUE"""),"40ft")</f>
        <v>40ft</v>
      </c>
      <c r="F749" s="266" t="str">
        <f>IFERROR(__xludf.DUMMYFUNCTION("""COMPUTED_VALUE"""),"You heal the target for an amount equal to half the temporary HP they have, then all temporary HP on them is removed. All enemies within 5ft of the target must make a save against your Potency or be pushed back 10ft.
You may use 1 AP instead of 1 RP for t"&amp;"his ability.")</f>
        <v>You heal the target for an amount equal to half the temporary HP they have, then all temporary HP on them is removed. All enemies within 5ft of the target must make a save against your Potency or be pushed back 10ft.
You may use 1 AP instead of 1 RP for this ability.</v>
      </c>
      <c r="G749" s="263" t="str">
        <f>IFERROR(__xludf.DUMMYFUNCTION("""COMPUTED_VALUE"""),"Target must have temporary HP applied by you.")</f>
        <v>Target must have temporary HP applied by you.</v>
      </c>
      <c r="H749" s="265" t="str">
        <f>IFERROR(__xludf.DUMMYFUNCTION("""COMPUTED_VALUE"""),"1 RP")</f>
        <v>1 RP</v>
      </c>
      <c r="I749" s="263" t="str">
        <f>IFERROR(__xludf.DUMMYFUNCTION("""COMPUTED_VALUE"""),"")</f>
        <v/>
      </c>
      <c r="J749" s="264" t="str">
        <f>IFERROR(__xludf.DUMMYFUNCTION("""COMPUTED_VALUE"""),"")</f>
        <v/>
      </c>
      <c r="K749" s="264" t="str">
        <f>IFERROR(__xludf.DUMMYFUNCTION("""COMPUTED_VALUE"""),"1 RP")</f>
        <v>1 RP</v>
      </c>
      <c r="L749" s="263" t="str">
        <f>IFERROR(__xludf.DUMMYFUNCTION("""COMPUTED_VALUE"""),"")</f>
        <v/>
      </c>
      <c r="M749" s="263"/>
      <c r="N749" s="263"/>
      <c r="O749" s="263"/>
      <c r="P749" s="263"/>
      <c r="Q749" s="263"/>
      <c r="R749" s="263"/>
      <c r="S749" s="263"/>
      <c r="T749" s="263"/>
      <c r="U749" s="246"/>
      <c r="V749" s="246"/>
      <c r="W749" s="246"/>
      <c r="X749" s="246"/>
      <c r="Y749" s="246"/>
      <c r="Z749" s="246"/>
    </row>
    <row r="750">
      <c r="A750" s="263"/>
      <c r="B750" s="265" t="str">
        <f>IFERROR(__xludf.DUMMYFUNCTION("""COMPUTED_VALUE"""),"Shield the Fallen")</f>
        <v>Shield the Fallen</v>
      </c>
      <c r="C750" s="263"/>
      <c r="D750" s="264" t="str">
        <f>IFERROR(__xludf.DUMMYFUNCTION("""COMPUTED_VALUE"""),"Aid")</f>
        <v>Aid</v>
      </c>
      <c r="E750" s="264" t="str">
        <f>IFERROR(__xludf.DUMMYFUNCTION("""COMPUTED_VALUE"""),"30ft")</f>
        <v>30ft</v>
      </c>
      <c r="F750" s="266" t="str">
        <f>IFERROR(__xludf.DUMMYFUNCTION("""COMPUTED_VALUE"""),"You give the ally temporary HP equal to the damage they would take from the attack.")</f>
        <v>You give the ally temporary HP equal to the damage they would take from the attack.</v>
      </c>
      <c r="G750" s="264" t="str">
        <f>IFERROR(__xludf.DUMMYFUNCTION("""COMPUTED_VALUE"""),"Downed ally takes damage from an attack.")</f>
        <v>Downed ally takes damage from an attack.</v>
      </c>
      <c r="H750" s="265" t="str">
        <f>IFERROR(__xludf.DUMMYFUNCTION("""COMPUTED_VALUE"""),"0 RP")</f>
        <v>0 RP</v>
      </c>
      <c r="I750" s="264" t="str">
        <f>IFERROR(__xludf.DUMMYFUNCTION("""COMPUTED_VALUE"""),"")</f>
        <v/>
      </c>
      <c r="J750" s="263" t="str">
        <f>IFERROR(__xludf.DUMMYFUNCTION("""COMPUTED_VALUE"""),"")</f>
        <v/>
      </c>
      <c r="K750" s="263" t="str">
        <f>IFERROR(__xludf.DUMMYFUNCTION("""COMPUTED_VALUE"""),"0 RP")</f>
        <v>0 RP</v>
      </c>
      <c r="L750" s="263" t="str">
        <f>IFERROR(__xludf.DUMMYFUNCTION("""COMPUTED_VALUE"""),"")</f>
        <v/>
      </c>
      <c r="M750" s="263"/>
      <c r="N750" s="263"/>
      <c r="O750" s="263"/>
      <c r="P750" s="263"/>
      <c r="Q750" s="263"/>
      <c r="R750" s="263"/>
      <c r="S750" s="263"/>
      <c r="T750" s="263"/>
      <c r="U750" s="246"/>
      <c r="V750" s="246"/>
      <c r="W750" s="246"/>
      <c r="X750" s="246"/>
      <c r="Y750" s="246"/>
      <c r="Z750" s="246"/>
    </row>
    <row r="751">
      <c r="A751" s="263"/>
      <c r="B751" s="265" t="str">
        <f>IFERROR(__xludf.DUMMYFUNCTION("""COMPUTED_VALUE"""),"Shieldcrusher")</f>
        <v>Shieldcrusher</v>
      </c>
      <c r="C751" s="263"/>
      <c r="D751" s="264" t="str">
        <f>IFERROR(__xludf.DUMMYFUNCTION("""COMPUTED_VALUE"""),"Broken")</f>
        <v>Broken</v>
      </c>
      <c r="E751" s="264" t="str">
        <f>IFERROR(__xludf.DUMMYFUNCTION("""COMPUTED_VALUE"""),"Melee Weapon Range")</f>
        <v>Melee Weapon Range</v>
      </c>
      <c r="F751" s="266" t="str">
        <f>IFERROR(__xludf.DUMMYFUNCTION("""COMPUTED_VALUE"""),"You make a Heavy attack against the target. If they Block against this attack and are wielding a shield or greatshield, that shield becomes Broken.")</f>
        <v>You make a Heavy attack against the target. If they Block against this attack and are wielding a shield or greatshield, that shield becomes Broken.</v>
      </c>
      <c r="G751" s="263" t="str">
        <f>IFERROR(__xludf.DUMMYFUNCTION("""COMPUTED_VALUE"""),"Two-handed weapons only.")</f>
        <v>Two-handed weapons only.</v>
      </c>
      <c r="H751" s="265" t="str">
        <f>IFERROR(__xludf.DUMMYFUNCTION("""COMPUTED_VALUE"""),"2 AP, 1 MP")</f>
        <v>2 AP, 1 MP</v>
      </c>
      <c r="I751" s="264" t="str">
        <f>IFERROR(__xludf.DUMMYFUNCTION("""COMPUTED_VALUE"""),"2 AP")</f>
        <v>2 AP</v>
      </c>
      <c r="J751" s="264" t="str">
        <f>IFERROR(__xludf.DUMMYFUNCTION("""COMPUTED_VALUE"""),"1 MP")</f>
        <v>1 MP</v>
      </c>
      <c r="K751" s="263" t="str">
        <f>IFERROR(__xludf.DUMMYFUNCTION("""COMPUTED_VALUE"""),"")</f>
        <v/>
      </c>
      <c r="L751" s="263" t="str">
        <f>IFERROR(__xludf.DUMMYFUNCTION("""COMPUTED_VALUE"""),"")</f>
        <v/>
      </c>
      <c r="M751" s="263"/>
      <c r="N751" s="263"/>
      <c r="O751" s="263"/>
      <c r="P751" s="263"/>
      <c r="Q751" s="263"/>
      <c r="R751" s="263"/>
      <c r="S751" s="263"/>
      <c r="T751" s="263"/>
      <c r="U751" s="246"/>
      <c r="V751" s="246"/>
      <c r="W751" s="246"/>
      <c r="X751" s="246"/>
      <c r="Y751" s="246"/>
      <c r="Z751" s="246"/>
    </row>
    <row r="752">
      <c r="A752" s="263"/>
      <c r="B752" s="265" t="str">
        <f>IFERROR(__xludf.DUMMYFUNCTION("""COMPUTED_VALUE"""),"Shooting Form")</f>
        <v>Shooting Form</v>
      </c>
      <c r="C752" s="263"/>
      <c r="D752" s="264" t="str">
        <f>IFERROR(__xludf.DUMMYFUNCTION("""COMPUTED_VALUE"""),"Rapid")</f>
        <v>Rapid</v>
      </c>
      <c r="E752" s="264" t="str">
        <f>IFERROR(__xludf.DUMMYFUNCTION("""COMPUTED_VALUE"""),"'-")</f>
        <v>'-</v>
      </c>
      <c r="F752" s="266" t="str">
        <f>IFERROR(__xludf.DUMMYFUNCTION("""COMPUTED_VALUE"""),"You transform a melee weapon you’re holding into a Wand Channeling Weapon or return a transformed weapon back to normal. While transformed, the weapon keeps any relevant enchants and functions exactly like how a wand would. You are considered proficient i"&amp;"n this wand, even if you normally wouldn’t be and can fire Arcane Elemental shots with it, even if you normally wouldn’t be able to.
Lasts until the end of the encounter, for 5 minutes or until the weapon leaves your possession.")</f>
        <v>You transform a melee weapon you’re holding into a Wand Channeling Weapon or return a transformed weapon back to normal. While transformed, the weapon keeps any relevant enchants and functions exactly like how a wand would. You are considered proficient in this wand, even if you normally wouldn’t be and can fire Arcane Elemental shots with it, even if you normally wouldn’t be able to.
Lasts until the end of the encounter, for 5 minutes or until the weapon leaves your possession.</v>
      </c>
      <c r="G752" s="263" t="str">
        <f>IFERROR(__xludf.DUMMYFUNCTION("""COMPUTED_VALUE"""),"")</f>
        <v/>
      </c>
      <c r="H752" s="265" t="str">
        <f>IFERROR(__xludf.DUMMYFUNCTION("""COMPUTED_VALUE"""),"0 AP")</f>
        <v>0 AP</v>
      </c>
      <c r="I752" s="263" t="str">
        <f>IFERROR(__xludf.DUMMYFUNCTION("""COMPUTED_VALUE"""),"0 AP")</f>
        <v>0 AP</v>
      </c>
      <c r="J752" s="264" t="str">
        <f>IFERROR(__xludf.DUMMYFUNCTION("""COMPUTED_VALUE"""),"")</f>
        <v/>
      </c>
      <c r="K752" s="264" t="str">
        <f>IFERROR(__xludf.DUMMYFUNCTION("""COMPUTED_VALUE"""),"")</f>
        <v/>
      </c>
      <c r="L752" s="263" t="str">
        <f>IFERROR(__xludf.DUMMYFUNCTION("""COMPUTED_VALUE"""),"")</f>
        <v/>
      </c>
      <c r="M752" s="263"/>
      <c r="N752" s="263"/>
      <c r="O752" s="263"/>
      <c r="P752" s="263"/>
      <c r="Q752" s="263"/>
      <c r="R752" s="263"/>
      <c r="S752" s="263"/>
      <c r="T752" s="263"/>
      <c r="U752" s="246"/>
      <c r="V752" s="246"/>
      <c r="W752" s="246"/>
      <c r="X752" s="246"/>
      <c r="Y752" s="246"/>
      <c r="Z752" s="246"/>
    </row>
    <row r="753">
      <c r="A753" s="263"/>
      <c r="B753" s="265" t="str">
        <f>IFERROR(__xludf.DUMMYFUNCTION("""COMPUTED_VALUE"""),"Silentium")</f>
        <v>Silentium</v>
      </c>
      <c r="C753" s="263"/>
      <c r="D753" s="263" t="str">
        <f>IFERROR(__xludf.DUMMYFUNCTION("""COMPUTED_VALUE"""),"Combo, Holy")</f>
        <v>Combo, Holy</v>
      </c>
      <c r="E753" s="264" t="str">
        <f>IFERROR(__xludf.DUMMYFUNCTION("""COMPUTED_VALUE"""),"Weapon Range")</f>
        <v>Weapon Range</v>
      </c>
      <c r="F753" s="266" t="str">
        <f>IFERROR(__xludf.DUMMYFUNCTION("""COMPUTED_VALUE"""),"You infuse a light thrown weapon with Sacred Power and Light Attack the target for Light Holy Damage. On damage the weapon disrupts the target’s magic circuits, breaking concentration and preventing the target from using abilities with the Spell keyword. "&amp;"The lodged weapon can be removed for 1 RP or 2 AP, removing the disruption. Combo: If used after Eagle’s Hunt, reduce the AP cost to 0 from 2.")</f>
        <v>You infuse a light thrown weapon with Sacred Power and Light Attack the target for Light Holy Damage. On damage the weapon disrupts the target’s magic circuits, breaking concentration and preventing the target from using abilities with the Spell keyword. The lodged weapon can be removed for 1 RP or 2 AP, removing the disruption. Combo: If used after Eagle’s Hunt, reduce the AP cost to 0 from 2.</v>
      </c>
      <c r="G753" s="263" t="str">
        <f>IFERROR(__xludf.DUMMYFUNCTION("""COMPUTED_VALUE"""),"One-handed Thrown Weapon or Sets of missiles Only.")</f>
        <v>One-handed Thrown Weapon or Sets of missiles Only.</v>
      </c>
      <c r="H753" s="265" t="str">
        <f>IFERROR(__xludf.DUMMYFUNCTION("""COMPUTED_VALUE"""),"2 AP, 1 MP")</f>
        <v>2 AP, 1 MP</v>
      </c>
      <c r="I753" s="264" t="str">
        <f>IFERROR(__xludf.DUMMYFUNCTION("""COMPUTED_VALUE"""),"2 AP")</f>
        <v>2 AP</v>
      </c>
      <c r="J753" s="264" t="str">
        <f>IFERROR(__xludf.DUMMYFUNCTION("""COMPUTED_VALUE"""),"1 MP")</f>
        <v>1 MP</v>
      </c>
      <c r="K753" s="263" t="str">
        <f>IFERROR(__xludf.DUMMYFUNCTION("""COMPUTED_VALUE"""),"")</f>
        <v/>
      </c>
      <c r="L753" s="263" t="str">
        <f>IFERROR(__xludf.DUMMYFUNCTION("""COMPUTED_VALUE"""),"")</f>
        <v/>
      </c>
      <c r="M753" s="263"/>
      <c r="N753" s="263"/>
      <c r="O753" s="263"/>
      <c r="P753" s="263"/>
      <c r="Q753" s="263"/>
      <c r="R753" s="263"/>
      <c r="S753" s="263"/>
      <c r="T753" s="263"/>
      <c r="U753" s="246"/>
      <c r="V753" s="246"/>
      <c r="W753" s="246"/>
      <c r="X753" s="246"/>
      <c r="Y753" s="246"/>
      <c r="Z753" s="246"/>
    </row>
    <row r="754">
      <c r="A754" s="263"/>
      <c r="B754" s="265" t="str">
        <f>IFERROR(__xludf.DUMMYFUNCTION("""COMPUTED_VALUE"""),"Single-Minded Fury")</f>
        <v>Single-Minded Fury</v>
      </c>
      <c r="C754" s="263"/>
      <c r="D754" s="264" t="str">
        <f>IFERROR(__xludf.DUMMYFUNCTION("""COMPUTED_VALUE"""),"Quick")</f>
        <v>Quick</v>
      </c>
      <c r="E754" s="263" t="str">
        <f>IFERROR(__xludf.DUMMYFUNCTION("""COMPUTED_VALUE"""),"Sight")</f>
        <v>Sight</v>
      </c>
      <c r="F754" s="266" t="str">
        <f>IFERROR(__xludf.DUMMYFUNCTION("""COMPUTED_VALUE"""),"You choose a single enemy as the target of your Single-Minded Fury. Your movement speed is doubled when moving towards your target plus you gain immunity to Slowed and difficult terrain. You also gain immunity to any mind-affecting effect that would preve"&amp;"nt you from chasing or attacking your target. You gain a 1d4 bonus to accuracy rolls against that target, but suffer a 2d4 penalty to accuracy rolls against any other target. This effect lasts until the end of the encounter or until the target falls to 0 "&amp;"HP or lower.")</f>
        <v>You choose a single enemy as the target of your Single-Minded Fury. Your movement speed is doubled when moving towards your target plus you gain immunity to Slowed and difficult terrain. You also gain immunity to any mind-affecting effect that would prevent you from chasing or attacking your target. You gain a 1d4 bonus to accuracy rolls against that target, but suffer a 2d4 penalty to accuracy rolls against any other target. This effect lasts until the end of the encounter or until the target falls to 0 HP or lower.</v>
      </c>
      <c r="G754" s="263" t="str">
        <f>IFERROR(__xludf.DUMMYFUNCTION("""COMPUTED_VALUE"""),"In Rage Stance, ability is not already active.")</f>
        <v>In Rage Stance, ability is not already active.</v>
      </c>
      <c r="H754" s="267" t="str">
        <f>IFERROR(__xludf.DUMMYFUNCTION("""COMPUTED_VALUE"""),"0 AP")</f>
        <v>0 AP</v>
      </c>
      <c r="I754" s="263" t="str">
        <f>IFERROR(__xludf.DUMMYFUNCTION("""COMPUTED_VALUE"""),"0 AP")</f>
        <v>0 AP</v>
      </c>
      <c r="J754" s="263" t="str">
        <f>IFERROR(__xludf.DUMMYFUNCTION("""COMPUTED_VALUE"""),"")</f>
        <v/>
      </c>
      <c r="K754" s="263" t="str">
        <f>IFERROR(__xludf.DUMMYFUNCTION("""COMPUTED_VALUE"""),"")</f>
        <v/>
      </c>
      <c r="L754" s="263" t="str">
        <f>IFERROR(__xludf.DUMMYFUNCTION("""COMPUTED_VALUE"""),"")</f>
        <v/>
      </c>
      <c r="M754" s="263"/>
      <c r="N754" s="263"/>
      <c r="O754" s="263"/>
      <c r="P754" s="263"/>
      <c r="Q754" s="263"/>
      <c r="R754" s="263"/>
      <c r="S754" s="263"/>
      <c r="T754" s="263"/>
      <c r="U754" s="246"/>
      <c r="V754" s="246"/>
      <c r="W754" s="246"/>
      <c r="X754" s="246"/>
      <c r="Y754" s="246"/>
      <c r="Z754" s="246"/>
    </row>
    <row r="755">
      <c r="A755" s="263"/>
      <c r="B755" s="265" t="str">
        <f>IFERROR(__xludf.DUMMYFUNCTION("""COMPUTED_VALUE"""),"Singularity Collapse")</f>
        <v>Singularity Collapse</v>
      </c>
      <c r="C755" s="263"/>
      <c r="D755" s="264" t="str">
        <f>IFERROR(__xludf.DUMMYFUNCTION("""COMPUTED_VALUE"""),"Spell, Gravity")</f>
        <v>Spell, Gravity</v>
      </c>
      <c r="E755" s="264" t="str">
        <f>IFERROR(__xludf.DUMMYFUNCTION("""COMPUTED_VALUE"""),"60ft")</f>
        <v>60ft</v>
      </c>
      <c r="F755" s="266" t="str">
        <f>IFERROR(__xludf.DUMMYFUNCTION("""COMPUTED_VALUE"""),"You target a 25x25 square and all creatures within that square must make a save or be pulled 10ft towards the center.")</f>
        <v>You target a 25x25 square and all creatures within that square must make a save or be pulled 10ft towards the center.</v>
      </c>
      <c r="G755" s="263" t="str">
        <f>IFERROR(__xludf.DUMMYFUNCTION("""COMPUTED_VALUE"""),"")</f>
        <v/>
      </c>
      <c r="H755" s="265" t="str">
        <f>IFERROR(__xludf.DUMMYFUNCTION("""COMPUTED_VALUE"""),"1 AP, 1 MP")</f>
        <v>1 AP, 1 MP</v>
      </c>
      <c r="I755" s="264" t="str">
        <f>IFERROR(__xludf.DUMMYFUNCTION("""COMPUTED_VALUE"""),"1 AP")</f>
        <v>1 AP</v>
      </c>
      <c r="J755" s="263" t="str">
        <f>IFERROR(__xludf.DUMMYFUNCTION("""COMPUTED_VALUE"""),"1 MP")</f>
        <v>1 MP</v>
      </c>
      <c r="K755" s="263" t="str">
        <f>IFERROR(__xludf.DUMMYFUNCTION("""COMPUTED_VALUE"""),"")</f>
        <v/>
      </c>
      <c r="L755" s="263" t="str">
        <f>IFERROR(__xludf.DUMMYFUNCTION("""COMPUTED_VALUE"""),"")</f>
        <v/>
      </c>
      <c r="M755" s="263"/>
      <c r="N755" s="263"/>
      <c r="O755" s="263"/>
      <c r="P755" s="263"/>
      <c r="Q755" s="263"/>
      <c r="R755" s="263"/>
      <c r="S755" s="263"/>
      <c r="T755" s="263"/>
      <c r="U755" s="246"/>
      <c r="V755" s="246"/>
      <c r="W755" s="246"/>
      <c r="X755" s="246"/>
      <c r="Y755" s="246"/>
      <c r="Z755" s="246"/>
    </row>
    <row r="756">
      <c r="A756" s="263"/>
      <c r="B756" s="265" t="str">
        <f>IFERROR(__xludf.DUMMYFUNCTION("""COMPUTED_VALUE"""),"Siphon Material")</f>
        <v>Siphon Material</v>
      </c>
      <c r="C756" s="263"/>
      <c r="D756" s="263" t="str">
        <f>IFERROR(__xludf.DUMMYFUNCTION("""COMPUTED_VALUE"""),"Interlude, Errand")</f>
        <v>Interlude, Errand</v>
      </c>
      <c r="E756" s="264" t="str">
        <f>IFERROR(__xludf.DUMMYFUNCTION("""COMPUTED_VALUE"""),"")</f>
        <v/>
      </c>
      <c r="F756" s="266" t="str">
        <f>IFERROR(__xludf.DUMMYFUNCTION("""COMPUTED_VALUE"""),"Errand. You siphon the alloyed material from an item if possible, removing the effects that the original item would’ve had. If you cannot remove the effect then the skill fails.
You remove the alloy and regain its original form, while also maintaining the"&amp;" form of the item minus the effect. The special material is retrieved in raw units.")</f>
        <v>Errand. You siphon the alloyed material from an item if possible, removing the effects that the original item would’ve had. If you cannot remove the effect then the skill fails.
You remove the alloy and regain its original form, while also maintaining the form of the item minus the effect. The special material is retrieved in raw units.</v>
      </c>
      <c r="G756" s="263" t="str">
        <f>IFERROR(__xludf.DUMMYFUNCTION("""COMPUTED_VALUE"""),"")</f>
        <v/>
      </c>
      <c r="H756" s="265" t="str">
        <f>IFERROR(__xludf.DUMMYFUNCTION("""COMPUTED_VALUE"""),"")</f>
        <v/>
      </c>
      <c r="I756" s="264" t="str">
        <f>IFERROR(__xludf.DUMMYFUNCTION("""COMPUTED_VALUE"""),"")</f>
        <v/>
      </c>
      <c r="J756" s="263" t="str">
        <f>IFERROR(__xludf.DUMMYFUNCTION("""COMPUTED_VALUE"""),"")</f>
        <v/>
      </c>
      <c r="K756" s="263" t="str">
        <f>IFERROR(__xludf.DUMMYFUNCTION("""COMPUTED_VALUE"""),"")</f>
        <v/>
      </c>
      <c r="L756" s="263" t="str">
        <f>IFERROR(__xludf.DUMMYFUNCTION("""COMPUTED_VALUE"""),"")</f>
        <v/>
      </c>
      <c r="M756" s="263"/>
      <c r="N756" s="263"/>
      <c r="O756" s="263"/>
      <c r="P756" s="263"/>
      <c r="Q756" s="263"/>
      <c r="R756" s="263"/>
      <c r="S756" s="263"/>
      <c r="T756" s="263"/>
      <c r="U756" s="246"/>
      <c r="V756" s="246"/>
      <c r="W756" s="246"/>
      <c r="X756" s="246"/>
      <c r="Y756" s="246"/>
      <c r="Z756" s="246"/>
    </row>
    <row r="757">
      <c r="A757" s="263"/>
      <c r="B757" s="265" t="str">
        <f>IFERROR(__xludf.DUMMYFUNCTION("""COMPUTED_VALUE"""),"Siren Song")</f>
        <v>Siren Song</v>
      </c>
      <c r="C757" s="263"/>
      <c r="D757" s="264" t="str">
        <f>IFERROR(__xludf.DUMMYFUNCTION("""COMPUTED_VALUE"""),"Song, Sound")</f>
        <v>Song, Sound</v>
      </c>
      <c r="E757" s="264" t="str">
        <f>IFERROR(__xludf.DUMMYFUNCTION("""COMPUTED_VALUE"""),"60ft")</f>
        <v>60ft</v>
      </c>
      <c r="F757" s="266" t="str">
        <f>IFERROR(__xludf.DUMMYFUNCTION("""COMPUTED_VALUE"""),"All enemies in range must make a save against your Potency. If they fail, they may only spend AP on their next turn to move closer to you using the most direct path possible and cannot make attacks before that. To move closer, they may take actions that w"&amp;"ould help in getting closer such as standing up from prone or using fae flash.
If this path leads them through an obviously harmful hazard such as off a cliff, they are no longer affected by this ability. Otherwise, this ability lasts until they are withi"&amp;"n 5ft of you or until they take damage. While playing this Song, you can take no other actions. Taking any other action cancels the Song, immediately freeing all enemies from its effects. A creature can only be affected by this ability once per encounter.")</f>
        <v>All enemies in range must make a save against your Potency. If they fail, they may only spend AP on their next turn to move closer to you using the most direct path possible and cannot make attacks before that. To move closer, they may take actions that would help in getting closer such as standing up from prone or using fae flash.
If this path leads them through an obviously harmful hazard such as off a cliff, they are no longer affected by this ability. Otherwise, this ability lasts until they are within 5ft of you or until they take damage. While playing this Song, you can take no other actions. Taking any other action cancels the Song, immediately freeing all enemies from its effects. A creature can only be affected by this ability once per encounter.</v>
      </c>
      <c r="G757" s="263" t="str">
        <f>IFERROR(__xludf.DUMMYFUNCTION("""COMPUTED_VALUE"""),"")</f>
        <v/>
      </c>
      <c r="H757" s="265" t="str">
        <f>IFERROR(__xludf.DUMMYFUNCTION("""COMPUTED_VALUE"""),"3 AP")</f>
        <v>3 AP</v>
      </c>
      <c r="I757" s="264" t="str">
        <f>IFERROR(__xludf.DUMMYFUNCTION("""COMPUTED_VALUE"""),"3 AP")</f>
        <v>3 AP</v>
      </c>
      <c r="J757" s="263" t="str">
        <f>IFERROR(__xludf.DUMMYFUNCTION("""COMPUTED_VALUE"""),"")</f>
        <v/>
      </c>
      <c r="K757" s="263" t="str">
        <f>IFERROR(__xludf.DUMMYFUNCTION("""COMPUTED_VALUE"""),"")</f>
        <v/>
      </c>
      <c r="L757" s="263" t="str">
        <f>IFERROR(__xludf.DUMMYFUNCTION("""COMPUTED_VALUE"""),"")</f>
        <v/>
      </c>
      <c r="M757" s="263"/>
      <c r="N757" s="263"/>
      <c r="O757" s="263"/>
      <c r="P757" s="263"/>
      <c r="Q757" s="263"/>
      <c r="R757" s="263"/>
      <c r="S757" s="263"/>
      <c r="T757" s="263"/>
      <c r="U757" s="246"/>
      <c r="V757" s="246"/>
      <c r="W757" s="246"/>
      <c r="X757" s="246"/>
      <c r="Y757" s="246"/>
      <c r="Z757" s="246"/>
    </row>
    <row r="758">
      <c r="A758" s="263"/>
      <c r="B758" s="265" t="str">
        <f>IFERROR(__xludf.DUMMYFUNCTION("""COMPUTED_VALUE"""),"Skillfull Blow")</f>
        <v>Skillfull Blow</v>
      </c>
      <c r="C758" s="263"/>
      <c r="D758" s="263" t="str">
        <f>IFERROR(__xludf.DUMMYFUNCTION("""COMPUTED_VALUE"""),"Lock On")</f>
        <v>Lock On</v>
      </c>
      <c r="E758" s="263" t="str">
        <f>IFERROR(__xludf.DUMMYFUNCTION("""COMPUTED_VALUE"""),"Melee Weapon Range")</f>
        <v>Melee Weapon Range</v>
      </c>
      <c r="F758" s="266" t="str">
        <f>IFERROR(__xludf.DUMMYFUNCTION("""COMPUTED_VALUE"""),"You may make a Heavy Attack against the target.")</f>
        <v>You may make a Heavy Attack against the target.</v>
      </c>
      <c r="G758" s="264" t="str">
        <f>IFERROR(__xludf.DUMMYFUNCTION("""COMPUTED_VALUE"""),"")</f>
        <v/>
      </c>
      <c r="H758" s="267" t="str">
        <f>IFERROR(__xludf.DUMMYFUNCTION("""COMPUTED_VALUE"""),"2 AP, 2 MP")</f>
        <v>2 AP, 2 MP</v>
      </c>
      <c r="I758" s="263" t="str">
        <f>IFERROR(__xludf.DUMMYFUNCTION("""COMPUTED_VALUE"""),"2 AP")</f>
        <v>2 AP</v>
      </c>
      <c r="J758" s="263" t="str">
        <f>IFERROR(__xludf.DUMMYFUNCTION("""COMPUTED_VALUE"""),"2 MP")</f>
        <v>2 MP</v>
      </c>
      <c r="K758" s="263" t="str">
        <f>IFERROR(__xludf.DUMMYFUNCTION("""COMPUTED_VALUE"""),"")</f>
        <v/>
      </c>
      <c r="L758" s="263" t="str">
        <f>IFERROR(__xludf.DUMMYFUNCTION("""COMPUTED_VALUE"""),"")</f>
        <v/>
      </c>
      <c r="M758" s="263"/>
      <c r="N758" s="263"/>
      <c r="O758" s="263"/>
      <c r="P758" s="263"/>
      <c r="Q758" s="263"/>
      <c r="R758" s="263"/>
      <c r="S758" s="263"/>
      <c r="T758" s="263"/>
      <c r="U758" s="246"/>
      <c r="V758" s="246"/>
      <c r="W758" s="246"/>
      <c r="X758" s="246"/>
      <c r="Y758" s="246"/>
      <c r="Z758" s="246"/>
    </row>
    <row r="759">
      <c r="A759" s="263"/>
      <c r="B759" s="265" t="str">
        <f>IFERROR(__xludf.DUMMYFUNCTION("""COMPUTED_VALUE"""),"Skydive")</f>
        <v>Skydive</v>
      </c>
      <c r="C759" s="263"/>
      <c r="D759" s="263" t="str">
        <f>IFERROR(__xludf.DUMMYFUNCTION("""COMPUTED_VALUE"""),"Jump")</f>
        <v>Jump</v>
      </c>
      <c r="E759" s="263" t="str">
        <f>IFERROR(__xludf.DUMMYFUNCTION("""COMPUTED_VALUE"""),"Special")</f>
        <v>Special</v>
      </c>
      <c r="F759" s="266" t="str">
        <f>IFERROR(__xludf.DUMMYFUNCTION("""COMPUTED_VALUE"""),"You target an enemy below you, no more than 5ft away from you horizontally. You then immediately dive down to that target, making a Heavy Attack against them. You deal an additional point of damage for every 10ft you fell before making the attack, up to 1"&amp;"0 extra damage.")</f>
        <v>You target an enemy below you, no more than 5ft away from you horizontally. You then immediately dive down to that target, making a Heavy Attack against them. You deal an additional point of damage for every 10ft you fell before making the attack, up to 10 extra damage.</v>
      </c>
      <c r="G759" s="263" t="str">
        <f>IFERROR(__xludf.DUMMYFUNCTION("""COMPUTED_VALUE"""),"Must be airborne, polearm only.")</f>
        <v>Must be airborne, polearm only.</v>
      </c>
      <c r="H759" s="267" t="str">
        <f>IFERROR(__xludf.DUMMYFUNCTION("""COMPUTED_VALUE"""),"2 AP")</f>
        <v>2 AP</v>
      </c>
      <c r="I759" s="263" t="str">
        <f>IFERROR(__xludf.DUMMYFUNCTION("""COMPUTED_VALUE"""),"2 AP")</f>
        <v>2 AP</v>
      </c>
      <c r="J759" s="263" t="str">
        <f>IFERROR(__xludf.DUMMYFUNCTION("""COMPUTED_VALUE"""),"")</f>
        <v/>
      </c>
      <c r="K759" s="263" t="str">
        <f>IFERROR(__xludf.DUMMYFUNCTION("""COMPUTED_VALUE"""),"")</f>
        <v/>
      </c>
      <c r="L759" s="263" t="str">
        <f>IFERROR(__xludf.DUMMYFUNCTION("""COMPUTED_VALUE"""),"")</f>
        <v/>
      </c>
      <c r="M759" s="263"/>
      <c r="N759" s="263"/>
      <c r="O759" s="263"/>
      <c r="P759" s="263"/>
      <c r="Q759" s="263"/>
      <c r="R759" s="263"/>
      <c r="S759" s="263"/>
      <c r="T759" s="263"/>
      <c r="U759" s="246"/>
      <c r="V759" s="246"/>
      <c r="W759" s="246"/>
      <c r="X759" s="246"/>
      <c r="Y759" s="246"/>
      <c r="Z759" s="246"/>
    </row>
    <row r="760">
      <c r="A760" s="263"/>
      <c r="B760" s="265" t="str">
        <f>IFERROR(__xludf.DUMMYFUNCTION("""COMPUTED_VALUE"""),"Slam")</f>
        <v>Slam</v>
      </c>
      <c r="C760" s="263"/>
      <c r="D760" s="263" t="str">
        <f>IFERROR(__xludf.DUMMYFUNCTION("""COMPUTED_VALUE"""),"")</f>
        <v/>
      </c>
      <c r="E760" s="263" t="str">
        <f>IFERROR(__xludf.DUMMYFUNCTION("""COMPUTED_VALUE"""),"Melee Weapon Range")</f>
        <v>Melee Weapon Range</v>
      </c>
      <c r="F760" s="266" t="str">
        <f>IFERROR(__xludf.DUMMYFUNCTION("""COMPUTED_VALUE"""),"You attack a single target for Light Damage. On damage, the target is moved 5ft away from you if they are a Grunt or if your Power is higher than theirs, in addition the target must be no more than one size larger than you.
You may spend 1 Mana to ignore "&amp;"the Power requirement.")</f>
        <v>You attack a single target for Light Damage. On damage, the target is moved 5ft away from you if they are a Grunt or if your Power is higher than theirs, in addition the target must be no more than one size larger than you.
You may spend 1 Mana to ignore the Power requirement.</v>
      </c>
      <c r="G760" s="263" t="str">
        <f>IFERROR(__xludf.DUMMYFUNCTION("""COMPUTED_VALUE"""),"")</f>
        <v/>
      </c>
      <c r="H760" s="267" t="str">
        <f>IFERROR(__xludf.DUMMYFUNCTION("""COMPUTED_VALUE"""),"1 AP")</f>
        <v>1 AP</v>
      </c>
      <c r="I760" s="263" t="str">
        <f>IFERROR(__xludf.DUMMYFUNCTION("""COMPUTED_VALUE"""),"1 AP")</f>
        <v>1 AP</v>
      </c>
      <c r="J760" s="263" t="str">
        <f>IFERROR(__xludf.DUMMYFUNCTION("""COMPUTED_VALUE"""),"")</f>
        <v/>
      </c>
      <c r="K760" s="263" t="str">
        <f>IFERROR(__xludf.DUMMYFUNCTION("""COMPUTED_VALUE"""),"")</f>
        <v/>
      </c>
      <c r="L760" s="263" t="str">
        <f>IFERROR(__xludf.DUMMYFUNCTION("""COMPUTED_VALUE"""),"")</f>
        <v/>
      </c>
      <c r="M760" s="263"/>
      <c r="N760" s="263"/>
      <c r="O760" s="263"/>
      <c r="P760" s="263"/>
      <c r="Q760" s="263"/>
      <c r="R760" s="263"/>
      <c r="S760" s="263"/>
      <c r="T760" s="263"/>
      <c r="U760" s="246"/>
      <c r="V760" s="246"/>
      <c r="W760" s="246"/>
      <c r="X760" s="246"/>
      <c r="Y760" s="246"/>
      <c r="Z760" s="246"/>
    </row>
    <row r="761">
      <c r="A761" s="263"/>
      <c r="B761" s="265" t="str">
        <f>IFERROR(__xludf.DUMMYFUNCTION("""COMPUTED_VALUE"""),"Slide &amp; Shoot")</f>
        <v>Slide &amp; Shoot</v>
      </c>
      <c r="C761" s="263"/>
      <c r="D761" s="264" t="str">
        <f>IFERROR(__xludf.DUMMYFUNCTION("""COMPUTED_VALUE"""),"Pass, Sidestep, Combo")</f>
        <v>Pass, Sidestep, Combo</v>
      </c>
      <c r="E761" s="264" t="str">
        <f>IFERROR(__xludf.DUMMYFUNCTION("""COMPUTED_VALUE"""),"Ranged Weapon Range")</f>
        <v>Ranged Weapon Range</v>
      </c>
      <c r="F761" s="266" t="str">
        <f>IFERROR(__xludf.DUMMYFUNCTION("""COMPUTED_VALUE"""),"You slide forward up to 20ft towards your target. This movement does not provoke attacks of opportunity and you may pass through enemy space while moving. At the same time, you may make a Light Attack with your pistol against the target at any point durin"&amp;"g this movement.
Your next ability gains Combo: If this attack is an unarmed attack, its AP cost is reduced by 1.")</f>
        <v>You slide forward up to 20ft towards your target. This movement does not provoke attacks of opportunity and you may pass through enemy space while moving. At the same time, you may make a Light Attack with your pistol against the target at any point during this movement.
Your next ability gains Combo: If this attack is an unarmed attack, its AP cost is reduced by 1.</v>
      </c>
      <c r="G761" s="263" t="str">
        <f>IFERROR(__xludf.DUMMYFUNCTION("""COMPUTED_VALUE"""),"Pistol only.")</f>
        <v>Pistol only.</v>
      </c>
      <c r="H761" s="265" t="str">
        <f>IFERROR(__xludf.DUMMYFUNCTION("""COMPUTED_VALUE"""),"2 AP")</f>
        <v>2 AP</v>
      </c>
      <c r="I761" s="264" t="str">
        <f>IFERROR(__xludf.DUMMYFUNCTION("""COMPUTED_VALUE"""),"2 AP")</f>
        <v>2 AP</v>
      </c>
      <c r="J761" s="263" t="str">
        <f>IFERROR(__xludf.DUMMYFUNCTION("""COMPUTED_VALUE"""),"")</f>
        <v/>
      </c>
      <c r="K761" s="263" t="str">
        <f>IFERROR(__xludf.DUMMYFUNCTION("""COMPUTED_VALUE"""),"")</f>
        <v/>
      </c>
      <c r="L761" s="263" t="str">
        <f>IFERROR(__xludf.DUMMYFUNCTION("""COMPUTED_VALUE"""),"")</f>
        <v/>
      </c>
      <c r="M761" s="263"/>
      <c r="N761" s="263"/>
      <c r="O761" s="263"/>
      <c r="P761" s="263"/>
      <c r="Q761" s="263"/>
      <c r="R761" s="263"/>
      <c r="S761" s="263"/>
      <c r="T761" s="263"/>
      <c r="U761" s="246"/>
      <c r="V761" s="246"/>
      <c r="W761" s="246"/>
      <c r="X761" s="246"/>
      <c r="Y761" s="246"/>
      <c r="Z761" s="246"/>
    </row>
    <row r="762">
      <c r="A762" s="263"/>
      <c r="B762" s="265" t="str">
        <f>IFERROR(__xludf.DUMMYFUNCTION("""COMPUTED_VALUE"""),"Slime Body")</f>
        <v>Slime Body</v>
      </c>
      <c r="C762" s="263"/>
      <c r="D762" s="264" t="str">
        <f>IFERROR(__xludf.DUMMYFUNCTION("""COMPUTED_VALUE"""),"")</f>
        <v/>
      </c>
      <c r="E762" s="264" t="str">
        <f>IFERROR(__xludf.DUMMYFUNCTION("""COMPUTED_VALUE"""),"Self")</f>
        <v>Self</v>
      </c>
      <c r="F762" s="266" t="str">
        <f>IFERROR(__xludf.DUMMYFUNCTION("""COMPUTED_VALUE"""),"You gain Slime Body, which gives Damage Reduction 100 against physical damage against the next attack.")</f>
        <v>You gain Slime Body, which gives Damage Reduction 100 against physical damage against the next attack.</v>
      </c>
      <c r="G762" s="263" t="str">
        <f>IFERROR(__xludf.DUMMYFUNCTION("""COMPUTED_VALUE"""),"")</f>
        <v/>
      </c>
      <c r="H762" s="265" t="str">
        <f>IFERROR(__xludf.DUMMYFUNCTION("""COMPUTED_VALUE"""),"1 RP")</f>
        <v>1 RP</v>
      </c>
      <c r="I762" s="264" t="str">
        <f>IFERROR(__xludf.DUMMYFUNCTION("""COMPUTED_VALUE"""),"")</f>
        <v/>
      </c>
      <c r="J762" s="263" t="str">
        <f>IFERROR(__xludf.DUMMYFUNCTION("""COMPUTED_VALUE"""),"")</f>
        <v/>
      </c>
      <c r="K762" s="263" t="str">
        <f>IFERROR(__xludf.DUMMYFUNCTION("""COMPUTED_VALUE"""),"1 RP")</f>
        <v>1 RP</v>
      </c>
      <c r="L762" s="263" t="str">
        <f>IFERROR(__xludf.DUMMYFUNCTION("""COMPUTED_VALUE"""),"")</f>
        <v/>
      </c>
      <c r="M762" s="263"/>
      <c r="N762" s="263"/>
      <c r="O762" s="263"/>
      <c r="P762" s="263"/>
      <c r="Q762" s="263"/>
      <c r="R762" s="263"/>
      <c r="S762" s="263"/>
      <c r="T762" s="263"/>
      <c r="U762" s="246"/>
      <c r="V762" s="246"/>
      <c r="W762" s="246"/>
      <c r="X762" s="246"/>
      <c r="Y762" s="246"/>
      <c r="Z762" s="246"/>
    </row>
    <row r="763">
      <c r="A763" s="263"/>
      <c r="B763" s="265" t="str">
        <f>IFERROR(__xludf.DUMMYFUNCTION("""COMPUTED_VALUE"""),"Slow")</f>
        <v>Slow</v>
      </c>
      <c r="C763" s="263"/>
      <c r="D763" s="263" t="str">
        <f>IFERROR(__xludf.DUMMYFUNCTION("""COMPUTED_VALUE"""),"Spell, Slow")</f>
        <v>Spell, Slow</v>
      </c>
      <c r="E763" s="264" t="str">
        <f>IFERROR(__xludf.DUMMYFUNCTION("""COMPUTED_VALUE"""),"60ft")</f>
        <v>60ft</v>
      </c>
      <c r="F763" s="266" t="str">
        <f>IFERROR(__xludf.DUMMYFUNCTION("""COMPUTED_VALUE"""),"The target is slowed until the start of your next turn unless the target pays 1 RP to resist this effect.")</f>
        <v>The target is slowed until the start of your next turn unless the target pays 1 RP to resist this effect.</v>
      </c>
      <c r="G763" s="263" t="str">
        <f>IFERROR(__xludf.DUMMYFUNCTION("""COMPUTED_VALUE"""),"")</f>
        <v/>
      </c>
      <c r="H763" s="265" t="str">
        <f>IFERROR(__xludf.DUMMYFUNCTION("""COMPUTED_VALUE"""),"1 AP")</f>
        <v>1 AP</v>
      </c>
      <c r="I763" s="264" t="str">
        <f>IFERROR(__xludf.DUMMYFUNCTION("""COMPUTED_VALUE"""),"1 AP")</f>
        <v>1 AP</v>
      </c>
      <c r="J763" s="263" t="str">
        <f>IFERROR(__xludf.DUMMYFUNCTION("""COMPUTED_VALUE"""),"")</f>
        <v/>
      </c>
      <c r="K763" s="263" t="str">
        <f>IFERROR(__xludf.DUMMYFUNCTION("""COMPUTED_VALUE"""),"")</f>
        <v/>
      </c>
      <c r="L763" s="263" t="str">
        <f>IFERROR(__xludf.DUMMYFUNCTION("""COMPUTED_VALUE"""),"")</f>
        <v/>
      </c>
      <c r="M763" s="263"/>
      <c r="N763" s="263"/>
      <c r="O763" s="263"/>
      <c r="P763" s="263"/>
      <c r="Q763" s="263"/>
      <c r="R763" s="263"/>
      <c r="S763" s="263"/>
      <c r="T763" s="263"/>
      <c r="U763" s="246"/>
      <c r="V763" s="246"/>
      <c r="W763" s="246"/>
      <c r="X763" s="246"/>
      <c r="Y763" s="246"/>
      <c r="Z763" s="246"/>
    </row>
    <row r="764">
      <c r="A764" s="263"/>
      <c r="B764" s="265" t="str">
        <f>IFERROR(__xludf.DUMMYFUNCTION("""COMPUTED_VALUE"""),"Smash through the pain")</f>
        <v>Smash through the pain</v>
      </c>
      <c r="C764" s="263"/>
      <c r="D764" s="264" t="str">
        <f>IFERROR(__xludf.DUMMYFUNCTION("""COMPUTED_VALUE"""),"Rage")</f>
        <v>Rage</v>
      </c>
      <c r="E764" s="264" t="str">
        <f>IFERROR(__xludf.DUMMYFUNCTION("""COMPUTED_VALUE"""),"Self")</f>
        <v>Self</v>
      </c>
      <c r="F764" s="266" t="str">
        <f>IFERROR(__xludf.DUMMYFUNCTION("""COMPUTED_VALUE"""),"You gain Smash through the pain, which reduces the damage taken by the next attack by an amount equal to 3 + Power")</f>
        <v>You gain Smash through the pain, which reduces the damage taken by the next attack by an amount equal to 3 + Power</v>
      </c>
      <c r="G764" s="263" t="str">
        <f>IFERROR(__xludf.DUMMYFUNCTION("""COMPUTED_VALUE"""),"")</f>
        <v/>
      </c>
      <c r="H764" s="265" t="str">
        <f>IFERROR(__xludf.DUMMYFUNCTION("""COMPUTED_VALUE"""),"1 RP")</f>
        <v>1 RP</v>
      </c>
      <c r="I764" s="264" t="str">
        <f>IFERROR(__xludf.DUMMYFUNCTION("""COMPUTED_VALUE"""),"")</f>
        <v/>
      </c>
      <c r="J764" s="263" t="str">
        <f>IFERROR(__xludf.DUMMYFUNCTION("""COMPUTED_VALUE"""),"")</f>
        <v/>
      </c>
      <c r="K764" s="263" t="str">
        <f>IFERROR(__xludf.DUMMYFUNCTION("""COMPUTED_VALUE"""),"1 RP")</f>
        <v>1 RP</v>
      </c>
      <c r="L764" s="263" t="str">
        <f>IFERROR(__xludf.DUMMYFUNCTION("""COMPUTED_VALUE"""),"")</f>
        <v/>
      </c>
      <c r="M764" s="263"/>
      <c r="N764" s="263"/>
      <c r="O764" s="263"/>
      <c r="P764" s="263"/>
      <c r="Q764" s="263"/>
      <c r="R764" s="263"/>
      <c r="S764" s="263"/>
      <c r="T764" s="263"/>
      <c r="U764" s="246"/>
      <c r="V764" s="246"/>
      <c r="W764" s="246"/>
      <c r="X764" s="246"/>
      <c r="Y764" s="246"/>
      <c r="Z764" s="246"/>
    </row>
    <row r="765">
      <c r="A765" s="263"/>
      <c r="B765" s="265" t="str">
        <f>IFERROR(__xludf.DUMMYFUNCTION("""COMPUTED_VALUE"""),"Snack Time Everyone!~")</f>
        <v>Snack Time Everyone!~</v>
      </c>
      <c r="C765" s="263"/>
      <c r="D765" s="263" t="str">
        <f>IFERROR(__xludf.DUMMYFUNCTION("""COMPUTED_VALUE"""),"Upkeep")</f>
        <v>Upkeep</v>
      </c>
      <c r="E765" s="263" t="str">
        <f>IFERROR(__xludf.DUMMYFUNCTION("""COMPUTED_VALUE"""),"Self")</f>
        <v>Self</v>
      </c>
      <c r="F765" s="266" t="str">
        <f>IFERROR(__xludf.DUMMYFUNCTION("""COMPUTED_VALUE"""),"You present a tray of refreshing Health and Mana snacks to your allies. All allies within 5ft of you may spend 0 RP to eat a snack.
Health: The ally may spend 2 Mana to heal for 15 HP.
Mana: The ally recovers 1 Mana. This counts as a character’s one food "&amp;"for the day and a character cannot benefit from this ability if they already had food. Does not count as a meal for the purposes of fending of starvation.
You keep the tray of snacks up for 1 turn and a character walking within 5ft of you while it’s up ma"&amp;"y also spend the 0 RP to eat a snack.
Allies may also spend 0 AP to eat another snack. They can do this once per turn.
Upkeep: 1 Mana, you keep the tray up for an additional turn.")</f>
        <v>You present a tray of refreshing Health and Mana snacks to your allies. All allies within 5ft of you may spend 0 RP to eat a snack.
Health: The ally may spend 2 Mana to heal for 15 HP.
Mana: The ally recovers 1 Mana. This counts as a character’s one food for the day and a character cannot benefit from this ability if they already had food. Does not count as a meal for the purposes of fending of starvation.
You keep the tray of snacks up for 1 turn and a character walking within 5ft of you while it’s up may also spend the 0 RP to eat a snack.
Allies may also spend 0 AP to eat another snack. They can do this once per turn.
Upkeep: 1 Mana, you keep the tray up for an additional turn.</v>
      </c>
      <c r="G765" s="263" t="str">
        <f>IFERROR(__xludf.DUMMYFUNCTION("""COMPUTED_VALUE"""),"At least 1 hand free")</f>
        <v>At least 1 hand free</v>
      </c>
      <c r="H765" s="267" t="str">
        <f>IFERROR(__xludf.DUMMYFUNCTION("""COMPUTED_VALUE"""),"2 AP, 1 MP")</f>
        <v>2 AP, 1 MP</v>
      </c>
      <c r="I765" s="263" t="str">
        <f>IFERROR(__xludf.DUMMYFUNCTION("""COMPUTED_VALUE"""),"2 AP")</f>
        <v>2 AP</v>
      </c>
      <c r="J765" s="263" t="str">
        <f>IFERROR(__xludf.DUMMYFUNCTION("""COMPUTED_VALUE"""),"1 MP")</f>
        <v>1 MP</v>
      </c>
      <c r="K765" s="263" t="str">
        <f>IFERROR(__xludf.DUMMYFUNCTION("""COMPUTED_VALUE"""),"")</f>
        <v/>
      </c>
      <c r="L765" s="263" t="str">
        <f>IFERROR(__xludf.DUMMYFUNCTION("""COMPUTED_VALUE"""),"")</f>
        <v/>
      </c>
      <c r="M765" s="263"/>
      <c r="N765" s="263"/>
      <c r="O765" s="263"/>
      <c r="P765" s="263"/>
      <c r="Q765" s="263"/>
      <c r="R765" s="263"/>
      <c r="S765" s="263"/>
      <c r="T765" s="263"/>
      <c r="U765" s="246"/>
      <c r="V765" s="246"/>
      <c r="W765" s="246"/>
      <c r="X765" s="246"/>
      <c r="Y765" s="246"/>
      <c r="Z765" s="246"/>
    </row>
    <row r="766">
      <c r="A766" s="263"/>
      <c r="B766" s="265" t="str">
        <f>IFERROR(__xludf.DUMMYFUNCTION("""COMPUTED_VALUE"""),"Snap Shot")</f>
        <v>Snap Shot</v>
      </c>
      <c r="C766" s="263"/>
      <c r="D766" s="263" t="str">
        <f>IFERROR(__xludf.DUMMYFUNCTION("""COMPUTED_VALUE"""),"")</f>
        <v/>
      </c>
      <c r="E766" s="263" t="str">
        <f>IFERROR(__xludf.DUMMYFUNCTION("""COMPUTED_VALUE"""),"Ranged Weapon Range")</f>
        <v>Ranged Weapon Range</v>
      </c>
      <c r="F766" s="266" t="str">
        <f>IFERROR(__xludf.DUMMYFUNCTION("""COMPUTED_VALUE"""),"You may make a Heavy Attack against the target with a ranged weapon or a thrown weapon. You do not add your Focus to the accuracy roll.")</f>
        <v>You may make a Heavy Attack against the target with a ranged weapon or a thrown weapon. You do not add your Focus to the accuracy roll.</v>
      </c>
      <c r="G766" s="263" t="str">
        <f>IFERROR(__xludf.DUMMYFUNCTION("""COMPUTED_VALUE"""),"")</f>
        <v/>
      </c>
      <c r="H766" s="267" t="str">
        <f>IFERROR(__xludf.DUMMYFUNCTION("""COMPUTED_VALUE"""),"1 AP")</f>
        <v>1 AP</v>
      </c>
      <c r="I766" s="263" t="str">
        <f>IFERROR(__xludf.DUMMYFUNCTION("""COMPUTED_VALUE"""),"1 AP")</f>
        <v>1 AP</v>
      </c>
      <c r="J766" s="263" t="str">
        <f>IFERROR(__xludf.DUMMYFUNCTION("""COMPUTED_VALUE"""),"")</f>
        <v/>
      </c>
      <c r="K766" s="263" t="str">
        <f>IFERROR(__xludf.DUMMYFUNCTION("""COMPUTED_VALUE"""),"")</f>
        <v/>
      </c>
      <c r="L766" s="263" t="str">
        <f>IFERROR(__xludf.DUMMYFUNCTION("""COMPUTED_VALUE"""),"")</f>
        <v/>
      </c>
      <c r="M766" s="263"/>
      <c r="N766" s="263"/>
      <c r="O766" s="263"/>
      <c r="P766" s="263"/>
      <c r="Q766" s="263"/>
      <c r="R766" s="263"/>
      <c r="S766" s="263"/>
      <c r="T766" s="263"/>
      <c r="U766" s="246"/>
      <c r="V766" s="246"/>
      <c r="W766" s="246"/>
      <c r="X766" s="246"/>
      <c r="Y766" s="246"/>
      <c r="Z766" s="246"/>
    </row>
    <row r="767">
      <c r="A767" s="263"/>
      <c r="B767" s="265" t="str">
        <f>IFERROR(__xludf.DUMMYFUNCTION("""COMPUTED_VALUE"""),"Snap Shot II")</f>
        <v>Snap Shot II</v>
      </c>
      <c r="C767" s="263"/>
      <c r="D767" s="263" t="str">
        <f>IFERROR(__xludf.DUMMYFUNCTION("""COMPUTED_VALUE"""),"")</f>
        <v/>
      </c>
      <c r="E767" s="263" t="str">
        <f>IFERROR(__xludf.DUMMYFUNCTION("""COMPUTED_VALUE"""),"Ranged Weapon Range")</f>
        <v>Ranged Weapon Range</v>
      </c>
      <c r="F767" s="266" t="str">
        <f>IFERROR(__xludf.DUMMYFUNCTION("""COMPUTED_VALUE"""),"You may make a Light Attack against the target. You do not add your focus to this roll.")</f>
        <v>You may make a Light Attack against the target. You do not add your focus to this roll.</v>
      </c>
      <c r="G767" s="263" t="str">
        <f>IFERROR(__xludf.DUMMYFUNCTION("""COMPUTED_VALUE"""),"")</f>
        <v/>
      </c>
      <c r="H767" s="267" t="str">
        <f>IFERROR(__xludf.DUMMYFUNCTION("""COMPUTED_VALUE"""),"0 AP, 1 MP")</f>
        <v>0 AP, 1 MP</v>
      </c>
      <c r="I767" s="263" t="str">
        <f>IFERROR(__xludf.DUMMYFUNCTION("""COMPUTED_VALUE"""),"0 AP")</f>
        <v>0 AP</v>
      </c>
      <c r="J767" s="263" t="str">
        <f>IFERROR(__xludf.DUMMYFUNCTION("""COMPUTED_VALUE"""),"1 MP")</f>
        <v>1 MP</v>
      </c>
      <c r="K767" s="263" t="str">
        <f>IFERROR(__xludf.DUMMYFUNCTION("""COMPUTED_VALUE"""),"")</f>
        <v/>
      </c>
      <c r="L767" s="263" t="str">
        <f>IFERROR(__xludf.DUMMYFUNCTION("""COMPUTED_VALUE"""),"")</f>
        <v/>
      </c>
      <c r="M767" s="263"/>
      <c r="N767" s="263"/>
      <c r="O767" s="263"/>
      <c r="P767" s="263"/>
      <c r="Q767" s="263"/>
      <c r="R767" s="263"/>
      <c r="S767" s="263"/>
      <c r="T767" s="263"/>
      <c r="U767" s="246"/>
      <c r="V767" s="246"/>
      <c r="W767" s="246"/>
      <c r="X767" s="246"/>
      <c r="Y767" s="246"/>
      <c r="Z767" s="246"/>
    </row>
    <row r="768">
      <c r="A768" s="263"/>
      <c r="B768" s="265" t="str">
        <f>IFERROR(__xludf.DUMMYFUNCTION("""COMPUTED_VALUE"""),"Snatch")</f>
        <v>Snatch</v>
      </c>
      <c r="C768" s="263"/>
      <c r="D768" s="264" t="str">
        <f>IFERROR(__xludf.DUMMYFUNCTION("""COMPUTED_VALUE"""),"Stealth")</f>
        <v>Stealth</v>
      </c>
      <c r="E768" s="264" t="str">
        <f>IFERROR(__xludf.DUMMYFUNCTION("""COMPUTED_VALUE"""),"5ft")</f>
        <v>5ft</v>
      </c>
      <c r="F768" s="266" t="str">
        <f>IFERROR(__xludf.DUMMYFUNCTION("""COMPUTED_VALUE"""),"You may use this when a target in range uses the interact with object action. If you can hold the object the target is interacting with in one hand, you steal it from them. Any AP they may have spent on their action is not refunded to them.")</f>
        <v>You may use this when a target in range uses the interact with object action. If you can hold the object the target is interacting with in one hand, you steal it from them. Any AP they may have spent on their action is not refunded to them.</v>
      </c>
      <c r="G768" s="264" t="str">
        <f>IFERROR(__xludf.DUMMYFUNCTION("""COMPUTED_VALUE"""),"At least 1 hand free.")</f>
        <v>At least 1 hand free.</v>
      </c>
      <c r="H768" s="265" t="str">
        <f>IFERROR(__xludf.DUMMYFUNCTION("""COMPUTED_VALUE"""),"0 RP")</f>
        <v>0 RP</v>
      </c>
      <c r="I768" s="263" t="str">
        <f>IFERROR(__xludf.DUMMYFUNCTION("""COMPUTED_VALUE"""),"")</f>
        <v/>
      </c>
      <c r="J768" s="263" t="str">
        <f>IFERROR(__xludf.DUMMYFUNCTION("""COMPUTED_VALUE"""),"")</f>
        <v/>
      </c>
      <c r="K768" s="264" t="str">
        <f>IFERROR(__xludf.DUMMYFUNCTION("""COMPUTED_VALUE"""),"0 RP")</f>
        <v>0 RP</v>
      </c>
      <c r="L768" s="263" t="str">
        <f>IFERROR(__xludf.DUMMYFUNCTION("""COMPUTED_VALUE"""),"")</f>
        <v/>
      </c>
      <c r="M768" s="263"/>
      <c r="N768" s="263"/>
      <c r="O768" s="263"/>
      <c r="P768" s="263"/>
      <c r="Q768" s="263"/>
      <c r="R768" s="263"/>
      <c r="S768" s="263"/>
      <c r="T768" s="263"/>
      <c r="U768" s="246"/>
      <c r="V768" s="246"/>
      <c r="W768" s="246"/>
      <c r="X768" s="246"/>
      <c r="Y768" s="246"/>
      <c r="Z768" s="246"/>
    </row>
    <row r="769">
      <c r="A769" s="263"/>
      <c r="B769" s="265" t="str">
        <f>IFERROR(__xludf.DUMMYFUNCTION("""COMPUTED_VALUE"""),"Sneak Attack")</f>
        <v>Sneak Attack</v>
      </c>
      <c r="C769" s="263"/>
      <c r="D769" s="263" t="str">
        <f>IFERROR(__xludf.DUMMYFUNCTION("""COMPUTED_VALUE"""),"Trick Attack")</f>
        <v>Trick Attack</v>
      </c>
      <c r="E769" s="264" t="str">
        <f>IFERROR(__xludf.DUMMYFUNCTION("""COMPUTED_VALUE"""),"Melee Weapon Range")</f>
        <v>Melee Weapon Range</v>
      </c>
      <c r="F769" s="266" t="str">
        <f>IFERROR(__xludf.DUMMYFUNCTION("""COMPUTED_VALUE"""),"You may make a Heavy Attack against the target.")</f>
        <v>You may make a Heavy Attack against the target.</v>
      </c>
      <c r="G769" s="263" t="str">
        <f>IFERROR(__xludf.DUMMYFUNCTION("""COMPUTED_VALUE"""),"")</f>
        <v/>
      </c>
      <c r="H769" s="265" t="str">
        <f>IFERROR(__xludf.DUMMYFUNCTION("""COMPUTED_VALUE"""),"2 AP, 2 MP")</f>
        <v>2 AP, 2 MP</v>
      </c>
      <c r="I769" s="264" t="str">
        <f>IFERROR(__xludf.DUMMYFUNCTION("""COMPUTED_VALUE"""),"2 AP")</f>
        <v>2 AP</v>
      </c>
      <c r="J769" s="263" t="str">
        <f>IFERROR(__xludf.DUMMYFUNCTION("""COMPUTED_VALUE"""),"2 MP")</f>
        <v>2 MP</v>
      </c>
      <c r="K769" s="263" t="str">
        <f>IFERROR(__xludf.DUMMYFUNCTION("""COMPUTED_VALUE"""),"")</f>
        <v/>
      </c>
      <c r="L769" s="263" t="str">
        <f>IFERROR(__xludf.DUMMYFUNCTION("""COMPUTED_VALUE"""),"")</f>
        <v/>
      </c>
      <c r="M769" s="263"/>
      <c r="N769" s="263"/>
      <c r="O769" s="263"/>
      <c r="P769" s="263"/>
      <c r="Q769" s="263"/>
      <c r="R769" s="263"/>
      <c r="S769" s="263"/>
      <c r="T769" s="263"/>
      <c r="U769" s="246"/>
      <c r="V769" s="246"/>
      <c r="W769" s="246"/>
      <c r="X769" s="246"/>
      <c r="Y769" s="246"/>
      <c r="Z769" s="246"/>
    </row>
    <row r="770">
      <c r="A770" s="263"/>
      <c r="B770" s="265" t="str">
        <f>IFERROR(__xludf.DUMMYFUNCTION("""COMPUTED_VALUE"""),"Solar Radiance")</f>
        <v>Solar Radiance</v>
      </c>
      <c r="C770" s="263"/>
      <c r="D770" s="263" t="str">
        <f>IFERROR(__xludf.DUMMYFUNCTION("""COMPUTED_VALUE"""),"")</f>
        <v/>
      </c>
      <c r="E770" s="263" t="str">
        <f>IFERROR(__xludf.DUMMYFUNCTION("""COMPUTED_VALUE"""),"")</f>
        <v/>
      </c>
      <c r="F770" s="266" t="str">
        <f>IFERROR(__xludf.DUMMYFUNCTION("""COMPUTED_VALUE"""),"You shine brightly like the sun in a 60ft radius around you. You cannot turn this off, but you can lower the range to just 5ft. This light counts as sunlight, though any negative effects a creature suffers from it are halved. It also counts as bright ligh"&amp;"t for creatures weak to light.")</f>
        <v>You shine brightly like the sun in a 60ft radius around you. You cannot turn this off, but you can lower the range to just 5ft. This light counts as sunlight, though any negative effects a creature suffers from it are halved. It also counts as bright light for creatures weak to light.</v>
      </c>
      <c r="G770" s="264" t="str">
        <f>IFERROR(__xludf.DUMMYFUNCTION("""COMPUTED_VALUE"""),"")</f>
        <v/>
      </c>
      <c r="H770" s="267" t="str">
        <f>IFERROR(__xludf.DUMMYFUNCTION("""COMPUTED_VALUE"""),"")</f>
        <v/>
      </c>
      <c r="I770" s="263" t="str">
        <f>IFERROR(__xludf.DUMMYFUNCTION("""COMPUTED_VALUE"""),"")</f>
        <v/>
      </c>
      <c r="J770" s="263" t="str">
        <f>IFERROR(__xludf.DUMMYFUNCTION("""COMPUTED_VALUE"""),"")</f>
        <v/>
      </c>
      <c r="K770" s="263" t="str">
        <f>IFERROR(__xludf.DUMMYFUNCTION("""COMPUTED_VALUE"""),"")</f>
        <v/>
      </c>
      <c r="L770" s="263" t="str">
        <f>IFERROR(__xludf.DUMMYFUNCTION("""COMPUTED_VALUE"""),"")</f>
        <v/>
      </c>
      <c r="M770" s="263"/>
      <c r="N770" s="263"/>
      <c r="O770" s="263"/>
      <c r="P770" s="263"/>
      <c r="Q770" s="263"/>
      <c r="R770" s="263"/>
      <c r="S770" s="263"/>
      <c r="T770" s="263"/>
      <c r="U770" s="246"/>
      <c r="V770" s="246"/>
      <c r="W770" s="246"/>
      <c r="X770" s="246"/>
      <c r="Y770" s="246"/>
      <c r="Z770" s="246"/>
    </row>
    <row r="771">
      <c r="A771" s="263"/>
      <c r="B771" s="265" t="str">
        <f>IFERROR(__xludf.DUMMYFUNCTION("""COMPUTED_VALUE"""),"Soul Absorption")</f>
        <v>Soul Absorption</v>
      </c>
      <c r="C771" s="263"/>
      <c r="D771" s="263" t="str">
        <f>IFERROR(__xludf.DUMMYFUNCTION("""COMPUTED_VALUE"""),"Spell, Dark, Full Pierce, Sure Hit")</f>
        <v>Spell, Dark, Full Pierce, Sure Hit</v>
      </c>
      <c r="E771" s="264" t="str">
        <f>IFERROR(__xludf.DUMMYFUNCTION("""COMPUTED_VALUE"""),"20ft")</f>
        <v>20ft</v>
      </c>
      <c r="F771" s="266" t="str">
        <f>IFERROR(__xludf.DUMMYFUNCTION("""COMPUTED_VALUE"""),"You make a Light Attack against a willing target that deals Light Dark damage. Your next Dark type Spell or Attack other than Soul Absorption gains extra damage equal to damage taken by the target. (Does not stack)")</f>
        <v>You make a Light Attack against a willing target that deals Light Dark damage. Your next Dark type Spell or Attack other than Soul Absorption gains extra damage equal to damage taken by the target. (Does not stack)</v>
      </c>
      <c r="G771" s="264" t="str">
        <f>IFERROR(__xludf.DUMMYFUNCTION("""COMPUTED_VALUE"""),"")</f>
        <v/>
      </c>
      <c r="H771" s="265" t="str">
        <f>IFERROR(__xludf.DUMMYFUNCTION("""COMPUTED_VALUE"""),"0 AP, 1 MP")</f>
        <v>0 AP, 1 MP</v>
      </c>
      <c r="I771" s="264" t="str">
        <f>IFERROR(__xludf.DUMMYFUNCTION("""COMPUTED_VALUE"""),"0 AP")</f>
        <v>0 AP</v>
      </c>
      <c r="J771" s="263" t="str">
        <f>IFERROR(__xludf.DUMMYFUNCTION("""COMPUTED_VALUE"""),"1 MP")</f>
        <v>1 MP</v>
      </c>
      <c r="K771" s="263" t="str">
        <f>IFERROR(__xludf.DUMMYFUNCTION("""COMPUTED_VALUE"""),"")</f>
        <v/>
      </c>
      <c r="L771" s="263" t="str">
        <f>IFERROR(__xludf.DUMMYFUNCTION("""COMPUTED_VALUE"""),"")</f>
        <v/>
      </c>
      <c r="M771" s="263"/>
      <c r="N771" s="263"/>
      <c r="O771" s="263"/>
      <c r="P771" s="263"/>
      <c r="Q771" s="263"/>
      <c r="R771" s="263"/>
      <c r="S771" s="263"/>
      <c r="T771" s="263"/>
      <c r="U771" s="246"/>
      <c r="V771" s="246"/>
      <c r="W771" s="246"/>
      <c r="X771" s="246"/>
      <c r="Y771" s="246"/>
      <c r="Z771" s="246"/>
    </row>
    <row r="772">
      <c r="A772" s="263"/>
      <c r="B772" s="265" t="str">
        <f>IFERROR(__xludf.DUMMYFUNCTION("""COMPUTED_VALUE"""),"Soul Strike")</f>
        <v>Soul Strike</v>
      </c>
      <c r="C772" s="263"/>
      <c r="D772" s="264" t="str">
        <f>IFERROR(__xludf.DUMMYFUNCTION("""COMPUTED_VALUE"""),"Killing Blow, Overcharge")</f>
        <v>Killing Blow, Overcharge</v>
      </c>
      <c r="E772" s="264" t="str">
        <f>IFERROR(__xludf.DUMMYFUNCTION("""COMPUTED_VALUE"""),"60ft")</f>
        <v>60ft</v>
      </c>
      <c r="F772" s="266" t="str">
        <f>IFERROR(__xludf.DUMMYFUNCTION("""COMPUTED_VALUE"""),"After landing a killing blow, you can use Soul Strike once on that target.  If they are still at 0 HP or less, you raise an orb of divine energy out of the target, killing them instantly.  You then use that orb against a second target, making a light atta"&amp;"ck that deals dark damage.  It is possible to use Soul Strike while in Cat Form. Overcharge: You may spend 1 extra AP to instead make a heavy or precise attack.")</f>
        <v>After landing a killing blow, you can use Soul Strike once on that target.  If they are still at 0 HP or less, you raise an orb of divine energy out of the target, killing them instantly.  You then use that orb against a second target, making a light attack that deals dark damage.  It is possible to use Soul Strike while in Cat Form. Overcharge: You may spend 1 extra AP to instead make a heavy or precise attack.</v>
      </c>
      <c r="G772" s="264" t="str">
        <f>IFERROR(__xludf.DUMMYFUNCTION("""COMPUTED_VALUE"""),"You land a killing blow.")</f>
        <v>You land a killing blow.</v>
      </c>
      <c r="H772" s="265" t="str">
        <f>IFERROR(__xludf.DUMMYFUNCTION("""COMPUTED_VALUE"""),"0 AP")</f>
        <v>0 AP</v>
      </c>
      <c r="I772" s="263" t="str">
        <f>IFERROR(__xludf.DUMMYFUNCTION("""COMPUTED_VALUE"""),"0 AP")</f>
        <v>0 AP</v>
      </c>
      <c r="J772" s="263" t="str">
        <f>IFERROR(__xludf.DUMMYFUNCTION("""COMPUTED_VALUE"""),"")</f>
        <v/>
      </c>
      <c r="K772" s="264" t="str">
        <f>IFERROR(__xludf.DUMMYFUNCTION("""COMPUTED_VALUE"""),"")</f>
        <v/>
      </c>
      <c r="L772" s="263" t="str">
        <f>IFERROR(__xludf.DUMMYFUNCTION("""COMPUTED_VALUE"""),"")</f>
        <v/>
      </c>
      <c r="M772" s="263"/>
      <c r="N772" s="263"/>
      <c r="O772" s="263"/>
      <c r="P772" s="263"/>
      <c r="Q772" s="263"/>
      <c r="R772" s="263"/>
      <c r="S772" s="263"/>
      <c r="T772" s="263"/>
      <c r="U772" s="246"/>
      <c r="V772" s="246"/>
      <c r="W772" s="246"/>
      <c r="X772" s="246"/>
      <c r="Y772" s="246"/>
      <c r="Z772" s="246"/>
    </row>
    <row r="773">
      <c r="A773" s="263"/>
      <c r="B773" s="265" t="str">
        <f>IFERROR(__xludf.DUMMYFUNCTION("""COMPUTED_VALUE"""),"Soulreap")</f>
        <v>Soulreap</v>
      </c>
      <c r="C773" s="263"/>
      <c r="D773" s="264" t="str">
        <f>IFERROR(__xludf.DUMMYFUNCTION("""COMPUTED_VALUE"""),"Killing Blow")</f>
        <v>Killing Blow</v>
      </c>
      <c r="E773" s="264" t="str">
        <f>IFERROR(__xludf.DUMMYFUNCTION("""COMPUTED_VALUE"""),"Melee Weapon Range")</f>
        <v>Melee Weapon Range</v>
      </c>
      <c r="F773" s="266" t="str">
        <f>IFERROR(__xludf.DUMMYFUNCTION("""COMPUTED_VALUE"""),"You may make a Heavy Attack against the target. On Killing Blow, you instantly kill the target and immediately cast Raise Undead on the target for 0 AP.")</f>
        <v>You may make a Heavy Attack against the target. On Killing Blow, you instantly kill the target and immediately cast Raise Undead on the target for 0 AP.</v>
      </c>
      <c r="G773" s="263" t="str">
        <f>IFERROR(__xludf.DUMMYFUNCTION("""COMPUTED_VALUE"""),"")</f>
        <v/>
      </c>
      <c r="H773" s="265" t="str">
        <f>IFERROR(__xludf.DUMMYFUNCTION("""COMPUTED_VALUE"""),"2 AP, 1 MP")</f>
        <v>2 AP, 1 MP</v>
      </c>
      <c r="I773" s="264" t="str">
        <f>IFERROR(__xludf.DUMMYFUNCTION("""COMPUTED_VALUE"""),"2 AP")</f>
        <v>2 AP</v>
      </c>
      <c r="J773" s="263" t="str">
        <f>IFERROR(__xludf.DUMMYFUNCTION("""COMPUTED_VALUE"""),"1 MP")</f>
        <v>1 MP</v>
      </c>
      <c r="K773" s="263" t="str">
        <f>IFERROR(__xludf.DUMMYFUNCTION("""COMPUTED_VALUE"""),"")</f>
        <v/>
      </c>
      <c r="L773" s="263" t="str">
        <f>IFERROR(__xludf.DUMMYFUNCTION("""COMPUTED_VALUE"""),"")</f>
        <v/>
      </c>
      <c r="M773" s="263"/>
      <c r="N773" s="263"/>
      <c r="O773" s="263"/>
      <c r="P773" s="263"/>
      <c r="Q773" s="263"/>
      <c r="R773" s="263"/>
      <c r="S773" s="263"/>
      <c r="T773" s="263"/>
      <c r="U773" s="246"/>
      <c r="V773" s="246"/>
      <c r="W773" s="246"/>
      <c r="X773" s="246"/>
      <c r="Y773" s="246"/>
      <c r="Z773" s="246"/>
    </row>
    <row r="774">
      <c r="A774" s="263"/>
      <c r="B774" s="265" t="str">
        <f>IFERROR(__xludf.DUMMYFUNCTION("""COMPUTED_VALUE"""),"Sound the retreat")</f>
        <v>Sound the retreat</v>
      </c>
      <c r="C774" s="263"/>
      <c r="D774" s="263" t="str">
        <f>IFERROR(__xludf.DUMMYFUNCTION("""COMPUTED_VALUE"""),"Sidestep")</f>
        <v>Sidestep</v>
      </c>
      <c r="E774" s="263" t="str">
        <f>IFERROR(__xludf.DUMMYFUNCTION("""COMPUTED_VALUE"""),"Self")</f>
        <v>Self</v>
      </c>
      <c r="F774" s="266" t="str">
        <f>IFERROR(__xludf.DUMMYFUNCTION("""COMPUTED_VALUE"""),"You sidestep 4 times your speed, moving as far away from visible enemies as possible. After that, your allies may sidestep up to twice their speed towards you.")</f>
        <v>You sidestep 4 times your speed, moving as far away from visible enemies as possible. After that, your allies may sidestep up to twice their speed towards you.</v>
      </c>
      <c r="G774" s="263" t="str">
        <f>IFERROR(__xludf.DUMMYFUNCTION("""COMPUTED_VALUE"""),"")</f>
        <v/>
      </c>
      <c r="H774" s="267" t="str">
        <f>IFERROR(__xludf.DUMMYFUNCTION("""COMPUTED_VALUE"""),"4 AP")</f>
        <v>4 AP</v>
      </c>
      <c r="I774" s="263" t="str">
        <f>IFERROR(__xludf.DUMMYFUNCTION("""COMPUTED_VALUE"""),"4 AP")</f>
        <v>4 AP</v>
      </c>
      <c r="J774" s="263" t="str">
        <f>IFERROR(__xludf.DUMMYFUNCTION("""COMPUTED_VALUE"""),"")</f>
        <v/>
      </c>
      <c r="K774" s="263" t="str">
        <f>IFERROR(__xludf.DUMMYFUNCTION("""COMPUTED_VALUE"""),"")</f>
        <v/>
      </c>
      <c r="L774" s="263" t="str">
        <f>IFERROR(__xludf.DUMMYFUNCTION("""COMPUTED_VALUE"""),"")</f>
        <v/>
      </c>
      <c r="M774" s="263"/>
      <c r="N774" s="263"/>
      <c r="O774" s="263"/>
      <c r="P774" s="263"/>
      <c r="Q774" s="263"/>
      <c r="R774" s="263"/>
      <c r="S774" s="263"/>
      <c r="T774" s="263"/>
      <c r="U774" s="246"/>
      <c r="V774" s="246"/>
      <c r="W774" s="246"/>
      <c r="X774" s="246"/>
      <c r="Y774" s="246"/>
      <c r="Z774" s="246"/>
    </row>
    <row r="775">
      <c r="A775" s="263"/>
      <c r="B775" s="265" t="str">
        <f>IFERROR(__xludf.DUMMYFUNCTION("""COMPUTED_VALUE"""),"Speak with dead")</f>
        <v>Speak with dead</v>
      </c>
      <c r="C775" s="263"/>
      <c r="D775" s="264" t="str">
        <f>IFERROR(__xludf.DUMMYFUNCTION("""COMPUTED_VALUE"""),"")</f>
        <v/>
      </c>
      <c r="E775" s="264" t="str">
        <f>IFERROR(__xludf.DUMMYFUNCTION("""COMPUTED_VALUE"""),"'-")</f>
        <v>'-</v>
      </c>
      <c r="F775" s="266" t="str">
        <f>IFERROR(__xludf.DUMMYFUNCTION("""COMPUTED_VALUE"""),"You attempt to communicate with the soul of a person who has died recently. This requires you to perform a ritual that takes an hour, that must be performed next to the corpse or where the person died. You must be aware of the identity of the person you’r"&amp;"e trying to contact. Finally, you must have a tool such as an ouija board that allows the spirit to communicate with you. Even if the ritual succeeds, the spirit is not forced to answer your questions if hostile to you or it might answer in cryptic ways.")</f>
        <v>You attempt to communicate with the soul of a person who has died recently. This requires you to perform a ritual that takes an hour, that must be performed next to the corpse or where the person died. You must be aware of the identity of the person you’re trying to contact. Finally, you must have a tool such as an ouija board that allows the spirit to communicate with you. Even if the ritual succeeds, the spirit is not forced to answer your questions if hostile to you or it might answer in cryptic ways.</v>
      </c>
      <c r="G775" s="263" t="str">
        <f>IFERROR(__xludf.DUMMYFUNCTION("""COMPUTED_VALUE"""),"Special")</f>
        <v>Special</v>
      </c>
      <c r="H775" s="265" t="str">
        <f>IFERROR(__xludf.DUMMYFUNCTION("""COMPUTED_VALUE"""),"1 MP")</f>
        <v>1 MP</v>
      </c>
      <c r="I775" s="264" t="str">
        <f>IFERROR(__xludf.DUMMYFUNCTION("""COMPUTED_VALUE"""),"")</f>
        <v/>
      </c>
      <c r="J775" s="264" t="str">
        <f>IFERROR(__xludf.DUMMYFUNCTION("""COMPUTED_VALUE"""),"1 MP")</f>
        <v>1 MP</v>
      </c>
      <c r="K775" s="263" t="str">
        <f>IFERROR(__xludf.DUMMYFUNCTION("""COMPUTED_VALUE"""),"")</f>
        <v/>
      </c>
      <c r="L775" s="263" t="str">
        <f>IFERROR(__xludf.DUMMYFUNCTION("""COMPUTED_VALUE"""),"")</f>
        <v/>
      </c>
      <c r="M775" s="263"/>
      <c r="N775" s="263"/>
      <c r="O775" s="263"/>
      <c r="P775" s="263"/>
      <c r="Q775" s="263"/>
      <c r="R775" s="263"/>
      <c r="S775" s="263"/>
      <c r="T775" s="263"/>
      <c r="U775" s="246"/>
      <c r="V775" s="246"/>
      <c r="W775" s="246"/>
      <c r="X775" s="246"/>
      <c r="Y775" s="246"/>
      <c r="Z775" s="246"/>
    </row>
    <row r="776">
      <c r="A776" s="263"/>
      <c r="B776" s="265" t="str">
        <f>IFERROR(__xludf.DUMMYFUNCTION("""COMPUTED_VALUE"""),"Spear Charge")</f>
        <v>Spear Charge</v>
      </c>
      <c r="C776" s="263"/>
      <c r="D776" s="263" t="str">
        <f>IFERROR(__xludf.DUMMYFUNCTION("""COMPUTED_VALUE"""),"")</f>
        <v/>
      </c>
      <c r="E776" s="264" t="str">
        <f>IFERROR(__xludf.DUMMYFUNCTION("""COMPUTED_VALUE"""),"Self")</f>
        <v>Self</v>
      </c>
      <c r="F776" s="266" t="str">
        <f>IFERROR(__xludf.DUMMYFUNCTION("""COMPUTED_VALUE"""),"You may spend 2 or 4 AP on this ability and move as though you had spent that AP on movement. After you finish moving, you may spend half of the AP you used on this ability on a single Light or Heavy attack.
For every 10ft moved, this attack gains +1 dama"&amp;"ge up to a maximum of +10.
If you spent 4 AP on this ability, you may also choose to use Wild Thrusts instead of making a Light or Heavy attack. These attacks only gain the damage bonus listed above for the initial attacks (and not the constant attacks of"&amp;" opportunity) and Wild Thrusts mana cost is reduced to 0 if used in this way.")</f>
        <v>You may spend 2 or 4 AP on this ability and move as though you had spent that AP on movement. After you finish moving, you may spend half of the AP you used on this ability on a single Light or Heavy attack.
For every 10ft moved, this attack gains +1 damage up to a maximum of +10.
If you spent 4 AP on this ability, you may also choose to use Wild Thrusts instead of making a Light or Heavy attack. These attacks only gain the damage bonus listed above for the initial attacks (and not the constant attacks of opportunity) and Wild Thrusts mana cost is reduced to 0 if used in this way.</v>
      </c>
      <c r="G776" s="263" t="str">
        <f>IFERROR(__xludf.DUMMYFUNCTION("""COMPUTED_VALUE"""),"Polearm only.")</f>
        <v>Polearm only.</v>
      </c>
      <c r="H776" s="265" t="str">
        <f>IFERROR(__xludf.DUMMYFUNCTION("""COMPUTED_VALUE"""),"X AP")</f>
        <v>X AP</v>
      </c>
      <c r="I776" s="264" t="str">
        <f>IFERROR(__xludf.DUMMYFUNCTION("""COMPUTED_VALUE"""),"X AP")</f>
        <v>X AP</v>
      </c>
      <c r="J776" s="264" t="str">
        <f>IFERROR(__xludf.DUMMYFUNCTION("""COMPUTED_VALUE"""),"")</f>
        <v/>
      </c>
      <c r="K776" s="263" t="str">
        <f>IFERROR(__xludf.DUMMYFUNCTION("""COMPUTED_VALUE"""),"")</f>
        <v/>
      </c>
      <c r="L776" s="263" t="str">
        <f>IFERROR(__xludf.DUMMYFUNCTION("""COMPUTED_VALUE"""),"")</f>
        <v/>
      </c>
      <c r="M776" s="263"/>
      <c r="N776" s="263"/>
      <c r="O776" s="263"/>
      <c r="P776" s="263"/>
      <c r="Q776" s="263"/>
      <c r="R776" s="263"/>
      <c r="S776" s="263"/>
      <c r="T776" s="263"/>
      <c r="U776" s="246"/>
      <c r="V776" s="246"/>
      <c r="W776" s="246"/>
      <c r="X776" s="246"/>
      <c r="Y776" s="246"/>
      <c r="Z776" s="246"/>
    </row>
    <row r="777">
      <c r="A777" s="263"/>
      <c r="B777" s="265" t="str">
        <f>IFERROR(__xludf.DUMMYFUNCTION("""COMPUTED_VALUE"""),"Spellblade's Preparation")</f>
        <v>Spellblade's Preparation</v>
      </c>
      <c r="C777" s="263"/>
      <c r="D777" s="263" t="str">
        <f>IFERROR(__xludf.DUMMYFUNCTION("""COMPUTED_VALUE"""),"Enchantment, Encounter Start")</f>
        <v>Enchantment, Encounter Start</v>
      </c>
      <c r="E777" s="264" t="str">
        <f>IFERROR(__xludf.DUMMYFUNCTION("""COMPUTED_VALUE"""),"Self")</f>
        <v>Self</v>
      </c>
      <c r="F777" s="266" t="str">
        <f>IFERROR(__xludf.DUMMYFUNCTION("""COMPUTED_VALUE"""),"You unsheathe your weapon and enchant your weapon with an element you've mastered. Your weapon now deals the chosen element’s damage instead of its normal damage.
If you are not holding the enchanted weapon at the start of your turn, your weapon loses thi"&amp;"s benefit.
The weapon gains a +1 Power bonus to attacks until the end of the encounter.")</f>
        <v>You unsheathe your weapon and enchant your weapon with an element you've mastered. Your weapon now deals the chosen element’s damage instead of its normal damage.
If you are not holding the enchanted weapon at the start of your turn, your weapon loses this benefit.
The weapon gains a +1 Power bonus to attacks until the end of the encounter.</v>
      </c>
      <c r="G777" s="264" t="str">
        <f>IFERROR(__xludf.DUMMYFUNCTION("""COMPUTED_VALUE"""),"")</f>
        <v/>
      </c>
      <c r="H777" s="265" t="str">
        <f>IFERROR(__xludf.DUMMYFUNCTION("""COMPUTED_VALUE"""),"")</f>
        <v/>
      </c>
      <c r="I777" s="263" t="str">
        <f>IFERROR(__xludf.DUMMYFUNCTION("""COMPUTED_VALUE"""),"")</f>
        <v/>
      </c>
      <c r="J777" s="264" t="str">
        <f>IFERROR(__xludf.DUMMYFUNCTION("""COMPUTED_VALUE"""),"")</f>
        <v/>
      </c>
      <c r="K777" s="264" t="str">
        <f>IFERROR(__xludf.DUMMYFUNCTION("""COMPUTED_VALUE"""),"")</f>
        <v/>
      </c>
      <c r="L777" s="263" t="str">
        <f>IFERROR(__xludf.DUMMYFUNCTION("""COMPUTED_VALUE"""),"")</f>
        <v/>
      </c>
      <c r="M777" s="263"/>
      <c r="N777" s="263"/>
      <c r="O777" s="263"/>
      <c r="P777" s="263"/>
      <c r="Q777" s="263"/>
      <c r="R777" s="263"/>
      <c r="S777" s="263"/>
      <c r="T777" s="263"/>
      <c r="U777" s="246"/>
      <c r="V777" s="246"/>
      <c r="W777" s="246"/>
      <c r="X777" s="246"/>
      <c r="Y777" s="246"/>
      <c r="Z777" s="246"/>
    </row>
    <row r="778">
      <c r="A778" s="263"/>
      <c r="B778" s="265" t="str">
        <f>IFERROR(__xludf.DUMMYFUNCTION("""COMPUTED_VALUE"""),"Spellsteal")</f>
        <v>Spellsteal</v>
      </c>
      <c r="C778" s="263"/>
      <c r="D778" s="263" t="str">
        <f>IFERROR(__xludf.DUMMYFUNCTION("""COMPUTED_VALUE"""),"")</f>
        <v/>
      </c>
      <c r="E778" s="264" t="str">
        <f>IFERROR(__xludf.DUMMYFUNCTION("""COMPUTED_VALUE"""),"5ft")</f>
        <v>5ft</v>
      </c>
      <c r="F778" s="266" t="str">
        <f>IFERROR(__xludf.DUMMYFUNCTION("""COMPUTED_VALUE"""),"You attempt to steal an effect from the target, removing it from the target and applying it to yourself for the same duration, provided you meet the requirements (if any). You must pay mana equal to the effects original mana cost. Effects granted through "&amp;"stances, transformations and permanent effects cannot be stolen. After stealing an effect, you can’t use this again until the stolen effect has ended. The stolen effect also cannot be re-applied on the target until it has faded from you. You must have see"&amp;"n the effect be applied or otherwise identified an effect before you can steal it.")</f>
        <v>You attempt to steal an effect from the target, removing it from the target and applying it to yourself for the same duration, provided you meet the requirements (if any). You must pay mana equal to the effects original mana cost. Effects granted through stances, transformations and permanent effects cannot be stolen. After stealing an effect, you can’t use this again until the stolen effect has ended. The stolen effect also cannot be re-applied on the target until it has faded from you. You must have seen the effect be applied or otherwise identified an effect before you can steal it.</v>
      </c>
      <c r="G778" s="264" t="str">
        <f>IFERROR(__xludf.DUMMYFUNCTION("""COMPUTED_VALUE"""),"")</f>
        <v/>
      </c>
      <c r="H778" s="265" t="str">
        <f>IFERROR(__xludf.DUMMYFUNCTION("""COMPUTED_VALUE"""),"2 AP, X MP")</f>
        <v>2 AP, X MP</v>
      </c>
      <c r="I778" s="264" t="str">
        <f>IFERROR(__xludf.DUMMYFUNCTION("""COMPUTED_VALUE"""),"2 AP")</f>
        <v>2 AP</v>
      </c>
      <c r="J778" s="263" t="str">
        <f>IFERROR(__xludf.DUMMYFUNCTION("""COMPUTED_VALUE"""),"X MP")</f>
        <v>X MP</v>
      </c>
      <c r="K778" s="263" t="str">
        <f>IFERROR(__xludf.DUMMYFUNCTION("""COMPUTED_VALUE"""),"")</f>
        <v/>
      </c>
      <c r="L778" s="263" t="str">
        <f>IFERROR(__xludf.DUMMYFUNCTION("""COMPUTED_VALUE"""),"")</f>
        <v/>
      </c>
      <c r="M778" s="263"/>
      <c r="N778" s="263"/>
      <c r="O778" s="263"/>
      <c r="P778" s="263"/>
      <c r="Q778" s="263"/>
      <c r="R778" s="263"/>
      <c r="S778" s="263"/>
      <c r="T778" s="263"/>
      <c r="U778" s="246"/>
      <c r="V778" s="246"/>
      <c r="W778" s="246"/>
      <c r="X778" s="246"/>
      <c r="Y778" s="246"/>
      <c r="Z778" s="246"/>
    </row>
    <row r="779">
      <c r="A779" s="263"/>
      <c r="B779" s="265" t="str">
        <f>IFERROR(__xludf.DUMMYFUNCTION("""COMPUTED_VALUE"""),"Spellstrike")</f>
        <v>Spellstrike</v>
      </c>
      <c r="C779" s="263"/>
      <c r="D779" s="263" t="str">
        <f>IFERROR(__xludf.DUMMYFUNCTION("""COMPUTED_VALUE"""),"")</f>
        <v/>
      </c>
      <c r="E779" s="263" t="str">
        <f>IFERROR(__xludf.DUMMYFUNCTION("""COMPUTED_VALUE"""),"Melee Weapon Range")</f>
        <v>Melee Weapon Range</v>
      </c>
      <c r="F779" s="266" t="str">
        <f>IFERROR(__xludf.DUMMYFUNCTION("""COMPUTED_VALUE"""),"You choose an ability with the Spell keyword that you can use. You make a melee attack against a target in range for the same AP and mana as the Spell.
Your attack functions like the chosen Spell does, but does not provoke an Attack of Opportunity and is "&amp;"not treated as casting a Spell (meaning it can be used while Raging and Anti-Spell effects don't work). If the chosen spell was an AoE effect, the target point would be the target you strike with the spell. The requirements for applying any effects remain"&amp;" the same.
The spell you chose cannot be used again in the same round like normal, and if used with Secret Arts it counts as your Secret Art use for that encounter.
Only works with Spells that are attacks.")</f>
        <v>You choose an ability with the Spell keyword that you can use. You make a melee attack against a target in range for the same AP and mana as the Spell.
Your attack functions like the chosen Spell does, but does not provoke an Attack of Opportunity and is not treated as casting a Spell (meaning it can be used while Raging and Anti-Spell effects don't work). If the chosen spell was an AoE effect, the target point would be the target you strike with the spell. The requirements for applying any effects remain the same.
The spell you chose cannot be used again in the same round like normal, and if used with Secret Arts it counts as your Secret Art use for that encounter.
Only works with Spells that are attacks.</v>
      </c>
      <c r="G779" s="263" t="str">
        <f>IFERROR(__xludf.DUMMYFUNCTION("""COMPUTED_VALUE"""),"")</f>
        <v/>
      </c>
      <c r="H779" s="267" t="str">
        <f>IFERROR(__xludf.DUMMYFUNCTION("""COMPUTED_VALUE"""),"")</f>
        <v/>
      </c>
      <c r="I779" s="263" t="str">
        <f>IFERROR(__xludf.DUMMYFUNCTION("""COMPUTED_VALUE"""),"")</f>
        <v/>
      </c>
      <c r="J779" s="263" t="str">
        <f>IFERROR(__xludf.DUMMYFUNCTION("""COMPUTED_VALUE"""),"")</f>
        <v/>
      </c>
      <c r="K779" s="263" t="str">
        <f>IFERROR(__xludf.DUMMYFUNCTION("""COMPUTED_VALUE"""),"")</f>
        <v/>
      </c>
      <c r="L779" s="263" t="str">
        <f>IFERROR(__xludf.DUMMYFUNCTION("""COMPUTED_VALUE"""),"")</f>
        <v/>
      </c>
      <c r="M779" s="263"/>
      <c r="N779" s="263"/>
      <c r="O779" s="263"/>
      <c r="P779" s="263"/>
      <c r="Q779" s="263"/>
      <c r="R779" s="263"/>
      <c r="S779" s="263"/>
      <c r="T779" s="263"/>
      <c r="U779" s="246"/>
      <c r="V779" s="246"/>
      <c r="W779" s="246"/>
      <c r="X779" s="246"/>
      <c r="Y779" s="246"/>
      <c r="Z779" s="246"/>
    </row>
    <row r="780">
      <c r="A780" s="263"/>
      <c r="B780" s="265" t="str">
        <f>IFERROR(__xludf.DUMMYFUNCTION("""COMPUTED_VALUE"""),"Spider Climb")</f>
        <v>Spider Climb</v>
      </c>
      <c r="C780" s="263"/>
      <c r="D780" s="264" t="str">
        <f>IFERROR(__xludf.DUMMYFUNCTION("""COMPUTED_VALUE"""),"")</f>
        <v/>
      </c>
      <c r="E780" s="264" t="str">
        <f>IFERROR(__xludf.DUMMYFUNCTION("""COMPUTED_VALUE"""),"")</f>
        <v/>
      </c>
      <c r="F780" s="266" t="str">
        <f>IFERROR(__xludf.DUMMYFUNCTION("""COMPUTED_VALUE"""),"You do not suffer any penalties from moving across webs, either natural or created through magic or items. You may climb up walls without using any tools or making any checks at half your normal movement speed and can remain attached to the wall.
If you t"&amp;"ake any action other than moving or climbing, you become vulnerable to be knocked off the wall you're climbing until the start of your next turn. When you take damage, you slide down 20ft. If you are hanging on a ceiling or similar surface, you instead fa"&amp;"ll down from it falling prone and taking fall damage as normal.")</f>
        <v>You do not suffer any penalties from moving across webs, either natural or created through magic or items. You may climb up walls without using any tools or making any checks at half your normal movement speed and can remain attached to the wall.
If you take any action other than moving or climbing, you become vulnerable to be knocked off the wall you're climbing until the start of your next turn. When you take damage, you slide down 20ft. If you are hanging on a ceiling or similar surface, you instead fall down from it falling prone and taking fall damage as normal.</v>
      </c>
      <c r="G780" s="264" t="str">
        <f>IFERROR(__xludf.DUMMYFUNCTION("""COMPUTED_VALUE"""),"")</f>
        <v/>
      </c>
      <c r="H780" s="265" t="str">
        <f>IFERROR(__xludf.DUMMYFUNCTION("""COMPUTED_VALUE"""),"")</f>
        <v/>
      </c>
      <c r="I780" s="264" t="str">
        <f>IFERROR(__xludf.DUMMYFUNCTION("""COMPUTED_VALUE"""),"")</f>
        <v/>
      </c>
      <c r="J780" s="264" t="str">
        <f>IFERROR(__xludf.DUMMYFUNCTION("""COMPUTED_VALUE"""),"")</f>
        <v/>
      </c>
      <c r="K780" s="263" t="str">
        <f>IFERROR(__xludf.DUMMYFUNCTION("""COMPUTED_VALUE"""),"")</f>
        <v/>
      </c>
      <c r="L780" s="263" t="str">
        <f>IFERROR(__xludf.DUMMYFUNCTION("""COMPUTED_VALUE"""),"")</f>
        <v/>
      </c>
      <c r="M780" s="263"/>
      <c r="N780" s="263"/>
      <c r="O780" s="263"/>
      <c r="P780" s="263"/>
      <c r="Q780" s="263"/>
      <c r="R780" s="263"/>
      <c r="S780" s="263"/>
      <c r="T780" s="263"/>
      <c r="U780" s="246"/>
      <c r="V780" s="246"/>
      <c r="W780" s="246"/>
      <c r="X780" s="246"/>
      <c r="Y780" s="246"/>
      <c r="Z780" s="246"/>
    </row>
    <row r="781">
      <c r="A781" s="263"/>
      <c r="B781" s="265" t="str">
        <f>IFERROR(__xludf.DUMMYFUNCTION("""COMPUTED_VALUE"""),"Spike Field")</f>
        <v>Spike Field</v>
      </c>
      <c r="C781" s="263"/>
      <c r="D781" s="264" t="str">
        <f>IFERROR(__xludf.DUMMYFUNCTION("""COMPUTED_VALUE"""),"Spell, Earth, Upkeep")</f>
        <v>Spell, Earth, Upkeep</v>
      </c>
      <c r="E781" s="264" t="str">
        <f>IFERROR(__xludf.DUMMYFUNCTION("""COMPUTED_VALUE"""),"30ft")</f>
        <v>30ft</v>
      </c>
      <c r="F781" s="266" t="str">
        <f>IFERROR(__xludf.DUMMYFUNCTION("""COMPUTED_VALUE"""),"You create a 20x20ft field of spikes. Any creature moving more than 5ft per movement action across it takes full pierce damage equal to your Focus for each 5ft they move across the field.
If the movement through it was forced movement, you only take the d"&amp;"amage once.
Lasts until the start of your next turn.
Upkeep: 1 mana, extends the duration of the spike field by 1 turn.")</f>
        <v>You create a 20x20ft field of spikes. Any creature moving more than 5ft per movement action across it takes full pierce damage equal to your Focus for each 5ft they move across the field.
If the movement through it was forced movement, you only take the damage once.
Lasts until the start of your next turn.
Upkeep: 1 mana, extends the duration of the spike field by 1 turn.</v>
      </c>
      <c r="G781" s="263" t="str">
        <f>IFERROR(__xludf.DUMMYFUNCTION("""COMPUTED_VALUE"""),"")</f>
        <v/>
      </c>
      <c r="H781" s="265" t="str">
        <f>IFERROR(__xludf.DUMMYFUNCTION("""COMPUTED_VALUE"""),"2 AP, 1 MP")</f>
        <v>2 AP, 1 MP</v>
      </c>
      <c r="I781" s="264" t="str">
        <f>IFERROR(__xludf.DUMMYFUNCTION("""COMPUTED_VALUE"""),"2 AP")</f>
        <v>2 AP</v>
      </c>
      <c r="J781" s="264" t="str">
        <f>IFERROR(__xludf.DUMMYFUNCTION("""COMPUTED_VALUE"""),"1 MP")</f>
        <v>1 MP</v>
      </c>
      <c r="K781" s="263" t="str">
        <f>IFERROR(__xludf.DUMMYFUNCTION("""COMPUTED_VALUE"""),"")</f>
        <v/>
      </c>
      <c r="L781" s="263" t="str">
        <f>IFERROR(__xludf.DUMMYFUNCTION("""COMPUTED_VALUE"""),"")</f>
        <v/>
      </c>
      <c r="M781" s="263"/>
      <c r="N781" s="263"/>
      <c r="O781" s="263"/>
      <c r="P781" s="263"/>
      <c r="Q781" s="263"/>
      <c r="R781" s="263"/>
      <c r="S781" s="263"/>
      <c r="T781" s="263"/>
      <c r="U781" s="246"/>
      <c r="V781" s="246"/>
      <c r="W781" s="246"/>
      <c r="X781" s="246"/>
      <c r="Y781" s="246"/>
      <c r="Z781" s="246"/>
    </row>
    <row r="782">
      <c r="A782" s="263"/>
      <c r="B782" s="265" t="str">
        <f>IFERROR(__xludf.DUMMYFUNCTION("""COMPUTED_VALUE"""),"Spiked Armor")</f>
        <v>Spiked Armor</v>
      </c>
      <c r="C782" s="263"/>
      <c r="D782" s="264" t="str">
        <f>IFERROR(__xludf.DUMMYFUNCTION("""COMPUTED_VALUE"""),"Counter")</f>
        <v>Counter</v>
      </c>
      <c r="E782" s="264" t="str">
        <f>IFERROR(__xludf.DUMMYFUNCTION("""COMPUTED_VALUE"""),"Self")</f>
        <v>Self</v>
      </c>
      <c r="F782" s="266" t="str">
        <f>IFERROR(__xludf.DUMMYFUNCTION("""COMPUTED_VALUE"""),"Until the start of your next turn, the spikes on your armor and shield reflect damage when you are attacked. When an enemy hits you with a melee attack, they take 4 full pierce damage.")</f>
        <v>Until the start of your next turn, the spikes on your armor and shield reflect damage when you are attacked. When an enemy hits you with a melee attack, they take 4 full pierce damage.</v>
      </c>
      <c r="G782" s="263" t="str">
        <f>IFERROR(__xludf.DUMMYFUNCTION("""COMPUTED_VALUE"""),"Must be wearing armor and/or a shield.")</f>
        <v>Must be wearing armor and/or a shield.</v>
      </c>
      <c r="H782" s="265" t="str">
        <f>IFERROR(__xludf.DUMMYFUNCTION("""COMPUTED_VALUE"""),"1 AP, 1 MP")</f>
        <v>1 AP, 1 MP</v>
      </c>
      <c r="I782" s="264" t="str">
        <f>IFERROR(__xludf.DUMMYFUNCTION("""COMPUTED_VALUE"""),"1 AP")</f>
        <v>1 AP</v>
      </c>
      <c r="J782" s="263" t="str">
        <f>IFERROR(__xludf.DUMMYFUNCTION("""COMPUTED_VALUE"""),"1 MP")</f>
        <v>1 MP</v>
      </c>
      <c r="K782" s="263" t="str">
        <f>IFERROR(__xludf.DUMMYFUNCTION("""COMPUTED_VALUE"""),"")</f>
        <v/>
      </c>
      <c r="L782" s="263" t="str">
        <f>IFERROR(__xludf.DUMMYFUNCTION("""COMPUTED_VALUE"""),"")</f>
        <v/>
      </c>
      <c r="M782" s="263"/>
      <c r="N782" s="263"/>
      <c r="O782" s="263"/>
      <c r="P782" s="263"/>
      <c r="Q782" s="263"/>
      <c r="R782" s="263"/>
      <c r="S782" s="263"/>
      <c r="T782" s="263"/>
      <c r="U782" s="246"/>
      <c r="V782" s="246"/>
      <c r="W782" s="246"/>
      <c r="X782" s="246"/>
      <c r="Y782" s="246"/>
      <c r="Z782" s="246"/>
    </row>
    <row r="783">
      <c r="A783" s="263"/>
      <c r="B783" s="265" t="str">
        <f>IFERROR(__xludf.DUMMYFUNCTION("""COMPUTED_VALUE"""),"Spirit Circuit Crash")</f>
        <v>Spirit Circuit Crash</v>
      </c>
      <c r="C783" s="263"/>
      <c r="D783" s="263" t="str">
        <f>IFERROR(__xludf.DUMMYFUNCTION("""COMPUTED_VALUE"""),"Block Crush")</f>
        <v>Block Crush</v>
      </c>
      <c r="E783" s="264" t="str">
        <f>IFERROR(__xludf.DUMMYFUNCTION("""COMPUTED_VALUE"""),"45ft")</f>
        <v>45ft</v>
      </c>
      <c r="F783" s="266" t="str">
        <f>IFERROR(__xludf.DUMMYFUNCTION("""COMPUTED_VALUE"""),"You send a wave of magic energy onto the target, afflicting them with Spirit Circuit Crash— jamming their Spirit Circuits.  The target cannot use Secret Arts or any abilities that require mana until the end of their next turn.  The target may choose to ta"&amp;"ke damage equal to your heavy attack damage to cancel this effect.
You can cast this through a creature affected by Mind Connection.")</f>
        <v>You send a wave of magic energy onto the target, afflicting them with Spirit Circuit Crash— jamming their Spirit Circuits.  The target cannot use Secret Arts or any abilities that require mana until the end of their next turn.  The target may choose to take damage equal to your heavy attack damage to cancel this effect.
You can cast this through a creature affected by Mind Connection.</v>
      </c>
      <c r="G783" s="263" t="str">
        <f>IFERROR(__xludf.DUMMYFUNCTION("""COMPUTED_VALUE"""),"")</f>
        <v/>
      </c>
      <c r="H783" s="267" t="str">
        <f>IFERROR(__xludf.DUMMYFUNCTION("""COMPUTED_VALUE"""),"2 AP")</f>
        <v>2 AP</v>
      </c>
      <c r="I783" s="263" t="str">
        <f>IFERROR(__xludf.DUMMYFUNCTION("""COMPUTED_VALUE"""),"2 AP")</f>
        <v>2 AP</v>
      </c>
      <c r="J783" s="263" t="str">
        <f>IFERROR(__xludf.DUMMYFUNCTION("""COMPUTED_VALUE"""),"")</f>
        <v/>
      </c>
      <c r="K783" s="263" t="str">
        <f>IFERROR(__xludf.DUMMYFUNCTION("""COMPUTED_VALUE"""),"")</f>
        <v/>
      </c>
      <c r="L783" s="263" t="str">
        <f>IFERROR(__xludf.DUMMYFUNCTION("""COMPUTED_VALUE"""),"")</f>
        <v/>
      </c>
      <c r="M783" s="263"/>
      <c r="N783" s="263"/>
      <c r="O783" s="263"/>
      <c r="P783" s="263"/>
      <c r="Q783" s="263"/>
      <c r="R783" s="263"/>
      <c r="S783" s="263"/>
      <c r="T783" s="263"/>
      <c r="U783" s="246"/>
      <c r="V783" s="246"/>
      <c r="W783" s="246"/>
      <c r="X783" s="246"/>
      <c r="Y783" s="246"/>
      <c r="Z783" s="246"/>
    </row>
    <row r="784">
      <c r="A784" s="263"/>
      <c r="B784" s="265" t="str">
        <f>IFERROR(__xludf.DUMMYFUNCTION("""COMPUTED_VALUE"""),"Spirit Jump")</f>
        <v>Spirit Jump</v>
      </c>
      <c r="C784" s="263"/>
      <c r="D784" s="264" t="str">
        <f>IFERROR(__xludf.DUMMYFUNCTION("""COMPUTED_VALUE"""),"")</f>
        <v/>
      </c>
      <c r="E784" s="264" t="str">
        <f>IFERROR(__xludf.DUMMYFUNCTION("""COMPUTED_VALUE"""),"Self")</f>
        <v>Self</v>
      </c>
      <c r="F784" s="266" t="str">
        <f>IFERROR(__xludf.DUMMYFUNCTION("""COMPUTED_VALUE"""),"You and your mount jump up to 60ft vertically straight up into the air.  You can additionally move 5ft horizontally afterwards.  Unless your mount can fly, you automatically land straight down from your position at the end of your turn or for 0 AP, this f"&amp;"alling movement does not provoke attacks of opportunity and you do not take fall damage from it.  You cannot make any non-teleport movement actions while in the air, but can still take other actions (such as attacking) while airborne.
You may trade height"&amp;" to move horizontally as part of the initial jump, moving 5ft horizontally as part of the jump in exchange for 5ft of height. You may move up to 40ft extra horizontally with this.
Instead of spending mana, you may instead spend a minute preparing this abi"&amp;"lity before activating it. When you do, this ability costs 0 mana.")</f>
        <v>You and your mount jump up to 60ft vertically straight up into the air.  You can additionally move 5ft horizontally afterwards.  Unless your mount can fly, you automatically land straight down from your position at the end of your turn or for 0 AP, this falling movement does not provoke attacks of opportunity and you do not take fall damage from it.  You cannot make any non-teleport movement actions while in the air, but can still take other actions (such as attacking) while airborne.
You may trade height to move horizontally as part of the initial jump, moving 5ft horizontally as part of the jump in exchange for 5ft of height. You may move up to 40ft extra horizontally with this.
Instead of spending mana, you may instead spend a minute preparing this ability before activating it. When you do, this ability costs 0 mana.</v>
      </c>
      <c r="G784" s="264" t="str">
        <f>IFERROR(__xludf.DUMMYFUNCTION("""COMPUTED_VALUE"""),"Must be mounted.")</f>
        <v>Must be mounted.</v>
      </c>
      <c r="H784" s="265" t="str">
        <f>IFERROR(__xludf.DUMMYFUNCTION("""COMPUTED_VALUE"""),"0 AP, 2 MP")</f>
        <v>0 AP, 2 MP</v>
      </c>
      <c r="I784" s="264" t="str">
        <f>IFERROR(__xludf.DUMMYFUNCTION("""COMPUTED_VALUE"""),"0 AP")</f>
        <v>0 AP</v>
      </c>
      <c r="J784" s="263" t="str">
        <f>IFERROR(__xludf.DUMMYFUNCTION("""COMPUTED_VALUE"""),"2 MP")</f>
        <v>2 MP</v>
      </c>
      <c r="K784" s="263" t="str">
        <f>IFERROR(__xludf.DUMMYFUNCTION("""COMPUTED_VALUE"""),"")</f>
        <v/>
      </c>
      <c r="L784" s="263" t="str">
        <f>IFERROR(__xludf.DUMMYFUNCTION("""COMPUTED_VALUE"""),"")</f>
        <v/>
      </c>
      <c r="M784" s="263"/>
      <c r="N784" s="263"/>
      <c r="O784" s="263"/>
      <c r="P784" s="263"/>
      <c r="Q784" s="263"/>
      <c r="R784" s="263"/>
      <c r="S784" s="263"/>
      <c r="T784" s="263"/>
      <c r="U784" s="246"/>
      <c r="V784" s="246"/>
      <c r="W784" s="246"/>
      <c r="X784" s="246"/>
      <c r="Y784" s="246"/>
      <c r="Z784" s="246"/>
    </row>
    <row r="785">
      <c r="A785" s="263"/>
      <c r="B785" s="265" t="str">
        <f>IFERROR(__xludf.DUMMYFUNCTION("""COMPUTED_VALUE"""),"Spirited Bravado")</f>
        <v>Spirited Bravado</v>
      </c>
      <c r="C785" s="263"/>
      <c r="D785" s="263" t="str">
        <f>IFERROR(__xludf.DUMMYFUNCTION("""COMPUTED_VALUE"""),"")</f>
        <v/>
      </c>
      <c r="E785" s="264" t="str">
        <f>IFERROR(__xludf.DUMMYFUNCTION("""COMPUTED_VALUE"""),"")</f>
        <v/>
      </c>
      <c r="F785" s="266" t="str">
        <f>IFERROR(__xludf.DUMMYFUNCTION("""COMPUTED_VALUE"""),"When you are under the effect of Tipsy, you gain a Spirited Bravado which grants +1 Power.")</f>
        <v>When you are under the effect of Tipsy, you gain a Spirited Bravado which grants +1 Power.</v>
      </c>
      <c r="G785" s="263" t="str">
        <f>IFERROR(__xludf.DUMMYFUNCTION("""COMPUTED_VALUE"""),"")</f>
        <v/>
      </c>
      <c r="H785" s="265" t="str">
        <f>IFERROR(__xludf.DUMMYFUNCTION("""COMPUTED_VALUE"""),"")</f>
        <v/>
      </c>
      <c r="I785" s="264" t="str">
        <f>IFERROR(__xludf.DUMMYFUNCTION("""COMPUTED_VALUE"""),"")</f>
        <v/>
      </c>
      <c r="J785" s="263" t="str">
        <f>IFERROR(__xludf.DUMMYFUNCTION("""COMPUTED_VALUE"""),"")</f>
        <v/>
      </c>
      <c r="K785" s="264" t="str">
        <f>IFERROR(__xludf.DUMMYFUNCTION("""COMPUTED_VALUE"""),"")</f>
        <v/>
      </c>
      <c r="L785" s="263" t="str">
        <f>IFERROR(__xludf.DUMMYFUNCTION("""COMPUTED_VALUE"""),"")</f>
        <v/>
      </c>
      <c r="M785" s="263"/>
      <c r="N785" s="263"/>
      <c r="O785" s="263"/>
      <c r="P785" s="263"/>
      <c r="Q785" s="263"/>
      <c r="R785" s="263"/>
      <c r="S785" s="263"/>
      <c r="T785" s="263"/>
      <c r="U785" s="246"/>
      <c r="V785" s="246"/>
      <c r="W785" s="246"/>
      <c r="X785" s="246"/>
      <c r="Y785" s="246"/>
      <c r="Z785" s="246"/>
    </row>
    <row r="786">
      <c r="A786" s="263"/>
      <c r="B786" s="265" t="str">
        <f>IFERROR(__xludf.DUMMYFUNCTION("""COMPUTED_VALUE"""),"Spiritual Reading")</f>
        <v>Spiritual Reading</v>
      </c>
      <c r="C786" s="263"/>
      <c r="D786" s="264" t="str">
        <f>IFERROR(__xludf.DUMMYFUNCTION("""COMPUTED_VALUE"""),"Analyze")</f>
        <v>Analyze</v>
      </c>
      <c r="E786" s="264" t="str">
        <f>IFERROR(__xludf.DUMMYFUNCTION("""COMPUTED_VALUE"""),"120ft")</f>
        <v>120ft</v>
      </c>
      <c r="F786" s="266" t="str">
        <f>IFERROR(__xludf.DUMMYFUNCTION("""COMPUTED_VALUE"""),"You are able to check the aura of a creature or object within range.
If you check a creature, you can see whether a creature is non-heroic, weaker than you, around the same as you, stronger than you or much stronger than you. The GM may also give you thei"&amp;"r Spirit Core value if it has one. You also are aware if someone is concealing their spirit core level, but can’t get an accurate reading of their strength if they are. In addition, you are able to see their mana % until the end of the encounter.
If you c"&amp;"heck an item, you can determine whether it’s magical in nature. If it is, you may immediately make a Magic check against it to determine its effect as if you were using Decipher Magic with a +5 bonus.")</f>
        <v>You are able to check the aura of a creature or object within range.
If you check a creature, you can see whether a creature is non-heroic, weaker than you, around the same as you, stronger than you or much stronger than you. The GM may also give you their Spirit Core value if it has one. You also are aware if someone is concealing their spirit core level, but can’t get an accurate reading of their strength if they are. In addition, you are able to see their mana % until the end of the encounter.
If you check an item, you can determine whether it’s magical in nature. If it is, you may immediately make a Magic check against it to determine its effect as if you were using Decipher Magic with a +5 bonus.</v>
      </c>
      <c r="G786" s="263" t="str">
        <f>IFERROR(__xludf.DUMMYFUNCTION("""COMPUTED_VALUE"""),"")</f>
        <v/>
      </c>
      <c r="H786" s="265" t="str">
        <f>IFERROR(__xludf.DUMMYFUNCTION("""COMPUTED_VALUE"""),"0 AP, 1 MP")</f>
        <v>0 AP, 1 MP</v>
      </c>
      <c r="I786" s="264" t="str">
        <f>IFERROR(__xludf.DUMMYFUNCTION("""COMPUTED_VALUE"""),"0 AP")</f>
        <v>0 AP</v>
      </c>
      <c r="J786" s="263" t="str">
        <f>IFERROR(__xludf.DUMMYFUNCTION("""COMPUTED_VALUE"""),"1 MP")</f>
        <v>1 MP</v>
      </c>
      <c r="K786" s="263" t="str">
        <f>IFERROR(__xludf.DUMMYFUNCTION("""COMPUTED_VALUE"""),"")</f>
        <v/>
      </c>
      <c r="L786" s="263" t="str">
        <f>IFERROR(__xludf.DUMMYFUNCTION("""COMPUTED_VALUE"""),"")</f>
        <v/>
      </c>
      <c r="M786" s="263"/>
      <c r="N786" s="263"/>
      <c r="O786" s="263"/>
      <c r="P786" s="263"/>
      <c r="Q786" s="263"/>
      <c r="R786" s="263"/>
      <c r="S786" s="263"/>
      <c r="T786" s="263"/>
      <c r="U786" s="246"/>
      <c r="V786" s="246"/>
      <c r="W786" s="246"/>
      <c r="X786" s="246"/>
      <c r="Y786" s="246"/>
      <c r="Z786" s="246"/>
    </row>
    <row r="787">
      <c r="A787" s="263"/>
      <c r="B787" s="265" t="str">
        <f>IFERROR(__xludf.DUMMYFUNCTION("""COMPUTED_VALUE"""),"Spiritual Sync")</f>
        <v>Spiritual Sync</v>
      </c>
      <c r="C787" s="263"/>
      <c r="D787" s="264" t="str">
        <f>IFERROR(__xludf.DUMMYFUNCTION("""COMPUTED_VALUE"""),"Rage")</f>
        <v>Rage</v>
      </c>
      <c r="E787" s="264" t="str">
        <f>IFERROR(__xludf.DUMMYFUNCTION("""COMPUTED_VALUE"""),"Self")</f>
        <v>Self</v>
      </c>
      <c r="F787" s="266" t="str">
        <f>IFERROR(__xludf.DUMMYFUNCTION("""COMPUTED_VALUE"""),"If you paid mana for this ability, you gain Temporary HP equal to 8X. Any Temporary HP from this ability remaining after the encounter conclusion phase is turned back into mana at a ratio of 8 Temporary HP to 1 mana.
You may instead pay HP for this abilit"&amp;"y. If you do, you gain 1 Temporary Mana for every 8 HP you spend. You cannot spend more HP than you currently have. Any Temporary mana is lost at the encounter conclusion phase.
You may spend a maximum of 3 mana or 24 HP on this ability.
Once you use this"&amp;" ability, you may not use it again until after an encounter conclusion phase.")</f>
        <v>If you paid mana for this ability, you gain Temporary HP equal to 8X. Any Temporary HP from this ability remaining after the encounter conclusion phase is turned back into mana at a ratio of 8 Temporary HP to 1 mana.
You may instead pay HP for this ability. If you do, you gain 1 Temporary Mana for every 8 HP you spend. You cannot spend more HP than you currently have. Any Temporary mana is lost at the encounter conclusion phase.
You may spend a maximum of 3 mana or 24 HP on this ability.
Once you use this ability, you may not use it again until after an encounter conclusion phase.</v>
      </c>
      <c r="G787" s="263" t="str">
        <f>IFERROR(__xludf.DUMMYFUNCTION("""COMPUTED_VALUE"""),"")</f>
        <v/>
      </c>
      <c r="H787" s="265" t="str">
        <f>IFERROR(__xludf.DUMMYFUNCTION("""COMPUTED_VALUE"""),"0 AP, X MP")</f>
        <v>0 AP, X MP</v>
      </c>
      <c r="I787" s="264" t="str">
        <f>IFERROR(__xludf.DUMMYFUNCTION("""COMPUTED_VALUE"""),"0 AP")</f>
        <v>0 AP</v>
      </c>
      <c r="J787" s="264" t="str">
        <f>IFERROR(__xludf.DUMMYFUNCTION("""COMPUTED_VALUE"""),"X MP")</f>
        <v>X MP</v>
      </c>
      <c r="K787" s="263" t="str">
        <f>IFERROR(__xludf.DUMMYFUNCTION("""COMPUTED_VALUE"""),"")</f>
        <v/>
      </c>
      <c r="L787" s="263" t="str">
        <f>IFERROR(__xludf.DUMMYFUNCTION("""COMPUTED_VALUE"""),"")</f>
        <v/>
      </c>
      <c r="M787" s="263"/>
      <c r="N787" s="263"/>
      <c r="O787" s="263"/>
      <c r="P787" s="263"/>
      <c r="Q787" s="263"/>
      <c r="R787" s="263"/>
      <c r="S787" s="263"/>
      <c r="T787" s="263"/>
      <c r="U787" s="246"/>
      <c r="V787" s="246"/>
      <c r="W787" s="246"/>
      <c r="X787" s="246"/>
      <c r="Y787" s="246"/>
      <c r="Z787" s="246"/>
    </row>
    <row r="788">
      <c r="A788" s="263"/>
      <c r="B788" s="265" t="str">
        <f>IFERROR(__xludf.DUMMYFUNCTION("""COMPUTED_VALUE"""),"Spore Burst")</f>
        <v>Spore Burst</v>
      </c>
      <c r="C788" s="263"/>
      <c r="D788" s="264" t="str">
        <f>IFERROR(__xludf.DUMMYFUNCTION("""COMPUTED_VALUE"""),"Earth, Spell")</f>
        <v>Earth, Spell</v>
      </c>
      <c r="E788" s="264" t="str">
        <f>IFERROR(__xludf.DUMMYFUNCTION("""COMPUTED_VALUE"""),"5ft")</f>
        <v>5ft</v>
      </c>
      <c r="F788" s="266" t="str">
        <f>IFERROR(__xludf.DUMMYFUNCTION("""COMPUTED_VALUE"""),"You create an explosion of spores in front of you. Make a Heavy Attack against the target that deals Poison damage. Afterwards, knock back the target 5ft and knock yourself back 5ft. This Spell does not trigger attacks of opportunity.")</f>
        <v>You create an explosion of spores in front of you. Make a Heavy Attack against the target that deals Poison damage. Afterwards, knock back the target 5ft and knock yourself back 5ft. This Spell does not trigger attacks of opportunity.</v>
      </c>
      <c r="G788" s="264" t="str">
        <f>IFERROR(__xludf.DUMMYFUNCTION("""COMPUTED_VALUE"""),"")</f>
        <v/>
      </c>
      <c r="H788" s="265" t="str">
        <f>IFERROR(__xludf.DUMMYFUNCTION("""COMPUTED_VALUE"""),"2 AP")</f>
        <v>2 AP</v>
      </c>
      <c r="I788" s="263" t="str">
        <f>IFERROR(__xludf.DUMMYFUNCTION("""COMPUTED_VALUE"""),"2 AP")</f>
        <v>2 AP</v>
      </c>
      <c r="J788" s="263" t="str">
        <f>IFERROR(__xludf.DUMMYFUNCTION("""COMPUTED_VALUE"""),"")</f>
        <v/>
      </c>
      <c r="K788" s="264" t="str">
        <f>IFERROR(__xludf.DUMMYFUNCTION("""COMPUTED_VALUE"""),"")</f>
        <v/>
      </c>
      <c r="L788" s="263" t="str">
        <f>IFERROR(__xludf.DUMMYFUNCTION("""COMPUTED_VALUE"""),"")</f>
        <v/>
      </c>
      <c r="M788" s="263"/>
      <c r="N788" s="263"/>
      <c r="O788" s="263"/>
      <c r="P788" s="263"/>
      <c r="Q788" s="263"/>
      <c r="R788" s="263"/>
      <c r="S788" s="263"/>
      <c r="T788" s="263"/>
      <c r="U788" s="246"/>
      <c r="V788" s="246"/>
      <c r="W788" s="246"/>
      <c r="X788" s="246"/>
      <c r="Y788" s="246"/>
      <c r="Z788" s="246"/>
    </row>
    <row r="789">
      <c r="A789" s="263"/>
      <c r="B789" s="265" t="str">
        <f>IFERROR(__xludf.DUMMYFUNCTION("""COMPUTED_VALUE"""),"Spore Symbiote")</f>
        <v>Spore Symbiote</v>
      </c>
      <c r="C789" s="263"/>
      <c r="D789" s="264" t="str">
        <f>IFERROR(__xludf.DUMMYFUNCTION("""COMPUTED_VALUE"""),"Quick")</f>
        <v>Quick</v>
      </c>
      <c r="E789" s="264" t="str">
        <f>IFERROR(__xludf.DUMMYFUNCTION("""COMPUTED_VALUE"""),"60ft")</f>
        <v>60ft</v>
      </c>
      <c r="F789" s="266" t="str">
        <f>IFERROR(__xludf.DUMMYFUNCTION("""COMPUTED_VALUE"""),"You send a Spore Symbiote to an ally or yourself. The Spore Symbiote lasts until the end of combat, or you move it to another target (You can only have one Spore Symbiote active at a time). If the host of Spore Symbiote moves more than 240 feet away from "&amp;"you, the Spore Symbiote ends.")</f>
        <v>You send a Spore Symbiote to an ally or yourself. The Spore Symbiote lasts until the end of combat, or you move it to another target (You can only have one Spore Symbiote active at a time). If the host of Spore Symbiote moves more than 240 feet away from you, the Spore Symbiote ends.</v>
      </c>
      <c r="G789" s="264" t="str">
        <f>IFERROR(__xludf.DUMMYFUNCTION("""COMPUTED_VALUE"""),"")</f>
        <v/>
      </c>
      <c r="H789" s="265" t="str">
        <f>IFERROR(__xludf.DUMMYFUNCTION("""COMPUTED_VALUE"""),"0 AP")</f>
        <v>0 AP</v>
      </c>
      <c r="I789" s="263" t="str">
        <f>IFERROR(__xludf.DUMMYFUNCTION("""COMPUTED_VALUE"""),"0 AP")</f>
        <v>0 AP</v>
      </c>
      <c r="J789" s="263" t="str">
        <f>IFERROR(__xludf.DUMMYFUNCTION("""COMPUTED_VALUE"""),"")</f>
        <v/>
      </c>
      <c r="K789" s="264" t="str">
        <f>IFERROR(__xludf.DUMMYFUNCTION("""COMPUTED_VALUE"""),"")</f>
        <v/>
      </c>
      <c r="L789" s="263" t="str">
        <f>IFERROR(__xludf.DUMMYFUNCTION("""COMPUTED_VALUE"""),"")</f>
        <v/>
      </c>
      <c r="M789" s="263"/>
      <c r="N789" s="263"/>
      <c r="O789" s="263"/>
      <c r="P789" s="263"/>
      <c r="Q789" s="263"/>
      <c r="R789" s="263"/>
      <c r="S789" s="263"/>
      <c r="T789" s="263"/>
      <c r="U789" s="246"/>
      <c r="V789" s="246"/>
      <c r="W789" s="246"/>
      <c r="X789" s="246"/>
      <c r="Y789" s="246"/>
      <c r="Z789" s="246"/>
    </row>
    <row r="790">
      <c r="A790" s="263"/>
      <c r="B790" s="265" t="str">
        <f>IFERROR(__xludf.DUMMYFUNCTION("""COMPUTED_VALUE"""),"Squadsight")</f>
        <v>Squadsight</v>
      </c>
      <c r="C790" s="263"/>
      <c r="D790" s="264" t="str">
        <f>IFERROR(__xludf.DUMMYFUNCTION("""COMPUTED_VALUE"""),"")</f>
        <v/>
      </c>
      <c r="E790" s="264" t="str">
        <f>IFERROR(__xludf.DUMMYFUNCTION("""COMPUTED_VALUE"""),"300ft")</f>
        <v>300ft</v>
      </c>
      <c r="F790" s="266" t="str">
        <f>IFERROR(__xludf.DUMMYFUNCTION("""COMPUTED_VALUE"""),"An ally that can see or hear you within range may use your Perception score until the start of your next turn. They may also see from your position rather than their own and they may calculate their ranged weapon range (but not LoS) from your position ins"&amp;"tead of their own. This new range may not exceed twice their normal range.")</f>
        <v>An ally that can see or hear you within range may use your Perception score until the start of your next turn. They may also see from your position rather than their own and they may calculate their ranged weapon range (but not LoS) from your position instead of their own. This new range may not exceed twice their normal range.</v>
      </c>
      <c r="G790" s="263" t="str">
        <f>IFERROR(__xludf.DUMMYFUNCTION("""COMPUTED_VALUE"""),"")</f>
        <v/>
      </c>
      <c r="H790" s="265" t="str">
        <f>IFERROR(__xludf.DUMMYFUNCTION("""COMPUTED_VALUE"""),"1 MP, 0 RP")</f>
        <v>1 MP, 0 RP</v>
      </c>
      <c r="I790" s="264" t="str">
        <f>IFERROR(__xludf.DUMMYFUNCTION("""COMPUTED_VALUE"""),"")</f>
        <v/>
      </c>
      <c r="J790" s="263" t="str">
        <f>IFERROR(__xludf.DUMMYFUNCTION("""COMPUTED_VALUE"""),"1 MP")</f>
        <v>1 MP</v>
      </c>
      <c r="K790" s="263" t="str">
        <f>IFERROR(__xludf.DUMMYFUNCTION("""COMPUTED_VALUE"""),"0 RP")</f>
        <v>0 RP</v>
      </c>
      <c r="L790" s="263" t="str">
        <f>IFERROR(__xludf.DUMMYFUNCTION("""COMPUTED_VALUE"""),"")</f>
        <v/>
      </c>
      <c r="M790" s="263"/>
      <c r="N790" s="263"/>
      <c r="O790" s="263"/>
      <c r="P790" s="263"/>
      <c r="Q790" s="263"/>
      <c r="R790" s="263"/>
      <c r="S790" s="263"/>
      <c r="T790" s="263"/>
      <c r="U790" s="246"/>
      <c r="V790" s="246"/>
      <c r="W790" s="246"/>
      <c r="X790" s="246"/>
      <c r="Y790" s="246"/>
      <c r="Z790" s="246"/>
    </row>
    <row r="791">
      <c r="A791" s="263"/>
      <c r="B791" s="265" t="str">
        <f>IFERROR(__xludf.DUMMYFUNCTION("""COMPUTED_VALUE"""),"Stab &amp; Throw")</f>
        <v>Stab &amp; Throw</v>
      </c>
      <c r="C791" s="263"/>
      <c r="D791" s="263" t="str">
        <f>IFERROR(__xludf.DUMMYFUNCTION("""COMPUTED_VALUE"""),"")</f>
        <v/>
      </c>
      <c r="E791" s="264" t="str">
        <f>IFERROR(__xludf.DUMMYFUNCTION("""COMPUTED_VALUE"""),"Special")</f>
        <v>Special</v>
      </c>
      <c r="F791" s="266" t="str">
        <f>IFERROR(__xludf.DUMMYFUNCTION("""COMPUTED_VALUE"""),"You may make a Heavy Attack against a target in melee range. You may then use the same weapon to Heavy Attack a different target within your ranged weapon range or thrown attack range. This second attack does not provoke attacks of opportunity from the ta"&amp;"rget of your first attack.")</f>
        <v>You may make a Heavy Attack against a target in melee range. You may then use the same weapon to Heavy Attack a different target within your ranged weapon range or thrown attack range. This second attack does not provoke attacks of opportunity from the target of your first attack.</v>
      </c>
      <c r="G791" s="264" t="str">
        <f>IFERROR(__xludf.DUMMYFUNCTION("""COMPUTED_VALUE"""),"Throwing Weapon, Set of Missiles or Thrown attack only.")</f>
        <v>Throwing Weapon, Set of Missiles or Thrown attack only.</v>
      </c>
      <c r="H791" s="265" t="str">
        <f>IFERROR(__xludf.DUMMYFUNCTION("""COMPUTED_VALUE"""),"3 AP")</f>
        <v>3 AP</v>
      </c>
      <c r="I791" s="263" t="str">
        <f>IFERROR(__xludf.DUMMYFUNCTION("""COMPUTED_VALUE"""),"3 AP")</f>
        <v>3 AP</v>
      </c>
      <c r="J791" s="264" t="str">
        <f>IFERROR(__xludf.DUMMYFUNCTION("""COMPUTED_VALUE"""),"")</f>
        <v/>
      </c>
      <c r="K791" s="264" t="str">
        <f>IFERROR(__xludf.DUMMYFUNCTION("""COMPUTED_VALUE"""),"")</f>
        <v/>
      </c>
      <c r="L791" s="263" t="str">
        <f>IFERROR(__xludf.DUMMYFUNCTION("""COMPUTED_VALUE"""),"")</f>
        <v/>
      </c>
      <c r="M791" s="263"/>
      <c r="N791" s="263"/>
      <c r="O791" s="263"/>
      <c r="P791" s="263"/>
      <c r="Q791" s="263"/>
      <c r="R791" s="263"/>
      <c r="S791" s="263"/>
      <c r="T791" s="263"/>
      <c r="U791" s="246"/>
      <c r="V791" s="246"/>
      <c r="W791" s="246"/>
      <c r="X791" s="246"/>
      <c r="Y791" s="246"/>
      <c r="Z791" s="246"/>
    </row>
    <row r="792">
      <c r="A792" s="263"/>
      <c r="B792" s="265" t="str">
        <f>IFERROR(__xludf.DUMMYFUNCTION("""COMPUTED_VALUE"""),"Stable Foundation")</f>
        <v>Stable Foundation</v>
      </c>
      <c r="C792" s="263"/>
      <c r="D792" s="263" t="str">
        <f>IFERROR(__xludf.DUMMYFUNCTION("""COMPUTED_VALUE"""),"")</f>
        <v/>
      </c>
      <c r="E792" s="263" t="str">
        <f>IFERROR(__xludf.DUMMYFUNCTION("""COMPUTED_VALUE"""),"")</f>
        <v/>
      </c>
      <c r="F792" s="266" t="str">
        <f>IFERROR(__xludf.DUMMYFUNCTION("""COMPUTED_VALUE"""),"Make a crafting check, afterwards all future crafting dice for this session cannot roll below a 3.")</f>
        <v>Make a crafting check, afterwards all future crafting dice for this session cannot roll below a 3.</v>
      </c>
      <c r="G792" s="263" t="str">
        <f>IFERROR(__xludf.DUMMYFUNCTION("""COMPUTED_VALUE"""),"Must be the first crafting dice in a crafting session. Costs 1 Crafting Dice")</f>
        <v>Must be the first crafting dice in a crafting session. Costs 1 Crafting Dice</v>
      </c>
      <c r="H792" s="267" t="str">
        <f>IFERROR(__xludf.DUMMYFUNCTION("""COMPUTED_VALUE"""),"")</f>
        <v/>
      </c>
      <c r="I792" s="263" t="str">
        <f>IFERROR(__xludf.DUMMYFUNCTION("""COMPUTED_VALUE"""),"")</f>
        <v/>
      </c>
      <c r="J792" s="263" t="str">
        <f>IFERROR(__xludf.DUMMYFUNCTION("""COMPUTED_VALUE"""),"")</f>
        <v/>
      </c>
      <c r="K792" s="263" t="str">
        <f>IFERROR(__xludf.DUMMYFUNCTION("""COMPUTED_VALUE"""),"")</f>
        <v/>
      </c>
      <c r="L792" s="263" t="str">
        <f>IFERROR(__xludf.DUMMYFUNCTION("""COMPUTED_VALUE"""),"")</f>
        <v/>
      </c>
      <c r="M792" s="263"/>
      <c r="N792" s="263"/>
      <c r="O792" s="263"/>
      <c r="P792" s="263"/>
      <c r="Q792" s="263"/>
      <c r="R792" s="263"/>
      <c r="S792" s="263"/>
      <c r="T792" s="263"/>
      <c r="U792" s="246"/>
      <c r="V792" s="246"/>
      <c r="W792" s="246"/>
      <c r="X792" s="246"/>
      <c r="Y792" s="246"/>
      <c r="Z792" s="246"/>
    </row>
    <row r="793">
      <c r="A793" s="263"/>
      <c r="B793" s="265" t="str">
        <f>IFERROR(__xludf.DUMMYFUNCTION("""COMPUTED_VALUE"""),"Staggering Slice")</f>
        <v>Staggering Slice</v>
      </c>
      <c r="C793" s="263"/>
      <c r="D793" s="264" t="str">
        <f>IFERROR(__xludf.DUMMYFUNCTION("""COMPUTED_VALUE"""),"Stagger")</f>
        <v>Stagger</v>
      </c>
      <c r="E793" s="264" t="str">
        <f>IFERROR(__xludf.DUMMYFUNCTION("""COMPUTED_VALUE"""),"Melee Weapon Range")</f>
        <v>Melee Weapon Range</v>
      </c>
      <c r="F793" s="266" t="str">
        <f>IFERROR(__xludf.DUMMYFUNCTION("""COMPUTED_VALUE"""),"You make a Light attack against the target. On damage, you inflict Stagger 1 until the end of your next turn..
If you're under the effects of Exposing Edge, you inflict Stagger 2 on damage instead.")</f>
        <v>You make a Light attack against the target. On damage, you inflict Stagger 1 until the end of your next turn..
If you're under the effects of Exposing Edge, you inflict Stagger 2 on damage instead.</v>
      </c>
      <c r="G793" s="264" t="str">
        <f>IFERROR(__xludf.DUMMYFUNCTION("""COMPUTED_VALUE"""),"One-Handed weapons only.")</f>
        <v>One-Handed weapons only.</v>
      </c>
      <c r="H793" s="265" t="str">
        <f>IFERROR(__xludf.DUMMYFUNCTION("""COMPUTED_VALUE"""),"1 AP, 1 MP")</f>
        <v>1 AP, 1 MP</v>
      </c>
      <c r="I793" s="264" t="str">
        <f>IFERROR(__xludf.DUMMYFUNCTION("""COMPUTED_VALUE"""),"1 AP")</f>
        <v>1 AP</v>
      </c>
      <c r="J793" s="264" t="str">
        <f>IFERROR(__xludf.DUMMYFUNCTION("""COMPUTED_VALUE"""),"1 MP")</f>
        <v>1 MP</v>
      </c>
      <c r="K793" s="263" t="str">
        <f>IFERROR(__xludf.DUMMYFUNCTION("""COMPUTED_VALUE"""),"")</f>
        <v/>
      </c>
      <c r="L793" s="263" t="str">
        <f>IFERROR(__xludf.DUMMYFUNCTION("""COMPUTED_VALUE"""),"")</f>
        <v/>
      </c>
      <c r="M793" s="263"/>
      <c r="N793" s="263"/>
      <c r="O793" s="263"/>
      <c r="P793" s="263"/>
      <c r="Q793" s="263"/>
      <c r="R793" s="263"/>
      <c r="S793" s="263"/>
      <c r="T793" s="263"/>
      <c r="U793" s="246"/>
      <c r="V793" s="246"/>
      <c r="W793" s="246"/>
      <c r="X793" s="246"/>
      <c r="Y793" s="246"/>
      <c r="Z793" s="246"/>
    </row>
    <row r="794">
      <c r="A794" s="263"/>
      <c r="B794" s="265" t="str">
        <f>IFERROR(__xludf.DUMMYFUNCTION("""COMPUTED_VALUE"""),"Stalks of Comparison")</f>
        <v>Stalks of Comparison</v>
      </c>
      <c r="C794" s="263"/>
      <c r="D794" s="264" t="str">
        <f>IFERROR(__xludf.DUMMYFUNCTION("""COMPUTED_VALUE"""),"")</f>
        <v/>
      </c>
      <c r="E794" s="264" t="str">
        <f>IFERROR(__xludf.DUMMYFUNCTION("""COMPUTED_VALUE"""),"")</f>
        <v/>
      </c>
      <c r="F794" s="266" t="str">
        <f>IFERROR(__xludf.DUMMYFUNCTION("""COMPUTED_VALUE"""),"Make a gathering check and apply it to either Node Points or Lucky Points. If the result of this check (before bonuses) is higher than your previous roll this session, gain a bonus to the result equal to your Foraging skill (max +10).")</f>
        <v>Make a gathering check and apply it to either Node Points or Lucky Points. If the result of this check (before bonuses) is higher than your previous roll this session, gain a bonus to the result equal to your Foraging skill (max +10).</v>
      </c>
      <c r="G794" s="264" t="str">
        <f>IFERROR(__xludf.DUMMYFUNCTION("""COMPUTED_VALUE"""),"Costs 1 Strike Dice")</f>
        <v>Costs 1 Strike Dice</v>
      </c>
      <c r="H794" s="265" t="str">
        <f>IFERROR(__xludf.DUMMYFUNCTION("""COMPUTED_VALUE"""),"1 Strike Dice")</f>
        <v>1 Strike Dice</v>
      </c>
      <c r="I794" s="263" t="str">
        <f>IFERROR(__xludf.DUMMYFUNCTION("""COMPUTED_VALUE"""),"")</f>
        <v/>
      </c>
      <c r="J794" s="263" t="str">
        <f>IFERROR(__xludf.DUMMYFUNCTION("""COMPUTED_VALUE"""),"")</f>
        <v/>
      </c>
      <c r="K794" s="264" t="str">
        <f>IFERROR(__xludf.DUMMYFUNCTION("""COMPUTED_VALUE"""),"")</f>
        <v/>
      </c>
      <c r="L794" s="263" t="str">
        <f>IFERROR(__xludf.DUMMYFUNCTION("""COMPUTED_VALUE"""),"")</f>
        <v/>
      </c>
      <c r="M794" s="263"/>
      <c r="N794" s="263"/>
      <c r="O794" s="263"/>
      <c r="P794" s="263"/>
      <c r="Q794" s="263"/>
      <c r="R794" s="263"/>
      <c r="S794" s="263"/>
      <c r="T794" s="263"/>
      <c r="U794" s="246"/>
      <c r="V794" s="246"/>
      <c r="W794" s="246"/>
      <c r="X794" s="246"/>
      <c r="Y794" s="246"/>
      <c r="Z794" s="246"/>
    </row>
    <row r="795">
      <c r="A795" s="263"/>
      <c r="B795" s="265" t="str">
        <f>IFERROR(__xludf.DUMMYFUNCTION("""COMPUTED_VALUE"""),"Stardust Reverie")</f>
        <v>Stardust Reverie</v>
      </c>
      <c r="C795" s="263"/>
      <c r="D795" s="264" t="str">
        <f>IFERROR(__xludf.DUMMYFUNCTION("""COMPUTED_VALUE"""),"Spell, Celestial, Upkeep")</f>
        <v>Spell, Celestial, Upkeep</v>
      </c>
      <c r="E795" s="264" t="str">
        <f>IFERROR(__xludf.DUMMYFUNCTION("""COMPUTED_VALUE"""),"60ft")</f>
        <v>60ft</v>
      </c>
      <c r="F795" s="266" t="str">
        <f>IFERROR(__xludf.DUMMYFUNCTION("""COMPUTED_VALUE"""),"Declare a distance up to the range of this spell. You create a celestial dome at that range from you that harm those that pass through it.
Until the start of your next turn, whenever a creature willingly enters that distance from you, you may make a Light"&amp;" attack against them that deals Arcane damage. You may choose to spend an RP before making this attack to make it a Heavy attack. A character that Sidesteps or Teleports through your stars does not provoke this attack.
Upkeep: 1 mana. When you pay the upk"&amp;"eep cost, you may change the distance of the stars.")</f>
        <v>Declare a distance up to the range of this spell. You create a celestial dome at that range from you that harm those that pass through it.
Until the start of your next turn, whenever a creature willingly enters that distance from you, you may make a Light attack against them that deals Arcane damage. You may choose to spend an RP before making this attack to make it a Heavy attack. A character that Sidesteps or Teleports through your stars does not provoke this attack.
Upkeep: 1 mana. When you pay the upkeep cost, you may change the distance of the stars.</v>
      </c>
      <c r="G795" s="264" t="str">
        <f>IFERROR(__xludf.DUMMYFUNCTION("""COMPUTED_VALUE"""),"")</f>
        <v/>
      </c>
      <c r="H795" s="265" t="str">
        <f>IFERROR(__xludf.DUMMYFUNCTION("""COMPUTED_VALUE"""),"2 AP, 1 MP")</f>
        <v>2 AP, 1 MP</v>
      </c>
      <c r="I795" s="264" t="str">
        <f>IFERROR(__xludf.DUMMYFUNCTION("""COMPUTED_VALUE"""),"2 AP")</f>
        <v>2 AP</v>
      </c>
      <c r="J795" s="263" t="str">
        <f>IFERROR(__xludf.DUMMYFUNCTION("""COMPUTED_VALUE"""),"1 MP")</f>
        <v>1 MP</v>
      </c>
      <c r="K795" s="263" t="str">
        <f>IFERROR(__xludf.DUMMYFUNCTION("""COMPUTED_VALUE"""),"")</f>
        <v/>
      </c>
      <c r="L795" s="263" t="str">
        <f>IFERROR(__xludf.DUMMYFUNCTION("""COMPUTED_VALUE"""),"")</f>
        <v/>
      </c>
      <c r="M795" s="263"/>
      <c r="N795" s="263"/>
      <c r="O795" s="263"/>
      <c r="P795" s="263"/>
      <c r="Q795" s="263"/>
      <c r="R795" s="263"/>
      <c r="S795" s="263"/>
      <c r="T795" s="263"/>
      <c r="U795" s="246"/>
      <c r="V795" s="246"/>
      <c r="W795" s="246"/>
      <c r="X795" s="246"/>
      <c r="Y795" s="246"/>
      <c r="Z795" s="246"/>
    </row>
    <row r="796">
      <c r="A796" s="263"/>
      <c r="B796" s="265" t="str">
        <f>IFERROR(__xludf.DUMMYFUNCTION("""COMPUTED_VALUE"""),"Starfall")</f>
        <v>Starfall</v>
      </c>
      <c r="C796" s="263"/>
      <c r="D796" s="264" t="str">
        <f>IFERROR(__xludf.DUMMYFUNCTION("""COMPUTED_VALUE"""),"Spell, Celestial")</f>
        <v>Spell, Celestial</v>
      </c>
      <c r="E796" s="264" t="str">
        <f>IFERROR(__xludf.DUMMYFUNCTION("""COMPUTED_VALUE"""),"360ft")</f>
        <v>360ft</v>
      </c>
      <c r="F796" s="266" t="str">
        <f>IFERROR(__xludf.DUMMYFUNCTION("""COMPUTED_VALUE"""),"You target a 25x25 square within range. On the start of your next turn, 4 stars fall down in the area.
At the start of your next turn, you make 4 light attacks that deal Arcane damage, evenly divided amongst enemies in the area. If there are less enemies "&amp;"than stars, you may hit an enemy more than once (though you must still attempt to hit each enemy an equal amount of times if possible).")</f>
        <v>You target a 25x25 square within range. On the start of your next turn, 4 stars fall down in the area.
At the start of your next turn, you make 4 light attacks that deal Arcane damage, evenly divided amongst enemies in the area. If there are less enemies than stars, you may hit an enemy more than once (though you must still attempt to hit each enemy an equal amount of times if possible).</v>
      </c>
      <c r="G796" s="263" t="str">
        <f>IFERROR(__xludf.DUMMYFUNCTION("""COMPUTED_VALUE"""),"")</f>
        <v/>
      </c>
      <c r="H796" s="265" t="str">
        <f>IFERROR(__xludf.DUMMYFUNCTION("""COMPUTED_VALUE"""),"2 AP")</f>
        <v>2 AP</v>
      </c>
      <c r="I796" s="264" t="str">
        <f>IFERROR(__xludf.DUMMYFUNCTION("""COMPUTED_VALUE"""),"2 AP")</f>
        <v>2 AP</v>
      </c>
      <c r="J796" s="263" t="str">
        <f>IFERROR(__xludf.DUMMYFUNCTION("""COMPUTED_VALUE"""),"")</f>
        <v/>
      </c>
      <c r="K796" s="263" t="str">
        <f>IFERROR(__xludf.DUMMYFUNCTION("""COMPUTED_VALUE"""),"")</f>
        <v/>
      </c>
      <c r="L796" s="263" t="str">
        <f>IFERROR(__xludf.DUMMYFUNCTION("""COMPUTED_VALUE"""),"")</f>
        <v/>
      </c>
      <c r="M796" s="263"/>
      <c r="N796" s="263"/>
      <c r="O796" s="263"/>
      <c r="P796" s="263"/>
      <c r="Q796" s="263"/>
      <c r="R796" s="263"/>
      <c r="S796" s="263"/>
      <c r="T796" s="263"/>
      <c r="U796" s="246"/>
      <c r="V796" s="246"/>
      <c r="W796" s="246"/>
      <c r="X796" s="246"/>
      <c r="Y796" s="246"/>
      <c r="Z796" s="246"/>
    </row>
    <row r="797">
      <c r="A797" s="263"/>
      <c r="B797" s="265" t="str">
        <f>IFERROR(__xludf.DUMMYFUNCTION("""COMPUTED_VALUE"""),"Starlance")</f>
        <v>Starlance</v>
      </c>
      <c r="C797" s="263"/>
      <c r="D797" s="264" t="str">
        <f>IFERROR(__xludf.DUMMYFUNCTION("""COMPUTED_VALUE"""),"Spell, Celestial, Pinpoint")</f>
        <v>Spell, Celestial, Pinpoint</v>
      </c>
      <c r="E797" s="264" t="str">
        <f>IFERROR(__xludf.DUMMYFUNCTION("""COMPUTED_VALUE"""),"120ft")</f>
        <v>120ft</v>
      </c>
      <c r="F797" s="266" t="str">
        <f>IFERROR(__xludf.DUMMYFUNCTION("""COMPUTED_VALUE"""),"You make a Precise attack against the target that deals Arcane damage.")</f>
        <v>You make a Precise attack against the target that deals Arcane damage.</v>
      </c>
      <c r="G797" s="263" t="str">
        <f>IFERROR(__xludf.DUMMYFUNCTION("""COMPUTED_VALUE"""),"")</f>
        <v/>
      </c>
      <c r="H797" s="265" t="str">
        <f>IFERROR(__xludf.DUMMYFUNCTION("""COMPUTED_VALUE"""),"1 AP, 1 MP")</f>
        <v>1 AP, 1 MP</v>
      </c>
      <c r="I797" s="264" t="str">
        <f>IFERROR(__xludf.DUMMYFUNCTION("""COMPUTED_VALUE"""),"1 AP")</f>
        <v>1 AP</v>
      </c>
      <c r="J797" s="264" t="str">
        <f>IFERROR(__xludf.DUMMYFUNCTION("""COMPUTED_VALUE"""),"1 MP")</f>
        <v>1 MP</v>
      </c>
      <c r="K797" s="263" t="str">
        <f>IFERROR(__xludf.DUMMYFUNCTION("""COMPUTED_VALUE"""),"")</f>
        <v/>
      </c>
      <c r="L797" s="263" t="str">
        <f>IFERROR(__xludf.DUMMYFUNCTION("""COMPUTED_VALUE"""),"")</f>
        <v/>
      </c>
      <c r="M797" s="263"/>
      <c r="N797" s="263"/>
      <c r="O797" s="263"/>
      <c r="P797" s="263"/>
      <c r="Q797" s="263"/>
      <c r="R797" s="263"/>
      <c r="S797" s="263"/>
      <c r="T797" s="263"/>
      <c r="U797" s="246"/>
      <c r="V797" s="246"/>
      <c r="W797" s="246"/>
      <c r="X797" s="246"/>
      <c r="Y797" s="246"/>
      <c r="Z797" s="246"/>
    </row>
    <row r="798">
      <c r="A798" s="263"/>
      <c r="B798" s="265" t="str">
        <f>IFERROR(__xludf.DUMMYFUNCTION("""COMPUTED_VALUE"""),"Start Dash")</f>
        <v>Start Dash</v>
      </c>
      <c r="C798" s="263"/>
      <c r="D798" s="263" t="str">
        <f>IFERROR(__xludf.DUMMYFUNCTION("""COMPUTED_VALUE"""),"Quick, Opener")</f>
        <v>Quick, Opener</v>
      </c>
      <c r="E798" s="264" t="str">
        <f>IFERROR(__xludf.DUMMYFUNCTION("""COMPUTED_VALUE"""),"Self")</f>
        <v>Self</v>
      </c>
      <c r="F798" s="266" t="str">
        <f>IFERROR(__xludf.DUMMYFUNCTION("""COMPUTED_VALUE"""),"You move up to your speed.")</f>
        <v>You move up to your speed.</v>
      </c>
      <c r="G798" s="264" t="str">
        <f>IFERROR(__xludf.DUMMYFUNCTION("""COMPUTED_VALUE"""),"Must be the first action in your turn.")</f>
        <v>Must be the first action in your turn.</v>
      </c>
      <c r="H798" s="265" t="str">
        <f>IFERROR(__xludf.DUMMYFUNCTION("""COMPUTED_VALUE"""),"0 AP")</f>
        <v>0 AP</v>
      </c>
      <c r="I798" s="264" t="str">
        <f>IFERROR(__xludf.DUMMYFUNCTION("""COMPUTED_VALUE"""),"0 AP")</f>
        <v>0 AP</v>
      </c>
      <c r="J798" s="263" t="str">
        <f>IFERROR(__xludf.DUMMYFUNCTION("""COMPUTED_VALUE"""),"")</f>
        <v/>
      </c>
      <c r="K798" s="263" t="str">
        <f>IFERROR(__xludf.DUMMYFUNCTION("""COMPUTED_VALUE"""),"")</f>
        <v/>
      </c>
      <c r="L798" s="263" t="str">
        <f>IFERROR(__xludf.DUMMYFUNCTION("""COMPUTED_VALUE"""),"")</f>
        <v/>
      </c>
      <c r="M798" s="263"/>
      <c r="N798" s="263"/>
      <c r="O798" s="263"/>
      <c r="P798" s="263"/>
      <c r="Q798" s="263"/>
      <c r="R798" s="263"/>
      <c r="S798" s="263"/>
      <c r="T798" s="263"/>
      <c r="U798" s="246"/>
      <c r="V798" s="246"/>
      <c r="W798" s="246"/>
      <c r="X798" s="246"/>
      <c r="Y798" s="246"/>
      <c r="Z798" s="246"/>
    </row>
    <row r="799">
      <c r="A799" s="263"/>
      <c r="B799" s="265" t="str">
        <f>IFERROR(__xludf.DUMMYFUNCTION("""COMPUTED_VALUE"""),"Stasis")</f>
        <v>Stasis</v>
      </c>
      <c r="C799" s="263"/>
      <c r="D799" s="264" t="str">
        <f>IFERROR(__xludf.DUMMYFUNCTION("""COMPUTED_VALUE"""),"")</f>
        <v/>
      </c>
      <c r="E799" s="264" t="str">
        <f>IFERROR(__xludf.DUMMYFUNCTION("""COMPUTED_VALUE"""),"40ft")</f>
        <v>40ft</v>
      </c>
      <c r="F799" s="266" t="str">
        <f>IFERROR(__xludf.DUMMYFUNCTION("""COMPUTED_VALUE"""),"You put a Grunt level character or any willing ally into Stasis until the start of your next turn. While in Stasis, they cannot be affected by any ability, attack or anything similar but they also cannot take any actions.")</f>
        <v>You put a Grunt level character or any willing ally into Stasis until the start of your next turn. While in Stasis, they cannot be affected by any ability, attack or anything similar but they also cannot take any actions.</v>
      </c>
      <c r="G799" s="264" t="str">
        <f>IFERROR(__xludf.DUMMYFUNCTION("""COMPUTED_VALUE"""),"")</f>
        <v/>
      </c>
      <c r="H799" s="265" t="str">
        <f>IFERROR(__xludf.DUMMYFUNCTION("""COMPUTED_VALUE"""),"2 AP")</f>
        <v>2 AP</v>
      </c>
      <c r="I799" s="264" t="str">
        <f>IFERROR(__xludf.DUMMYFUNCTION("""COMPUTED_VALUE"""),"2 AP")</f>
        <v>2 AP</v>
      </c>
      <c r="J799" s="263" t="str">
        <f>IFERROR(__xludf.DUMMYFUNCTION("""COMPUTED_VALUE"""),"")</f>
        <v/>
      </c>
      <c r="K799" s="263" t="str">
        <f>IFERROR(__xludf.DUMMYFUNCTION("""COMPUTED_VALUE"""),"")</f>
        <v/>
      </c>
      <c r="L799" s="263" t="str">
        <f>IFERROR(__xludf.DUMMYFUNCTION("""COMPUTED_VALUE"""),"")</f>
        <v/>
      </c>
      <c r="M799" s="263"/>
      <c r="N799" s="263"/>
      <c r="O799" s="263"/>
      <c r="P799" s="263"/>
      <c r="Q799" s="263"/>
      <c r="R799" s="263"/>
      <c r="S799" s="263"/>
      <c r="T799" s="263"/>
      <c r="U799" s="246"/>
      <c r="V799" s="246"/>
      <c r="W799" s="246"/>
      <c r="X799" s="246"/>
      <c r="Y799" s="246"/>
      <c r="Z799" s="246"/>
    </row>
    <row r="800">
      <c r="A800" s="263"/>
      <c r="B800" s="265" t="str">
        <f>IFERROR(__xludf.DUMMYFUNCTION("""COMPUTED_VALUE"""),"Static Discharge")</f>
        <v>Static Discharge</v>
      </c>
      <c r="C800" s="263"/>
      <c r="D800" s="264" t="str">
        <f>IFERROR(__xludf.DUMMYFUNCTION("""COMPUTED_VALUE"""),"Lightning, Spell")</f>
        <v>Lightning, Spell</v>
      </c>
      <c r="E800" s="264" t="str">
        <f>IFERROR(__xludf.DUMMYFUNCTION("""COMPUTED_VALUE"""),"40ft")</f>
        <v>40ft</v>
      </c>
      <c r="F800" s="266" t="str">
        <f>IFERROR(__xludf.DUMMYFUNCTION("""COMPUTED_VALUE"""),"A single target in range must make a save or the Static stacks on them immediately discharge, triggering the Static effect as though it was the end of the target’s turn.
Whether the target succeeds at or fails the save, they lose all Static charges.")</f>
        <v>A single target in range must make a save or the Static stacks on them immediately discharge, triggering the Static effect as though it was the end of the target’s turn.
Whether the target succeeds at or fails the save, they lose all Static charges.</v>
      </c>
      <c r="G800" s="263" t="str">
        <f>IFERROR(__xludf.DUMMYFUNCTION("""COMPUTED_VALUE"""),"The target must be afflicted with Static you applied.")</f>
        <v>The target must be afflicted with Static you applied.</v>
      </c>
      <c r="H800" s="265" t="str">
        <f>IFERROR(__xludf.DUMMYFUNCTION("""COMPUTED_VALUE"""),"2 AP, 2 MP")</f>
        <v>2 AP, 2 MP</v>
      </c>
      <c r="I800" s="263" t="str">
        <f>IFERROR(__xludf.DUMMYFUNCTION("""COMPUTED_VALUE"""),"2 AP")</f>
        <v>2 AP</v>
      </c>
      <c r="J800" s="264" t="str">
        <f>IFERROR(__xludf.DUMMYFUNCTION("""COMPUTED_VALUE"""),"2 MP")</f>
        <v>2 MP</v>
      </c>
      <c r="K800" s="264" t="str">
        <f>IFERROR(__xludf.DUMMYFUNCTION("""COMPUTED_VALUE"""),"")</f>
        <v/>
      </c>
      <c r="L800" s="263" t="str">
        <f>IFERROR(__xludf.DUMMYFUNCTION("""COMPUTED_VALUE"""),"")</f>
        <v/>
      </c>
      <c r="M800" s="263"/>
      <c r="N800" s="263"/>
      <c r="O800" s="263"/>
      <c r="P800" s="263"/>
      <c r="Q800" s="263"/>
      <c r="R800" s="263"/>
      <c r="S800" s="263"/>
      <c r="T800" s="263"/>
      <c r="U800" s="246"/>
      <c r="V800" s="246"/>
      <c r="W800" s="246"/>
      <c r="X800" s="246"/>
      <c r="Y800" s="246"/>
      <c r="Z800" s="246"/>
    </row>
    <row r="801">
      <c r="A801" s="263"/>
      <c r="B801" s="265" t="str">
        <f>IFERROR(__xludf.DUMMYFUNCTION("""COMPUTED_VALUE"""),"Static Overload")</f>
        <v>Static Overload</v>
      </c>
      <c r="C801" s="263"/>
      <c r="D801" s="264" t="str">
        <f>IFERROR(__xludf.DUMMYFUNCTION("""COMPUTED_VALUE"""),"Daze, Lightning, Spell")</f>
        <v>Daze, Lightning, Spell</v>
      </c>
      <c r="E801" s="264" t="str">
        <f>IFERROR(__xludf.DUMMYFUNCTION("""COMPUTED_VALUE"""),"60ft")</f>
        <v>60ft</v>
      </c>
      <c r="F801" s="266" t="str">
        <f>IFERROR(__xludf.DUMMYFUNCTION("""COMPUTED_VALUE"""),"A single target in range must make a save or immediately take Lightning damage equal to their Static and become inflicted with Daze.")</f>
        <v>A single target in range must make a save or immediately take Lightning damage equal to their Static and become inflicted with Daze.</v>
      </c>
      <c r="G801" s="264" t="str">
        <f>IFERROR(__xludf.DUMMYFUNCTION("""COMPUTED_VALUE"""),"The target must be afflicted with Static you applied.")</f>
        <v>The target must be afflicted with Static you applied.</v>
      </c>
      <c r="H801" s="265" t="str">
        <f>IFERROR(__xludf.DUMMYFUNCTION("""COMPUTED_VALUE"""),"2 AP")</f>
        <v>2 AP</v>
      </c>
      <c r="I801" s="264" t="str">
        <f>IFERROR(__xludf.DUMMYFUNCTION("""COMPUTED_VALUE"""),"2 AP")</f>
        <v>2 AP</v>
      </c>
      <c r="J801" s="263" t="str">
        <f>IFERROR(__xludf.DUMMYFUNCTION("""COMPUTED_VALUE"""),"")</f>
        <v/>
      </c>
      <c r="K801" s="263" t="str">
        <f>IFERROR(__xludf.DUMMYFUNCTION("""COMPUTED_VALUE"""),"")</f>
        <v/>
      </c>
      <c r="L801" s="263" t="str">
        <f>IFERROR(__xludf.DUMMYFUNCTION("""COMPUTED_VALUE"""),"")</f>
        <v/>
      </c>
      <c r="M801" s="263"/>
      <c r="N801" s="263"/>
      <c r="O801" s="263"/>
      <c r="P801" s="263"/>
      <c r="Q801" s="263"/>
      <c r="R801" s="263"/>
      <c r="S801" s="263"/>
      <c r="T801" s="263"/>
      <c r="U801" s="246"/>
      <c r="V801" s="246"/>
      <c r="W801" s="246"/>
      <c r="X801" s="246"/>
      <c r="Y801" s="246"/>
      <c r="Z801" s="246"/>
    </row>
    <row r="802">
      <c r="A802" s="263"/>
      <c r="B802" s="265" t="str">
        <f>IFERROR(__xludf.DUMMYFUNCTION("""COMPUTED_VALUE"""),"Statue Form")</f>
        <v>Statue Form</v>
      </c>
      <c r="C802" s="263"/>
      <c r="D802" s="263" t="str">
        <f>IFERROR(__xludf.DUMMYFUNCTION("""COMPUTED_VALUE"""),"Transformation")</f>
        <v>Transformation</v>
      </c>
      <c r="E802" s="263" t="str">
        <f>IFERROR(__xludf.DUMMYFUNCTION("""COMPUTED_VALUE"""),"Self")</f>
        <v>Self</v>
      </c>
      <c r="F802" s="266" t="str">
        <f>IFERROR(__xludf.DUMMYFUNCTION("""COMPUTED_VALUE"""),"You turn yourself into a statue, petrifying yourself and the items on you. While in this mode, you gain a +5 bonus to your guard but cannot take any actions except Block. You may leave this mode by spending 0 AP.
You may rest as normal while in this form."&amp;" While staying in this form, you do not need to eat.
You gain a +10 bonus to your Deception for convincing others that you are just a statue.")</f>
        <v>You turn yourself into a statue, petrifying yourself and the items on you. While in this mode, you gain a +5 bonus to your guard but cannot take any actions except Block. You may leave this mode by spending 0 AP.
You may rest as normal while in this form. While staying in this form, you do not need to eat.
You gain a +10 bonus to your Deception for convincing others that you are just a statue.</v>
      </c>
      <c r="G802" s="264" t="str">
        <f>IFERROR(__xludf.DUMMYFUNCTION("""COMPUTED_VALUE"""),"")</f>
        <v/>
      </c>
      <c r="H802" s="267" t="str">
        <f>IFERROR(__xludf.DUMMYFUNCTION("""COMPUTED_VALUE"""),"4 AP")</f>
        <v>4 AP</v>
      </c>
      <c r="I802" s="263" t="str">
        <f>IFERROR(__xludf.DUMMYFUNCTION("""COMPUTED_VALUE"""),"4 AP")</f>
        <v>4 AP</v>
      </c>
      <c r="J802" s="263" t="str">
        <f>IFERROR(__xludf.DUMMYFUNCTION("""COMPUTED_VALUE"""),"")</f>
        <v/>
      </c>
      <c r="K802" s="263" t="str">
        <f>IFERROR(__xludf.DUMMYFUNCTION("""COMPUTED_VALUE"""),"")</f>
        <v/>
      </c>
      <c r="L802" s="263" t="str">
        <f>IFERROR(__xludf.DUMMYFUNCTION("""COMPUTED_VALUE"""),"")</f>
        <v/>
      </c>
      <c r="M802" s="263"/>
      <c r="N802" s="263"/>
      <c r="O802" s="263"/>
      <c r="P802" s="263"/>
      <c r="Q802" s="263"/>
      <c r="R802" s="263"/>
      <c r="S802" s="263"/>
      <c r="T802" s="263"/>
      <c r="U802" s="246"/>
      <c r="V802" s="246"/>
      <c r="W802" s="246"/>
      <c r="X802" s="246"/>
      <c r="Y802" s="246"/>
      <c r="Z802" s="246"/>
    </row>
    <row r="803">
      <c r="A803" s="263"/>
      <c r="B803" s="265" t="str">
        <f>IFERROR(__xludf.DUMMYFUNCTION("""COMPUTED_VALUE"""),"Status Assessment")</f>
        <v>Status Assessment</v>
      </c>
      <c r="C803" s="263"/>
      <c r="D803" s="263" t="str">
        <f>IFERROR(__xludf.DUMMYFUNCTION("""COMPUTED_VALUE"""),"Analyze, Quick, Stealth")</f>
        <v>Analyze, Quick, Stealth</v>
      </c>
      <c r="E803" s="264" t="str">
        <f>IFERROR(__xludf.DUMMYFUNCTION("""COMPUTED_VALUE"""),"Sight")</f>
        <v>Sight</v>
      </c>
      <c r="F803" s="266" t="str">
        <f>IFERROR(__xludf.DUMMYFUNCTION("""COMPUTED_VALUE"""),"You can assess the approximate HP percentage of a unit until the end of combat. (The DM should enable health bars for the unit). You can also determine which parts of a creature can be targeted and destroyed, if any.")</f>
        <v>You can assess the approximate HP percentage of a unit until the end of combat. (The DM should enable health bars for the unit). You can also determine which parts of a creature can be targeted and destroyed, if any.</v>
      </c>
      <c r="G803" s="264" t="str">
        <f>IFERROR(__xludf.DUMMYFUNCTION("""COMPUTED_VALUE"""),"")</f>
        <v/>
      </c>
      <c r="H803" s="265" t="str">
        <f>IFERROR(__xludf.DUMMYFUNCTION("""COMPUTED_VALUE"""),"0 AP")</f>
        <v>0 AP</v>
      </c>
      <c r="I803" s="264" t="str">
        <f>IFERROR(__xludf.DUMMYFUNCTION("""COMPUTED_VALUE"""),"0 AP")</f>
        <v>0 AP</v>
      </c>
      <c r="J803" s="263" t="str">
        <f>IFERROR(__xludf.DUMMYFUNCTION("""COMPUTED_VALUE"""),"")</f>
        <v/>
      </c>
      <c r="K803" s="263" t="str">
        <f>IFERROR(__xludf.DUMMYFUNCTION("""COMPUTED_VALUE"""),"")</f>
        <v/>
      </c>
      <c r="L803" s="263" t="str">
        <f>IFERROR(__xludf.DUMMYFUNCTION("""COMPUTED_VALUE"""),"")</f>
        <v/>
      </c>
      <c r="M803" s="263"/>
      <c r="N803" s="263"/>
      <c r="O803" s="263"/>
      <c r="P803" s="263"/>
      <c r="Q803" s="263"/>
      <c r="R803" s="263"/>
      <c r="S803" s="263"/>
      <c r="T803" s="263"/>
      <c r="U803" s="246"/>
      <c r="V803" s="246"/>
      <c r="W803" s="246"/>
      <c r="X803" s="246"/>
      <c r="Y803" s="246"/>
      <c r="Z803" s="246"/>
    </row>
    <row r="804">
      <c r="A804" s="263"/>
      <c r="B804" s="265" t="str">
        <f>IFERROR(__xludf.DUMMYFUNCTION("""COMPUTED_VALUE"""),"Status Assessment II")</f>
        <v>Status Assessment II</v>
      </c>
      <c r="C804" s="263"/>
      <c r="D804" s="264" t="str">
        <f>IFERROR(__xludf.DUMMYFUNCTION("""COMPUTED_VALUE"""),"Analyze, Quick, Stealth")</f>
        <v>Analyze, Quick, Stealth</v>
      </c>
      <c r="E804" s="264" t="str">
        <f>IFERROR(__xludf.DUMMYFUNCTION("""COMPUTED_VALUE"""),"Sight")</f>
        <v>Sight</v>
      </c>
      <c r="F804" s="266" t="str">
        <f>IFERROR(__xludf.DUMMYFUNCTION("""COMPUTED_VALUE"""),"You can assess the approximate HP percentage of a unit until the end of combat. (The DM should enable health bars for the unit). You can also assess any damage type weaknesses and strengths that the enemy has at the current time. You can also determine wh"&amp;"ich parts of a creature can be targeted and destroyed, if any.")</f>
        <v>You can assess the approximate HP percentage of a unit until the end of combat. (The DM should enable health bars for the unit). You can also assess any damage type weaknesses and strengths that the enemy has at the current time. You can also determine which parts of a creature can be targeted and destroyed, if any.</v>
      </c>
      <c r="G804" s="264" t="str">
        <f>IFERROR(__xludf.DUMMYFUNCTION("""COMPUTED_VALUE"""),"")</f>
        <v/>
      </c>
      <c r="H804" s="265" t="str">
        <f>IFERROR(__xludf.DUMMYFUNCTION("""COMPUTED_VALUE"""),"0 AP")</f>
        <v>0 AP</v>
      </c>
      <c r="I804" s="263" t="str">
        <f>IFERROR(__xludf.DUMMYFUNCTION("""COMPUTED_VALUE"""),"0 AP")</f>
        <v>0 AP</v>
      </c>
      <c r="J804" s="263" t="str">
        <f>IFERROR(__xludf.DUMMYFUNCTION("""COMPUTED_VALUE"""),"")</f>
        <v/>
      </c>
      <c r="K804" s="264" t="str">
        <f>IFERROR(__xludf.DUMMYFUNCTION("""COMPUTED_VALUE"""),"")</f>
        <v/>
      </c>
      <c r="L804" s="263" t="str">
        <f>IFERROR(__xludf.DUMMYFUNCTION("""COMPUTED_VALUE"""),"")</f>
        <v/>
      </c>
      <c r="M804" s="263"/>
      <c r="N804" s="263"/>
      <c r="O804" s="263"/>
      <c r="P804" s="263"/>
      <c r="Q804" s="263"/>
      <c r="R804" s="263"/>
      <c r="S804" s="263"/>
      <c r="T804" s="263"/>
      <c r="U804" s="246"/>
      <c r="V804" s="246"/>
      <c r="W804" s="246"/>
      <c r="X804" s="246"/>
      <c r="Y804" s="246"/>
      <c r="Z804" s="246"/>
    </row>
    <row r="805">
      <c r="A805" s="263"/>
      <c r="B805" s="265" t="str">
        <f>IFERROR(__xludf.DUMMYFUNCTION("""COMPUTED_VALUE"""),"Status Assessment III")</f>
        <v>Status Assessment III</v>
      </c>
      <c r="C805" s="263"/>
      <c r="D805" s="264" t="str">
        <f>IFERROR(__xludf.DUMMYFUNCTION("""COMPUTED_VALUE"""),"Analyze, Stealth")</f>
        <v>Analyze, Stealth</v>
      </c>
      <c r="E805" s="264" t="str">
        <f>IFERROR(__xludf.DUMMYFUNCTION("""COMPUTED_VALUE"""),"Sight")</f>
        <v>Sight</v>
      </c>
      <c r="F805" s="266" t="str">
        <f>IFERROR(__xludf.DUMMYFUNCTION("""COMPUTED_VALUE"""),"You can assess the approximate HP and RP percentage of a unit until the end of combat. (The DM should enable health bars for the unit). You can also assess any damage type weaknesses and strengths that the enemy has at the current time. You can also deter"&amp;"mine which parts of a creature can be targeted and destroyed, if any.")</f>
        <v>You can assess the approximate HP and RP percentage of a unit until the end of combat. (The DM should enable health bars for the unit). You can also assess any damage type weaknesses and strengths that the enemy has at the current time. You can also determine which parts of a creature can be targeted and destroyed, if any.</v>
      </c>
      <c r="G805" s="263" t="str">
        <f>IFERROR(__xludf.DUMMYFUNCTION("""COMPUTED_VALUE"""),"")</f>
        <v/>
      </c>
      <c r="H805" s="265" t="str">
        <f>IFERROR(__xludf.DUMMYFUNCTION("""COMPUTED_VALUE"""),"0 AP")</f>
        <v>0 AP</v>
      </c>
      <c r="I805" s="264" t="str">
        <f>IFERROR(__xludf.DUMMYFUNCTION("""COMPUTED_VALUE"""),"0 AP")</f>
        <v>0 AP</v>
      </c>
      <c r="J805" s="264" t="str">
        <f>IFERROR(__xludf.DUMMYFUNCTION("""COMPUTED_VALUE"""),"")</f>
        <v/>
      </c>
      <c r="K805" s="263" t="str">
        <f>IFERROR(__xludf.DUMMYFUNCTION("""COMPUTED_VALUE"""),"")</f>
        <v/>
      </c>
      <c r="L805" s="263" t="str">
        <f>IFERROR(__xludf.DUMMYFUNCTION("""COMPUTED_VALUE"""),"")</f>
        <v/>
      </c>
      <c r="M805" s="263"/>
      <c r="N805" s="263"/>
      <c r="O805" s="263"/>
      <c r="P805" s="263"/>
      <c r="Q805" s="263"/>
      <c r="R805" s="263"/>
      <c r="S805" s="263"/>
      <c r="T805" s="263"/>
      <c r="U805" s="246"/>
      <c r="V805" s="246"/>
      <c r="W805" s="246"/>
      <c r="X805" s="246"/>
      <c r="Y805" s="246"/>
      <c r="Z805" s="246"/>
    </row>
    <row r="806">
      <c r="A806" s="263"/>
      <c r="B806" s="265" t="str">
        <f>IFERROR(__xludf.DUMMYFUNCTION("""COMPUTED_VALUE"""),"Stay Here With Me!")</f>
        <v>Stay Here With Me!</v>
      </c>
      <c r="C806" s="263"/>
      <c r="D806" s="264" t="str">
        <f>IFERROR(__xludf.DUMMYFUNCTION("""COMPUTED_VALUE"""),"Song, Sound, Idol, Healing, Upkeep")</f>
        <v>Song, Sound, Idol, Healing, Upkeep</v>
      </c>
      <c r="E806" s="264" t="str">
        <f>IFERROR(__xludf.DUMMYFUNCTION("""COMPUTED_VALUE"""),"30ft")</f>
        <v>30ft</v>
      </c>
      <c r="F806" s="266" t="str">
        <f>IFERROR(__xludf.DUMMYFUNCTION("""COMPUTED_VALUE"""),"All allies within range heal for 8 HP.
Upkeep: 1 AP, 2 Mana. When you pay upkeep, you heal all allies for 8 HP again.")</f>
        <v>All allies within range heal for 8 HP.
Upkeep: 1 AP, 2 Mana. When you pay upkeep, you heal all allies for 8 HP again.</v>
      </c>
      <c r="G806" s="263" t="str">
        <f>IFERROR(__xludf.DUMMYFUNCTION("""COMPUTED_VALUE"""),"")</f>
        <v/>
      </c>
      <c r="H806" s="265" t="str">
        <f>IFERROR(__xludf.DUMMYFUNCTION("""COMPUTED_VALUE"""),"2 AP, 2 MP")</f>
        <v>2 AP, 2 MP</v>
      </c>
      <c r="I806" s="264" t="str">
        <f>IFERROR(__xludf.DUMMYFUNCTION("""COMPUTED_VALUE"""),"2 AP")</f>
        <v>2 AP</v>
      </c>
      <c r="J806" s="264" t="str">
        <f>IFERROR(__xludf.DUMMYFUNCTION("""COMPUTED_VALUE"""),"2 MP")</f>
        <v>2 MP</v>
      </c>
      <c r="K806" s="263" t="str">
        <f>IFERROR(__xludf.DUMMYFUNCTION("""COMPUTED_VALUE"""),"")</f>
        <v/>
      </c>
      <c r="L806" s="263" t="str">
        <f>IFERROR(__xludf.DUMMYFUNCTION("""COMPUTED_VALUE"""),"")</f>
        <v/>
      </c>
      <c r="M806" s="263"/>
      <c r="N806" s="263"/>
      <c r="O806" s="263"/>
      <c r="P806" s="263"/>
      <c r="Q806" s="263"/>
      <c r="R806" s="263"/>
      <c r="S806" s="263"/>
      <c r="T806" s="263"/>
      <c r="U806" s="246"/>
      <c r="V806" s="246"/>
      <c r="W806" s="246"/>
      <c r="X806" s="246"/>
      <c r="Y806" s="246"/>
      <c r="Z806" s="246"/>
    </row>
    <row r="807">
      <c r="A807" s="263"/>
      <c r="B807" s="265" t="str">
        <f>IFERROR(__xludf.DUMMYFUNCTION("""COMPUTED_VALUE"""),"Steadfast Earth Stance")</f>
        <v>Steadfast Earth Stance</v>
      </c>
      <c r="C807" s="263"/>
      <c r="D807" s="264" t="str">
        <f>IFERROR(__xludf.DUMMYFUNCTION("""COMPUTED_VALUE"""),"Stance")</f>
        <v>Stance</v>
      </c>
      <c r="E807" s="264" t="str">
        <f>IFERROR(__xludf.DUMMYFUNCTION("""COMPUTED_VALUE"""),"Self")</f>
        <v>Self</v>
      </c>
      <c r="F807" s="266" t="str">
        <f>IFERROR(__xludf.DUMMYFUNCTION("""COMPUTED_VALUE"""),"You enter a stance that grants you the toughness of the earth. You gain a +2 bonus to your guard and a +6 bonus to your Block.
This stance lasts until you enter a different stance.")</f>
        <v>You enter a stance that grants you the toughness of the earth. You gain a +2 bonus to your guard and a +6 bonus to your Block.
This stance lasts until you enter a different stance.</v>
      </c>
      <c r="G807" s="264" t="str">
        <f>IFERROR(__xludf.DUMMYFUNCTION("""COMPUTED_VALUE"""),"Not wearing any armor (including armor plates)")</f>
        <v>Not wearing any armor (including armor plates)</v>
      </c>
      <c r="H807" s="265" t="str">
        <f>IFERROR(__xludf.DUMMYFUNCTION("""COMPUTED_VALUE"""),"0 AP, 1 MP")</f>
        <v>0 AP, 1 MP</v>
      </c>
      <c r="I807" s="263" t="str">
        <f>IFERROR(__xludf.DUMMYFUNCTION("""COMPUTED_VALUE"""),"0 AP")</f>
        <v>0 AP</v>
      </c>
      <c r="J807" s="264" t="str">
        <f>IFERROR(__xludf.DUMMYFUNCTION("""COMPUTED_VALUE"""),"1 MP")</f>
        <v>1 MP</v>
      </c>
      <c r="K807" s="264" t="str">
        <f>IFERROR(__xludf.DUMMYFUNCTION("""COMPUTED_VALUE"""),"")</f>
        <v/>
      </c>
      <c r="L807" s="263" t="str">
        <f>IFERROR(__xludf.DUMMYFUNCTION("""COMPUTED_VALUE"""),"")</f>
        <v/>
      </c>
      <c r="M807" s="263"/>
      <c r="N807" s="263"/>
      <c r="O807" s="263"/>
      <c r="P807" s="263"/>
      <c r="Q807" s="263"/>
      <c r="R807" s="263"/>
      <c r="S807" s="263"/>
      <c r="T807" s="263"/>
      <c r="U807" s="246"/>
      <c r="V807" s="246"/>
      <c r="W807" s="246"/>
      <c r="X807" s="246"/>
      <c r="Y807" s="246"/>
      <c r="Z807" s="246"/>
    </row>
    <row r="808">
      <c r="A808" s="263"/>
      <c r="B808" s="265" t="str">
        <f>IFERROR(__xludf.DUMMYFUNCTION("""COMPUTED_VALUE"""),"Steady Craft II")</f>
        <v>Steady Craft II</v>
      </c>
      <c r="C808" s="263"/>
      <c r="D808" s="263" t="str">
        <f>IFERROR(__xludf.DUMMYFUNCTION("""COMPUTED_VALUE"""),"")</f>
        <v/>
      </c>
      <c r="E808" s="264" t="str">
        <f>IFERROR(__xludf.DUMMYFUNCTION("""COMPUTED_VALUE"""),"")</f>
        <v/>
      </c>
      <c r="F808" s="266" t="str">
        <f>IFERROR(__xludf.DUMMYFUNCTION("""COMPUTED_VALUE"""),"You add a crafting check to the item. The crafting dice is automatically a 7.")</f>
        <v>You add a crafting check to the item. The crafting dice is automatically a 7.</v>
      </c>
      <c r="G808" s="264" t="str">
        <f>IFERROR(__xludf.DUMMYFUNCTION("""COMPUTED_VALUE"""),"1 Crafting Dice.")</f>
        <v>1 Crafting Dice.</v>
      </c>
      <c r="H808" s="265" t="str">
        <f>IFERROR(__xludf.DUMMYFUNCTION("""COMPUTED_VALUE"""),"")</f>
        <v/>
      </c>
      <c r="I808" s="264" t="str">
        <f>IFERROR(__xludf.DUMMYFUNCTION("""COMPUTED_VALUE"""),"")</f>
        <v/>
      </c>
      <c r="J808" s="264" t="str">
        <f>IFERROR(__xludf.DUMMYFUNCTION("""COMPUTED_VALUE"""),"")</f>
        <v/>
      </c>
      <c r="K808" s="263" t="str">
        <f>IFERROR(__xludf.DUMMYFUNCTION("""COMPUTED_VALUE"""),"")</f>
        <v/>
      </c>
      <c r="L808" s="263" t="str">
        <f>IFERROR(__xludf.DUMMYFUNCTION("""COMPUTED_VALUE"""),"")</f>
        <v/>
      </c>
      <c r="M808" s="263"/>
      <c r="N808" s="263"/>
      <c r="O808" s="263"/>
      <c r="P808" s="263"/>
      <c r="Q808" s="263"/>
      <c r="R808" s="263"/>
      <c r="S808" s="263"/>
      <c r="T808" s="263"/>
      <c r="U808" s="246"/>
      <c r="V808" s="246"/>
      <c r="W808" s="246"/>
      <c r="X808" s="246"/>
      <c r="Y808" s="246"/>
      <c r="Z808" s="246"/>
    </row>
    <row r="809">
      <c r="A809" s="263"/>
      <c r="B809" s="265" t="str">
        <f>IFERROR(__xludf.DUMMYFUNCTION("""COMPUTED_VALUE"""),"Steady Ground")</f>
        <v>Steady Ground</v>
      </c>
      <c r="C809" s="263"/>
      <c r="D809" s="264" t="str">
        <f>IFERROR(__xludf.DUMMYFUNCTION("""COMPUTED_VALUE"""),"Aid")</f>
        <v>Aid</v>
      </c>
      <c r="E809" s="264" t="str">
        <f>IFERROR(__xludf.DUMMYFUNCTION("""COMPUTED_VALUE"""),"60ft")</f>
        <v>60ft</v>
      </c>
      <c r="F809" s="266" t="str">
        <f>IFERROR(__xludf.DUMMYFUNCTION("""COMPUTED_VALUE"""),"The target gains Immovable until the start of their next turn.
You may also use this for 2 AP instead.")</f>
        <v>The target gains Immovable until the start of their next turn.
You may also use this for 2 AP instead.</v>
      </c>
      <c r="G809" s="263" t="str">
        <f>IFERROR(__xludf.DUMMYFUNCTION("""COMPUTED_VALUE"""),"The target must be touching the ground.")</f>
        <v>The target must be touching the ground.</v>
      </c>
      <c r="H809" s="265" t="str">
        <f>IFERROR(__xludf.DUMMYFUNCTION("""COMPUTED_VALUE"""),"1 RP")</f>
        <v>1 RP</v>
      </c>
      <c r="I809" s="264" t="str">
        <f>IFERROR(__xludf.DUMMYFUNCTION("""COMPUTED_VALUE"""),"")</f>
        <v/>
      </c>
      <c r="J809" s="264" t="str">
        <f>IFERROR(__xludf.DUMMYFUNCTION("""COMPUTED_VALUE"""),"")</f>
        <v/>
      </c>
      <c r="K809" s="263" t="str">
        <f>IFERROR(__xludf.DUMMYFUNCTION("""COMPUTED_VALUE"""),"1 RP")</f>
        <v>1 RP</v>
      </c>
      <c r="L809" s="263" t="str">
        <f>IFERROR(__xludf.DUMMYFUNCTION("""COMPUTED_VALUE"""),"")</f>
        <v/>
      </c>
      <c r="M809" s="263"/>
      <c r="N809" s="263"/>
      <c r="O809" s="263"/>
      <c r="P809" s="263"/>
      <c r="Q809" s="263"/>
      <c r="R809" s="263"/>
      <c r="S809" s="263"/>
      <c r="T809" s="263"/>
      <c r="U809" s="246"/>
      <c r="V809" s="246"/>
      <c r="W809" s="246"/>
      <c r="X809" s="246"/>
      <c r="Y809" s="246"/>
      <c r="Z809" s="246"/>
    </row>
    <row r="810">
      <c r="A810" s="263"/>
      <c r="B810" s="265" t="str">
        <f>IFERROR(__xludf.DUMMYFUNCTION("""COMPUTED_VALUE"""),"Steady Stance")</f>
        <v>Steady Stance</v>
      </c>
      <c r="C810" s="263"/>
      <c r="D810" s="263" t="str">
        <f>IFERROR(__xludf.DUMMYFUNCTION("""COMPUTED_VALUE"""),"Stance, Immovable")</f>
        <v>Stance, Immovable</v>
      </c>
      <c r="E810" s="264" t="str">
        <f>IFERROR(__xludf.DUMMYFUNCTION("""COMPUTED_VALUE"""),"Self")</f>
        <v>Self</v>
      </c>
      <c r="F810" s="266" t="str">
        <f>IFERROR(__xludf.DUMMYFUNCTION("""COMPUTED_VALUE"""),"You enter a Stance in which you become Immovable unless the enemy has more Power than you. If they do, you may pay an additional mana to retain the effect against them for that turn if they would prone you or knock you back.
This stance lasts until you en"&amp;"ter a different stance.")</f>
        <v>You enter a Stance in which you become Immovable unless the enemy has more Power than you. If they do, you may pay an additional mana to retain the effect against them for that turn if they would prone you or knock you back.
This stance lasts until you enter a different stance.</v>
      </c>
      <c r="G810" s="263" t="str">
        <f>IFERROR(__xludf.DUMMYFUNCTION("""COMPUTED_VALUE"""),"")</f>
        <v/>
      </c>
      <c r="H810" s="265" t="str">
        <f>IFERROR(__xludf.DUMMYFUNCTION("""COMPUTED_VALUE"""),"1 MP, 0 RP")</f>
        <v>1 MP, 0 RP</v>
      </c>
      <c r="I810" s="264" t="str">
        <f>IFERROR(__xludf.DUMMYFUNCTION("""COMPUTED_VALUE"""),"")</f>
        <v/>
      </c>
      <c r="J810" s="264" t="str">
        <f>IFERROR(__xludf.DUMMYFUNCTION("""COMPUTED_VALUE"""),"1 MP")</f>
        <v>1 MP</v>
      </c>
      <c r="K810" s="263" t="str">
        <f>IFERROR(__xludf.DUMMYFUNCTION("""COMPUTED_VALUE"""),"0 RP")</f>
        <v>0 RP</v>
      </c>
      <c r="L810" s="263" t="str">
        <f>IFERROR(__xludf.DUMMYFUNCTION("""COMPUTED_VALUE"""),"")</f>
        <v/>
      </c>
      <c r="M810" s="263"/>
      <c r="N810" s="263"/>
      <c r="O810" s="263"/>
      <c r="P810" s="263"/>
      <c r="Q810" s="263"/>
      <c r="R810" s="263"/>
      <c r="S810" s="263"/>
      <c r="T810" s="263"/>
      <c r="U810" s="246"/>
      <c r="V810" s="246"/>
      <c r="W810" s="246"/>
      <c r="X810" s="246"/>
      <c r="Y810" s="246"/>
      <c r="Z810" s="246"/>
    </row>
    <row r="811">
      <c r="A811" s="263"/>
      <c r="B811" s="265" t="str">
        <f>IFERROR(__xludf.DUMMYFUNCTION("""COMPUTED_VALUE"""),"Steal Heart")</f>
        <v>Steal Heart</v>
      </c>
      <c r="C811" s="263"/>
      <c r="D811" s="263" t="str">
        <f>IFERROR(__xludf.DUMMYFUNCTION("""COMPUTED_VALUE"""),"Spell, Charm, Mind Affecting, Stealth")</f>
        <v>Spell, Charm, Mind Affecting, Stealth</v>
      </c>
      <c r="E811" s="263" t="str">
        <f>IFERROR(__xludf.DUMMYFUNCTION("""COMPUTED_VALUE"""),"40ft")</f>
        <v>40ft</v>
      </c>
      <c r="F811" s="266" t="str">
        <f>IFERROR(__xludf.DUMMYFUNCTION("""COMPUTED_VALUE"""),"The target must make a save or become Charmed until the end of the encounter.
If you use this on a Grunt level enemy and you charm them, you may choose their actions when it's their turn in addition to Charm’s normal effect.
You may only have 1 target cha"&amp;"rmed at the same time.")</f>
        <v>The target must make a save or become Charmed until the end of the encounter.
If you use this on a Grunt level enemy and you charm them, you may choose their actions when it's their turn in addition to Charm’s normal effect.
You may only have 1 target charmed at the same time.</v>
      </c>
      <c r="G811" s="263" t="str">
        <f>IFERROR(__xludf.DUMMYFUNCTION("""COMPUTED_VALUE"""),"")</f>
        <v/>
      </c>
      <c r="H811" s="267" t="str">
        <f>IFERROR(__xludf.DUMMYFUNCTION("""COMPUTED_VALUE"""),"2 AP, 1 MP")</f>
        <v>2 AP, 1 MP</v>
      </c>
      <c r="I811" s="263" t="str">
        <f>IFERROR(__xludf.DUMMYFUNCTION("""COMPUTED_VALUE"""),"2 AP")</f>
        <v>2 AP</v>
      </c>
      <c r="J811" s="263" t="str">
        <f>IFERROR(__xludf.DUMMYFUNCTION("""COMPUTED_VALUE"""),"1 MP")</f>
        <v>1 MP</v>
      </c>
      <c r="K811" s="263" t="str">
        <f>IFERROR(__xludf.DUMMYFUNCTION("""COMPUTED_VALUE"""),"")</f>
        <v/>
      </c>
      <c r="L811" s="263" t="str">
        <f>IFERROR(__xludf.DUMMYFUNCTION("""COMPUTED_VALUE"""),"")</f>
        <v/>
      </c>
      <c r="M811" s="263"/>
      <c r="N811" s="263"/>
      <c r="O811" s="263"/>
      <c r="P811" s="263"/>
      <c r="Q811" s="263"/>
      <c r="R811" s="263"/>
      <c r="S811" s="263"/>
      <c r="T811" s="263"/>
      <c r="U811" s="246"/>
      <c r="V811" s="246"/>
      <c r="W811" s="246"/>
      <c r="X811" s="246"/>
      <c r="Y811" s="246"/>
      <c r="Z811" s="246"/>
    </row>
    <row r="812">
      <c r="A812" s="263"/>
      <c r="B812" s="265" t="str">
        <f>IFERROR(__xludf.DUMMYFUNCTION("""COMPUTED_VALUE"""),"Steal Time")</f>
        <v>Steal Time</v>
      </c>
      <c r="C812" s="263"/>
      <c r="D812" s="263" t="str">
        <f>IFERROR(__xludf.DUMMYFUNCTION("""COMPUTED_VALUE"""),"")</f>
        <v/>
      </c>
      <c r="E812" s="264" t="str">
        <f>IFERROR(__xludf.DUMMYFUNCTION("""COMPUTED_VALUE"""),"Melee Weapon Range")</f>
        <v>Melee Weapon Range</v>
      </c>
      <c r="F812" s="266" t="str">
        <f>IFERROR(__xludf.DUMMYFUNCTION("""COMPUTED_VALUE"""),"You may make a Light Attack against the target. On damage, you inflict Time Stolen, which lowers their Initiative by 1 and you gain Stolen Time, which increases yours by 1. This effect can stack both on you and on enemies.")</f>
        <v>You may make a Light Attack against the target. On damage, you inflict Time Stolen, which lowers their Initiative by 1 and you gain Stolen Time, which increases yours by 1. This effect can stack both on you and on enemies.</v>
      </c>
      <c r="G812" s="263" t="str">
        <f>IFERROR(__xludf.DUMMYFUNCTION("""COMPUTED_VALUE"""),"")</f>
        <v/>
      </c>
      <c r="H812" s="265" t="str">
        <f>IFERROR(__xludf.DUMMYFUNCTION("""COMPUTED_VALUE"""),"1 AP, 1 MP")</f>
        <v>1 AP, 1 MP</v>
      </c>
      <c r="I812" s="264" t="str">
        <f>IFERROR(__xludf.DUMMYFUNCTION("""COMPUTED_VALUE"""),"1 AP")</f>
        <v>1 AP</v>
      </c>
      <c r="J812" s="264" t="str">
        <f>IFERROR(__xludf.DUMMYFUNCTION("""COMPUTED_VALUE"""),"1 MP")</f>
        <v>1 MP</v>
      </c>
      <c r="K812" s="263" t="str">
        <f>IFERROR(__xludf.DUMMYFUNCTION("""COMPUTED_VALUE"""),"")</f>
        <v/>
      </c>
      <c r="L812" s="263" t="str">
        <f>IFERROR(__xludf.DUMMYFUNCTION("""COMPUTED_VALUE"""),"")</f>
        <v/>
      </c>
      <c r="M812" s="263"/>
      <c r="N812" s="263"/>
      <c r="O812" s="263"/>
      <c r="P812" s="263"/>
      <c r="Q812" s="263"/>
      <c r="R812" s="263"/>
      <c r="S812" s="263"/>
      <c r="T812" s="263"/>
      <c r="U812" s="246"/>
      <c r="V812" s="246"/>
      <c r="W812" s="246"/>
      <c r="X812" s="246"/>
      <c r="Y812" s="246"/>
      <c r="Z812" s="246"/>
    </row>
    <row r="813">
      <c r="A813" s="263"/>
      <c r="B813" s="265" t="str">
        <f>IFERROR(__xludf.DUMMYFUNCTION("""COMPUTED_VALUE"""),"Steel Aura")</f>
        <v>Steel Aura</v>
      </c>
      <c r="C813" s="263"/>
      <c r="D813" s="264" t="str">
        <f>IFERROR(__xludf.DUMMYFUNCTION("""COMPUTED_VALUE"""),"Aura, Rage, Circuit")</f>
        <v>Aura, Rage, Circuit</v>
      </c>
      <c r="E813" s="263" t="str">
        <f>IFERROR(__xludf.DUMMYFUNCTION("""COMPUTED_VALUE"""),"Self")</f>
        <v>Self</v>
      </c>
      <c r="F813" s="266" t="str">
        <f>IFERROR(__xludf.DUMMYFUNCTION("""COMPUTED_VALUE"""),"You gain Steel Aura, granting you 3 additional guard, but you can no longer use any RP actions besides Block and actions with the Rage keyword. You can end this effect at any time for 0 RP. This effect ends at the start of your next turn.")</f>
        <v>You gain Steel Aura, granting you 3 additional guard, but you can no longer use any RP actions besides Block and actions with the Rage keyword. You can end this effect at any time for 0 RP. This effect ends at the start of your next turn.</v>
      </c>
      <c r="G813" s="264" t="str">
        <f>IFERROR(__xludf.DUMMYFUNCTION("""COMPUTED_VALUE"""),"")</f>
        <v/>
      </c>
      <c r="H813" s="267" t="str">
        <f>IFERROR(__xludf.DUMMYFUNCTION("""COMPUTED_VALUE"""),"2 MP, 0 RP")</f>
        <v>2 MP, 0 RP</v>
      </c>
      <c r="I813" s="263" t="str">
        <f>IFERROR(__xludf.DUMMYFUNCTION("""COMPUTED_VALUE"""),"")</f>
        <v/>
      </c>
      <c r="J813" s="263" t="str">
        <f>IFERROR(__xludf.DUMMYFUNCTION("""COMPUTED_VALUE"""),"2 MP")</f>
        <v>2 MP</v>
      </c>
      <c r="K813" s="263" t="str">
        <f>IFERROR(__xludf.DUMMYFUNCTION("""COMPUTED_VALUE"""),"0 RP")</f>
        <v>0 RP</v>
      </c>
      <c r="L813" s="263" t="str">
        <f>IFERROR(__xludf.DUMMYFUNCTION("""COMPUTED_VALUE"""),"")</f>
        <v/>
      </c>
      <c r="M813" s="263"/>
      <c r="N813" s="263"/>
      <c r="O813" s="263"/>
      <c r="P813" s="263"/>
      <c r="Q813" s="263"/>
      <c r="R813" s="263"/>
      <c r="S813" s="263"/>
      <c r="T813" s="263"/>
      <c r="U813" s="246"/>
      <c r="V813" s="246"/>
      <c r="W813" s="246"/>
      <c r="X813" s="246"/>
      <c r="Y813" s="246"/>
      <c r="Z813" s="246"/>
    </row>
    <row r="814">
      <c r="A814" s="263"/>
      <c r="B814" s="265" t="str">
        <f>IFERROR(__xludf.DUMMYFUNCTION("""COMPUTED_VALUE"""),"Stolen Power")</f>
        <v>Stolen Power</v>
      </c>
      <c r="C814" s="263"/>
      <c r="D814" s="263" t="str">
        <f>IFERROR(__xludf.DUMMYFUNCTION("""COMPUTED_VALUE"""),"Spell")</f>
        <v>Spell</v>
      </c>
      <c r="E814" s="263" t="str">
        <f>IFERROR(__xludf.DUMMYFUNCTION("""COMPUTED_VALUE"""),"60ft")</f>
        <v>60ft</v>
      </c>
      <c r="F814" s="266" t="str">
        <f>IFERROR(__xludf.DUMMYFUNCTION("""COMPUTED_VALUE"""),"Make a Light (1 AP), Precise (2 AP) or Heavy (2 AP) attack that deals Arcane damage against the target. You use their Power for the damage calculation.
This spell does not provoke attacks of opportunity.")</f>
        <v>Make a Light (1 AP), Precise (2 AP) or Heavy (2 AP) attack that deals Arcane damage against the target. You use their Power for the damage calculation.
This spell does not provoke attacks of opportunity.</v>
      </c>
      <c r="G814" s="263" t="str">
        <f>IFERROR(__xludf.DUMMYFUNCTION("""COMPUTED_VALUE"""),"")</f>
        <v/>
      </c>
      <c r="H814" s="267" t="str">
        <f>IFERROR(__xludf.DUMMYFUNCTION("""COMPUTED_VALUE"""),"X AP")</f>
        <v>X AP</v>
      </c>
      <c r="I814" s="263" t="str">
        <f>IFERROR(__xludf.DUMMYFUNCTION("""COMPUTED_VALUE"""),"X AP")</f>
        <v>X AP</v>
      </c>
      <c r="J814" s="263" t="str">
        <f>IFERROR(__xludf.DUMMYFUNCTION("""COMPUTED_VALUE"""),"")</f>
        <v/>
      </c>
      <c r="K814" s="263" t="str">
        <f>IFERROR(__xludf.DUMMYFUNCTION("""COMPUTED_VALUE"""),"")</f>
        <v/>
      </c>
      <c r="L814" s="263" t="str">
        <f>IFERROR(__xludf.DUMMYFUNCTION("""COMPUTED_VALUE"""),"")</f>
        <v/>
      </c>
      <c r="M814" s="263"/>
      <c r="N814" s="263"/>
      <c r="O814" s="263"/>
      <c r="P814" s="263"/>
      <c r="Q814" s="263"/>
      <c r="R814" s="263"/>
      <c r="S814" s="263"/>
      <c r="T814" s="263"/>
      <c r="U814" s="246"/>
      <c r="V814" s="246"/>
      <c r="W814" s="246"/>
      <c r="X814" s="246"/>
      <c r="Y814" s="246"/>
      <c r="Z814" s="246"/>
    </row>
    <row r="815">
      <c r="A815" s="263"/>
      <c r="B815" s="265" t="str">
        <f>IFERROR(__xludf.DUMMYFUNCTION("""COMPUTED_VALUE"""),"Stolen Skill")</f>
        <v>Stolen Skill</v>
      </c>
      <c r="C815" s="263"/>
      <c r="D815" s="263" t="str">
        <f>IFERROR(__xludf.DUMMYFUNCTION("""COMPUTED_VALUE"""),"Spell, Stealth")</f>
        <v>Spell, Stealth</v>
      </c>
      <c r="E815" s="264" t="str">
        <f>IFERROR(__xludf.DUMMYFUNCTION("""COMPUTED_VALUE"""),"40ft")</f>
        <v>40ft</v>
      </c>
      <c r="F815" s="266" t="str">
        <f>IFERROR(__xludf.DUMMYFUNCTION("""COMPUTED_VALUE"""),"You may name one skill (such as perception, athletics) and force the target enemy to make a save against your Potency. On failure, you steal their skill points spent into the skill until the end of the encounter or for 1 minute. You gain their skill point"&amp;"s they have in that skill to your skill while they lose all of theirs.
Only affects skill points spent, not any other bonuses from abilities or stats.
Can not be used on artisan and gathering skills.
You may only have 1 instance of Stolen Skill active at "&amp;"the same time, but you may choose to drop your current stolen one for 0 AP.")</f>
        <v>You may name one skill (such as perception, athletics) and force the target enemy to make a save against your Potency. On failure, you steal their skill points spent into the skill until the end of the encounter or for 1 minute. You gain their skill points they have in that skill to your skill while they lose all of theirs.
Only affects skill points spent, not any other bonuses from abilities or stats.
Can not be used on artisan and gathering skills.
You may only have 1 instance of Stolen Skill active at the same time, but you may choose to drop your current stolen one for 0 AP.</v>
      </c>
      <c r="G815" s="263" t="str">
        <f>IFERROR(__xludf.DUMMYFUNCTION("""COMPUTED_VALUE"""),"")</f>
        <v/>
      </c>
      <c r="H815" s="265" t="str">
        <f>IFERROR(__xludf.DUMMYFUNCTION("""COMPUTED_VALUE"""),"1 AP")</f>
        <v>1 AP</v>
      </c>
      <c r="I815" s="264" t="str">
        <f>IFERROR(__xludf.DUMMYFUNCTION("""COMPUTED_VALUE"""),"1 AP")</f>
        <v>1 AP</v>
      </c>
      <c r="J815" s="263" t="str">
        <f>IFERROR(__xludf.DUMMYFUNCTION("""COMPUTED_VALUE"""),"")</f>
        <v/>
      </c>
      <c r="K815" s="263" t="str">
        <f>IFERROR(__xludf.DUMMYFUNCTION("""COMPUTED_VALUE"""),"")</f>
        <v/>
      </c>
      <c r="L815" s="263" t="str">
        <f>IFERROR(__xludf.DUMMYFUNCTION("""COMPUTED_VALUE"""),"")</f>
        <v/>
      </c>
      <c r="M815" s="263"/>
      <c r="N815" s="263"/>
      <c r="O815" s="263"/>
      <c r="P815" s="263"/>
      <c r="Q815" s="263"/>
      <c r="R815" s="263"/>
      <c r="S815" s="263"/>
      <c r="T815" s="263"/>
      <c r="U815" s="246"/>
      <c r="V815" s="246"/>
      <c r="W815" s="246"/>
      <c r="X815" s="246"/>
      <c r="Y815" s="246"/>
      <c r="Z815" s="246"/>
    </row>
    <row r="816">
      <c r="A816" s="263"/>
      <c r="B816" s="265" t="str">
        <f>IFERROR(__xludf.DUMMYFUNCTION("""COMPUTED_VALUE"""),"Stoneskin")</f>
        <v>Stoneskin</v>
      </c>
      <c r="C816" s="263"/>
      <c r="D816" s="264" t="str">
        <f>IFERROR(__xludf.DUMMYFUNCTION("""COMPUTED_VALUE"""),"")</f>
        <v/>
      </c>
      <c r="E816" s="264" t="str">
        <f>IFERROR(__xludf.DUMMYFUNCTION("""COMPUTED_VALUE"""),"")</f>
        <v/>
      </c>
      <c r="F816" s="266" t="str">
        <f>IFERROR(__xludf.DUMMYFUNCTION("""COMPUTED_VALUE"""),"You gain Stoneskin, which grants +1 guard and +4 block, but also -2 evasion and dodge.")</f>
        <v>You gain Stoneskin, which grants +1 guard and +4 block, but also -2 evasion and dodge.</v>
      </c>
      <c r="G816" s="264" t="str">
        <f>IFERROR(__xludf.DUMMYFUNCTION("""COMPUTED_VALUE"""),"")</f>
        <v/>
      </c>
      <c r="H816" s="265" t="str">
        <f>IFERROR(__xludf.DUMMYFUNCTION("""COMPUTED_VALUE"""),"")</f>
        <v/>
      </c>
      <c r="I816" s="263" t="str">
        <f>IFERROR(__xludf.DUMMYFUNCTION("""COMPUTED_VALUE"""),"")</f>
        <v/>
      </c>
      <c r="J816" s="263" t="str">
        <f>IFERROR(__xludf.DUMMYFUNCTION("""COMPUTED_VALUE"""),"")</f>
        <v/>
      </c>
      <c r="K816" s="264" t="str">
        <f>IFERROR(__xludf.DUMMYFUNCTION("""COMPUTED_VALUE"""),"")</f>
        <v/>
      </c>
      <c r="L816" s="263" t="str">
        <f>IFERROR(__xludf.DUMMYFUNCTION("""COMPUTED_VALUE"""),"")</f>
        <v/>
      </c>
      <c r="M816" s="263"/>
      <c r="N816" s="263"/>
      <c r="O816" s="263"/>
      <c r="P816" s="263"/>
      <c r="Q816" s="263"/>
      <c r="R816" s="263"/>
      <c r="S816" s="263"/>
      <c r="T816" s="263"/>
      <c r="U816" s="246"/>
      <c r="V816" s="246"/>
      <c r="W816" s="246"/>
      <c r="X816" s="246"/>
      <c r="Y816" s="246"/>
      <c r="Z816" s="246"/>
    </row>
    <row r="817">
      <c r="A817" s="263"/>
      <c r="B817" s="265" t="str">
        <f>IFERROR(__xludf.DUMMYFUNCTION("""COMPUTED_VALUE"""),"Store Time")</f>
        <v>Store Time</v>
      </c>
      <c r="C817" s="263"/>
      <c r="D817" s="264" t="str">
        <f>IFERROR(__xludf.DUMMYFUNCTION("""COMPUTED_VALUE"""),"")</f>
        <v/>
      </c>
      <c r="E817" s="264" t="str">
        <f>IFERROR(__xludf.DUMMYFUNCTION("""COMPUTED_VALUE"""),"Self")</f>
        <v>Self</v>
      </c>
      <c r="F817" s="266" t="str">
        <f>IFERROR(__xludf.DUMMYFUNCTION("""COMPUTED_VALUE"""),"You gain Store Time, granting you 1 extra AP at the start of your next turn.")</f>
        <v>You gain Store Time, granting you 1 extra AP at the start of your next turn.</v>
      </c>
      <c r="G817" s="263" t="str">
        <f>IFERROR(__xludf.DUMMYFUNCTION("""COMPUTED_VALUE"""),"")</f>
        <v/>
      </c>
      <c r="H817" s="265" t="str">
        <f>IFERROR(__xludf.DUMMYFUNCTION("""COMPUTED_VALUE"""),"1 AP")</f>
        <v>1 AP</v>
      </c>
      <c r="I817" s="264" t="str">
        <f>IFERROR(__xludf.DUMMYFUNCTION("""COMPUTED_VALUE"""),"1 AP")</f>
        <v>1 AP</v>
      </c>
      <c r="J817" s="263" t="str">
        <f>IFERROR(__xludf.DUMMYFUNCTION("""COMPUTED_VALUE"""),"")</f>
        <v/>
      </c>
      <c r="K817" s="263" t="str">
        <f>IFERROR(__xludf.DUMMYFUNCTION("""COMPUTED_VALUE"""),"")</f>
        <v/>
      </c>
      <c r="L817" s="263" t="str">
        <f>IFERROR(__xludf.DUMMYFUNCTION("""COMPUTED_VALUE"""),"")</f>
        <v/>
      </c>
      <c r="M817" s="263"/>
      <c r="N817" s="263"/>
      <c r="O817" s="263"/>
      <c r="P817" s="263"/>
      <c r="Q817" s="263"/>
      <c r="R817" s="263"/>
      <c r="S817" s="263"/>
      <c r="T817" s="263"/>
      <c r="U817" s="246"/>
      <c r="V817" s="246"/>
      <c r="W817" s="246"/>
      <c r="X817" s="246"/>
      <c r="Y817" s="246"/>
      <c r="Z817" s="246"/>
    </row>
    <row r="818">
      <c r="A818" s="263"/>
      <c r="B818" s="265" t="str">
        <f>IFERROR(__xludf.DUMMYFUNCTION("""COMPUTED_VALUE"""),"Store/Consume Item")</f>
        <v>Store/Consume Item</v>
      </c>
      <c r="C818" s="263"/>
      <c r="D818" s="264" t="str">
        <f>IFERROR(__xludf.DUMMYFUNCTION("""COMPUTED_VALUE"""),"")</f>
        <v/>
      </c>
      <c r="E818" s="264" t="str">
        <f>IFERROR(__xludf.DUMMYFUNCTION("""COMPUTED_VALUE"""),"Self")</f>
        <v>Self</v>
      </c>
      <c r="F818" s="266" t="str">
        <f>IFERROR(__xludf.DUMMYFUNCTION("""COMPUTED_VALUE"""),"You store a consumable item within your body, this item still counts towards weight limits. Without needing to equip the item, you can consume an item to gain its effects.")</f>
        <v>You store a consumable item within your body, this item still counts towards weight limits. Without needing to equip the item, you can consume an item to gain its effects.</v>
      </c>
      <c r="G818" s="264" t="str">
        <f>IFERROR(__xludf.DUMMYFUNCTION("""COMPUTED_VALUE"""),"")</f>
        <v/>
      </c>
      <c r="H818" s="265" t="str">
        <f>IFERROR(__xludf.DUMMYFUNCTION("""COMPUTED_VALUE"""),"0 AP")</f>
        <v>0 AP</v>
      </c>
      <c r="I818" s="264" t="str">
        <f>IFERROR(__xludf.DUMMYFUNCTION("""COMPUTED_VALUE"""),"0 AP")</f>
        <v>0 AP</v>
      </c>
      <c r="J818" s="264" t="str">
        <f>IFERROR(__xludf.DUMMYFUNCTION("""COMPUTED_VALUE"""),"")</f>
        <v/>
      </c>
      <c r="K818" s="263" t="str">
        <f>IFERROR(__xludf.DUMMYFUNCTION("""COMPUTED_VALUE"""),"")</f>
        <v/>
      </c>
      <c r="L818" s="263" t="str">
        <f>IFERROR(__xludf.DUMMYFUNCTION("""COMPUTED_VALUE"""),"")</f>
        <v/>
      </c>
      <c r="M818" s="263"/>
      <c r="N818" s="263"/>
      <c r="O818" s="263"/>
      <c r="P818" s="263"/>
      <c r="Q818" s="263"/>
      <c r="R818" s="263"/>
      <c r="S818" s="263"/>
      <c r="T818" s="263"/>
      <c r="U818" s="246"/>
      <c r="V818" s="246"/>
      <c r="W818" s="246"/>
      <c r="X818" s="246"/>
      <c r="Y818" s="246"/>
      <c r="Z818" s="246"/>
    </row>
    <row r="819">
      <c r="A819" s="263"/>
      <c r="B819" s="265" t="str">
        <f>IFERROR(__xludf.DUMMYFUNCTION("""COMPUTED_VALUE"""),"Strata Cut")</f>
        <v>Strata Cut</v>
      </c>
      <c r="C819" s="263"/>
      <c r="D819" s="264" t="str">
        <f>IFERROR(__xludf.DUMMYFUNCTION("""COMPUTED_VALUE"""),"Combo, Half Pierce")</f>
        <v>Combo, Half Pierce</v>
      </c>
      <c r="E819" s="264" t="str">
        <f>IFERROR(__xludf.DUMMYFUNCTION("""COMPUTED_VALUE"""),"Melee Weapon Range")</f>
        <v>Melee Weapon Range</v>
      </c>
      <c r="F819" s="266" t="str">
        <f>IFERROR(__xludf.DUMMYFUNCTION("""COMPUTED_VALUE"""),"You make a Precise attack against the target.
Combo: If used after Tectonic Overhead, the mana cost is reduced by 1.")</f>
        <v>You make a Precise attack against the target.
Combo: If used after Tectonic Overhead, the mana cost is reduced by 1.</v>
      </c>
      <c r="G819" s="263" t="str">
        <f>IFERROR(__xludf.DUMMYFUNCTION("""COMPUTED_VALUE"""),"")</f>
        <v/>
      </c>
      <c r="H819" s="265" t="str">
        <f>IFERROR(__xludf.DUMMYFUNCTION("""COMPUTED_VALUE"""),"1 AP, 2 MP")</f>
        <v>1 AP, 2 MP</v>
      </c>
      <c r="I819" s="264" t="str">
        <f>IFERROR(__xludf.DUMMYFUNCTION("""COMPUTED_VALUE"""),"1 AP")</f>
        <v>1 AP</v>
      </c>
      <c r="J819" s="264" t="str">
        <f>IFERROR(__xludf.DUMMYFUNCTION("""COMPUTED_VALUE"""),"2 MP")</f>
        <v>2 MP</v>
      </c>
      <c r="K819" s="263" t="str">
        <f>IFERROR(__xludf.DUMMYFUNCTION("""COMPUTED_VALUE"""),"")</f>
        <v/>
      </c>
      <c r="L819" s="263" t="str">
        <f>IFERROR(__xludf.DUMMYFUNCTION("""COMPUTED_VALUE"""),"")</f>
        <v/>
      </c>
      <c r="M819" s="263"/>
      <c r="N819" s="263"/>
      <c r="O819" s="263"/>
      <c r="P819" s="263"/>
      <c r="Q819" s="263"/>
      <c r="R819" s="263"/>
      <c r="S819" s="263"/>
      <c r="T819" s="263"/>
      <c r="U819" s="246"/>
      <c r="V819" s="246"/>
      <c r="W819" s="246"/>
      <c r="X819" s="246"/>
      <c r="Y819" s="246"/>
      <c r="Z819" s="246"/>
    </row>
    <row r="820">
      <c r="A820" s="263"/>
      <c r="B820" s="265" t="str">
        <f>IFERROR(__xludf.DUMMYFUNCTION("""COMPUTED_VALUE"""),"Stratagem: Lightning")</f>
        <v>Stratagem: Lightning</v>
      </c>
      <c r="C820" s="263"/>
      <c r="D820" s="264" t="str">
        <f>IFERROR(__xludf.DUMMYFUNCTION("""COMPUTED_VALUE"""),"Encounter Start")</f>
        <v>Encounter Start</v>
      </c>
      <c r="E820" s="264" t="str">
        <f>IFERROR(__xludf.DUMMYFUNCTION("""COMPUTED_VALUE"""),"All allies in sight, including yourself.")</f>
        <v>All allies in sight, including yourself.</v>
      </c>
      <c r="F820" s="266" t="str">
        <f>IFERROR(__xludf.DUMMYFUNCTION("""COMPUTED_VALUE"""),"All allied units (including yourself) gain +1 to Initiative and may immediately move up to their Speed.")</f>
        <v>All allied units (including yourself) gain +1 to Initiative and may immediately move up to their Speed.</v>
      </c>
      <c r="G820" s="263" t="str">
        <f>IFERROR(__xludf.DUMMYFUNCTION("""COMPUTED_VALUE"""),"")</f>
        <v/>
      </c>
      <c r="H820" s="265" t="str">
        <f>IFERROR(__xludf.DUMMYFUNCTION("""COMPUTED_VALUE"""),"")</f>
        <v/>
      </c>
      <c r="I820" s="264" t="str">
        <f>IFERROR(__xludf.DUMMYFUNCTION("""COMPUTED_VALUE"""),"")</f>
        <v/>
      </c>
      <c r="J820" s="264" t="str">
        <f>IFERROR(__xludf.DUMMYFUNCTION("""COMPUTED_VALUE"""),"")</f>
        <v/>
      </c>
      <c r="K820" s="263" t="str">
        <f>IFERROR(__xludf.DUMMYFUNCTION("""COMPUTED_VALUE"""),"")</f>
        <v/>
      </c>
      <c r="L820" s="263" t="str">
        <f>IFERROR(__xludf.DUMMYFUNCTION("""COMPUTED_VALUE"""),"")</f>
        <v/>
      </c>
      <c r="M820" s="263"/>
      <c r="N820" s="263"/>
      <c r="O820" s="263"/>
      <c r="P820" s="263"/>
      <c r="Q820" s="263"/>
      <c r="R820" s="263"/>
      <c r="S820" s="263"/>
      <c r="T820" s="263"/>
      <c r="U820" s="246"/>
      <c r="V820" s="246"/>
      <c r="W820" s="246"/>
      <c r="X820" s="246"/>
      <c r="Y820" s="246"/>
      <c r="Z820" s="246"/>
    </row>
    <row r="821">
      <c r="A821" s="263"/>
      <c r="B821" s="265" t="str">
        <f>IFERROR(__xludf.DUMMYFUNCTION("""COMPUTED_VALUE"""),"Strengthening the Bond")</f>
        <v>Strengthening the Bond</v>
      </c>
      <c r="C821" s="263"/>
      <c r="D821" s="264" t="str">
        <f>IFERROR(__xludf.DUMMYFUNCTION("""COMPUTED_VALUE"""),"")</f>
        <v/>
      </c>
      <c r="E821" s="264" t="str">
        <f>IFERROR(__xludf.DUMMYFUNCTION("""COMPUTED_VALUE"""),"5ft")</f>
        <v>5ft</v>
      </c>
      <c r="F821" s="266" t="str">
        <f>IFERROR(__xludf.DUMMYFUNCTION("""COMPUTED_VALUE"""),"You swap places with a willing ally. This movement does not trigger any attacks of opportunity. You cannot use this ability if it causes an ally unit to occupy an invalid space. Before or after the swap you can take a 5ft step, but the swap must occur.
Yo"&amp;"u may spend either 0 AP or 1 RP to use this ability.")</f>
        <v>You swap places with a willing ally. This movement does not trigger any attacks of opportunity. You cannot use this ability if it causes an ally unit to occupy an invalid space. Before or after the swap you can take a 5ft step, but the swap must occur.
You may spend either 0 AP or 1 RP to use this ability.</v>
      </c>
      <c r="G821" s="263" t="str">
        <f>IFERROR(__xludf.DUMMYFUNCTION("""COMPUTED_VALUE"""),"A willing ally is within 10ft range.")</f>
        <v>A willing ally is within 10ft range.</v>
      </c>
      <c r="H821" s="265" t="str">
        <f>IFERROR(__xludf.DUMMYFUNCTION("""COMPUTED_VALUE"""),"0 AP, 1 RP")</f>
        <v>0 AP, 1 RP</v>
      </c>
      <c r="I821" s="264" t="str">
        <f>IFERROR(__xludf.DUMMYFUNCTION("""COMPUTED_VALUE"""),"0 AP")</f>
        <v>0 AP</v>
      </c>
      <c r="J821" s="264" t="str">
        <f>IFERROR(__xludf.DUMMYFUNCTION("""COMPUTED_VALUE"""),"")</f>
        <v/>
      </c>
      <c r="K821" s="263" t="str">
        <f>IFERROR(__xludf.DUMMYFUNCTION("""COMPUTED_VALUE"""),"1 RP")</f>
        <v>1 RP</v>
      </c>
      <c r="L821" s="263" t="str">
        <f>IFERROR(__xludf.DUMMYFUNCTION("""COMPUTED_VALUE"""),"")</f>
        <v/>
      </c>
      <c r="M821" s="263"/>
      <c r="N821" s="263"/>
      <c r="O821" s="263"/>
      <c r="P821" s="263"/>
      <c r="Q821" s="263"/>
      <c r="R821" s="263"/>
      <c r="S821" s="263"/>
      <c r="T821" s="263"/>
      <c r="U821" s="246"/>
      <c r="V821" s="246"/>
      <c r="W821" s="246"/>
      <c r="X821" s="246"/>
      <c r="Y821" s="246"/>
      <c r="Z821" s="246"/>
    </row>
    <row r="822">
      <c r="A822" s="263"/>
      <c r="B822" s="265" t="str">
        <f>IFERROR(__xludf.DUMMYFUNCTION("""COMPUTED_VALUE"""),"Strike of Still Water")</f>
        <v>Strike of Still Water</v>
      </c>
      <c r="C822" s="263"/>
      <c r="D822" s="264" t="str">
        <f>IFERROR(__xludf.DUMMYFUNCTION("""COMPUTED_VALUE"""),"Full Pierce, Sure Hit, Unarmed Strike")</f>
        <v>Full Pierce, Sure Hit, Unarmed Strike</v>
      </c>
      <c r="E822" s="264" t="str">
        <f>IFERROR(__xludf.DUMMYFUNCTION("""COMPUTED_VALUE"""),"Melee Weapon Range")</f>
        <v>Melee Weapon Range</v>
      </c>
      <c r="F822" s="266" t="str">
        <f>IFERROR(__xludf.DUMMYFUNCTION("""COMPUTED_VALUE"""),"You may make a Heavy Attack against the target.")</f>
        <v>You may make a Heavy Attack against the target.</v>
      </c>
      <c r="G822" s="263" t="str">
        <f>IFERROR(__xludf.DUMMYFUNCTION("""COMPUTED_VALUE"""),"Must be in Serene Water Stance.")</f>
        <v>Must be in Serene Water Stance.</v>
      </c>
      <c r="H822" s="265" t="str">
        <f>IFERROR(__xludf.DUMMYFUNCTION("""COMPUTED_VALUE"""),"2 AP, 1 MP")</f>
        <v>2 AP, 1 MP</v>
      </c>
      <c r="I822" s="264" t="str">
        <f>IFERROR(__xludf.DUMMYFUNCTION("""COMPUTED_VALUE"""),"2 AP")</f>
        <v>2 AP</v>
      </c>
      <c r="J822" s="264" t="str">
        <f>IFERROR(__xludf.DUMMYFUNCTION("""COMPUTED_VALUE"""),"1 MP")</f>
        <v>1 MP</v>
      </c>
      <c r="K822" s="263" t="str">
        <f>IFERROR(__xludf.DUMMYFUNCTION("""COMPUTED_VALUE"""),"")</f>
        <v/>
      </c>
      <c r="L822" s="263" t="str">
        <f>IFERROR(__xludf.DUMMYFUNCTION("""COMPUTED_VALUE"""),"")</f>
        <v/>
      </c>
      <c r="M822" s="263"/>
      <c r="N822" s="263"/>
      <c r="O822" s="263"/>
      <c r="P822" s="263"/>
      <c r="Q822" s="263"/>
      <c r="R822" s="263"/>
      <c r="S822" s="263"/>
      <c r="T822" s="263"/>
      <c r="U822" s="246"/>
      <c r="V822" s="246"/>
      <c r="W822" s="246"/>
      <c r="X822" s="246"/>
      <c r="Y822" s="246"/>
      <c r="Z822" s="246"/>
    </row>
    <row r="823">
      <c r="A823" s="263"/>
      <c r="B823" s="265" t="str">
        <f>IFERROR(__xludf.DUMMYFUNCTION("""COMPUTED_VALUE"""),"Study Target")</f>
        <v>Study Target</v>
      </c>
      <c r="C823" s="263"/>
      <c r="D823" s="264" t="str">
        <f>IFERROR(__xludf.DUMMYFUNCTION("""COMPUTED_VALUE"""),"Lock On, Full Pierce, Sure Hit, Overcharge, Stealth")</f>
        <v>Lock On, Full Pierce, Sure Hit, Overcharge, Stealth</v>
      </c>
      <c r="E823" s="264" t="str">
        <f>IFERROR(__xludf.DUMMYFUNCTION("""COMPUTED_VALUE"""),"Sight")</f>
        <v>Sight</v>
      </c>
      <c r="F823" s="266" t="str">
        <f>IFERROR(__xludf.DUMMYFUNCTION("""COMPUTED_VALUE"""),"Your next basic attack against the target gains the Lock On keyword OR you apply Death Mark to the target.
Overcharge: You may spend 2 additional AP to instead make the next basic attack gain the Sure hit and Full Pierce keywords.")</f>
        <v>Your next basic attack against the target gains the Lock On keyword OR you apply Death Mark to the target.
Overcharge: You may spend 2 additional AP to instead make the next basic attack gain the Sure hit and Full Pierce keywords.</v>
      </c>
      <c r="G823" s="263" t="str">
        <f>IFERROR(__xludf.DUMMYFUNCTION("""COMPUTED_VALUE"""),"")</f>
        <v/>
      </c>
      <c r="H823" s="265" t="str">
        <f>IFERROR(__xludf.DUMMYFUNCTION("""COMPUTED_VALUE"""),"2 AP")</f>
        <v>2 AP</v>
      </c>
      <c r="I823" s="264" t="str">
        <f>IFERROR(__xludf.DUMMYFUNCTION("""COMPUTED_VALUE"""),"2 AP")</f>
        <v>2 AP</v>
      </c>
      <c r="J823" s="263" t="str">
        <f>IFERROR(__xludf.DUMMYFUNCTION("""COMPUTED_VALUE"""),"")</f>
        <v/>
      </c>
      <c r="K823" s="263" t="str">
        <f>IFERROR(__xludf.DUMMYFUNCTION("""COMPUTED_VALUE"""),"")</f>
        <v/>
      </c>
      <c r="L823" s="263" t="str">
        <f>IFERROR(__xludf.DUMMYFUNCTION("""COMPUTED_VALUE"""),"")</f>
        <v/>
      </c>
      <c r="M823" s="263"/>
      <c r="N823" s="263"/>
      <c r="O823" s="263"/>
      <c r="P823" s="263"/>
      <c r="Q823" s="263"/>
      <c r="R823" s="263"/>
      <c r="S823" s="263"/>
      <c r="T823" s="263"/>
      <c r="U823" s="246"/>
      <c r="V823" s="246"/>
      <c r="W823" s="246"/>
      <c r="X823" s="246"/>
      <c r="Y823" s="246"/>
      <c r="Z823" s="246"/>
    </row>
    <row r="824">
      <c r="A824" s="263"/>
      <c r="B824" s="265" t="str">
        <f>IFERROR(__xludf.DUMMYFUNCTION("""COMPUTED_VALUE"""),"Stygian Screen")</f>
        <v>Stygian Screen</v>
      </c>
      <c r="C824" s="263"/>
      <c r="D824" s="264" t="str">
        <f>IFERROR(__xludf.DUMMYFUNCTION("""COMPUTED_VALUE"""),"Spell, Dark, Concentration")</f>
        <v>Spell, Dark, Concentration</v>
      </c>
      <c r="E824" s="264" t="str">
        <f>IFERROR(__xludf.DUMMYFUNCTION("""COMPUTED_VALUE"""),"30ft")</f>
        <v>30ft</v>
      </c>
      <c r="F824" s="266" t="str">
        <f>IFERROR(__xludf.DUMMYFUNCTION("""COMPUTED_VALUE"""),"You create a wall of darkness that is 20ft long, 5ft wide and 10ft high. This wall must be a straight line.  This wall blocks line of sight. Targets inside of the wall can only see 5ft away")</f>
        <v>You create a wall of darkness that is 20ft long, 5ft wide and 10ft high. This wall must be a straight line.  This wall blocks line of sight. Targets inside of the wall can only see 5ft away</v>
      </c>
      <c r="G824" s="264" t="str">
        <f>IFERROR(__xludf.DUMMYFUNCTION("""COMPUTED_VALUE"""),"")</f>
        <v/>
      </c>
      <c r="H824" s="265" t="str">
        <f>IFERROR(__xludf.DUMMYFUNCTION("""COMPUTED_VALUE"""),"2 AP, 1 MP")</f>
        <v>2 AP, 1 MP</v>
      </c>
      <c r="I824" s="263" t="str">
        <f>IFERROR(__xludf.DUMMYFUNCTION("""COMPUTED_VALUE"""),"2 AP")</f>
        <v>2 AP</v>
      </c>
      <c r="J824" s="263" t="str">
        <f>IFERROR(__xludf.DUMMYFUNCTION("""COMPUTED_VALUE"""),"1 MP")</f>
        <v>1 MP</v>
      </c>
      <c r="K824" s="264" t="str">
        <f>IFERROR(__xludf.DUMMYFUNCTION("""COMPUTED_VALUE"""),"")</f>
        <v/>
      </c>
      <c r="L824" s="263" t="str">
        <f>IFERROR(__xludf.DUMMYFUNCTION("""COMPUTED_VALUE"""),"")</f>
        <v/>
      </c>
      <c r="M824" s="263"/>
      <c r="N824" s="263"/>
      <c r="O824" s="263"/>
      <c r="P824" s="263"/>
      <c r="Q824" s="263"/>
      <c r="R824" s="263"/>
      <c r="S824" s="263"/>
      <c r="T824" s="263"/>
      <c r="U824" s="246"/>
      <c r="V824" s="246"/>
      <c r="W824" s="246"/>
      <c r="X824" s="246"/>
      <c r="Y824" s="246"/>
      <c r="Z824" s="246"/>
    </row>
    <row r="825">
      <c r="A825" s="263"/>
      <c r="B825" s="265" t="str">
        <f>IFERROR(__xludf.DUMMYFUNCTION("""COMPUTED_VALUE"""),"Suckerpunch")</f>
        <v>Suckerpunch</v>
      </c>
      <c r="C825" s="263"/>
      <c r="D825" s="264" t="str">
        <f>IFERROR(__xludf.DUMMYFUNCTION("""COMPUTED_VALUE"""),"Encounter Start, Sure Hit, Unarmed Strike")</f>
        <v>Encounter Start, Sure Hit, Unarmed Strike</v>
      </c>
      <c r="E825" s="264" t="str">
        <f>IFERROR(__xludf.DUMMYFUNCTION("""COMPUTED_VALUE"""),"Melee Weapon Range")</f>
        <v>Melee Weapon Range</v>
      </c>
      <c r="F825" s="266" t="str">
        <f>IFERROR(__xludf.DUMMYFUNCTION("""COMPUTED_VALUE"""),"You may make a Heavy Attack against the target. On damage, the target becomes Unbalanced.")</f>
        <v>You may make a Heavy Attack against the target. On damage, the target becomes Unbalanced.</v>
      </c>
      <c r="G825" s="263" t="str">
        <f>IFERROR(__xludf.DUMMYFUNCTION("""COMPUTED_VALUE"""),"")</f>
        <v/>
      </c>
      <c r="H825" s="265" t="str">
        <f>IFERROR(__xludf.DUMMYFUNCTION("""COMPUTED_VALUE"""),"")</f>
        <v/>
      </c>
      <c r="I825" s="264" t="str">
        <f>IFERROR(__xludf.DUMMYFUNCTION("""COMPUTED_VALUE"""),"")</f>
        <v/>
      </c>
      <c r="J825" s="264" t="str">
        <f>IFERROR(__xludf.DUMMYFUNCTION("""COMPUTED_VALUE"""),"")</f>
        <v/>
      </c>
      <c r="K825" s="263" t="str">
        <f>IFERROR(__xludf.DUMMYFUNCTION("""COMPUTED_VALUE"""),"")</f>
        <v/>
      </c>
      <c r="L825" s="263" t="str">
        <f>IFERROR(__xludf.DUMMYFUNCTION("""COMPUTED_VALUE"""),"")</f>
        <v/>
      </c>
      <c r="M825" s="263"/>
      <c r="N825" s="263"/>
      <c r="O825" s="263"/>
      <c r="P825" s="263"/>
      <c r="Q825" s="263"/>
      <c r="R825" s="263"/>
      <c r="S825" s="263"/>
      <c r="T825" s="263"/>
      <c r="U825" s="246"/>
      <c r="V825" s="246"/>
      <c r="W825" s="246"/>
      <c r="X825" s="246"/>
      <c r="Y825" s="246"/>
      <c r="Z825" s="246"/>
    </row>
    <row r="826">
      <c r="A826" s="263"/>
      <c r="B826" s="265" t="str">
        <f>IFERROR(__xludf.DUMMYFUNCTION("""COMPUTED_VALUE"""),"Sudden Growth")</f>
        <v>Sudden Growth</v>
      </c>
      <c r="C826" s="263"/>
      <c r="D826" s="264" t="str">
        <f>IFERROR(__xludf.DUMMYFUNCTION("""COMPUTED_VALUE"""),"Regrowth")</f>
        <v>Regrowth</v>
      </c>
      <c r="E826" s="264" t="str">
        <f>IFERROR(__xludf.DUMMYFUNCTION("""COMPUTED_VALUE"""),"60ft")</f>
        <v>60ft</v>
      </c>
      <c r="F826" s="266" t="str">
        <f>IFERROR(__xludf.DUMMYFUNCTION("""COMPUTED_VALUE"""),"You trigger the healing of your Regrowth.")</f>
        <v>You trigger the healing of your Regrowth.</v>
      </c>
      <c r="G826" s="263" t="str">
        <f>IFERROR(__xludf.DUMMYFUNCTION("""COMPUTED_VALUE"""),"An ally within range that has your Regrowth has taken damage from an enemy.")</f>
        <v>An ally within range that has your Regrowth has taken damage from an enemy.</v>
      </c>
      <c r="H826" s="265" t="str">
        <f>IFERROR(__xludf.DUMMYFUNCTION("""COMPUTED_VALUE"""),"1 RP")</f>
        <v>1 RP</v>
      </c>
      <c r="I826" s="264" t="str">
        <f>IFERROR(__xludf.DUMMYFUNCTION("""COMPUTED_VALUE"""),"")</f>
        <v/>
      </c>
      <c r="J826" s="263" t="str">
        <f>IFERROR(__xludf.DUMMYFUNCTION("""COMPUTED_VALUE"""),"")</f>
        <v/>
      </c>
      <c r="K826" s="263" t="str">
        <f>IFERROR(__xludf.DUMMYFUNCTION("""COMPUTED_VALUE"""),"1 RP")</f>
        <v>1 RP</v>
      </c>
      <c r="L826" s="263" t="str">
        <f>IFERROR(__xludf.DUMMYFUNCTION("""COMPUTED_VALUE"""),"")</f>
        <v/>
      </c>
      <c r="M826" s="263"/>
      <c r="N826" s="263"/>
      <c r="O826" s="263"/>
      <c r="P826" s="263"/>
      <c r="Q826" s="263"/>
      <c r="R826" s="263"/>
      <c r="S826" s="263"/>
      <c r="T826" s="263"/>
      <c r="U826" s="246"/>
      <c r="V826" s="246"/>
      <c r="W826" s="246"/>
      <c r="X826" s="246"/>
      <c r="Y826" s="246"/>
      <c r="Z826" s="246"/>
    </row>
    <row r="827">
      <c r="A827" s="263"/>
      <c r="B827" s="265" t="str">
        <f>IFERROR(__xludf.DUMMYFUNCTION("""COMPUTED_VALUE"""),"Summon Animal")</f>
        <v>Summon Animal</v>
      </c>
      <c r="C827" s="263"/>
      <c r="D827" s="264" t="str">
        <f>IFERROR(__xludf.DUMMYFUNCTION("""COMPUTED_VALUE"""),"Summon")</f>
        <v>Summon</v>
      </c>
      <c r="E827" s="264" t="str">
        <f>IFERROR(__xludf.DUMMYFUNCTION("""COMPUTED_VALUE"""),"40ft")</f>
        <v>40ft</v>
      </c>
      <c r="F827" s="266" t="str">
        <f>IFERROR(__xludf.DUMMYFUNCTION("""COMPUTED_VALUE"""),"You summon a randomly chosen animal to a location you can see within range. The summon does not act by itself, but you may spend AP to make it act. The AP cost for these actions is the same as they would be for you taking the basic actions. (Example, you "&amp;"can spend 2 AP to make the summon do a Heavy attack).
The summon also gains access to the abilities the summoned creature normally has. The costs for these have to be paid by you, same as they would be for basic actions. Any attacks it makes are made with"&amp;" its own stats. When an animal summoned through this ability dies, you cannot use this ability again until the end of the encounter. You can undo the summoning manually for 0 AP.
The pool of creatures that can be summoned is the following: Wolf, Boar, Gia"&amp;"nt Spider.")</f>
        <v>You summon a randomly chosen animal to a location you can see within range. The summon does not act by itself, but you may spend AP to make it act. The AP cost for these actions is the same as they would be for you taking the basic actions. (Example, you can spend 2 AP to make the summon do a Heavy attack).
The summon also gains access to the abilities the summoned creature normally has. The costs for these have to be paid by you, same as they would be for basic actions. Any attacks it makes are made with its own stats. When an animal summoned through this ability dies, you cannot use this ability again until the end of the encounter. You can undo the summoning manually for 0 AP.
The pool of creatures that can be summoned is the following: Wolf, Boar, Giant Spider.</v>
      </c>
      <c r="G827" s="263" t="str">
        <f>IFERROR(__xludf.DUMMYFUNCTION("""COMPUTED_VALUE"""),"")</f>
        <v/>
      </c>
      <c r="H827" s="265" t="str">
        <f>IFERROR(__xludf.DUMMYFUNCTION("""COMPUTED_VALUE"""),"1 AP")</f>
        <v>1 AP</v>
      </c>
      <c r="I827" s="264" t="str">
        <f>IFERROR(__xludf.DUMMYFUNCTION("""COMPUTED_VALUE"""),"1 AP")</f>
        <v>1 AP</v>
      </c>
      <c r="J827" s="263" t="str">
        <f>IFERROR(__xludf.DUMMYFUNCTION("""COMPUTED_VALUE"""),"")</f>
        <v/>
      </c>
      <c r="K827" s="263" t="str">
        <f>IFERROR(__xludf.DUMMYFUNCTION("""COMPUTED_VALUE"""),"")</f>
        <v/>
      </c>
      <c r="L827" s="263" t="str">
        <f>IFERROR(__xludf.DUMMYFUNCTION("""COMPUTED_VALUE"""),"")</f>
        <v/>
      </c>
      <c r="M827" s="263"/>
      <c r="N827" s="263"/>
      <c r="O827" s="263"/>
      <c r="P827" s="263"/>
      <c r="Q827" s="263"/>
      <c r="R827" s="263"/>
      <c r="S827" s="263"/>
      <c r="T827" s="263"/>
      <c r="U827" s="246"/>
      <c r="V827" s="246"/>
      <c r="W827" s="246"/>
      <c r="X827" s="246"/>
      <c r="Y827" s="246"/>
      <c r="Z827" s="246"/>
    </row>
    <row r="828">
      <c r="A828" s="263"/>
      <c r="B828" s="265" t="str">
        <f>IFERROR(__xludf.DUMMYFUNCTION("""COMPUTED_VALUE"""),"Summon Lesser Eidolon")</f>
        <v>Summon Lesser Eidolon</v>
      </c>
      <c r="C828" s="263"/>
      <c r="D828" s="263" t="str">
        <f>IFERROR(__xludf.DUMMYFUNCTION("""COMPUTED_VALUE"""),"Summon, Spell, Upkeep")</f>
        <v>Summon, Spell, Upkeep</v>
      </c>
      <c r="E828" s="264" t="str">
        <f>IFERROR(__xludf.DUMMYFUNCTION("""COMPUTED_VALUE"""),"30ft")</f>
        <v>30ft</v>
      </c>
      <c r="F828" s="266" t="str">
        <f>IFERROR(__xludf.DUMMYFUNCTION("""COMPUTED_VALUE"""),"Your contracted Eidolon hears your call and sends their minions to fight for you. The summon called and costs are dependent on your attunement. Lasts up to 5 minutes. You must pay the upkeep cost under the Summon’s Summon Skill or the Summon vanishes.
Unl"&amp;"ess the summon has a skill that says otherwise, a summon acts after you on initiative, but cannot act the round it is summoned except for RP actions.")</f>
        <v>Your contracted Eidolon hears your call and sends their minions to fight for you. The summon called and costs are dependent on your attunement. Lasts up to 5 minutes. You must pay the upkeep cost under the Summon’s Summon Skill or the Summon vanishes.
Unless the summon has a skill that says otherwise, a summon acts after you on initiative, but cannot act the round it is summoned except for RP actions.</v>
      </c>
      <c r="G828" s="264" t="str">
        <f>IFERROR(__xludf.DUMMYFUNCTION("""COMPUTED_VALUE"""),"")</f>
        <v/>
      </c>
      <c r="H828" s="265" t="str">
        <f>IFERROR(__xludf.DUMMYFUNCTION("""COMPUTED_VALUE"""),"")</f>
        <v/>
      </c>
      <c r="I828" s="264" t="str">
        <f>IFERROR(__xludf.DUMMYFUNCTION("""COMPUTED_VALUE"""),"")</f>
        <v/>
      </c>
      <c r="J828" s="264" t="str">
        <f>IFERROR(__xludf.DUMMYFUNCTION("""COMPUTED_VALUE"""),"")</f>
        <v/>
      </c>
      <c r="K828" s="263" t="str">
        <f>IFERROR(__xludf.DUMMYFUNCTION("""COMPUTED_VALUE"""),"")</f>
        <v/>
      </c>
      <c r="L828" s="263" t="str">
        <f>IFERROR(__xludf.DUMMYFUNCTION("""COMPUTED_VALUE"""),"")</f>
        <v/>
      </c>
      <c r="M828" s="263"/>
      <c r="N828" s="263"/>
      <c r="O828" s="263"/>
      <c r="P828" s="263"/>
      <c r="Q828" s="263"/>
      <c r="R828" s="263"/>
      <c r="S828" s="263"/>
      <c r="T828" s="263"/>
      <c r="U828" s="246"/>
      <c r="V828" s="246"/>
      <c r="W828" s="246"/>
      <c r="X828" s="246"/>
      <c r="Y828" s="246"/>
      <c r="Z828" s="246"/>
    </row>
    <row r="829">
      <c r="A829" s="263"/>
      <c r="B829" s="265" t="str">
        <f>IFERROR(__xludf.DUMMYFUNCTION("""COMPUTED_VALUE"""),"Summon Piece")</f>
        <v>Summon Piece</v>
      </c>
      <c r="C829" s="263"/>
      <c r="D829" s="263" t="str">
        <f>IFERROR(__xludf.DUMMYFUNCTION("""COMPUTED_VALUE"""),"")</f>
        <v/>
      </c>
      <c r="E829" s="264" t="str">
        <f>IFERROR(__xludf.DUMMYFUNCTION("""COMPUTED_VALUE"""),"60ft")</f>
        <v>60ft</v>
      </c>
      <c r="F829" s="266" t="str">
        <f>IFERROR(__xludf.DUMMYFUNCTION("""COMPUTED_VALUE"""),"You summon a Pawn puppet under your control. It (and other puppets from this class) have HP equal to 20 + Focus, no evasion and no guard. These puppets are not living targets and are generally treated as structures rather than creatures.
They last until t"&amp;"he end of the encounter.
Overcharge: You may spend extra mana to summon the following puppets instead:
1 Mana: Knight or Bishop
2 Mana: Rook
3 Mana: Queen")</f>
        <v>You summon a Pawn puppet under your control. It (and other puppets from this class) have HP equal to 20 + Focus, no evasion and no guard. These puppets are not living targets and are generally treated as structures rather than creatures.
They last until the end of the encounter.
Overcharge: You may spend extra mana to summon the following puppets instead:
1 Mana: Knight or Bishop
2 Mana: Rook
3 Mana: Queen</v>
      </c>
      <c r="G829" s="264" t="str">
        <f>IFERROR(__xludf.DUMMYFUNCTION("""COMPUTED_VALUE"""),"")</f>
        <v/>
      </c>
      <c r="H829" s="265" t="str">
        <f>IFERROR(__xludf.DUMMYFUNCTION("""COMPUTED_VALUE"""),"1 AP")</f>
        <v>1 AP</v>
      </c>
      <c r="I829" s="264" t="str">
        <f>IFERROR(__xludf.DUMMYFUNCTION("""COMPUTED_VALUE"""),"1 AP")</f>
        <v>1 AP</v>
      </c>
      <c r="J829" s="264" t="str">
        <f>IFERROR(__xludf.DUMMYFUNCTION("""COMPUTED_VALUE"""),"")</f>
        <v/>
      </c>
      <c r="K829" s="263" t="str">
        <f>IFERROR(__xludf.DUMMYFUNCTION("""COMPUTED_VALUE"""),"")</f>
        <v/>
      </c>
      <c r="L829" s="263" t="str">
        <f>IFERROR(__xludf.DUMMYFUNCTION("""COMPUTED_VALUE"""),"")</f>
        <v/>
      </c>
      <c r="M829" s="263"/>
      <c r="N829" s="263"/>
      <c r="O829" s="263"/>
      <c r="P829" s="263"/>
      <c r="Q829" s="263"/>
      <c r="R829" s="263"/>
      <c r="S829" s="263"/>
      <c r="T829" s="263"/>
      <c r="U829" s="246"/>
      <c r="V829" s="246"/>
      <c r="W829" s="246"/>
      <c r="X829" s="246"/>
      <c r="Y829" s="246"/>
      <c r="Z829" s="246"/>
    </row>
    <row r="830">
      <c r="A830" s="263"/>
      <c r="B830" s="265" t="str">
        <f>IFERROR(__xludf.DUMMYFUNCTION("""COMPUTED_VALUE"""),"Swallow Acrobatics")</f>
        <v>Swallow Acrobatics</v>
      </c>
      <c r="C830" s="263"/>
      <c r="D830" s="263" t="str">
        <f>IFERROR(__xludf.DUMMYFUNCTION("""COMPUTED_VALUE"""),"")</f>
        <v/>
      </c>
      <c r="E830" s="264" t="str">
        <f>IFERROR(__xludf.DUMMYFUNCTION("""COMPUTED_VALUE"""),"Self")</f>
        <v>Self</v>
      </c>
      <c r="F830" s="266" t="str">
        <f>IFERROR(__xludf.DUMMYFUNCTION("""COMPUTED_VALUE"""),"Your next movement before the end of your turn does not provoke attacks of opportunity.")</f>
        <v>Your next movement before the end of your turn does not provoke attacks of opportunity.</v>
      </c>
      <c r="G830" s="264" t="str">
        <f>IFERROR(__xludf.DUMMYFUNCTION("""COMPUTED_VALUE"""),"Can be used after you make a melee attack while flying.")</f>
        <v>Can be used after you make a melee attack while flying.</v>
      </c>
      <c r="H830" s="265" t="str">
        <f>IFERROR(__xludf.DUMMYFUNCTION("""COMPUTED_VALUE"""),"0 AP")</f>
        <v>0 AP</v>
      </c>
      <c r="I830" s="264" t="str">
        <f>IFERROR(__xludf.DUMMYFUNCTION("""COMPUTED_VALUE"""),"0 AP")</f>
        <v>0 AP</v>
      </c>
      <c r="J830" s="263" t="str">
        <f>IFERROR(__xludf.DUMMYFUNCTION("""COMPUTED_VALUE"""),"")</f>
        <v/>
      </c>
      <c r="K830" s="263" t="str">
        <f>IFERROR(__xludf.DUMMYFUNCTION("""COMPUTED_VALUE"""),"")</f>
        <v/>
      </c>
      <c r="L830" s="263" t="str">
        <f>IFERROR(__xludf.DUMMYFUNCTION("""COMPUTED_VALUE"""),"")</f>
        <v/>
      </c>
      <c r="M830" s="263"/>
      <c r="N830" s="263"/>
      <c r="O830" s="263"/>
      <c r="P830" s="263"/>
      <c r="Q830" s="263"/>
      <c r="R830" s="263"/>
      <c r="S830" s="263"/>
      <c r="T830" s="263"/>
      <c r="U830" s="246"/>
      <c r="V830" s="246"/>
      <c r="W830" s="246"/>
      <c r="X830" s="246"/>
      <c r="Y830" s="246"/>
      <c r="Z830" s="246"/>
    </row>
    <row r="831">
      <c r="A831" s="263"/>
      <c r="B831" s="265" t="str">
        <f>IFERROR(__xludf.DUMMYFUNCTION("""COMPUTED_VALUE"""),"Swap")</f>
        <v>Swap</v>
      </c>
      <c r="C831" s="263"/>
      <c r="D831" s="264" t="str">
        <f>IFERROR(__xludf.DUMMYFUNCTION("""COMPUTED_VALUE"""),"Rapid, Teleport")</f>
        <v>Rapid, Teleport</v>
      </c>
      <c r="E831" s="264" t="str">
        <f>IFERROR(__xludf.DUMMYFUNCTION("""COMPUTED_VALUE"""),"20ft")</f>
        <v>20ft</v>
      </c>
      <c r="F831" s="266" t="str">
        <f>IFERROR(__xludf.DUMMYFUNCTION("""COMPUTED_VALUE"""),"You Swap positions with a chosen willing ally or any non-heroic enemy.
You may use either AP or RP for this ability. You don't need to pay the cost of both.")</f>
        <v>You Swap positions with a chosen willing ally or any non-heroic enemy.
You may use either AP or RP for this ability. You don't need to pay the cost of both.</v>
      </c>
      <c r="G831" s="263" t="str">
        <f>IFERROR(__xludf.DUMMYFUNCTION("""COMPUTED_VALUE"""),"")</f>
        <v/>
      </c>
      <c r="H831" s="265" t="str">
        <f>IFERROR(__xludf.DUMMYFUNCTION("""COMPUTED_VALUE"""),"1 AP, 1 RP")</f>
        <v>1 AP, 1 RP</v>
      </c>
      <c r="I831" s="264" t="str">
        <f>IFERROR(__xludf.DUMMYFUNCTION("""COMPUTED_VALUE"""),"1 AP")</f>
        <v>1 AP</v>
      </c>
      <c r="J831" s="264" t="str">
        <f>IFERROR(__xludf.DUMMYFUNCTION("""COMPUTED_VALUE"""),"")</f>
        <v/>
      </c>
      <c r="K831" s="263" t="str">
        <f>IFERROR(__xludf.DUMMYFUNCTION("""COMPUTED_VALUE"""),"1 RP")</f>
        <v>1 RP</v>
      </c>
      <c r="L831" s="263" t="str">
        <f>IFERROR(__xludf.DUMMYFUNCTION("""COMPUTED_VALUE"""),"")</f>
        <v/>
      </c>
      <c r="M831" s="263"/>
      <c r="N831" s="263"/>
      <c r="O831" s="263"/>
      <c r="P831" s="263"/>
      <c r="Q831" s="263"/>
      <c r="R831" s="263"/>
      <c r="S831" s="263"/>
      <c r="T831" s="263"/>
      <c r="U831" s="246"/>
      <c r="V831" s="246"/>
      <c r="W831" s="246"/>
      <c r="X831" s="246"/>
      <c r="Y831" s="246"/>
      <c r="Z831" s="246"/>
    </row>
    <row r="832">
      <c r="A832" s="263"/>
      <c r="B832" s="265" t="str">
        <f>IFERROR(__xludf.DUMMYFUNCTION("""COMPUTED_VALUE"""),"Sweeping Stance")</f>
        <v>Sweeping Stance</v>
      </c>
      <c r="C832" s="263"/>
      <c r="D832" s="263" t="str">
        <f>IFERROR(__xludf.DUMMYFUNCTION("""COMPUTED_VALUE"""),"Stance")</f>
        <v>Stance</v>
      </c>
      <c r="E832" s="263" t="str">
        <f>IFERROR(__xludf.DUMMYFUNCTION("""COMPUTED_VALUE"""),"Self")</f>
        <v>Self</v>
      </c>
      <c r="F832" s="266" t="str">
        <f>IFERROR(__xludf.DUMMYFUNCTION("""COMPUTED_VALUE"""),"You enter a stance in which you spin your weapon around in a circular motion and lash out against any enemy that approaches. When an enemy enters your weapon’s range you may make an Attack of Opportunity against them. An enemy moving while already being i"&amp;"n your attack range does not provoke. Your weapon's range for these attacks of opportunities is increased by 5ft (This does not affect your normal threaten range).
The stance lasts until you make an attack that isn’t an Attack of Opportunity.")</f>
        <v>You enter a stance in which you spin your weapon around in a circular motion and lash out against any enemy that approaches. When an enemy enters your weapon’s range you may make an Attack of Opportunity against them. An enemy moving while already being in your attack range does not provoke. Your weapon's range for these attacks of opportunities is increased by 5ft (This does not affect your normal threaten range).
The stance lasts until you make an attack that isn’t an Attack of Opportunity.</v>
      </c>
      <c r="G832" s="263" t="str">
        <f>IFERROR(__xludf.DUMMYFUNCTION("""COMPUTED_VALUE"""),"Two-handed weapons only.")</f>
        <v>Two-handed weapons only.</v>
      </c>
      <c r="H832" s="267" t="str">
        <f>IFERROR(__xludf.DUMMYFUNCTION("""COMPUTED_VALUE"""),"2 AP, 1 MP")</f>
        <v>2 AP, 1 MP</v>
      </c>
      <c r="I832" s="263" t="str">
        <f>IFERROR(__xludf.DUMMYFUNCTION("""COMPUTED_VALUE"""),"2 AP")</f>
        <v>2 AP</v>
      </c>
      <c r="J832" s="263" t="str">
        <f>IFERROR(__xludf.DUMMYFUNCTION("""COMPUTED_VALUE"""),"1 MP")</f>
        <v>1 MP</v>
      </c>
      <c r="K832" s="263" t="str">
        <f>IFERROR(__xludf.DUMMYFUNCTION("""COMPUTED_VALUE"""),"")</f>
        <v/>
      </c>
      <c r="L832" s="263" t="str">
        <f>IFERROR(__xludf.DUMMYFUNCTION("""COMPUTED_VALUE"""),"")</f>
        <v/>
      </c>
      <c r="M832" s="263"/>
      <c r="N832" s="263"/>
      <c r="O832" s="263"/>
      <c r="P832" s="263"/>
      <c r="Q832" s="263"/>
      <c r="R832" s="263"/>
      <c r="S832" s="263"/>
      <c r="T832" s="263"/>
      <c r="U832" s="246"/>
      <c r="V832" s="246"/>
      <c r="W832" s="246"/>
      <c r="X832" s="246"/>
      <c r="Y832" s="246"/>
      <c r="Z832" s="246"/>
    </row>
    <row r="833">
      <c r="A833" s="263"/>
      <c r="B833" s="267" t="str">
        <f>IFERROR(__xludf.DUMMYFUNCTION("""COMPUTED_VALUE"""),"Sweet Dreams")</f>
        <v>Sweet Dreams</v>
      </c>
      <c r="C833" s="263"/>
      <c r="D833" s="263" t="str">
        <f>IFERROR(__xludf.DUMMYFUNCTION("""COMPUTED_VALUE"""),"")</f>
        <v/>
      </c>
      <c r="E833" s="263" t="str">
        <f>IFERROR(__xludf.DUMMYFUNCTION("""COMPUTED_VALUE"""),"")</f>
        <v/>
      </c>
      <c r="F833" s="268" t="str">
        <f>IFERROR(__xludf.DUMMYFUNCTION("""COMPUTED_VALUE"""),"As a rest action, you may choose an ally other than yourself to heal for 5 + Toughness after their rest has finished.
Doesn't stack with Medical Kit.")</f>
        <v>As a rest action, you may choose an ally other than yourself to heal for 5 + Toughness after their rest has finished.
Doesn't stack with Medical Kit.</v>
      </c>
      <c r="G833" s="263" t="str">
        <f>IFERROR(__xludf.DUMMYFUNCTION("""COMPUTED_VALUE"""),"")</f>
        <v/>
      </c>
      <c r="H833" s="267" t="str">
        <f>IFERROR(__xludf.DUMMYFUNCTION("""COMPUTED_VALUE"""),"")</f>
        <v/>
      </c>
      <c r="I833" s="263" t="str">
        <f>IFERROR(__xludf.DUMMYFUNCTION("""COMPUTED_VALUE"""),"")</f>
        <v/>
      </c>
      <c r="J833" s="263" t="str">
        <f>IFERROR(__xludf.DUMMYFUNCTION("""COMPUTED_VALUE"""),"")</f>
        <v/>
      </c>
      <c r="K833" s="263" t="str">
        <f>IFERROR(__xludf.DUMMYFUNCTION("""COMPUTED_VALUE"""),"")</f>
        <v/>
      </c>
      <c r="L833" s="263" t="str">
        <f>IFERROR(__xludf.DUMMYFUNCTION("""COMPUTED_VALUE"""),"")</f>
        <v/>
      </c>
      <c r="M833" s="263"/>
      <c r="N833" s="263"/>
      <c r="O833" s="263"/>
      <c r="P833" s="263"/>
      <c r="Q833" s="263"/>
      <c r="R833" s="263"/>
      <c r="S833" s="263"/>
      <c r="T833" s="263"/>
      <c r="U833" s="246"/>
      <c r="V833" s="246"/>
      <c r="W833" s="246"/>
      <c r="X833" s="246"/>
      <c r="Y833" s="246"/>
      <c r="Z833" s="246"/>
    </row>
    <row r="834">
      <c r="A834" s="263"/>
      <c r="B834" s="267" t="str">
        <f>IFERROR(__xludf.DUMMYFUNCTION("""COMPUTED_VALUE"""),"Swift Wind Palm")</f>
        <v>Swift Wind Palm</v>
      </c>
      <c r="C834" s="263"/>
      <c r="D834" s="263" t="str">
        <f>IFERROR(__xludf.DUMMYFUNCTION("""COMPUTED_VALUE"""),"Unarmed Strike, Sidestep, Lock On")</f>
        <v>Unarmed Strike, Sidestep, Lock On</v>
      </c>
      <c r="E834" s="263" t="str">
        <f>IFERROR(__xludf.DUMMYFUNCTION("""COMPUTED_VALUE"""),"Melee Weapon Range")</f>
        <v>Melee Weapon Range</v>
      </c>
      <c r="F834" s="268" t="str">
        <f>IFERROR(__xludf.DUMMYFUNCTION("""COMPUTED_VALUE"""),"You make a Light attack against the target. On damage, the target is knocked down 30ft or until they hit the floor (on top of any other height loss from being hit while flying) and you may Sidestep next to them afterwards.
A target knocked down on to the "&amp;"ground with this ability is knocked prone and takes falling damage as normal. They do not take the normal extra damage as result of being knocked into the floor.")</f>
        <v>You make a Light attack against the target. On damage, the target is knocked down 30ft or until they hit the floor (on top of any other height loss from being hit while flying) and you may Sidestep next to them afterwards.
A target knocked down on to the ground with this ability is knocked prone and takes falling damage as normal. They do not take the normal extra damage as result of being knocked into the floor.</v>
      </c>
      <c r="G834" s="263" t="str">
        <f>IFERROR(__xludf.DUMMYFUNCTION("""COMPUTED_VALUE"""),"You and the target must be airborne")</f>
        <v>You and the target must be airborne</v>
      </c>
      <c r="H834" s="267" t="str">
        <f>IFERROR(__xludf.DUMMYFUNCTION("""COMPUTED_VALUE"""),"1 AP, 1 MP")</f>
        <v>1 AP, 1 MP</v>
      </c>
      <c r="I834" s="263" t="str">
        <f>IFERROR(__xludf.DUMMYFUNCTION("""COMPUTED_VALUE"""),"1 AP")</f>
        <v>1 AP</v>
      </c>
      <c r="J834" s="263" t="str">
        <f>IFERROR(__xludf.DUMMYFUNCTION("""COMPUTED_VALUE"""),"1 MP")</f>
        <v>1 MP</v>
      </c>
      <c r="K834" s="263" t="str">
        <f>IFERROR(__xludf.DUMMYFUNCTION("""COMPUTED_VALUE"""),"")</f>
        <v/>
      </c>
      <c r="L834" s="263" t="str">
        <f>IFERROR(__xludf.DUMMYFUNCTION("""COMPUTED_VALUE"""),"")</f>
        <v/>
      </c>
      <c r="M834" s="263"/>
      <c r="N834" s="263"/>
      <c r="O834" s="263"/>
      <c r="P834" s="263"/>
      <c r="Q834" s="263"/>
      <c r="R834" s="263"/>
      <c r="S834" s="263"/>
      <c r="T834" s="263"/>
      <c r="U834" s="246"/>
      <c r="V834" s="246"/>
      <c r="W834" s="246"/>
      <c r="X834" s="246"/>
      <c r="Y834" s="246"/>
      <c r="Z834" s="246"/>
    </row>
    <row r="835">
      <c r="A835" s="263"/>
      <c r="B835" s="267" t="str">
        <f>IFERROR(__xludf.DUMMYFUNCTION("""COMPUTED_VALUE"""),"Sword Riding Art")</f>
        <v>Sword Riding Art</v>
      </c>
      <c r="C835" s="263"/>
      <c r="D835" s="263" t="str">
        <f>IFERROR(__xludf.DUMMYFUNCTION("""COMPUTED_VALUE"""),"")</f>
        <v/>
      </c>
      <c r="E835" s="263" t="str">
        <f>IFERROR(__xludf.DUMMYFUNCTION("""COMPUTED_VALUE"""),"Self")</f>
        <v>Self</v>
      </c>
      <c r="F835" s="268" t="str">
        <f>IFERROR(__xludf.DUMMYFUNCTION("""COMPUTED_VALUE"""),"You jump onto a light sword, versatile melee weapon, greatshield, bayonet musket or two-handed melee weapon you’re carrying and use it to move around. While riding on top of the sword, you gain Flight. You can fly this way for up to 5 minutes.
If you take"&amp;" damage while flying higher than 5ft above the ground, your altitude drops by 20ft. If this would reduce your altitude to the point where you touch the ground, you may hop off your weapon and put it back into your hand if possible for 0 RP. After this hap"&amp;"pens, your Sword Riding ends. If the attack that reduced your HP came from a flying creature other than yourself, you do not lose altitude but instead become unbalanced.
If you are knocked back by an effect, you must make a save against the attacker's pot"&amp;"ency. Else, you are blown off your sword.")</f>
        <v>You jump onto a light sword, versatile melee weapon, greatshield, bayonet musket or two-handed melee weapon you’re carrying and use it to move around. While riding on top of the sword, you gain Flight. You can fly this way for up to 5 minutes.
If you take damage while flying higher than 5ft above the ground, your altitude drops by 20ft. If this would reduce your altitude to the point where you touch the ground, you may hop off your weapon and put it back into your hand if possible for 0 RP. After this happens, your Sword Riding ends. If the attack that reduced your HP came from a flying creature other than yourself, you do not lose altitude but instead become unbalanced.
If you are knocked back by an effect, you must make a save against the attacker's potency. Else, you are blown off your sword.</v>
      </c>
      <c r="G835" s="263" t="str">
        <f>IFERROR(__xludf.DUMMYFUNCTION("""COMPUTED_VALUE"""),"Must have a Light Sword or two-handed melee weapon in your hand.")</f>
        <v>Must have a Light Sword or two-handed melee weapon in your hand.</v>
      </c>
      <c r="H835" s="267" t="str">
        <f>IFERROR(__xludf.DUMMYFUNCTION("""COMPUTED_VALUE"""),"0 AP, 1 MP")</f>
        <v>0 AP, 1 MP</v>
      </c>
      <c r="I835" s="263" t="str">
        <f>IFERROR(__xludf.DUMMYFUNCTION("""COMPUTED_VALUE"""),"0 AP")</f>
        <v>0 AP</v>
      </c>
      <c r="J835" s="263" t="str">
        <f>IFERROR(__xludf.DUMMYFUNCTION("""COMPUTED_VALUE"""),"1 MP")</f>
        <v>1 MP</v>
      </c>
      <c r="K835" s="263" t="str">
        <f>IFERROR(__xludf.DUMMYFUNCTION("""COMPUTED_VALUE"""),"")</f>
        <v/>
      </c>
      <c r="L835" s="263" t="str">
        <f>IFERROR(__xludf.DUMMYFUNCTION("""COMPUTED_VALUE"""),"")</f>
        <v/>
      </c>
      <c r="M835" s="263"/>
      <c r="N835" s="263"/>
      <c r="O835" s="263"/>
      <c r="P835" s="263"/>
      <c r="Q835" s="263"/>
      <c r="R835" s="263"/>
      <c r="S835" s="263"/>
      <c r="T835" s="263"/>
      <c r="U835" s="246"/>
      <c r="V835" s="246"/>
      <c r="W835" s="246"/>
      <c r="X835" s="246"/>
      <c r="Y835" s="246"/>
      <c r="Z835" s="246"/>
    </row>
    <row r="836">
      <c r="A836" s="263"/>
      <c r="B836" s="267" t="str">
        <f>IFERROR(__xludf.DUMMYFUNCTION("""COMPUTED_VALUE"""),"Tackle")</f>
        <v>Tackle</v>
      </c>
      <c r="C836" s="263"/>
      <c r="D836" s="263" t="str">
        <f>IFERROR(__xludf.DUMMYFUNCTION("""COMPUTED_VALUE"""),"")</f>
        <v/>
      </c>
      <c r="E836" s="263" t="str">
        <f>IFERROR(__xludf.DUMMYFUNCTION("""COMPUTED_VALUE"""),"5ft")</f>
        <v>5ft</v>
      </c>
      <c r="F836" s="268" t="str">
        <f>IFERROR(__xludf.DUMMYFUNCTION("""COMPUTED_VALUE"""),"You attempt to tackle the target and may make a Heavy Attack against them. This attack deals no damage. On hit and if the target did not use the Block action against this ability, you and the target fall Prone. If the target successfully dodges this abili"&amp;"ty, you fall Prone.")</f>
        <v>You attempt to tackle the target and may make a Heavy Attack against them. This attack deals no damage. On hit and if the target did not use the Block action against this ability, you and the target fall Prone. If the target successfully dodges this ability, you fall Prone.</v>
      </c>
      <c r="G836" s="263" t="str">
        <f>IFERROR(__xludf.DUMMYFUNCTION("""COMPUTED_VALUE"""),"")</f>
        <v/>
      </c>
      <c r="H836" s="267" t="str">
        <f>IFERROR(__xludf.DUMMYFUNCTION("""COMPUTED_VALUE"""),"0 AP")</f>
        <v>0 AP</v>
      </c>
      <c r="I836" s="263" t="str">
        <f>IFERROR(__xludf.DUMMYFUNCTION("""COMPUTED_VALUE"""),"0 AP")</f>
        <v>0 AP</v>
      </c>
      <c r="J836" s="263" t="str">
        <f>IFERROR(__xludf.DUMMYFUNCTION("""COMPUTED_VALUE"""),"")</f>
        <v/>
      </c>
      <c r="K836" s="263" t="str">
        <f>IFERROR(__xludf.DUMMYFUNCTION("""COMPUTED_VALUE"""),"")</f>
        <v/>
      </c>
      <c r="L836" s="263" t="str">
        <f>IFERROR(__xludf.DUMMYFUNCTION("""COMPUTED_VALUE"""),"")</f>
        <v/>
      </c>
      <c r="M836" s="263"/>
      <c r="N836" s="263"/>
      <c r="O836" s="263"/>
      <c r="P836" s="263"/>
      <c r="Q836" s="263"/>
      <c r="R836" s="263"/>
      <c r="S836" s="263"/>
      <c r="T836" s="263"/>
      <c r="U836" s="246"/>
      <c r="V836" s="246"/>
      <c r="W836" s="246"/>
      <c r="X836" s="246"/>
      <c r="Y836" s="246"/>
      <c r="Z836" s="246"/>
    </row>
    <row r="837">
      <c r="A837" s="263"/>
      <c r="B837" s="267" t="str">
        <f>IFERROR(__xludf.DUMMYFUNCTION("""COMPUTED_VALUE"""),"Tag Rotation")</f>
        <v>Tag Rotation</v>
      </c>
      <c r="C837" s="263"/>
      <c r="D837" s="263" t="str">
        <f>IFERROR(__xludf.DUMMYFUNCTION("""COMPUTED_VALUE"""),"")</f>
        <v/>
      </c>
      <c r="E837" s="263" t="str">
        <f>IFERROR(__xludf.DUMMYFUNCTION("""COMPUTED_VALUE"""),"Two ally units, or yourself and an ally unit that are adjacent to each other that you can see.")</f>
        <v>Two ally units, or yourself and an ally unit that are adjacent to each other that you can see.</v>
      </c>
      <c r="F837" s="268" t="str">
        <f>IFERROR(__xludf.DUMMYFUNCTION("""COMPUTED_VALUE"""),"The target willing allies, or yourself and a target willing ally switch places. This movement does not trigger any attacks of opportunity. You cannot use this if it causes an ally unit to occupy an invalid space. You may use either AP or RP for this abili"&amp;"ty.")</f>
        <v>The target willing allies, or yourself and a target willing ally switch places. This movement does not trigger any attacks of opportunity. You cannot use this if it causes an ally unit to occupy an invalid space. You may use either AP or RP for this ability.</v>
      </c>
      <c r="G837" s="263" t="str">
        <f>IFERROR(__xludf.DUMMYFUNCTION("""COMPUTED_VALUE"""),"")</f>
        <v/>
      </c>
      <c r="H837" s="267" t="str">
        <f>IFERROR(__xludf.DUMMYFUNCTION("""COMPUTED_VALUE"""),"1 AP, 1 RP")</f>
        <v>1 AP, 1 RP</v>
      </c>
      <c r="I837" s="263" t="str">
        <f>IFERROR(__xludf.DUMMYFUNCTION("""COMPUTED_VALUE"""),"1 AP")</f>
        <v>1 AP</v>
      </c>
      <c r="J837" s="263" t="str">
        <f>IFERROR(__xludf.DUMMYFUNCTION("""COMPUTED_VALUE"""),"")</f>
        <v/>
      </c>
      <c r="K837" s="263" t="str">
        <f>IFERROR(__xludf.DUMMYFUNCTION("""COMPUTED_VALUE"""),"1 RP")</f>
        <v>1 RP</v>
      </c>
      <c r="L837" s="263" t="str">
        <f>IFERROR(__xludf.DUMMYFUNCTION("""COMPUTED_VALUE"""),"")</f>
        <v/>
      </c>
      <c r="M837" s="263"/>
      <c r="N837" s="263"/>
      <c r="O837" s="263"/>
      <c r="P837" s="263"/>
      <c r="Q837" s="263"/>
      <c r="R837" s="263"/>
      <c r="S837" s="263"/>
      <c r="T837" s="263"/>
      <c r="U837" s="246"/>
      <c r="V837" s="246"/>
      <c r="W837" s="246"/>
      <c r="X837" s="246"/>
      <c r="Y837" s="246"/>
      <c r="Z837" s="246"/>
    </row>
    <row r="838">
      <c r="A838" s="263"/>
      <c r="B838" s="267" t="str">
        <f>IFERROR(__xludf.DUMMYFUNCTION("""COMPUTED_VALUE"""),"Tailwind")</f>
        <v>Tailwind</v>
      </c>
      <c r="C838" s="263"/>
      <c r="D838" s="263" t="str">
        <f>IFERROR(__xludf.DUMMYFUNCTION("""COMPUTED_VALUE"""),"Encounter Start")</f>
        <v>Encounter Start</v>
      </c>
      <c r="E838" s="263" t="str">
        <f>IFERROR(__xludf.DUMMYFUNCTION("""COMPUTED_VALUE"""),"40ft")</f>
        <v>40ft</v>
      </c>
      <c r="F838" s="268" t="str">
        <f>IFERROR(__xludf.DUMMYFUNCTION("""COMPUTED_VALUE"""),"You and all allies within 40ft gain Tailwind, which provides a +1 bonus to initiative and doubles movement speed in the first round of combat.")</f>
        <v>You and all allies within 40ft gain Tailwind, which provides a +1 bonus to initiative and doubles movement speed in the first round of combat.</v>
      </c>
      <c r="G838" s="263" t="str">
        <f>IFERROR(__xludf.DUMMYFUNCTION("""COMPUTED_VALUE"""),"")</f>
        <v/>
      </c>
      <c r="H838" s="267" t="str">
        <f>IFERROR(__xludf.DUMMYFUNCTION("""COMPUTED_VALUE"""),"")</f>
        <v/>
      </c>
      <c r="I838" s="263" t="str">
        <f>IFERROR(__xludf.DUMMYFUNCTION("""COMPUTED_VALUE"""),"")</f>
        <v/>
      </c>
      <c r="J838" s="263" t="str">
        <f>IFERROR(__xludf.DUMMYFUNCTION("""COMPUTED_VALUE"""),"")</f>
        <v/>
      </c>
      <c r="K838" s="263" t="str">
        <f>IFERROR(__xludf.DUMMYFUNCTION("""COMPUTED_VALUE"""),"")</f>
        <v/>
      </c>
      <c r="L838" s="263" t="str">
        <f>IFERROR(__xludf.DUMMYFUNCTION("""COMPUTED_VALUE"""),"")</f>
        <v/>
      </c>
      <c r="M838" s="263"/>
      <c r="N838" s="263"/>
      <c r="O838" s="263"/>
      <c r="P838" s="263"/>
      <c r="Q838" s="263"/>
      <c r="R838" s="263"/>
      <c r="S838" s="263"/>
      <c r="T838" s="263"/>
      <c r="U838" s="246"/>
      <c r="V838" s="246"/>
      <c r="W838" s="246"/>
      <c r="X838" s="246"/>
      <c r="Y838" s="246"/>
      <c r="Z838" s="246"/>
    </row>
    <row r="839">
      <c r="A839" s="263"/>
      <c r="B839" s="267" t="str">
        <f>IFERROR(__xludf.DUMMYFUNCTION("""COMPUTED_VALUE"""),"Take Cover!")</f>
        <v>Take Cover!</v>
      </c>
      <c r="C839" s="263"/>
      <c r="D839" s="263" t="str">
        <f>IFERROR(__xludf.DUMMYFUNCTION("""COMPUTED_VALUE"""),"")</f>
        <v/>
      </c>
      <c r="E839" s="263" t="str">
        <f>IFERROR(__xludf.DUMMYFUNCTION("""COMPUTED_VALUE"""),"Light cover in sight")</f>
        <v>Light cover in sight</v>
      </c>
      <c r="F839" s="268" t="str">
        <f>IFERROR(__xludf.DUMMYFUNCTION("""COMPUTED_VALUE"""),"All Low Cover in a 20x20 area becomes High Cover for your allies (including yourself). This effect lasts until the start of your next turn.")</f>
        <v>All Low Cover in a 20x20 area becomes High Cover for your allies (including yourself). This effect lasts until the start of your next turn.</v>
      </c>
      <c r="G839" s="263" t="str">
        <f>IFERROR(__xludf.DUMMYFUNCTION("""COMPUTED_VALUE"""),"")</f>
        <v/>
      </c>
      <c r="H839" s="267" t="str">
        <f>IFERROR(__xludf.DUMMYFUNCTION("""COMPUTED_VALUE"""),"1 AP")</f>
        <v>1 AP</v>
      </c>
      <c r="I839" s="263" t="str">
        <f>IFERROR(__xludf.DUMMYFUNCTION("""COMPUTED_VALUE"""),"1 AP")</f>
        <v>1 AP</v>
      </c>
      <c r="J839" s="263" t="str">
        <f>IFERROR(__xludf.DUMMYFUNCTION("""COMPUTED_VALUE"""),"")</f>
        <v/>
      </c>
      <c r="K839" s="263" t="str">
        <f>IFERROR(__xludf.DUMMYFUNCTION("""COMPUTED_VALUE"""),"")</f>
        <v/>
      </c>
      <c r="L839" s="263" t="str">
        <f>IFERROR(__xludf.DUMMYFUNCTION("""COMPUTED_VALUE"""),"")</f>
        <v/>
      </c>
      <c r="M839" s="263"/>
      <c r="N839" s="263"/>
      <c r="O839" s="263"/>
      <c r="P839" s="263"/>
      <c r="Q839" s="263"/>
      <c r="R839" s="263"/>
      <c r="S839" s="263"/>
      <c r="T839" s="263"/>
      <c r="U839" s="246"/>
      <c r="V839" s="246"/>
      <c r="W839" s="246"/>
      <c r="X839" s="246"/>
      <c r="Y839" s="246"/>
      <c r="Z839" s="246"/>
    </row>
    <row r="840">
      <c r="A840" s="263"/>
      <c r="B840" s="267" t="str">
        <f>IFERROR(__xludf.DUMMYFUNCTION("""COMPUTED_VALUE"""),"Take it easy")</f>
        <v>Take it easy</v>
      </c>
      <c r="C840" s="263"/>
      <c r="D840" s="263" t="str">
        <f>IFERROR(__xludf.DUMMYFUNCTION("""COMPUTED_VALUE"""),"")</f>
        <v/>
      </c>
      <c r="E840" s="263" t="str">
        <f>IFERROR(__xludf.DUMMYFUNCTION("""COMPUTED_VALUE"""),"")</f>
        <v/>
      </c>
      <c r="F840" s="268" t="str">
        <f>IFERROR(__xludf.DUMMYFUNCTION("""COMPUTED_VALUE"""),"Do not make a gathering check. Instead, immediately collect 25% of the Outcrop’s base material as a bonus (doesn’t affect material totals), but no Node or Lucky progress is made.")</f>
        <v>Do not make a gathering check. Instead, immediately collect 25% of the Outcrop’s base material as a bonus (doesn’t affect material totals), but no Node or Lucky progress is made.</v>
      </c>
      <c r="G840" s="263" t="str">
        <f>IFERROR(__xludf.DUMMYFUNCTION("""COMPUTED_VALUE"""),"Must in a gathering session.")</f>
        <v>Must in a gathering session.</v>
      </c>
      <c r="H840" s="267" t="str">
        <f>IFERROR(__xludf.DUMMYFUNCTION("""COMPUTED_VALUE"""),"1 Strike Dice")</f>
        <v>1 Strike Dice</v>
      </c>
      <c r="I840" s="263" t="str">
        <f>IFERROR(__xludf.DUMMYFUNCTION("""COMPUTED_VALUE"""),"")</f>
        <v/>
      </c>
      <c r="J840" s="263" t="str">
        <f>IFERROR(__xludf.DUMMYFUNCTION("""COMPUTED_VALUE"""),"")</f>
        <v/>
      </c>
      <c r="K840" s="263" t="str">
        <f>IFERROR(__xludf.DUMMYFUNCTION("""COMPUTED_VALUE"""),"")</f>
        <v/>
      </c>
      <c r="L840" s="263" t="str">
        <f>IFERROR(__xludf.DUMMYFUNCTION("""COMPUTED_VALUE"""),"")</f>
        <v/>
      </c>
      <c r="M840" s="263"/>
      <c r="N840" s="263"/>
      <c r="O840" s="263"/>
      <c r="P840" s="263"/>
      <c r="Q840" s="263"/>
      <c r="R840" s="263"/>
      <c r="S840" s="263"/>
      <c r="T840" s="263"/>
      <c r="U840" s="246"/>
      <c r="V840" s="246"/>
      <c r="W840" s="246"/>
      <c r="X840" s="246"/>
      <c r="Y840" s="246"/>
      <c r="Z840" s="246"/>
    </row>
    <row r="841">
      <c r="A841" s="263"/>
      <c r="B841" s="267" t="str">
        <f>IFERROR(__xludf.DUMMYFUNCTION("""COMPUTED_VALUE"""),"Take Off")</f>
        <v>Take Off</v>
      </c>
      <c r="C841" s="263"/>
      <c r="D841" s="263" t="str">
        <f>IFERROR(__xludf.DUMMYFUNCTION("""COMPUTED_VALUE"""),"Encounter Start")</f>
        <v>Encounter Start</v>
      </c>
      <c r="E841" s="263" t="str">
        <f>IFERROR(__xludf.DUMMYFUNCTION("""COMPUTED_VALUE"""),"Self")</f>
        <v>Self</v>
      </c>
      <c r="F841" s="268" t="str">
        <f>IFERROR(__xludf.DUMMYFUNCTION("""COMPUTED_VALUE"""),"Immediately mount and blast off into the sky equal to double your movement.
Cannot be used if you are the target of an attack during the Encounter Start round.")</f>
        <v>Immediately mount and blast off into the sky equal to double your movement.
Cannot be used if you are the target of an attack during the Encounter Start round.</v>
      </c>
      <c r="G841" s="263" t="str">
        <f>IFERROR(__xludf.DUMMYFUNCTION("""COMPUTED_VALUE"""),"Aerial Stave in Combat Inventory")</f>
        <v>Aerial Stave in Combat Inventory</v>
      </c>
      <c r="H841" s="267" t="str">
        <f>IFERROR(__xludf.DUMMYFUNCTION("""COMPUTED_VALUE"""),"")</f>
        <v/>
      </c>
      <c r="I841" s="263" t="str">
        <f>IFERROR(__xludf.DUMMYFUNCTION("""COMPUTED_VALUE"""),"")</f>
        <v/>
      </c>
      <c r="J841" s="263" t="str">
        <f>IFERROR(__xludf.DUMMYFUNCTION("""COMPUTED_VALUE"""),"")</f>
        <v/>
      </c>
      <c r="K841" s="263" t="str">
        <f>IFERROR(__xludf.DUMMYFUNCTION("""COMPUTED_VALUE"""),"")</f>
        <v/>
      </c>
      <c r="L841" s="263" t="str">
        <f>IFERROR(__xludf.DUMMYFUNCTION("""COMPUTED_VALUE"""),"")</f>
        <v/>
      </c>
      <c r="M841" s="263"/>
      <c r="N841" s="263"/>
      <c r="O841" s="263"/>
      <c r="P841" s="263"/>
      <c r="Q841" s="263"/>
      <c r="R841" s="263"/>
      <c r="S841" s="263"/>
      <c r="T841" s="263"/>
      <c r="U841" s="246"/>
      <c r="V841" s="246"/>
      <c r="W841" s="246"/>
      <c r="X841" s="246"/>
      <c r="Y841" s="246"/>
      <c r="Z841" s="246"/>
    </row>
    <row r="842">
      <c r="A842" s="263"/>
      <c r="B842" s="267" t="str">
        <f>IFERROR(__xludf.DUMMYFUNCTION("""COMPUTED_VALUE"""),"Talisman Recursion")</f>
        <v>Talisman Recursion</v>
      </c>
      <c r="C842" s="263"/>
      <c r="D842" s="263" t="str">
        <f>IFERROR(__xludf.DUMMYFUNCTION("""COMPUTED_VALUE"""),"")</f>
        <v/>
      </c>
      <c r="E842" s="263" t="str">
        <f>IFERROR(__xludf.DUMMYFUNCTION("""COMPUTED_VALUE"""),"Self")</f>
        <v>Self</v>
      </c>
      <c r="F842" s="268" t="str">
        <f>IFERROR(__xludf.DUMMYFUNCTION("""COMPUTED_VALUE"""),"After using a Talisman, you may immediately spend the cost of that talisman (before reductions) to repeat the effect without consuming another talisman. If the talisman had a target, you must choose the same target.
Does not work with Secret Talismans.")</f>
        <v>After using a Talisman, you may immediately spend the cost of that talisman (before reductions) to repeat the effect without consuming another talisman. If the talisman had a target, you must choose the same target.
Does not work with Secret Talismans.</v>
      </c>
      <c r="G842" s="263" t="str">
        <f>IFERROR(__xludf.DUMMYFUNCTION("""COMPUTED_VALUE"""),"")</f>
        <v/>
      </c>
      <c r="H842" s="267" t="str">
        <f>IFERROR(__xludf.DUMMYFUNCTION("""COMPUTED_VALUE"""),"1 MP, 0 RP")</f>
        <v>1 MP, 0 RP</v>
      </c>
      <c r="I842" s="263" t="str">
        <f>IFERROR(__xludf.DUMMYFUNCTION("""COMPUTED_VALUE"""),"")</f>
        <v/>
      </c>
      <c r="J842" s="263" t="str">
        <f>IFERROR(__xludf.DUMMYFUNCTION("""COMPUTED_VALUE"""),"1 MP")</f>
        <v>1 MP</v>
      </c>
      <c r="K842" s="263" t="str">
        <f>IFERROR(__xludf.DUMMYFUNCTION("""COMPUTED_VALUE"""),"0 RP")</f>
        <v>0 RP</v>
      </c>
      <c r="L842" s="263" t="str">
        <f>IFERROR(__xludf.DUMMYFUNCTION("""COMPUTED_VALUE"""),"")</f>
        <v/>
      </c>
      <c r="M842" s="263"/>
      <c r="N842" s="263"/>
      <c r="O842" s="263"/>
      <c r="P842" s="263"/>
      <c r="Q842" s="263"/>
      <c r="R842" s="263"/>
      <c r="S842" s="263"/>
      <c r="T842" s="263"/>
      <c r="U842" s="246"/>
      <c r="V842" s="246"/>
      <c r="W842" s="246"/>
      <c r="X842" s="246"/>
      <c r="Y842" s="246"/>
      <c r="Z842" s="246"/>
    </row>
    <row r="843">
      <c r="A843" s="263"/>
      <c r="B843" s="267" t="str">
        <f>IFERROR(__xludf.DUMMYFUNCTION("""COMPUTED_VALUE"""),"Tap Cracker")</f>
        <v>Tap Cracker</v>
      </c>
      <c r="C843" s="263"/>
      <c r="D843" s="263" t="str">
        <f>IFERROR(__xludf.DUMMYFUNCTION("""COMPUTED_VALUE"""),"Overcharge")</f>
        <v>Overcharge</v>
      </c>
      <c r="E843" s="263" t="str">
        <f>IFERROR(__xludf.DUMMYFUNCTION("""COMPUTED_VALUE"""),"45ft")</f>
        <v>45ft</v>
      </c>
      <c r="F843" s="268" t="str">
        <f>IFERROR(__xludf.DUMMYFUNCTION("""COMPUTED_VALUE"""),"You open a door or interact with an object remotely.  You can cast this through a creature affected by Mind Connection.
Overcharge: You can pay 1 mana to magically unlock most doors and objects (DM can decide if an object is too complicated, and still mak"&amp;"e you roll a Skill Check).")</f>
        <v>You open a door or interact with an object remotely.  You can cast this through a creature affected by Mind Connection.
Overcharge: You can pay 1 mana to magically unlock most doors and objects (DM can decide if an object is too complicated, and still make you roll a Skill Check).</v>
      </c>
      <c r="G843" s="263" t="str">
        <f>IFERROR(__xludf.DUMMYFUNCTION("""COMPUTED_VALUE"""),"Object is in a room affected by Psychometry")</f>
        <v>Object is in a room affected by Psychometry</v>
      </c>
      <c r="H843" s="267" t="str">
        <f>IFERROR(__xludf.DUMMYFUNCTION("""COMPUTED_VALUE"""),"1 AP")</f>
        <v>1 AP</v>
      </c>
      <c r="I843" s="263" t="str">
        <f>IFERROR(__xludf.DUMMYFUNCTION("""COMPUTED_VALUE"""),"1 AP")</f>
        <v>1 AP</v>
      </c>
      <c r="J843" s="263" t="str">
        <f>IFERROR(__xludf.DUMMYFUNCTION("""COMPUTED_VALUE"""),"")</f>
        <v/>
      </c>
      <c r="K843" s="263" t="str">
        <f>IFERROR(__xludf.DUMMYFUNCTION("""COMPUTED_VALUE"""),"")</f>
        <v/>
      </c>
      <c r="L843" s="263" t="str">
        <f>IFERROR(__xludf.DUMMYFUNCTION("""COMPUTED_VALUE"""),"")</f>
        <v/>
      </c>
      <c r="M843" s="263"/>
      <c r="N843" s="263"/>
      <c r="O843" s="263"/>
      <c r="P843" s="263"/>
      <c r="Q843" s="263"/>
      <c r="R843" s="263"/>
      <c r="S843" s="263"/>
      <c r="T843" s="263"/>
      <c r="U843" s="246"/>
      <c r="V843" s="246"/>
      <c r="W843" s="246"/>
      <c r="X843" s="246"/>
      <c r="Y843" s="246"/>
      <c r="Z843" s="246"/>
    </row>
    <row r="844">
      <c r="A844" s="263"/>
      <c r="B844" s="267" t="str">
        <f>IFERROR(__xludf.DUMMYFUNCTION("""COMPUTED_VALUE"""),"Tectonic Overhead")</f>
        <v>Tectonic Overhead</v>
      </c>
      <c r="C844" s="263"/>
      <c r="D844" s="263" t="str">
        <f>IFERROR(__xludf.DUMMYFUNCTION("""COMPUTED_VALUE"""),"Half Pierce")</f>
        <v>Half Pierce</v>
      </c>
      <c r="E844" s="263" t="str">
        <f>IFERROR(__xludf.DUMMYFUNCTION("""COMPUTED_VALUE"""),"Melee Weapon Range")</f>
        <v>Melee Weapon Range</v>
      </c>
      <c r="F844" s="268" t="str">
        <f>IFERROR(__xludf.DUMMYFUNCTION("""COMPUTED_VALUE"""),"You make a slow, powerful overhead swing and make a Heavy attack against the target. Their evasion (but not dodge) is doubled for this attack.")</f>
        <v>You make a slow, powerful overhead swing and make a Heavy attack against the target. Their evasion (but not dodge) is doubled for this attack.</v>
      </c>
      <c r="G844" s="263" t="str">
        <f>IFERROR(__xludf.DUMMYFUNCTION("""COMPUTED_VALUE"""),"")</f>
        <v/>
      </c>
      <c r="H844" s="267" t="str">
        <f>IFERROR(__xludf.DUMMYFUNCTION("""COMPUTED_VALUE"""),"1 AP, 1 MP")</f>
        <v>1 AP, 1 MP</v>
      </c>
      <c r="I844" s="263" t="str">
        <f>IFERROR(__xludf.DUMMYFUNCTION("""COMPUTED_VALUE"""),"1 AP")</f>
        <v>1 AP</v>
      </c>
      <c r="J844" s="263" t="str">
        <f>IFERROR(__xludf.DUMMYFUNCTION("""COMPUTED_VALUE"""),"1 MP")</f>
        <v>1 MP</v>
      </c>
      <c r="K844" s="263" t="str">
        <f>IFERROR(__xludf.DUMMYFUNCTION("""COMPUTED_VALUE"""),"")</f>
        <v/>
      </c>
      <c r="L844" s="263" t="str">
        <f>IFERROR(__xludf.DUMMYFUNCTION("""COMPUTED_VALUE"""),"")</f>
        <v/>
      </c>
      <c r="M844" s="263"/>
      <c r="N844" s="263"/>
      <c r="O844" s="263"/>
      <c r="P844" s="263"/>
      <c r="Q844" s="263"/>
      <c r="R844" s="263"/>
      <c r="S844" s="263"/>
      <c r="T844" s="263"/>
      <c r="U844" s="246"/>
      <c r="V844" s="246"/>
      <c r="W844" s="246"/>
      <c r="X844" s="246"/>
      <c r="Y844" s="246"/>
      <c r="Z844" s="246"/>
    </row>
    <row r="845">
      <c r="A845" s="263"/>
      <c r="B845" s="267" t="str">
        <f>IFERROR(__xludf.DUMMYFUNCTION("""COMPUTED_VALUE"""),"Tempestuous Fire Stance")</f>
        <v>Tempestuous Fire Stance</v>
      </c>
      <c r="C845" s="263"/>
      <c r="D845" s="263" t="str">
        <f>IFERROR(__xludf.DUMMYFUNCTION("""COMPUTED_VALUE"""),"Stance")</f>
        <v>Stance</v>
      </c>
      <c r="E845" s="263" t="str">
        <f>IFERROR(__xludf.DUMMYFUNCTION("""COMPUTED_VALUE"""),"Self")</f>
        <v>Self</v>
      </c>
      <c r="F845" s="268" t="str">
        <f>IFERROR(__xludf.DUMMYFUNCTION("""COMPUTED_VALUE"""),"You enter the Tempestuous Fire Stance. While in this Stance, before you make an attack with the Unarmed Strike keyword, you may choose to move 5ft per AP spent on the move. This movement does not provoke attacks of opportunity. This Stance lasts until you"&amp;" enter a different stance or until you move, with the exceptions of this ability and movement abilities with the Unarmed Strike keyword. Making an attack does not cancel this stance.")</f>
        <v>You enter the Tempestuous Fire Stance. While in this Stance, before you make an attack with the Unarmed Strike keyword, you may choose to move 5ft per AP spent on the move. This movement does not provoke attacks of opportunity. This Stance lasts until you enter a different stance or until you move, with the exceptions of this ability and movement abilities with the Unarmed Strike keyword. Making an attack does not cancel this stance.</v>
      </c>
      <c r="G845" s="263" t="str">
        <f>IFERROR(__xludf.DUMMYFUNCTION("""COMPUTED_VALUE"""),"")</f>
        <v/>
      </c>
      <c r="H845" s="267" t="str">
        <f>IFERROR(__xludf.DUMMYFUNCTION("""COMPUTED_VALUE"""),"1 MP, 0 RP")</f>
        <v>1 MP, 0 RP</v>
      </c>
      <c r="I845" s="263" t="str">
        <f>IFERROR(__xludf.DUMMYFUNCTION("""COMPUTED_VALUE"""),"")</f>
        <v/>
      </c>
      <c r="J845" s="263" t="str">
        <f>IFERROR(__xludf.DUMMYFUNCTION("""COMPUTED_VALUE"""),"1 MP")</f>
        <v>1 MP</v>
      </c>
      <c r="K845" s="263" t="str">
        <f>IFERROR(__xludf.DUMMYFUNCTION("""COMPUTED_VALUE"""),"0 RP")</f>
        <v>0 RP</v>
      </c>
      <c r="L845" s="263" t="str">
        <f>IFERROR(__xludf.DUMMYFUNCTION("""COMPUTED_VALUE"""),"")</f>
        <v/>
      </c>
      <c r="M845" s="263"/>
      <c r="N845" s="263"/>
      <c r="O845" s="263"/>
      <c r="P845" s="263"/>
      <c r="Q845" s="263"/>
      <c r="R845" s="263"/>
      <c r="S845" s="263"/>
      <c r="T845" s="263"/>
      <c r="U845" s="246"/>
      <c r="V845" s="246"/>
      <c r="W845" s="246"/>
      <c r="X845" s="246"/>
      <c r="Y845" s="246"/>
      <c r="Z845" s="246"/>
    </row>
    <row r="846">
      <c r="A846" s="263"/>
      <c r="B846" s="267" t="str">
        <f>IFERROR(__xludf.DUMMYFUNCTION("""COMPUTED_VALUE"""),"Temporary Protection")</f>
        <v>Temporary Protection</v>
      </c>
      <c r="C846" s="263"/>
      <c r="D846" s="263" t="str">
        <f>IFERROR(__xludf.DUMMYFUNCTION("""COMPUTED_VALUE"""),"")</f>
        <v/>
      </c>
      <c r="E846" s="263" t="str">
        <f>IFERROR(__xludf.DUMMYFUNCTION("""COMPUTED_VALUE"""),"30ft")</f>
        <v>30ft</v>
      </c>
      <c r="F846" s="268" t="str">
        <f>IFERROR(__xludf.DUMMYFUNCTION("""COMPUTED_VALUE"""),"Until the end of the encounter, the target ally you selected is also treated as your VIP.")</f>
        <v>Until the end of the encounter, the target ally you selected is also treated as your VIP.</v>
      </c>
      <c r="G846" s="263" t="str">
        <f>IFERROR(__xludf.DUMMYFUNCTION("""COMPUTED_VALUE"""),"")</f>
        <v/>
      </c>
      <c r="H846" s="267" t="str">
        <f>IFERROR(__xludf.DUMMYFUNCTION("""COMPUTED_VALUE"""),"0 AP, 3 MP")</f>
        <v>0 AP, 3 MP</v>
      </c>
      <c r="I846" s="263" t="str">
        <f>IFERROR(__xludf.DUMMYFUNCTION("""COMPUTED_VALUE"""),"0 AP")</f>
        <v>0 AP</v>
      </c>
      <c r="J846" s="263" t="str">
        <f>IFERROR(__xludf.DUMMYFUNCTION("""COMPUTED_VALUE"""),"3 MP")</f>
        <v>3 MP</v>
      </c>
      <c r="K846" s="263" t="str">
        <f>IFERROR(__xludf.DUMMYFUNCTION("""COMPUTED_VALUE"""),"")</f>
        <v/>
      </c>
      <c r="L846" s="263" t="str">
        <f>IFERROR(__xludf.DUMMYFUNCTION("""COMPUTED_VALUE"""),"")</f>
        <v/>
      </c>
      <c r="M846" s="263"/>
      <c r="N846" s="263"/>
      <c r="O846" s="263"/>
      <c r="P846" s="263"/>
      <c r="Q846" s="263"/>
      <c r="R846" s="263"/>
      <c r="S846" s="263"/>
      <c r="T846" s="263"/>
      <c r="U846" s="246"/>
      <c r="V846" s="246"/>
      <c r="W846" s="246"/>
      <c r="X846" s="246"/>
      <c r="Y846" s="246"/>
      <c r="Z846" s="246"/>
    </row>
    <row r="847">
      <c r="A847" s="263"/>
      <c r="B847" s="267" t="str">
        <f>IFERROR(__xludf.DUMMYFUNCTION("""COMPUTED_VALUE"""),"Tengu Aura Weapon")</f>
        <v>Tengu Aura Weapon</v>
      </c>
      <c r="C847" s="263"/>
      <c r="D847" s="263" t="str">
        <f>IFERROR(__xludf.DUMMYFUNCTION("""COMPUTED_VALUE"""),"Aura")</f>
        <v>Aura</v>
      </c>
      <c r="E847" s="263" t="str">
        <f>IFERROR(__xludf.DUMMYFUNCTION("""COMPUTED_VALUE"""),"")</f>
        <v/>
      </c>
      <c r="F847" s="268" t="str">
        <f>IFERROR(__xludf.DUMMYFUNCTION("""COMPUTED_VALUE"""),"Your infuse your weapons with fiend killing aura, making them equivalent to Silver weapons for the purposes of harming fiends. Attacking a fiend with a silver weapon disables their regeneration.")</f>
        <v>Your infuse your weapons with fiend killing aura, making them equivalent to Silver weapons for the purposes of harming fiends. Attacking a fiend with a silver weapon disables their regeneration.</v>
      </c>
      <c r="G847" s="263" t="str">
        <f>IFERROR(__xludf.DUMMYFUNCTION("""COMPUTED_VALUE"""),"")</f>
        <v/>
      </c>
      <c r="H847" s="267" t="str">
        <f>IFERROR(__xludf.DUMMYFUNCTION("""COMPUTED_VALUE"""),"")</f>
        <v/>
      </c>
      <c r="I847" s="263" t="str">
        <f>IFERROR(__xludf.DUMMYFUNCTION("""COMPUTED_VALUE"""),"")</f>
        <v/>
      </c>
      <c r="J847" s="263" t="str">
        <f>IFERROR(__xludf.DUMMYFUNCTION("""COMPUTED_VALUE"""),"")</f>
        <v/>
      </c>
      <c r="K847" s="263" t="str">
        <f>IFERROR(__xludf.DUMMYFUNCTION("""COMPUTED_VALUE"""),"")</f>
        <v/>
      </c>
      <c r="L847" s="263" t="str">
        <f>IFERROR(__xludf.DUMMYFUNCTION("""COMPUTED_VALUE"""),"")</f>
        <v/>
      </c>
      <c r="M847" s="263"/>
      <c r="N847" s="263"/>
      <c r="O847" s="263"/>
      <c r="P847" s="263"/>
      <c r="Q847" s="263"/>
      <c r="R847" s="263"/>
      <c r="S847" s="263"/>
      <c r="T847" s="263"/>
      <c r="U847" s="246"/>
      <c r="V847" s="246"/>
      <c r="W847" s="246"/>
      <c r="X847" s="246"/>
      <c r="Y847" s="246"/>
      <c r="Z847" s="246"/>
    </row>
    <row r="848">
      <c r="A848" s="263"/>
      <c r="B848" s="267" t="str">
        <f>IFERROR(__xludf.DUMMYFUNCTION("""COMPUTED_VALUE"""),"Tengu Mask")</f>
        <v>Tengu Mask</v>
      </c>
      <c r="C848" s="263"/>
      <c r="D848" s="263" t="str">
        <f>IFERROR(__xludf.DUMMYFUNCTION("""COMPUTED_VALUE"""),"Presence Concealment")</f>
        <v>Presence Concealment</v>
      </c>
      <c r="E848" s="263" t="str">
        <f>IFERROR(__xludf.DUMMYFUNCTION("""COMPUTED_VALUE"""),"Self")</f>
        <v>Self</v>
      </c>
      <c r="F848" s="268" t="str">
        <f>IFERROR(__xludf.DUMMYFUNCTION("""COMPUTED_VALUE"""),"You manifest and don a Tengu Mask of your desired design, granting Presence Concealment.   You cannot use any mana abilities or Aura abilities while in Presence Concealment.  You can end this effect for 1 AP or 1 RP, to either remove your mask or to wear "&amp;"it on your head in a way that doesn't cover your face.")</f>
        <v>You manifest and don a Tengu Mask of your desired design, granting Presence Concealment.   You cannot use any mana abilities or Aura abilities while in Presence Concealment.  You can end this effect for 1 AP or 1 RP, to either remove your mask or to wear it on your head in a way that doesn't cover your face.</v>
      </c>
      <c r="G848" s="263" t="str">
        <f>IFERROR(__xludf.DUMMYFUNCTION("""COMPUTED_VALUE"""),"")</f>
        <v/>
      </c>
      <c r="H848" s="267" t="str">
        <f>IFERROR(__xludf.DUMMYFUNCTION("""COMPUTED_VALUE"""),"1 AP")</f>
        <v>1 AP</v>
      </c>
      <c r="I848" s="263" t="str">
        <f>IFERROR(__xludf.DUMMYFUNCTION("""COMPUTED_VALUE"""),"1 AP")</f>
        <v>1 AP</v>
      </c>
      <c r="J848" s="263" t="str">
        <f>IFERROR(__xludf.DUMMYFUNCTION("""COMPUTED_VALUE"""),"")</f>
        <v/>
      </c>
      <c r="K848" s="263" t="str">
        <f>IFERROR(__xludf.DUMMYFUNCTION("""COMPUTED_VALUE"""),"")</f>
        <v/>
      </c>
      <c r="L848" s="263" t="str">
        <f>IFERROR(__xludf.DUMMYFUNCTION("""COMPUTED_VALUE"""),"")</f>
        <v/>
      </c>
      <c r="M848" s="263"/>
      <c r="N848" s="263"/>
      <c r="O848" s="263"/>
      <c r="P848" s="263"/>
      <c r="Q848" s="263"/>
      <c r="R848" s="263"/>
      <c r="S848" s="263"/>
      <c r="T848" s="263"/>
      <c r="U848" s="246"/>
      <c r="V848" s="246"/>
      <c r="W848" s="246"/>
      <c r="X848" s="246"/>
      <c r="Y848" s="246"/>
      <c r="Z848" s="246"/>
    </row>
    <row r="849">
      <c r="A849" s="263"/>
      <c r="B849" s="267" t="str">
        <f>IFERROR(__xludf.DUMMYFUNCTION("""COMPUTED_VALUE"""),"Terracing")</f>
        <v>Terracing</v>
      </c>
      <c r="C849" s="263"/>
      <c r="D849" s="263" t="str">
        <f>IFERROR(__xludf.DUMMYFUNCTION("""COMPUTED_VALUE"""),"")</f>
        <v/>
      </c>
      <c r="E849" s="263" t="str">
        <f>IFERROR(__xludf.DUMMYFUNCTION("""COMPUTED_VALUE"""),"Self")</f>
        <v>Self</v>
      </c>
      <c r="F849" s="268" t="str">
        <f>IFERROR(__xludf.DUMMYFUNCTION("""COMPUTED_VALUE"""),"You raise the ground around you in a 25x25ft square centered on yourself. The ground is raised upwards by 10ft. Can only be used on natural ground and cannot be used on ground that’s already been raised.
Overcharge: You may spend 1 AP and 1 Mana to raise "&amp;"it upwards by another 10ft.")</f>
        <v>You raise the ground around you in a 25x25ft square centered on yourself. The ground is raised upwards by 10ft. Can only be used on natural ground and cannot be used on ground that’s already been raised.
Overcharge: You may spend 1 AP and 1 Mana to raise it upwards by another 10ft.</v>
      </c>
      <c r="G849" s="263" t="str">
        <f>IFERROR(__xludf.DUMMYFUNCTION("""COMPUTED_VALUE"""),"")</f>
        <v/>
      </c>
      <c r="H849" s="267" t="str">
        <f>IFERROR(__xludf.DUMMYFUNCTION("""COMPUTED_VALUE"""),"1 AP")</f>
        <v>1 AP</v>
      </c>
      <c r="I849" s="263" t="str">
        <f>IFERROR(__xludf.DUMMYFUNCTION("""COMPUTED_VALUE"""),"1 AP")</f>
        <v>1 AP</v>
      </c>
      <c r="J849" s="263" t="str">
        <f>IFERROR(__xludf.DUMMYFUNCTION("""COMPUTED_VALUE"""),"")</f>
        <v/>
      </c>
      <c r="K849" s="263" t="str">
        <f>IFERROR(__xludf.DUMMYFUNCTION("""COMPUTED_VALUE"""),"")</f>
        <v/>
      </c>
      <c r="L849" s="263" t="str">
        <f>IFERROR(__xludf.DUMMYFUNCTION("""COMPUTED_VALUE"""),"")</f>
        <v/>
      </c>
      <c r="M849" s="263"/>
      <c r="N849" s="263"/>
      <c r="O849" s="263"/>
      <c r="P849" s="263"/>
      <c r="Q849" s="263"/>
      <c r="R849" s="263"/>
      <c r="S849" s="263"/>
      <c r="T849" s="263"/>
      <c r="U849" s="246"/>
      <c r="V849" s="246"/>
      <c r="W849" s="246"/>
      <c r="X849" s="246"/>
      <c r="Y849" s="246"/>
      <c r="Z849" s="246"/>
    </row>
    <row r="850">
      <c r="A850" s="263"/>
      <c r="B850" s="267" t="str">
        <f>IFERROR(__xludf.DUMMYFUNCTION("""COMPUTED_VALUE"""),"Tetsuzanko")</f>
        <v>Tetsuzanko</v>
      </c>
      <c r="C850" s="263"/>
      <c r="D850" s="263" t="str">
        <f>IFERROR(__xludf.DUMMYFUNCTION("""COMPUTED_VALUE"""),"Bajiquan, Combo, Unarmed Strike")</f>
        <v>Bajiquan, Combo, Unarmed Strike</v>
      </c>
      <c r="E850" s="263" t="str">
        <f>IFERROR(__xludf.DUMMYFUNCTION("""COMPUTED_VALUE"""),"Melee Weapon Range")</f>
        <v>Melee Weapon Range</v>
      </c>
      <c r="F850" s="268" t="str">
        <f>IFERROR(__xludf.DUMMYFUNCTION("""COMPUTED_VALUE"""),"You may make a Heavy Attack against the target. This attack deals additional Light Damage added to the Heavy Damage. Combo: If used after an ability that moved the target, you may push the target for an equal distance again.")</f>
        <v>You may make a Heavy Attack against the target. This attack deals additional Light Damage added to the Heavy Damage. Combo: If used after an ability that moved the target, you may push the target for an equal distance again.</v>
      </c>
      <c r="G850" s="263" t="str">
        <f>IFERROR(__xludf.DUMMYFUNCTION("""COMPUTED_VALUE"""),"")</f>
        <v/>
      </c>
      <c r="H850" s="267" t="str">
        <f>IFERROR(__xludf.DUMMYFUNCTION("""COMPUTED_VALUE"""),"3 AP")</f>
        <v>3 AP</v>
      </c>
      <c r="I850" s="263" t="str">
        <f>IFERROR(__xludf.DUMMYFUNCTION("""COMPUTED_VALUE"""),"3 AP")</f>
        <v>3 AP</v>
      </c>
      <c r="J850" s="263" t="str">
        <f>IFERROR(__xludf.DUMMYFUNCTION("""COMPUTED_VALUE"""),"")</f>
        <v/>
      </c>
      <c r="K850" s="263" t="str">
        <f>IFERROR(__xludf.DUMMYFUNCTION("""COMPUTED_VALUE"""),"")</f>
        <v/>
      </c>
      <c r="L850" s="263" t="str">
        <f>IFERROR(__xludf.DUMMYFUNCTION("""COMPUTED_VALUE"""),"")</f>
        <v/>
      </c>
      <c r="M850" s="263"/>
      <c r="N850" s="263"/>
      <c r="O850" s="263"/>
      <c r="P850" s="263"/>
      <c r="Q850" s="263"/>
      <c r="R850" s="263"/>
      <c r="S850" s="263"/>
      <c r="T850" s="263"/>
      <c r="U850" s="246"/>
      <c r="V850" s="246"/>
      <c r="W850" s="246"/>
      <c r="X850" s="246"/>
      <c r="Y850" s="246"/>
      <c r="Z850" s="246"/>
    </row>
    <row r="851">
      <c r="A851" s="263"/>
      <c r="B851" s="267" t="str">
        <f>IFERROR(__xludf.DUMMYFUNCTION("""COMPUTED_VALUE"""),"Thanergetic Bloom")</f>
        <v>Thanergetic Bloom</v>
      </c>
      <c r="C851" s="263"/>
      <c r="D851" s="263" t="str">
        <f>IFERROR(__xludf.DUMMYFUNCTION("""COMPUTED_VALUE"""),"Opener, Summon")</f>
        <v>Opener, Summon</v>
      </c>
      <c r="E851" s="263" t="str">
        <f>IFERROR(__xludf.DUMMYFUNCTION("""COMPUTED_VALUE"""),"60ft")</f>
        <v>60ft</v>
      </c>
      <c r="F851" s="268" t="str">
        <f>IFERROR(__xludf.DUMMYFUNCTION("""COMPUTED_VALUE"""),"You summon a temporary Zombie as if you used Raise Undead. It disappears at the end of the encounter (or immediately if used outside of an encounter).")</f>
        <v>You summon a temporary Zombie as if you used Raise Undead. It disappears at the end of the encounter (or immediately if used outside of an encounter).</v>
      </c>
      <c r="G851" s="263" t="str">
        <f>IFERROR(__xludf.DUMMYFUNCTION("""COMPUTED_VALUE"""),"")</f>
        <v/>
      </c>
      <c r="H851" s="267" t="str">
        <f>IFERROR(__xludf.DUMMYFUNCTION("""COMPUTED_VALUE"""),"0 AP")</f>
        <v>0 AP</v>
      </c>
      <c r="I851" s="263" t="str">
        <f>IFERROR(__xludf.DUMMYFUNCTION("""COMPUTED_VALUE"""),"0 AP")</f>
        <v>0 AP</v>
      </c>
      <c r="J851" s="263" t="str">
        <f>IFERROR(__xludf.DUMMYFUNCTION("""COMPUTED_VALUE"""),"")</f>
        <v/>
      </c>
      <c r="K851" s="263" t="str">
        <f>IFERROR(__xludf.DUMMYFUNCTION("""COMPUTED_VALUE"""),"")</f>
        <v/>
      </c>
      <c r="L851" s="263" t="str">
        <f>IFERROR(__xludf.DUMMYFUNCTION("""COMPUTED_VALUE"""),"")</f>
        <v/>
      </c>
      <c r="M851" s="263"/>
      <c r="N851" s="263"/>
      <c r="O851" s="263"/>
      <c r="P851" s="263"/>
      <c r="Q851" s="263"/>
      <c r="R851" s="263"/>
      <c r="S851" s="263"/>
      <c r="T851" s="263"/>
      <c r="U851" s="246"/>
      <c r="V851" s="246"/>
      <c r="W851" s="246"/>
      <c r="X851" s="246"/>
      <c r="Y851" s="246"/>
      <c r="Z851" s="246"/>
    </row>
    <row r="852">
      <c r="A852" s="263"/>
      <c r="B852" s="267" t="str">
        <f>IFERROR(__xludf.DUMMYFUNCTION("""COMPUTED_VALUE"""),"Thermal Quench")</f>
        <v>Thermal Quench</v>
      </c>
      <c r="C852" s="263"/>
      <c r="D852" s="263" t="str">
        <f>IFERROR(__xludf.DUMMYFUNCTION("""COMPUTED_VALUE"""),"")</f>
        <v/>
      </c>
      <c r="E852" s="263" t="str">
        <f>IFERROR(__xludf.DUMMYFUNCTION("""COMPUTED_VALUE"""),"")</f>
        <v/>
      </c>
      <c r="F852" s="268" t="str">
        <f>IFERROR(__xludf.DUMMYFUNCTION("""COMPUTED_VALUE"""),"You make a crafting check. For each time you rolled a 5 or higher this craft, this check gains a +1 bonus.")</f>
        <v>You make a crafting check. For each time you rolled a 5 or higher this craft, this check gains a +1 bonus.</v>
      </c>
      <c r="G852" s="263" t="str">
        <f>IFERROR(__xludf.DUMMYFUNCTION("""COMPUTED_VALUE"""),"Must be in a crafting session.")</f>
        <v>Must be in a crafting session.</v>
      </c>
      <c r="H852" s="267" t="str">
        <f>IFERROR(__xludf.DUMMYFUNCTION("""COMPUTED_VALUE"""),"1 Crafting Dice")</f>
        <v>1 Crafting Dice</v>
      </c>
      <c r="I852" s="263" t="str">
        <f>IFERROR(__xludf.DUMMYFUNCTION("""COMPUTED_VALUE"""),"")</f>
        <v/>
      </c>
      <c r="J852" s="263" t="str">
        <f>IFERROR(__xludf.DUMMYFUNCTION("""COMPUTED_VALUE"""),"")</f>
        <v/>
      </c>
      <c r="K852" s="263" t="str">
        <f>IFERROR(__xludf.DUMMYFUNCTION("""COMPUTED_VALUE"""),"")</f>
        <v/>
      </c>
      <c r="L852" s="263" t="str">
        <f>IFERROR(__xludf.DUMMYFUNCTION("""COMPUTED_VALUE"""),"")</f>
        <v/>
      </c>
      <c r="M852" s="263"/>
      <c r="N852" s="263"/>
      <c r="O852" s="263"/>
      <c r="P852" s="263"/>
      <c r="Q852" s="263"/>
      <c r="R852" s="263"/>
      <c r="S852" s="263"/>
      <c r="T852" s="263"/>
      <c r="U852" s="246"/>
      <c r="V852" s="246"/>
      <c r="W852" s="246"/>
      <c r="X852" s="246"/>
      <c r="Y852" s="246"/>
      <c r="Z852" s="246"/>
    </row>
    <row r="853">
      <c r="A853" s="263"/>
      <c r="B853" s="267" t="str">
        <f>IFERROR(__xludf.DUMMYFUNCTION("""COMPUTED_VALUE"""),"Thermal Vision")</f>
        <v>Thermal Vision</v>
      </c>
      <c r="C853" s="263"/>
      <c r="D853" s="263" t="str">
        <f>IFERROR(__xludf.DUMMYFUNCTION("""COMPUTED_VALUE"""),"")</f>
        <v/>
      </c>
      <c r="E853" s="263" t="str">
        <f>IFERROR(__xludf.DUMMYFUNCTION("""COMPUTED_VALUE"""),"")</f>
        <v/>
      </c>
      <c r="F853" s="268" t="str">
        <f>IFERROR(__xludf.DUMMYFUNCTION("""COMPUTED_VALUE"""),"You can perfectly see and detect heat sources up to 120ft away, including stealthed creatures. This cannot detect things hidden by magical means. You can no longer discern a difference in heat once something reaches freezing temperatures.")</f>
        <v>You can perfectly see and detect heat sources up to 120ft away, including stealthed creatures. This cannot detect things hidden by magical means. You can no longer discern a difference in heat once something reaches freezing temperatures.</v>
      </c>
      <c r="G853" s="263" t="str">
        <f>IFERROR(__xludf.DUMMYFUNCTION("""COMPUTED_VALUE"""),"")</f>
        <v/>
      </c>
      <c r="H853" s="267" t="str">
        <f>IFERROR(__xludf.DUMMYFUNCTION("""COMPUTED_VALUE"""),"")</f>
        <v/>
      </c>
      <c r="I853" s="263" t="str">
        <f>IFERROR(__xludf.DUMMYFUNCTION("""COMPUTED_VALUE"""),"")</f>
        <v/>
      </c>
      <c r="J853" s="263" t="str">
        <f>IFERROR(__xludf.DUMMYFUNCTION("""COMPUTED_VALUE"""),"")</f>
        <v/>
      </c>
      <c r="K853" s="263" t="str">
        <f>IFERROR(__xludf.DUMMYFUNCTION("""COMPUTED_VALUE"""),"")</f>
        <v/>
      </c>
      <c r="L853" s="263" t="str">
        <f>IFERROR(__xludf.DUMMYFUNCTION("""COMPUTED_VALUE"""),"")</f>
        <v/>
      </c>
      <c r="M853" s="263"/>
      <c r="N853" s="263"/>
      <c r="O853" s="263"/>
      <c r="P853" s="263"/>
      <c r="Q853" s="263"/>
      <c r="R853" s="263"/>
      <c r="S853" s="263"/>
      <c r="T853" s="263"/>
      <c r="U853" s="246"/>
      <c r="V853" s="246"/>
      <c r="W853" s="246"/>
      <c r="X853" s="246"/>
      <c r="Y853" s="246"/>
      <c r="Z853" s="246"/>
    </row>
    <row r="854">
      <c r="A854" s="263"/>
      <c r="B854" s="267" t="str">
        <f>IFERROR(__xludf.DUMMYFUNCTION("""COMPUTED_VALUE"""),"Thick Skull")</f>
        <v>Thick Skull</v>
      </c>
      <c r="C854" s="263"/>
      <c r="D854" s="263" t="str">
        <f>IFERROR(__xludf.DUMMYFUNCTION("""COMPUTED_VALUE"""),"")</f>
        <v/>
      </c>
      <c r="E854" s="263" t="str">
        <f>IFERROR(__xludf.DUMMYFUNCTION("""COMPUTED_VALUE"""),"")</f>
        <v/>
      </c>
      <c r="F854" s="268" t="str">
        <f>IFERROR(__xludf.DUMMYFUNCTION("""COMPUTED_VALUE"""),"When you would get Dazed, you may make a Save against the effect even if it would normally not allow for one. If you already had to make a save to avoid it, then you don’t get another.")</f>
        <v>When you would get Dazed, you may make a Save against the effect even if it would normally not allow for one. If you already had to make a save to avoid it, then you don’t get another.</v>
      </c>
      <c r="G854" s="263" t="str">
        <f>IFERROR(__xludf.DUMMYFUNCTION("""COMPUTED_VALUE"""),"")</f>
        <v/>
      </c>
      <c r="H854" s="267" t="str">
        <f>IFERROR(__xludf.DUMMYFUNCTION("""COMPUTED_VALUE"""),"")</f>
        <v/>
      </c>
      <c r="I854" s="263" t="str">
        <f>IFERROR(__xludf.DUMMYFUNCTION("""COMPUTED_VALUE"""),"")</f>
        <v/>
      </c>
      <c r="J854" s="263" t="str">
        <f>IFERROR(__xludf.DUMMYFUNCTION("""COMPUTED_VALUE"""),"")</f>
        <v/>
      </c>
      <c r="K854" s="263" t="str">
        <f>IFERROR(__xludf.DUMMYFUNCTION("""COMPUTED_VALUE"""),"")</f>
        <v/>
      </c>
      <c r="L854" s="263" t="str">
        <f>IFERROR(__xludf.DUMMYFUNCTION("""COMPUTED_VALUE"""),"")</f>
        <v/>
      </c>
      <c r="M854" s="263"/>
      <c r="N854" s="263"/>
      <c r="O854" s="263"/>
      <c r="P854" s="263"/>
      <c r="Q854" s="263"/>
      <c r="R854" s="263"/>
      <c r="S854" s="263"/>
      <c r="T854" s="263"/>
      <c r="U854" s="246"/>
      <c r="V854" s="246"/>
      <c r="W854" s="246"/>
      <c r="X854" s="246"/>
      <c r="Y854" s="246"/>
      <c r="Z854" s="246"/>
    </row>
    <row r="855">
      <c r="A855" s="263"/>
      <c r="B855" s="267" t="str">
        <f>IFERROR(__xludf.DUMMYFUNCTION("""COMPUTED_VALUE"""),"This is our moment!")</f>
        <v>This is our moment!</v>
      </c>
      <c r="C855" s="263"/>
      <c r="D855" s="263" t="str">
        <f>IFERROR(__xludf.DUMMYFUNCTION("""COMPUTED_VALUE"""),"Song, Sound, Idol, Upkeep")</f>
        <v>Song, Sound, Idol, Upkeep</v>
      </c>
      <c r="E855" s="263" t="str">
        <f>IFERROR(__xludf.DUMMYFUNCTION("""COMPUTED_VALUE"""),"30ft")</f>
        <v>30ft</v>
      </c>
      <c r="F855" s="268" t="str">
        <f>IFERROR(__xludf.DUMMYFUNCTION("""COMPUTED_VALUE"""),"All allies within range gain a +1 Song bonus to their damage rolls. This bonus is doubled on Heavy attacks.
Upkeep: 1 AP")</f>
        <v>All allies within range gain a +1 Song bonus to their damage rolls. This bonus is doubled on Heavy attacks.
Upkeep: 1 AP</v>
      </c>
      <c r="G855" s="263" t="str">
        <f>IFERROR(__xludf.DUMMYFUNCTION("""COMPUTED_VALUE"""),"")</f>
        <v/>
      </c>
      <c r="H855" s="267" t="str">
        <f>IFERROR(__xludf.DUMMYFUNCTION("""COMPUTED_VALUE"""),"2 AP")</f>
        <v>2 AP</v>
      </c>
      <c r="I855" s="263" t="str">
        <f>IFERROR(__xludf.DUMMYFUNCTION("""COMPUTED_VALUE"""),"2 AP")</f>
        <v>2 AP</v>
      </c>
      <c r="J855" s="263" t="str">
        <f>IFERROR(__xludf.DUMMYFUNCTION("""COMPUTED_VALUE"""),"")</f>
        <v/>
      </c>
      <c r="K855" s="263" t="str">
        <f>IFERROR(__xludf.DUMMYFUNCTION("""COMPUTED_VALUE"""),"")</f>
        <v/>
      </c>
      <c r="L855" s="263" t="str">
        <f>IFERROR(__xludf.DUMMYFUNCTION("""COMPUTED_VALUE"""),"")</f>
        <v/>
      </c>
      <c r="M855" s="263"/>
      <c r="N855" s="263"/>
      <c r="O855" s="263"/>
      <c r="P855" s="263"/>
      <c r="Q855" s="263"/>
      <c r="R855" s="263"/>
      <c r="S855" s="263"/>
      <c r="T855" s="263"/>
      <c r="U855" s="246"/>
      <c r="V855" s="246"/>
      <c r="W855" s="246"/>
      <c r="X855" s="246"/>
      <c r="Y855" s="246"/>
      <c r="Z855" s="246"/>
    </row>
    <row r="856">
      <c r="A856" s="263"/>
      <c r="B856" s="267" t="str">
        <f>IFERROR(__xludf.DUMMYFUNCTION("""COMPUTED_VALUE"""),"Threatening Aura")</f>
        <v>Threatening Aura</v>
      </c>
      <c r="C856" s="263"/>
      <c r="D856" s="263" t="str">
        <f>IFERROR(__xludf.DUMMYFUNCTION("""COMPUTED_VALUE"""),"Challenge")</f>
        <v>Challenge</v>
      </c>
      <c r="E856" s="263" t="str">
        <f>IFERROR(__xludf.DUMMYFUNCTION("""COMPUTED_VALUE"""),"Self")</f>
        <v>Self</v>
      </c>
      <c r="F856" s="268" t="str">
        <f>IFERROR(__xludf.DUMMYFUNCTION("""COMPUTED_VALUE"""),"Until the start of your next turn, all enemies in your melee range are considered Challenged by you.")</f>
        <v>Until the start of your next turn, all enemies in your melee range are considered Challenged by you.</v>
      </c>
      <c r="G856" s="263" t="str">
        <f>IFERROR(__xludf.DUMMYFUNCTION("""COMPUTED_VALUE"""),"")</f>
        <v/>
      </c>
      <c r="H856" s="267" t="str">
        <f>IFERROR(__xludf.DUMMYFUNCTION("""COMPUTED_VALUE"""),"2 AP")</f>
        <v>2 AP</v>
      </c>
      <c r="I856" s="263" t="str">
        <f>IFERROR(__xludf.DUMMYFUNCTION("""COMPUTED_VALUE"""),"2 AP")</f>
        <v>2 AP</v>
      </c>
      <c r="J856" s="263" t="str">
        <f>IFERROR(__xludf.DUMMYFUNCTION("""COMPUTED_VALUE"""),"")</f>
        <v/>
      </c>
      <c r="K856" s="263" t="str">
        <f>IFERROR(__xludf.DUMMYFUNCTION("""COMPUTED_VALUE"""),"")</f>
        <v/>
      </c>
      <c r="L856" s="263" t="str">
        <f>IFERROR(__xludf.DUMMYFUNCTION("""COMPUTED_VALUE"""),"")</f>
        <v/>
      </c>
      <c r="M856" s="263"/>
      <c r="N856" s="263"/>
      <c r="O856" s="263"/>
      <c r="P856" s="263"/>
      <c r="Q856" s="263"/>
      <c r="R856" s="263"/>
      <c r="S856" s="263"/>
      <c r="T856" s="263"/>
      <c r="U856" s="246"/>
      <c r="V856" s="246"/>
      <c r="W856" s="246"/>
      <c r="X856" s="246"/>
      <c r="Y856" s="246"/>
      <c r="Z856" s="246"/>
    </row>
    <row r="857">
      <c r="A857" s="263"/>
      <c r="B857" s="267" t="str">
        <f>IFERROR(__xludf.DUMMYFUNCTION("""COMPUTED_VALUE"""),"Throw Potion")</f>
        <v>Throw Potion</v>
      </c>
      <c r="C857" s="263"/>
      <c r="D857" s="263" t="str">
        <f>IFERROR(__xludf.DUMMYFUNCTION("""COMPUTED_VALUE"""),"")</f>
        <v/>
      </c>
      <c r="E857" s="263" t="str">
        <f>IFERROR(__xludf.DUMMYFUNCTION("""COMPUTED_VALUE"""),"30ft")</f>
        <v>30ft</v>
      </c>
      <c r="F857" s="268" t="str">
        <f>IFERROR(__xludf.DUMMYFUNCTION("""COMPUTED_VALUE"""),"You throw a Potion in your hands at a willing ally unit within range. The unit may pay the mana cost (if any) to receive the effect of the Potion.")</f>
        <v>You throw a Potion in your hands at a willing ally unit within range. The unit may pay the mana cost (if any) to receive the effect of the Potion.</v>
      </c>
      <c r="G857" s="263" t="str">
        <f>IFERROR(__xludf.DUMMYFUNCTION("""COMPUTED_VALUE"""),"")</f>
        <v/>
      </c>
      <c r="H857" s="267" t="str">
        <f>IFERROR(__xludf.DUMMYFUNCTION("""COMPUTED_VALUE"""),"1 AP")</f>
        <v>1 AP</v>
      </c>
      <c r="I857" s="263" t="str">
        <f>IFERROR(__xludf.DUMMYFUNCTION("""COMPUTED_VALUE"""),"1 AP")</f>
        <v>1 AP</v>
      </c>
      <c r="J857" s="263" t="str">
        <f>IFERROR(__xludf.DUMMYFUNCTION("""COMPUTED_VALUE"""),"")</f>
        <v/>
      </c>
      <c r="K857" s="263" t="str">
        <f>IFERROR(__xludf.DUMMYFUNCTION("""COMPUTED_VALUE"""),"")</f>
        <v/>
      </c>
      <c r="L857" s="263" t="str">
        <f>IFERROR(__xludf.DUMMYFUNCTION("""COMPUTED_VALUE"""),"")</f>
        <v/>
      </c>
      <c r="M857" s="263"/>
      <c r="N857" s="263"/>
      <c r="O857" s="263"/>
      <c r="P857" s="263"/>
      <c r="Q857" s="263"/>
      <c r="R857" s="263"/>
      <c r="S857" s="263"/>
      <c r="T857" s="263"/>
      <c r="U857" s="246"/>
      <c r="V857" s="246"/>
      <c r="W857" s="246"/>
      <c r="X857" s="246"/>
      <c r="Y857" s="246"/>
      <c r="Z857" s="246"/>
    </row>
    <row r="858">
      <c r="A858" s="263"/>
      <c r="B858" s="267" t="str">
        <f>IFERROR(__xludf.DUMMYFUNCTION("""COMPUTED_VALUE"""),"Thunderstorm")</f>
        <v>Thunderstorm</v>
      </c>
      <c r="C858" s="263"/>
      <c r="D858" s="263" t="str">
        <f>IFERROR(__xludf.DUMMYFUNCTION("""COMPUTED_VALUE"""),"Lightning, Spell, Scatter")</f>
        <v>Lightning, Spell, Scatter</v>
      </c>
      <c r="E858" s="263" t="str">
        <f>IFERROR(__xludf.DUMMYFUNCTION("""COMPUTED_VALUE"""),"40ft")</f>
        <v>40ft</v>
      </c>
      <c r="F858" s="268" t="str">
        <f>IFERROR(__xludf.DUMMYFUNCTION("""COMPUTED_VALUE"""),"You may make a Light Attack that deals Lightning damage against all target enemies in range. As the attack comes from the sky, any cover is calculated from above the target rather than from your path to the target.")</f>
        <v>You may make a Light Attack that deals Lightning damage against all target enemies in range. As the attack comes from the sky, any cover is calculated from above the target rather than from your path to the target.</v>
      </c>
      <c r="G858" s="263" t="str">
        <f>IFERROR(__xludf.DUMMYFUNCTION("""COMPUTED_VALUE"""),"")</f>
        <v/>
      </c>
      <c r="H858" s="267" t="str">
        <f>IFERROR(__xludf.DUMMYFUNCTION("""COMPUTED_VALUE"""),"3 AP")</f>
        <v>3 AP</v>
      </c>
      <c r="I858" s="263" t="str">
        <f>IFERROR(__xludf.DUMMYFUNCTION("""COMPUTED_VALUE"""),"3 AP")</f>
        <v>3 AP</v>
      </c>
      <c r="J858" s="263" t="str">
        <f>IFERROR(__xludf.DUMMYFUNCTION("""COMPUTED_VALUE"""),"")</f>
        <v/>
      </c>
      <c r="K858" s="263" t="str">
        <f>IFERROR(__xludf.DUMMYFUNCTION("""COMPUTED_VALUE"""),"")</f>
        <v/>
      </c>
      <c r="L858" s="263" t="str">
        <f>IFERROR(__xludf.DUMMYFUNCTION("""COMPUTED_VALUE"""),"")</f>
        <v/>
      </c>
      <c r="M858" s="263"/>
      <c r="N858" s="263"/>
      <c r="O858" s="263"/>
      <c r="P858" s="263"/>
      <c r="Q858" s="263"/>
      <c r="R858" s="263"/>
      <c r="S858" s="263"/>
      <c r="T858" s="263"/>
      <c r="U858" s="246"/>
      <c r="V858" s="246"/>
      <c r="W858" s="246"/>
      <c r="X858" s="246"/>
      <c r="Y858" s="246"/>
      <c r="Z858" s="246"/>
    </row>
    <row r="859">
      <c r="A859" s="263"/>
      <c r="B859" s="267" t="str">
        <f>IFERROR(__xludf.DUMMYFUNCTION("""COMPUTED_VALUE"""),"Timberwright's Core Crafting")</f>
        <v>Timberwright's Core Crafting</v>
      </c>
      <c r="C859" s="263"/>
      <c r="D859" s="263" t="str">
        <f>IFERROR(__xludf.DUMMYFUNCTION("""COMPUTED_VALUE"""),"")</f>
        <v/>
      </c>
      <c r="E859" s="263" t="str">
        <f>IFERROR(__xludf.DUMMYFUNCTION("""COMPUTED_VALUE"""),"")</f>
        <v/>
      </c>
      <c r="F859" s="268" t="str">
        <f>IFERROR(__xludf.DUMMYFUNCTION("""COMPUTED_VALUE"""),"Carpenter's Modification B
Cost: X Crafting Points
Description:
You add an B-Type modification to the weapon or tool. See the Universal Weapon page as well as the individual weapon page for details. Each modification has its own cost.")</f>
        <v>Carpenter's Modification B
Cost: X Crafting Points
Description:
You add an B-Type modification to the weapon or tool. See the Universal Weapon page as well as the individual weapon page for details. Each modification has its own cost.</v>
      </c>
      <c r="G859" s="263" t="str">
        <f>IFERROR(__xludf.DUMMYFUNCTION("""COMPUTED_VALUE"""),"")</f>
        <v/>
      </c>
      <c r="H859" s="267" t="str">
        <f>IFERROR(__xludf.DUMMYFUNCTION("""COMPUTED_VALUE"""),"")</f>
        <v/>
      </c>
      <c r="I859" s="263" t="str">
        <f>IFERROR(__xludf.DUMMYFUNCTION("""COMPUTED_VALUE"""),"")</f>
        <v/>
      </c>
      <c r="J859" s="263" t="str">
        <f>IFERROR(__xludf.DUMMYFUNCTION("""COMPUTED_VALUE"""),"")</f>
        <v/>
      </c>
      <c r="K859" s="263" t="str">
        <f>IFERROR(__xludf.DUMMYFUNCTION("""COMPUTED_VALUE"""),"")</f>
        <v/>
      </c>
      <c r="L859" s="263" t="str">
        <f>IFERROR(__xludf.DUMMYFUNCTION("""COMPUTED_VALUE"""),"")</f>
        <v/>
      </c>
      <c r="M859" s="263"/>
      <c r="N859" s="263"/>
      <c r="O859" s="263"/>
      <c r="P859" s="263"/>
      <c r="Q859" s="263"/>
      <c r="R859" s="263"/>
      <c r="S859" s="263"/>
      <c r="T859" s="263"/>
      <c r="U859" s="246"/>
      <c r="V859" s="246"/>
      <c r="W859" s="246"/>
      <c r="X859" s="246"/>
      <c r="Y859" s="246"/>
      <c r="Z859" s="246"/>
    </row>
    <row r="860">
      <c r="A860" s="263"/>
      <c r="B860" s="267" t="str">
        <f>IFERROR(__xludf.DUMMYFUNCTION("""COMPUTED_VALUE"""),"Tiny Pixie")</f>
        <v>Tiny Pixie</v>
      </c>
      <c r="C860" s="263"/>
      <c r="D860" s="263" t="str">
        <f>IFERROR(__xludf.DUMMYFUNCTION("""COMPUTED_VALUE"""),"")</f>
        <v/>
      </c>
      <c r="E860" s="263" t="str">
        <f>IFERROR(__xludf.DUMMYFUNCTION("""COMPUTED_VALUE"""),"")</f>
        <v/>
      </c>
      <c r="F860" s="268" t="str">
        <f>IFERROR(__xludf.DUMMYFUNCTION("""COMPUTED_VALUE"""),"Your size is tiny and you are able to occupy the same square as an ally or enemy. Your Toughness is reduced by 2 and your Agility is increased by 2.
When walking (and not hovering or flying), your movement speed is reduced to 5ft.")</f>
        <v>Your size is tiny and you are able to occupy the same square as an ally or enemy. Your Toughness is reduced by 2 and your Agility is increased by 2.
When walking (and not hovering or flying), your movement speed is reduced to 5ft.</v>
      </c>
      <c r="G860" s="263" t="str">
        <f>IFERROR(__xludf.DUMMYFUNCTION("""COMPUTED_VALUE"""),"")</f>
        <v/>
      </c>
      <c r="H860" s="267" t="str">
        <f>IFERROR(__xludf.DUMMYFUNCTION("""COMPUTED_VALUE"""),"")</f>
        <v/>
      </c>
      <c r="I860" s="263" t="str">
        <f>IFERROR(__xludf.DUMMYFUNCTION("""COMPUTED_VALUE"""),"")</f>
        <v/>
      </c>
      <c r="J860" s="263" t="str">
        <f>IFERROR(__xludf.DUMMYFUNCTION("""COMPUTED_VALUE"""),"")</f>
        <v/>
      </c>
      <c r="K860" s="263" t="str">
        <f>IFERROR(__xludf.DUMMYFUNCTION("""COMPUTED_VALUE"""),"")</f>
        <v/>
      </c>
      <c r="L860" s="263" t="str">
        <f>IFERROR(__xludf.DUMMYFUNCTION("""COMPUTED_VALUE"""),"")</f>
        <v/>
      </c>
      <c r="M860" s="263"/>
      <c r="N860" s="263"/>
      <c r="O860" s="263"/>
      <c r="P860" s="263"/>
      <c r="Q860" s="263"/>
      <c r="R860" s="263"/>
      <c r="S860" s="263"/>
      <c r="T860" s="263"/>
      <c r="U860" s="246"/>
      <c r="V860" s="246"/>
      <c r="W860" s="246"/>
      <c r="X860" s="246"/>
      <c r="Y860" s="246"/>
      <c r="Z860" s="246"/>
    </row>
    <row r="861">
      <c r="A861" s="263"/>
      <c r="B861" s="267" t="str">
        <f>IFERROR(__xludf.DUMMYFUNCTION("""COMPUTED_VALUE"""),"Tireless Undead")</f>
        <v>Tireless Undead</v>
      </c>
      <c r="C861" s="263"/>
      <c r="D861" s="263" t="str">
        <f>IFERROR(__xludf.DUMMYFUNCTION("""COMPUTED_VALUE"""),"")</f>
        <v/>
      </c>
      <c r="E861" s="263" t="str">
        <f>IFERROR(__xludf.DUMMYFUNCTION("""COMPUTED_VALUE"""),"")</f>
        <v/>
      </c>
      <c r="F861" s="268" t="str">
        <f>IFERROR(__xludf.DUMMYFUNCTION("""COMPUTED_VALUE"""),"Jiangshi do not know pain or fatigue, making them terrifying warriors. You are always counted as rested despite the most inhospitable conditions. You also do not need to sleep.")</f>
        <v>Jiangshi do not know pain or fatigue, making them terrifying warriors. You are always counted as rested despite the most inhospitable conditions. You also do not need to sleep.</v>
      </c>
      <c r="G861" s="263" t="str">
        <f>IFERROR(__xludf.DUMMYFUNCTION("""COMPUTED_VALUE"""),"")</f>
        <v/>
      </c>
      <c r="H861" s="267" t="str">
        <f>IFERROR(__xludf.DUMMYFUNCTION("""COMPUTED_VALUE"""),"")</f>
        <v/>
      </c>
      <c r="I861" s="263" t="str">
        <f>IFERROR(__xludf.DUMMYFUNCTION("""COMPUTED_VALUE"""),"")</f>
        <v/>
      </c>
      <c r="J861" s="263" t="str">
        <f>IFERROR(__xludf.DUMMYFUNCTION("""COMPUTED_VALUE"""),"")</f>
        <v/>
      </c>
      <c r="K861" s="263" t="str">
        <f>IFERROR(__xludf.DUMMYFUNCTION("""COMPUTED_VALUE"""),"")</f>
        <v/>
      </c>
      <c r="L861" s="263" t="str">
        <f>IFERROR(__xludf.DUMMYFUNCTION("""COMPUTED_VALUE"""),"")</f>
        <v/>
      </c>
      <c r="M861" s="263"/>
      <c r="N861" s="263"/>
      <c r="O861" s="263"/>
      <c r="P861" s="263"/>
      <c r="Q861" s="263"/>
      <c r="R861" s="263"/>
      <c r="S861" s="263"/>
      <c r="T861" s="263"/>
      <c r="U861" s="246"/>
      <c r="V861" s="246"/>
      <c r="W861" s="246"/>
      <c r="X861" s="246"/>
      <c r="Y861" s="246"/>
      <c r="Z861" s="246"/>
    </row>
    <row r="862">
      <c r="A862" s="263"/>
      <c r="B862" s="267" t="str">
        <f>IFERROR(__xludf.DUMMYFUNCTION("""COMPUTED_VALUE"""),"Torture Techniques")</f>
        <v>Torture Techniques</v>
      </c>
      <c r="C862" s="263"/>
      <c r="D862" s="263" t="str">
        <f>IFERROR(__xludf.DUMMYFUNCTION("""COMPUTED_VALUE"""),"Slow, Unbalanced, Bleeding")</f>
        <v>Slow, Unbalanced, Bleeding</v>
      </c>
      <c r="E862" s="263" t="str">
        <f>IFERROR(__xludf.DUMMYFUNCTION("""COMPUTED_VALUE"""),"Melee Weapon Range")</f>
        <v>Melee Weapon Range</v>
      </c>
      <c r="F862" s="268" t="str">
        <f>IFERROR(__xludf.DUMMYFUNCTION("""COMPUTED_VALUE"""),"You twist the knife and inflict a debilitating wound on the enemy. You inflict one of the following conditions: Slowed, Unbalanced or Bleeding. These last until the end of the target’s next turn.")</f>
        <v>You twist the knife and inflict a debilitating wound on the enemy. You inflict one of the following conditions: Slowed, Unbalanced or Bleeding. These last until the end of the target’s next turn.</v>
      </c>
      <c r="G862" s="263" t="str">
        <f>IFERROR(__xludf.DUMMYFUNCTION("""COMPUTED_VALUE"""),"You landed a crit on the enemy (and it wasn't blocked or dodged).")</f>
        <v>You landed a crit on the enemy (and it wasn't blocked or dodged).</v>
      </c>
      <c r="H862" s="267" t="str">
        <f>IFERROR(__xludf.DUMMYFUNCTION("""COMPUTED_VALUE"""),"0 RP")</f>
        <v>0 RP</v>
      </c>
      <c r="I862" s="263" t="str">
        <f>IFERROR(__xludf.DUMMYFUNCTION("""COMPUTED_VALUE"""),"")</f>
        <v/>
      </c>
      <c r="J862" s="263" t="str">
        <f>IFERROR(__xludf.DUMMYFUNCTION("""COMPUTED_VALUE"""),"")</f>
        <v/>
      </c>
      <c r="K862" s="263" t="str">
        <f>IFERROR(__xludf.DUMMYFUNCTION("""COMPUTED_VALUE"""),"0 RP")</f>
        <v>0 RP</v>
      </c>
      <c r="L862" s="263" t="str">
        <f>IFERROR(__xludf.DUMMYFUNCTION("""COMPUTED_VALUE"""),"")</f>
        <v/>
      </c>
      <c r="M862" s="263"/>
      <c r="N862" s="263"/>
      <c r="O862" s="263"/>
      <c r="P862" s="263"/>
      <c r="Q862" s="263"/>
      <c r="R862" s="263"/>
      <c r="S862" s="263"/>
      <c r="T862" s="263"/>
      <c r="U862" s="246"/>
      <c r="V862" s="246"/>
      <c r="W862" s="246"/>
      <c r="X862" s="246"/>
      <c r="Y862" s="246"/>
      <c r="Z862" s="246"/>
    </row>
    <row r="863">
      <c r="A863" s="263"/>
      <c r="B863" s="267" t="str">
        <f>IFERROR(__xludf.DUMMYFUNCTION("""COMPUTED_VALUE"""),"Toxic Blast")</f>
        <v>Toxic Blast</v>
      </c>
      <c r="C863" s="263"/>
      <c r="D863" s="263" t="str">
        <f>IFERROR(__xludf.DUMMYFUNCTION("""COMPUTED_VALUE"""),"Safe, Poison, Toxic")</f>
        <v>Safe, Poison, Toxic</v>
      </c>
      <c r="E863" s="263" t="str">
        <f>IFERROR(__xludf.DUMMYFUNCTION("""COMPUTED_VALUE"""),"40ft")</f>
        <v>40ft</v>
      </c>
      <c r="F863" s="268" t="str">
        <f>IFERROR(__xludf.DUMMYFUNCTION("""COMPUTED_VALUE"""),"You fire a stream of poison and make a Light attack against the target. On hit, this deals no damage but inflicts the enemy with Toxic, making them take 1d6 full pierce Poison damage at the start of their turn until they spend 2 AP to remove the poison ef"&amp;"fect.")</f>
        <v>You fire a stream of poison and make a Light attack against the target. On hit, this deals no damage but inflicts the enemy with Toxic, making them take 1d6 full pierce Poison damage at the start of their turn until they spend 2 AP to remove the poison effect.</v>
      </c>
      <c r="G863" s="263" t="str">
        <f>IFERROR(__xludf.DUMMYFUNCTION("""COMPUTED_VALUE"""),"")</f>
        <v/>
      </c>
      <c r="H863" s="267" t="str">
        <f>IFERROR(__xludf.DUMMYFUNCTION("""COMPUTED_VALUE"""),"1 AP")</f>
        <v>1 AP</v>
      </c>
      <c r="I863" s="263" t="str">
        <f>IFERROR(__xludf.DUMMYFUNCTION("""COMPUTED_VALUE"""),"1 AP")</f>
        <v>1 AP</v>
      </c>
      <c r="J863" s="263" t="str">
        <f>IFERROR(__xludf.DUMMYFUNCTION("""COMPUTED_VALUE"""),"")</f>
        <v/>
      </c>
      <c r="K863" s="263" t="str">
        <f>IFERROR(__xludf.DUMMYFUNCTION("""COMPUTED_VALUE"""),"")</f>
        <v/>
      </c>
      <c r="L863" s="263" t="str">
        <f>IFERROR(__xludf.DUMMYFUNCTION("""COMPUTED_VALUE"""),"")</f>
        <v/>
      </c>
      <c r="M863" s="263"/>
      <c r="N863" s="263"/>
      <c r="O863" s="263"/>
      <c r="P863" s="263"/>
      <c r="Q863" s="263"/>
      <c r="R863" s="263"/>
      <c r="S863" s="263"/>
      <c r="T863" s="263"/>
      <c r="U863" s="246"/>
      <c r="V863" s="246"/>
      <c r="W863" s="246"/>
      <c r="X863" s="246"/>
      <c r="Y863" s="246"/>
      <c r="Z863" s="246"/>
    </row>
    <row r="864">
      <c r="A864" s="263"/>
      <c r="B864" s="267" t="str">
        <f>IFERROR(__xludf.DUMMYFUNCTION("""COMPUTED_VALUE"""),"Track")</f>
        <v>Track</v>
      </c>
      <c r="C864" s="263"/>
      <c r="D864" s="263" t="str">
        <f>IFERROR(__xludf.DUMMYFUNCTION("""COMPUTED_VALUE"""),"")</f>
        <v/>
      </c>
      <c r="E864" s="263" t="str">
        <f>IFERROR(__xludf.DUMMYFUNCTION("""COMPUTED_VALUE"""),"Self")</f>
        <v>Self</v>
      </c>
      <c r="F864" s="268" t="str">
        <f>IFERROR(__xludf.DUMMYFUNCTION("""COMPUTED_VALUE"""),"You find any tracks that aren’t hidden. Once you find tracks, you can follow them at normal speed without having to make checks.")</f>
        <v>You find any tracks that aren’t hidden. Once you find tracks, you can follow them at normal speed without having to make checks.</v>
      </c>
      <c r="G864" s="263" t="str">
        <f>IFERROR(__xludf.DUMMYFUNCTION("""COMPUTED_VALUE"""),"")</f>
        <v/>
      </c>
      <c r="H864" s="267" t="str">
        <f>IFERROR(__xludf.DUMMYFUNCTION("""COMPUTED_VALUE"""),"1 AP")</f>
        <v>1 AP</v>
      </c>
      <c r="I864" s="263" t="str">
        <f>IFERROR(__xludf.DUMMYFUNCTION("""COMPUTED_VALUE"""),"1 AP")</f>
        <v>1 AP</v>
      </c>
      <c r="J864" s="263" t="str">
        <f>IFERROR(__xludf.DUMMYFUNCTION("""COMPUTED_VALUE"""),"")</f>
        <v/>
      </c>
      <c r="K864" s="263" t="str">
        <f>IFERROR(__xludf.DUMMYFUNCTION("""COMPUTED_VALUE"""),"")</f>
        <v/>
      </c>
      <c r="L864" s="263" t="str">
        <f>IFERROR(__xludf.DUMMYFUNCTION("""COMPUTED_VALUE"""),"")</f>
        <v/>
      </c>
      <c r="M864" s="263"/>
      <c r="N864" s="263"/>
      <c r="O864" s="263"/>
      <c r="P864" s="263"/>
      <c r="Q864" s="263"/>
      <c r="R864" s="263"/>
      <c r="S864" s="263"/>
      <c r="T864" s="263"/>
      <c r="U864" s="246"/>
      <c r="V864" s="246"/>
      <c r="W864" s="246"/>
      <c r="X864" s="246"/>
      <c r="Y864" s="246"/>
      <c r="Z864" s="246"/>
    </row>
    <row r="865">
      <c r="A865" s="263"/>
      <c r="B865" s="267" t="str">
        <f>IFERROR(__xludf.DUMMYFUNCTION("""COMPUTED_VALUE"""),"Trail Mix")</f>
        <v>Trail Mix</v>
      </c>
      <c r="C865" s="263"/>
      <c r="D865" s="263" t="str">
        <f>IFERROR(__xludf.DUMMYFUNCTION("""COMPUTED_VALUE"""),"")</f>
        <v/>
      </c>
      <c r="E865" s="263" t="str">
        <f>IFERROR(__xludf.DUMMYFUNCTION("""COMPUTED_VALUE"""),"")</f>
        <v/>
      </c>
      <c r="F865" s="268" t="str">
        <f>IFERROR(__xludf.DUMMYFUNCTION("""COMPUTED_VALUE"""),"For a camp action you create up to 5 servings of a trail meal.  It costs 20u of food per serving and only gives 1 mana (0 for Mirane), but it keeps starvation away.  Does not require a culinary kit, and does not count as cooking for the purposes of culina"&amp;"ry actions such as using stocks.")</f>
        <v>For a camp action you create up to 5 servings of a trail meal.  It costs 20u of food per serving and only gives 1 mana (0 for Mirane), but it keeps starvation away.  Does not require a culinary kit, and does not count as cooking for the purposes of culinary actions such as using stocks.</v>
      </c>
      <c r="G865" s="263" t="str">
        <f>IFERROR(__xludf.DUMMYFUNCTION("""COMPUTED_VALUE"""),"20u of Food Per Serving")</f>
        <v>20u of Food Per Serving</v>
      </c>
      <c r="H865" s="267" t="str">
        <f>IFERROR(__xludf.DUMMYFUNCTION("""COMPUTED_VALUE"""),"Rest Action")</f>
        <v>Rest Action</v>
      </c>
      <c r="I865" s="263" t="str">
        <f>IFERROR(__xludf.DUMMYFUNCTION("""COMPUTED_VALUE"""),"")</f>
        <v/>
      </c>
      <c r="J865" s="263" t="str">
        <f>IFERROR(__xludf.DUMMYFUNCTION("""COMPUTED_VALUE"""),"")</f>
        <v/>
      </c>
      <c r="K865" s="263" t="str">
        <f>IFERROR(__xludf.DUMMYFUNCTION("""COMPUTED_VALUE"""),"")</f>
        <v/>
      </c>
      <c r="L865" s="263" t="str">
        <f>IFERROR(__xludf.DUMMYFUNCTION("""COMPUTED_VALUE"""),"")</f>
        <v/>
      </c>
      <c r="M865" s="263"/>
      <c r="N865" s="263"/>
      <c r="O865" s="263"/>
      <c r="P865" s="263"/>
      <c r="Q865" s="263"/>
      <c r="R865" s="263"/>
      <c r="S865" s="263"/>
      <c r="T865" s="263"/>
      <c r="U865" s="246"/>
      <c r="V865" s="246"/>
      <c r="W865" s="246"/>
      <c r="X865" s="246"/>
      <c r="Y865" s="246"/>
      <c r="Z865" s="246"/>
    </row>
    <row r="866">
      <c r="A866" s="263"/>
      <c r="B866" s="267" t="str">
        <f>IFERROR(__xludf.DUMMYFUNCTION("""COMPUTED_VALUE"""),"Trailblazer")</f>
        <v>Trailblazer</v>
      </c>
      <c r="C866" s="263"/>
      <c r="D866" s="263" t="str">
        <f>IFERROR(__xludf.DUMMYFUNCTION("""COMPUTED_VALUE"""),"")</f>
        <v/>
      </c>
      <c r="E866" s="263" t="str">
        <f>IFERROR(__xludf.DUMMYFUNCTION("""COMPUTED_VALUE"""),"Self")</f>
        <v>Self</v>
      </c>
      <c r="F866" s="268" t="str">
        <f>IFERROR(__xludf.DUMMYFUNCTION("""COMPUTED_VALUE"""),"You move up to your speed. Any allies within 30ft of where you started moving may spend 1 RP to move up to twice their speed towards you. They ignore the effects of natural difficult terrain for this movement.")</f>
        <v>You move up to your speed. Any allies within 30ft of where you started moving may spend 1 RP to move up to twice their speed towards you. They ignore the effects of natural difficult terrain for this movement.</v>
      </c>
      <c r="G866" s="263" t="str">
        <f>IFERROR(__xludf.DUMMYFUNCTION("""COMPUTED_VALUE"""),"Must be mounted and meet the requirements of your Light Cavalry key ability.")</f>
        <v>Must be mounted and meet the requirements of your Light Cavalry key ability.</v>
      </c>
      <c r="H866" s="267" t="str">
        <f>IFERROR(__xludf.DUMMYFUNCTION("""COMPUTED_VALUE"""),"1 AP")</f>
        <v>1 AP</v>
      </c>
      <c r="I866" s="263" t="str">
        <f>IFERROR(__xludf.DUMMYFUNCTION("""COMPUTED_VALUE"""),"1 AP")</f>
        <v>1 AP</v>
      </c>
      <c r="J866" s="263" t="str">
        <f>IFERROR(__xludf.DUMMYFUNCTION("""COMPUTED_VALUE"""),"")</f>
        <v/>
      </c>
      <c r="K866" s="263" t="str">
        <f>IFERROR(__xludf.DUMMYFUNCTION("""COMPUTED_VALUE"""),"")</f>
        <v/>
      </c>
      <c r="L866" s="263" t="str">
        <f>IFERROR(__xludf.DUMMYFUNCTION("""COMPUTED_VALUE"""),"")</f>
        <v/>
      </c>
      <c r="M866" s="263"/>
      <c r="N866" s="263"/>
      <c r="O866" s="263"/>
      <c r="P866" s="263"/>
      <c r="Q866" s="263"/>
      <c r="R866" s="263"/>
      <c r="S866" s="263"/>
      <c r="T866" s="263"/>
      <c r="U866" s="246"/>
      <c r="V866" s="246"/>
      <c r="W866" s="246"/>
      <c r="X866" s="246"/>
      <c r="Y866" s="246"/>
      <c r="Z866" s="246"/>
    </row>
    <row r="867">
      <c r="A867" s="263"/>
      <c r="B867" s="267" t="str">
        <f>IFERROR(__xludf.DUMMYFUNCTION("""COMPUTED_VALUE"""),"Trample")</f>
        <v>Trample</v>
      </c>
      <c r="C867" s="263"/>
      <c r="D867" s="263" t="str">
        <f>IFERROR(__xludf.DUMMYFUNCTION("""COMPUTED_VALUE"""),"Sure Hit")</f>
        <v>Sure Hit</v>
      </c>
      <c r="E867" s="263" t="str">
        <f>IFERROR(__xludf.DUMMYFUNCTION("""COMPUTED_VALUE"""),"Self")</f>
        <v>Self</v>
      </c>
      <c r="F867" s="268" t="str">
        <f>IFERROR(__xludf.DUMMYFUNCTION("""COMPUTED_VALUE"""),"You may activate this after moving at least 20ft in a movement action to gain Trample until you stop moving. Abilities with the Teleport keyword do not apply for this, but declaring multiple AP to move at the same time counts as 1 action. While under the "&amp;"effects of trample, you don't provoke attacks of opportunity by moving and you can move into enemies that are at least one size smaller than your mount. An enemy may spend 1 RP to move out of the way to an empty spot within 5ft of them.
If they don’t move"&amp;" out of the way, you make a Sure Hit Light attack against them with your mount, using your mount’s stats. On damage, you knock them prone into the square you came from and keep moving, occupying the square they were in. Otherwise your movement action ends"&amp;".
Each enemy can only be affected by trample once per activation of the ability, regardless of whether they are attacked or move out of it.")</f>
        <v>You may activate this after moving at least 20ft in a movement action to gain Trample until you stop moving. Abilities with the Teleport keyword do not apply for this, but declaring multiple AP to move at the same time counts as 1 action. While under the effects of trample, you don't provoke attacks of opportunity by moving and you can move into enemies that are at least one size smaller than your mount. An enemy may spend 1 RP to move out of the way to an empty spot within 5ft of them.
If they don’t move out of the way, you make a Sure Hit Light attack against them with your mount, using your mount’s stats. On damage, you knock them prone into the square you came from and keep moving, occupying the square they were in. Otherwise your movement action ends.
Each enemy can only be affected by trample once per activation of the ability, regardless of whether they are attacked or move out of it.</v>
      </c>
      <c r="G867" s="263" t="str">
        <f>IFERROR(__xludf.DUMMYFUNCTION("""COMPUTED_VALUE"""),"Must be mounted.")</f>
        <v>Must be mounted.</v>
      </c>
      <c r="H867" s="267" t="str">
        <f>IFERROR(__xludf.DUMMYFUNCTION("""COMPUTED_VALUE"""),"0 RP")</f>
        <v>0 RP</v>
      </c>
      <c r="I867" s="263" t="str">
        <f>IFERROR(__xludf.DUMMYFUNCTION("""COMPUTED_VALUE"""),"")</f>
        <v/>
      </c>
      <c r="J867" s="263" t="str">
        <f>IFERROR(__xludf.DUMMYFUNCTION("""COMPUTED_VALUE"""),"")</f>
        <v/>
      </c>
      <c r="K867" s="263" t="str">
        <f>IFERROR(__xludf.DUMMYFUNCTION("""COMPUTED_VALUE"""),"0 RP")</f>
        <v>0 RP</v>
      </c>
      <c r="L867" s="263" t="str">
        <f>IFERROR(__xludf.DUMMYFUNCTION("""COMPUTED_VALUE"""),"")</f>
        <v/>
      </c>
      <c r="M867" s="263"/>
      <c r="N867" s="263"/>
      <c r="O867" s="263"/>
      <c r="P867" s="263"/>
      <c r="Q867" s="263"/>
      <c r="R867" s="263"/>
      <c r="S867" s="263"/>
      <c r="T867" s="263"/>
      <c r="U867" s="246"/>
      <c r="V867" s="246"/>
      <c r="W867" s="246"/>
      <c r="X867" s="246"/>
      <c r="Y867" s="246"/>
      <c r="Z867" s="246"/>
    </row>
    <row r="868">
      <c r="A868" s="263"/>
      <c r="B868" s="267" t="str">
        <f>IFERROR(__xludf.DUMMYFUNCTION("""COMPUTED_VALUE"""),"Transfusion")</f>
        <v>Transfusion</v>
      </c>
      <c r="C868" s="263"/>
      <c r="D868" s="263" t="str">
        <f>IFERROR(__xludf.DUMMYFUNCTION("""COMPUTED_VALUE"""),"Healing, Aid")</f>
        <v>Healing, Aid</v>
      </c>
      <c r="E868" s="263" t="str">
        <f>IFERROR(__xludf.DUMMYFUNCTION("""COMPUTED_VALUE"""),"40ft")</f>
        <v>40ft</v>
      </c>
      <c r="F868" s="268" t="str">
        <f>IFERROR(__xludf.DUMMYFUNCTION("""COMPUTED_VALUE"""),"You lose HP up to your Toughness x 2. Target ally within range heals for the same amount of HP you lost.
This HP loss cannot be mitigated in any way and ignores temporary HP. This does not trigger effects that would trigger upon taking damage.")</f>
        <v>You lose HP up to your Toughness x 2. Target ally within range heals for the same amount of HP you lost.
This HP loss cannot be mitigated in any way and ignores temporary HP. This does not trigger effects that would trigger upon taking damage.</v>
      </c>
      <c r="G868" s="263" t="str">
        <f>IFERROR(__xludf.DUMMYFUNCTION("""COMPUTED_VALUE"""),"")</f>
        <v/>
      </c>
      <c r="H868" s="267" t="str">
        <f>IFERROR(__xludf.DUMMYFUNCTION("""COMPUTED_VALUE"""),"0 AP")</f>
        <v>0 AP</v>
      </c>
      <c r="I868" s="263" t="str">
        <f>IFERROR(__xludf.DUMMYFUNCTION("""COMPUTED_VALUE"""),"0 AP")</f>
        <v>0 AP</v>
      </c>
      <c r="J868" s="263" t="str">
        <f>IFERROR(__xludf.DUMMYFUNCTION("""COMPUTED_VALUE"""),"")</f>
        <v/>
      </c>
      <c r="K868" s="263" t="str">
        <f>IFERROR(__xludf.DUMMYFUNCTION("""COMPUTED_VALUE"""),"")</f>
        <v/>
      </c>
      <c r="L868" s="263" t="str">
        <f>IFERROR(__xludf.DUMMYFUNCTION("""COMPUTED_VALUE"""),"")</f>
        <v/>
      </c>
      <c r="M868" s="263"/>
      <c r="N868" s="263"/>
      <c r="O868" s="263"/>
      <c r="P868" s="263"/>
      <c r="Q868" s="263"/>
      <c r="R868" s="263"/>
      <c r="S868" s="263"/>
      <c r="T868" s="263"/>
      <c r="U868" s="246"/>
      <c r="V868" s="246"/>
      <c r="W868" s="246"/>
      <c r="X868" s="246"/>
      <c r="Y868" s="246"/>
      <c r="Z868" s="246"/>
    </row>
    <row r="869">
      <c r="A869" s="263"/>
      <c r="B869" s="267" t="str">
        <f>IFERROR(__xludf.DUMMYFUNCTION("""COMPUTED_VALUE"""),"Transmutation Basics")</f>
        <v>Transmutation Basics</v>
      </c>
      <c r="C869" s="263"/>
      <c r="D869" s="263" t="str">
        <f>IFERROR(__xludf.DUMMYFUNCTION("""COMPUTED_VALUE"""),"")</f>
        <v/>
      </c>
      <c r="E869" s="263" t="str">
        <f>IFERROR(__xludf.DUMMYFUNCTION("""COMPUTED_VALUE"""),"")</f>
        <v/>
      </c>
      <c r="F869" s="268" t="str">
        <f>IFERROR(__xludf.DUMMYFUNCTION("""COMPUTED_VALUE"""),"Alchemic Catch
Description:
Co-Craft. Use a hasty transmutation to attempt to fix a crafting error. You may reroll a crafting dice immediately after determining the result. You must keep the second number. Cannot be used for the last crafting dice.
Temper"&amp;"ature Shock
Description:
Co-Craft. Can be used immediately after the result of a roll is determined. The previous action has no effect and instead gain a +10 to your next crafting action.
Rage Quit
Cost: 1 Crafting Dice
Description:
Co-Craft. Only usable "&amp;"once per crafting IP.  Destroy the uncrafted item and all materials invested into the craft.  You may immediately start another crafting session.  If you use this as a Co-Craft it requires 1 crafting dice from the main crafter.
Bouncing Ideas
Description:"&amp;"
Co-Craft. You assist with crafting adding 1d4 crafting points to the current craft.
Create Ingot
Cost: Errand
Description:
You create an ingot from blacksmithing base materials or from blacksmithing special materials.  See Item:  Blacksmithing Materials."&amp;"
Create Oil Coating
Cost: Errand
Description:
You create an Oil Coating from Carpenter materials.  See Items:  Carpenter Materials
Create Wood Block
Cost: Errand
Description:
You create a Wood Block from Carpenter materials.  See Items:  Carpenter Materia"&amp;"ls
Craft Fuel Shells
Cost: Errand
Description:
You craft up to 5 small shells.  You can instead craft a medium shell instead of 2 small shells.  Small shells require 50 magical fuel, medium shells require 200 magical fuel.
Create Artifice Parts
Cost: Erra"&amp;"nd
Description:
You create up to 3000u of artifice parts of the same type of blacksmithing material used to make them at a 1:1 rate. (3000u of Iron Creates 3000u of Iron Artifice Parts.)  See Items:  Blacksmithing Materials, Artificer Materials. When conv"&amp;"erting items of a higher tier, you can convert up to 6000 of tamahagane, 9000 of mithril, 12000 of Orihalcum or 15000 of escudo.
Tan Leather
Cost: Errand
Description:
You create a tanned hide from armorsmithing base leather materials. See item: Armorsmthi"&amp;"ng materials.
Create Box or Bundle of Food
Cost: Errand.
Description:
You create a perfect mix of ingredients that would be worthy of a stock with 500u of matching material.  Example:  500u of Meat can make 1 Box of Fresh Meat.  You can make 5 boxes of an"&amp;"y kind for one errand action.")</f>
        <v>Alchemic Catch
Description:
Co-Craft. Use a hasty transmutation to attempt to fix a crafting error. You may reroll a crafting dice immediately after determining the result. You must keep the second number. Cannot be used for the last crafting dice.
Temperature Shock
Description:
Co-Craft. Can be used immediately after the result of a roll is determined. The previous action has no effect and instead gain a +10 to your next crafting action.
Rage Quit
Cost: 1 Crafting Dice
Description:
Co-Craft. Only usable once per crafting IP.  Destroy the uncrafted item and all materials invested into the craft.  You may immediately start another crafting session.  If you use this as a Co-Craft it requires 1 crafting dice from the main crafter.
Bouncing Ideas
Description:
Co-Craft. You assist with crafting adding 1d4 crafting points to the current craft.
Create Ingot
Cost: Errand
Description:
You create an ingot from blacksmithing base materials or from blacksmithing special materials.  See Item:  Blacksmithing Materials.
Create Oil Coating
Cost: Errand
Description:
You create an Oil Coating from Carpenter materials.  See Items:  Carpenter Materials
Create Wood Block
Cost: Errand
Description:
You create a Wood Block from Carpenter materials.  See Items:  Carpenter Materials
Craft Fuel Shells
Cost: Errand
Description:
You craft up to 5 small shells.  You can instead craft a medium shell instead of 2 small shells.  Small shells require 50 magical fuel, medium shells require 200 magical fuel.
Create Artifice Parts
Cost: Errand
Description:
You create up to 3000u of artifice parts of the same type of blacksmithing material used to make them at a 1:1 rate. (3000u of Iron Creates 3000u of Iron Artifice Parts.)  See Items:  Blacksmithing Materials, Artificer Materials. When converting items of a higher tier, you can convert up to 6000 of tamahagane, 9000 of mithril, 12000 of Orihalcum or 15000 of escudo.
Tan Leather
Cost: Errand
Description:
You create a tanned hide from armorsmithing base leather materials. See item: Armorsmthing materials.
Create Box or Bundle of Food
Cost: Errand.
Description:
You create a perfect mix of ingredients that would be worthy of a stock with 500u of matching material.  Example:  500u of Meat can make 1 Box of Fresh Meat.  You can make 5 boxes of any kind for one errand action.</v>
      </c>
      <c r="G869" s="263" t="str">
        <f>IFERROR(__xludf.DUMMYFUNCTION("""COMPUTED_VALUE"""),"")</f>
        <v/>
      </c>
      <c r="H869" s="267" t="str">
        <f>IFERROR(__xludf.DUMMYFUNCTION("""COMPUTED_VALUE"""),"")</f>
        <v/>
      </c>
      <c r="I869" s="263" t="str">
        <f>IFERROR(__xludf.DUMMYFUNCTION("""COMPUTED_VALUE"""),"")</f>
        <v/>
      </c>
      <c r="J869" s="263" t="str">
        <f>IFERROR(__xludf.DUMMYFUNCTION("""COMPUTED_VALUE"""),"")</f>
        <v/>
      </c>
      <c r="K869" s="263" t="str">
        <f>IFERROR(__xludf.DUMMYFUNCTION("""COMPUTED_VALUE"""),"")</f>
        <v/>
      </c>
      <c r="L869" s="263" t="str">
        <f>IFERROR(__xludf.DUMMYFUNCTION("""COMPUTED_VALUE"""),"")</f>
        <v/>
      </c>
      <c r="M869" s="263"/>
      <c r="N869" s="263"/>
      <c r="O869" s="263"/>
      <c r="P869" s="263"/>
      <c r="Q869" s="263"/>
      <c r="R869" s="263"/>
      <c r="S869" s="263"/>
      <c r="T869" s="263"/>
      <c r="U869" s="246"/>
      <c r="V869" s="246"/>
      <c r="W869" s="246"/>
      <c r="X869" s="246"/>
      <c r="Y869" s="246"/>
      <c r="Z869" s="246"/>
    </row>
    <row r="870">
      <c r="A870" s="263"/>
      <c r="B870" s="267" t="str">
        <f>IFERROR(__xludf.DUMMYFUNCTION("""COMPUTED_VALUE"""),"Transmute Effective Implement")</f>
        <v>Transmute Effective Implement</v>
      </c>
      <c r="C870" s="263"/>
      <c r="D870" s="263" t="str">
        <f>IFERROR(__xludf.DUMMYFUNCTION("""COMPUTED_VALUE"""),"Overcharge")</f>
        <v>Overcharge</v>
      </c>
      <c r="E870" s="263" t="str">
        <f>IFERROR(__xludf.DUMMYFUNCTION("""COMPUTED_VALUE"""),"5ft")</f>
        <v>5ft</v>
      </c>
      <c r="F870" s="268" t="str">
        <f>IFERROR(__xludf.DUMMYFUNCTION("""COMPUTED_VALUE"""),"From the surrounding material you construct an “Effective Implement”, granting you a +5 to the skill of your choice.  You must explain how this implement will be effective towards the check using the relevant skill (example:  creating a springboard to jum"&amp;"p higher with athletics) and the GM determines the validity or this ability has no effect.  Does not work with crafting or gathering skills. This implement lasts until you have attempted the specific check it was created for.
You may also spend 1 RP inste"&amp;"ad of 1 AP for this ability.
Overcharge:  You can spend 1 additional mana to increase the skill bonus to +10.")</f>
        <v>From the surrounding material you construct an “Effective Implement”, granting you a +5 to the skill of your choice.  You must explain how this implement will be effective towards the check using the relevant skill (example:  creating a springboard to jump higher with athletics) and the GM determines the validity or this ability has no effect.  Does not work with crafting or gathering skills. This implement lasts until you have attempted the specific check it was created for.
You may also spend 1 RP instead of 1 AP for this ability.
Overcharge:  You can spend 1 additional mana to increase the skill bonus to +10.</v>
      </c>
      <c r="G870" s="263" t="str">
        <f>IFERROR(__xludf.DUMMYFUNCTION("""COMPUTED_VALUE"""),"")</f>
        <v/>
      </c>
      <c r="H870" s="267" t="str">
        <f>IFERROR(__xludf.DUMMYFUNCTION("""COMPUTED_VALUE"""),"1 AP, 1 MP")</f>
        <v>1 AP, 1 MP</v>
      </c>
      <c r="I870" s="263" t="str">
        <f>IFERROR(__xludf.DUMMYFUNCTION("""COMPUTED_VALUE"""),"1 AP")</f>
        <v>1 AP</v>
      </c>
      <c r="J870" s="263" t="str">
        <f>IFERROR(__xludf.DUMMYFUNCTION("""COMPUTED_VALUE"""),"1 MP")</f>
        <v>1 MP</v>
      </c>
      <c r="K870" s="263" t="str">
        <f>IFERROR(__xludf.DUMMYFUNCTION("""COMPUTED_VALUE"""),"")</f>
        <v/>
      </c>
      <c r="L870" s="263" t="str">
        <f>IFERROR(__xludf.DUMMYFUNCTION("""COMPUTED_VALUE"""),"")</f>
        <v/>
      </c>
      <c r="M870" s="263"/>
      <c r="N870" s="263"/>
      <c r="O870" s="263"/>
      <c r="P870" s="263"/>
      <c r="Q870" s="263"/>
      <c r="R870" s="263"/>
      <c r="S870" s="263"/>
      <c r="T870" s="263"/>
      <c r="U870" s="246"/>
      <c r="V870" s="246"/>
      <c r="W870" s="246"/>
      <c r="X870" s="246"/>
      <c r="Y870" s="246"/>
      <c r="Z870" s="246"/>
    </row>
    <row r="871">
      <c r="A871" s="263"/>
      <c r="B871" s="267" t="str">
        <f>IFERROR(__xludf.DUMMYFUNCTION("""COMPUTED_VALUE"""),"Transmute Terrain")</f>
        <v>Transmute Terrain</v>
      </c>
      <c r="C871" s="263"/>
      <c r="D871" s="263" t="str">
        <f>IFERROR(__xludf.DUMMYFUNCTION("""COMPUTED_VALUE"""),"")</f>
        <v/>
      </c>
      <c r="E871" s="263" t="str">
        <f>IFERROR(__xludf.DUMMYFUNCTION("""COMPUTED_VALUE"""),"5ft")</f>
        <v>5ft</v>
      </c>
      <c r="F871" s="268" t="str">
        <f>IFERROR(__xludf.DUMMYFUNCTION("""COMPUTED_VALUE"""),"Creates a connected transmuted terrain that grows from the point of origin.  For every mana spent, you can create up to 4 5ft squares of terrain that must be connected.  Choose solid ground normal terrain or difficult terrain.  Removes effects on the terr"&amp;"ain such as ice, fire. The terrain can push objects and creatures in the direction its being created.  If the transmute terrain deals damage to a creature, the spell stops after and the 5ft segment that contacted them is destroyed.  Each segment of wall h"&amp;"as HP equal to 20+Focus
Heroics caught in the terrain may spend 1 RP to step out of it. Once they do, they can't be shoved within this use of transmute terrain even if you attempt to hit them with it again.")</f>
        <v>Creates a connected transmuted terrain that grows from the point of origin.  For every mana spent, you can create up to 4 5ft squares of terrain that must be connected.  Choose solid ground normal terrain or difficult terrain.  Removes effects on the terrain such as ice, fire. The terrain can push objects and creatures in the direction its being created.  If the transmute terrain deals damage to a creature, the spell stops after and the 5ft segment that contacted them is destroyed.  Each segment of wall has HP equal to 20+Focus
Heroics caught in the terrain may spend 1 RP to step out of it. Once they do, they can't be shoved within this use of transmute terrain even if you attempt to hit them with it again.</v>
      </c>
      <c r="G871" s="263" t="str">
        <f>IFERROR(__xludf.DUMMYFUNCTION("""COMPUTED_VALUE"""),"")</f>
        <v/>
      </c>
      <c r="H871" s="267" t="str">
        <f>IFERROR(__xludf.DUMMYFUNCTION("""COMPUTED_VALUE"""),"2 AP, X MP")</f>
        <v>2 AP, X MP</v>
      </c>
      <c r="I871" s="263" t="str">
        <f>IFERROR(__xludf.DUMMYFUNCTION("""COMPUTED_VALUE"""),"2 AP")</f>
        <v>2 AP</v>
      </c>
      <c r="J871" s="263" t="str">
        <f>IFERROR(__xludf.DUMMYFUNCTION("""COMPUTED_VALUE"""),"X MP")</f>
        <v>X MP</v>
      </c>
      <c r="K871" s="263" t="str">
        <f>IFERROR(__xludf.DUMMYFUNCTION("""COMPUTED_VALUE"""),"")</f>
        <v/>
      </c>
      <c r="L871" s="263" t="str">
        <f>IFERROR(__xludf.DUMMYFUNCTION("""COMPUTED_VALUE"""),"")</f>
        <v/>
      </c>
      <c r="M871" s="263"/>
      <c r="N871" s="263"/>
      <c r="O871" s="263"/>
      <c r="P871" s="263"/>
      <c r="Q871" s="263"/>
      <c r="R871" s="263"/>
      <c r="S871" s="263"/>
      <c r="T871" s="263"/>
      <c r="U871" s="246"/>
      <c r="V871" s="246"/>
      <c r="W871" s="246"/>
      <c r="X871" s="246"/>
      <c r="Y871" s="246"/>
      <c r="Z871" s="246"/>
    </row>
    <row r="872">
      <c r="A872" s="263"/>
      <c r="B872" s="267" t="str">
        <f>IFERROR(__xludf.DUMMYFUNCTION("""COMPUTED_VALUE"""),"Transmute Wall")</f>
        <v>Transmute Wall</v>
      </c>
      <c r="C872" s="263"/>
      <c r="D872" s="263" t="str">
        <f>IFERROR(__xludf.DUMMYFUNCTION("""COMPUTED_VALUE"""),"")</f>
        <v/>
      </c>
      <c r="E872" s="263" t="str">
        <f>IFERROR(__xludf.DUMMYFUNCTION("""COMPUTED_VALUE"""),"5ft")</f>
        <v>5ft</v>
      </c>
      <c r="F872" s="268" t="str">
        <f>IFERROR(__xludf.DUMMYFUNCTION("""COMPUTED_VALUE"""),"You quickly transmute multiple walls to defend against an incoming ranged attack.   Each wall you summon reduces the damage of the incoming attack by 2* Focus, you can summon as many walls as you like against the incoming attack for 1 mana per wall. After"&amp;" the attack resolves, every wall you made vanishes regardless of remaining HP.")</f>
        <v>You quickly transmute multiple walls to defend against an incoming ranged attack.   Each wall you summon reduces the damage of the incoming attack by 2* Focus, you can summon as many walls as you like against the incoming attack for 1 mana per wall. After the attack resolves, every wall you made vanishes regardless of remaining HP.</v>
      </c>
      <c r="G872" s="263" t="str">
        <f>IFERROR(__xludf.DUMMYFUNCTION("""COMPUTED_VALUE"""),"You or an ally in range is the target of a ranged attack.")</f>
        <v>You or an ally in range is the target of a ranged attack.</v>
      </c>
      <c r="H872" s="267" t="str">
        <f>IFERROR(__xludf.DUMMYFUNCTION("""COMPUTED_VALUE"""),"X MP, 1 RP")</f>
        <v>X MP, 1 RP</v>
      </c>
      <c r="I872" s="263" t="str">
        <f>IFERROR(__xludf.DUMMYFUNCTION("""COMPUTED_VALUE"""),"")</f>
        <v/>
      </c>
      <c r="J872" s="263" t="str">
        <f>IFERROR(__xludf.DUMMYFUNCTION("""COMPUTED_VALUE"""),"X MP")</f>
        <v>X MP</v>
      </c>
      <c r="K872" s="263" t="str">
        <f>IFERROR(__xludf.DUMMYFUNCTION("""COMPUTED_VALUE"""),"1 RP")</f>
        <v>1 RP</v>
      </c>
      <c r="L872" s="263" t="str">
        <f>IFERROR(__xludf.DUMMYFUNCTION("""COMPUTED_VALUE"""),"")</f>
        <v/>
      </c>
      <c r="M872" s="263"/>
      <c r="N872" s="263"/>
      <c r="O872" s="263"/>
      <c r="P872" s="263"/>
      <c r="Q872" s="263"/>
      <c r="R872" s="263"/>
      <c r="S872" s="263"/>
      <c r="T872" s="263"/>
      <c r="U872" s="246"/>
      <c r="V872" s="246"/>
      <c r="W872" s="246"/>
      <c r="X872" s="246"/>
      <c r="Y872" s="246"/>
      <c r="Z872" s="246"/>
    </row>
    <row r="873">
      <c r="A873" s="263"/>
      <c r="B873" s="267" t="str">
        <f>IFERROR(__xludf.DUMMYFUNCTION("""COMPUTED_VALUE"""),"Transmute Weapon")</f>
        <v>Transmute Weapon</v>
      </c>
      <c r="C873" s="263"/>
      <c r="D873" s="263" t="str">
        <f>IFERROR(__xludf.DUMMYFUNCTION("""COMPUTED_VALUE"""),"")</f>
        <v/>
      </c>
      <c r="E873" s="263" t="str">
        <f>IFERROR(__xludf.DUMMYFUNCTION("""COMPUTED_VALUE"""),"30ft")</f>
        <v>30ft</v>
      </c>
      <c r="F873" s="268" t="str">
        <f>IFERROR(__xludf.DUMMYFUNCTION("""COMPUTED_VALUE"""),"Using the available materials around you, you transmute any basic weapon or shield into your hand or next to an ally, your ally can grab the weapon at the time of its creation for 0 RP, as well as sheathe their weapons.  The weapon lasts until the end of "&amp;"the encounter and is destroyed.
You can transmute weapons out of special material if there is enough of it in the area, or if you have one (such as an ingot) but the material is destroyed afterwards.  The DM determines if this is possible in the specific "&amp;"case.")</f>
        <v>Using the available materials around you, you transmute any basic weapon or shield into your hand or next to an ally, your ally can grab the weapon at the time of its creation for 0 RP, as well as sheathe their weapons.  The weapon lasts until the end of the encounter and is destroyed.
You can transmute weapons out of special material if there is enough of it in the area, or if you have one (such as an ingot) but the material is destroyed afterwards.  The DM determines if this is possible in the specific case.</v>
      </c>
      <c r="G873" s="263" t="str">
        <f>IFERROR(__xludf.DUMMYFUNCTION("""COMPUTED_VALUE"""),"There is suitable material available. (GM decides)")</f>
        <v>There is suitable material available. (GM decides)</v>
      </c>
      <c r="H873" s="267" t="str">
        <f>IFERROR(__xludf.DUMMYFUNCTION("""COMPUTED_VALUE"""),"1 AP")</f>
        <v>1 AP</v>
      </c>
      <c r="I873" s="263" t="str">
        <f>IFERROR(__xludf.DUMMYFUNCTION("""COMPUTED_VALUE"""),"1 AP")</f>
        <v>1 AP</v>
      </c>
      <c r="J873" s="263" t="str">
        <f>IFERROR(__xludf.DUMMYFUNCTION("""COMPUTED_VALUE"""),"")</f>
        <v/>
      </c>
      <c r="K873" s="263" t="str">
        <f>IFERROR(__xludf.DUMMYFUNCTION("""COMPUTED_VALUE"""),"")</f>
        <v/>
      </c>
      <c r="L873" s="263" t="str">
        <f>IFERROR(__xludf.DUMMYFUNCTION("""COMPUTED_VALUE"""),"")</f>
        <v/>
      </c>
      <c r="M873" s="263"/>
      <c r="N873" s="263"/>
      <c r="O873" s="263"/>
      <c r="P873" s="263"/>
      <c r="Q873" s="263"/>
      <c r="R873" s="263"/>
      <c r="S873" s="263"/>
      <c r="T873" s="263"/>
      <c r="U873" s="246"/>
      <c r="V873" s="246"/>
      <c r="W873" s="246"/>
      <c r="X873" s="246"/>
      <c r="Y873" s="246"/>
      <c r="Z873" s="246"/>
    </row>
    <row r="874">
      <c r="A874" s="263"/>
      <c r="B874" s="267" t="str">
        <f>IFERROR(__xludf.DUMMYFUNCTION("""COMPUTED_VALUE"""),"Transmuter Tricks")</f>
        <v>Transmuter Tricks</v>
      </c>
      <c r="C874" s="263"/>
      <c r="D874" s="263" t="str">
        <f>IFERROR(__xludf.DUMMYFUNCTION("""COMPUTED_VALUE"""),"")</f>
        <v/>
      </c>
      <c r="E874" s="263" t="str">
        <f>IFERROR(__xludf.DUMMYFUNCTION("""COMPUTED_VALUE"""),"")</f>
        <v/>
      </c>
      <c r="F874" s="268" t="str">
        <f>IFERROR(__xludf.DUMMYFUNCTION("""COMPUTED_VALUE"""),"Stabilize Matter
Description:
Co-Craft. Use a transmutation that stabilizes the material, making it easier to work with. The next crafting d10 cannot roll lower than a 6.
A Small Bit of Creation
Cost: One herb with a rarity higher than common.
Description"&amp;":
You deconstruct and reconstruct the structure of an harvested alchemy herb. By lowering its energy level you attune an herb to another element. Choose one herb and lower its rarity by one step and then change its element into the element of your choice.")</f>
        <v>Stabilize Matter
Description:
Co-Craft. Use a transmutation that stabilizes the material, making it easier to work with. The next crafting d10 cannot roll lower than a 6.
A Small Bit of Creation
Cost: One herb with a rarity higher than common.
Description:
You deconstruct and reconstruct the structure of an harvested alchemy herb. By lowering its energy level you attune an herb to another element. Choose one herb and lower its rarity by one step and then change its element into the element of your choice.</v>
      </c>
      <c r="G874" s="263" t="str">
        <f>IFERROR(__xludf.DUMMYFUNCTION("""COMPUTED_VALUE"""),"")</f>
        <v/>
      </c>
      <c r="H874" s="267" t="str">
        <f>IFERROR(__xludf.DUMMYFUNCTION("""COMPUTED_VALUE"""),"")</f>
        <v/>
      </c>
      <c r="I874" s="263" t="str">
        <f>IFERROR(__xludf.DUMMYFUNCTION("""COMPUTED_VALUE"""),"")</f>
        <v/>
      </c>
      <c r="J874" s="263" t="str">
        <f>IFERROR(__xludf.DUMMYFUNCTION("""COMPUTED_VALUE"""),"")</f>
        <v/>
      </c>
      <c r="K874" s="263" t="str">
        <f>IFERROR(__xludf.DUMMYFUNCTION("""COMPUTED_VALUE"""),"")</f>
        <v/>
      </c>
      <c r="L874" s="263" t="str">
        <f>IFERROR(__xludf.DUMMYFUNCTION("""COMPUTED_VALUE"""),"")</f>
        <v/>
      </c>
      <c r="M874" s="263"/>
      <c r="N874" s="263"/>
      <c r="O874" s="263"/>
      <c r="P874" s="263"/>
      <c r="Q874" s="263"/>
      <c r="R874" s="263"/>
      <c r="S874" s="263"/>
      <c r="T874" s="263"/>
      <c r="U874" s="246"/>
      <c r="V874" s="246"/>
      <c r="W874" s="246"/>
      <c r="X874" s="246"/>
      <c r="Y874" s="246"/>
      <c r="Z874" s="246"/>
    </row>
    <row r="875">
      <c r="A875" s="263"/>
      <c r="B875" s="267" t="str">
        <f>IFERROR(__xludf.DUMMYFUNCTION("""COMPUTED_VALUE"""),"Traveler's End")</f>
        <v>Traveler's End</v>
      </c>
      <c r="C875" s="263"/>
      <c r="D875" s="263" t="str">
        <f>IFERROR(__xludf.DUMMYFUNCTION("""COMPUTED_VALUE"""),"Song, Upkeep, Sound, Blanketing")</f>
        <v>Song, Upkeep, Sound, Blanketing</v>
      </c>
      <c r="E875" s="263" t="str">
        <f>IFERROR(__xludf.DUMMYFUNCTION("""COMPUTED_VALUE"""),"Self")</f>
        <v>Self</v>
      </c>
      <c r="F875" s="268" t="str">
        <f>IFERROR(__xludf.DUMMYFUNCTION("""COMPUTED_VALUE"""),"You play the final tunes of the melody that signals the traveler’s ending.
While Traveler’s End remains active, the Potency of your Mist of the Vale and Despair of Isolation is increased by 3. Your Mist of the Vale can no longer be removed and any effect "&amp;"that would remove it instead dispels Traveler’s End.
At any point after activating this song, you may spend 1 RP and 5 Mana to make a Sure Hit Heavy attack against all enemies within your Mist of the Vale. On killing blow, you regain 1 mana you spend on t"&amp;"he attack (up to 5). Afterwards, the Mist of the Vale ends and cannot be reused in this encounter.
Traveler’s End otherwise lasts until the end of the encounter or until the Mist of the Vale is gone.
Upkeep: 1 Mana")</f>
        <v>You play the final tunes of the melody that signals the traveler’s ending.
While Traveler’s End remains active, the Potency of your Mist of the Vale and Despair of Isolation is increased by 3. Your Mist of the Vale can no longer be removed and any effect that would remove it instead dispels Traveler’s End.
At any point after activating this song, you may spend 1 RP and 5 Mana to make a Sure Hit Heavy attack against all enemies within your Mist of the Vale. On killing blow, you regain 1 mana you spend on the attack (up to 5). Afterwards, the Mist of the Vale ends and cannot be reused in this encounter.
Traveler’s End otherwise lasts until the end of the encounter or until the Mist of the Vale is gone.
Upkeep: 1 Mana</v>
      </c>
      <c r="G875" s="263" t="str">
        <f>IFERROR(__xludf.DUMMYFUNCTION("""COMPUTED_VALUE"""),"Mist of the Vale must be active for at least 1 turn.")</f>
        <v>Mist of the Vale must be active for at least 1 turn.</v>
      </c>
      <c r="H875" s="267" t="str">
        <f>IFERROR(__xludf.DUMMYFUNCTION("""COMPUTED_VALUE"""),"0 AP, 1 MP")</f>
        <v>0 AP, 1 MP</v>
      </c>
      <c r="I875" s="263" t="str">
        <f>IFERROR(__xludf.DUMMYFUNCTION("""COMPUTED_VALUE"""),"0 AP")</f>
        <v>0 AP</v>
      </c>
      <c r="J875" s="263" t="str">
        <f>IFERROR(__xludf.DUMMYFUNCTION("""COMPUTED_VALUE"""),"1 MP")</f>
        <v>1 MP</v>
      </c>
      <c r="K875" s="263" t="str">
        <f>IFERROR(__xludf.DUMMYFUNCTION("""COMPUTED_VALUE"""),"")</f>
        <v/>
      </c>
      <c r="L875" s="263" t="str">
        <f>IFERROR(__xludf.DUMMYFUNCTION("""COMPUTED_VALUE"""),"")</f>
        <v/>
      </c>
      <c r="M875" s="263"/>
      <c r="N875" s="263"/>
      <c r="O875" s="263"/>
      <c r="P875" s="263"/>
      <c r="Q875" s="263"/>
      <c r="R875" s="263"/>
      <c r="S875" s="263"/>
      <c r="T875" s="263"/>
      <c r="U875" s="246"/>
      <c r="V875" s="246"/>
      <c r="W875" s="246"/>
      <c r="X875" s="246"/>
      <c r="Y875" s="246"/>
      <c r="Z875" s="246"/>
    </row>
    <row r="876">
      <c r="A876" s="263"/>
      <c r="B876" s="267" t="str">
        <f>IFERROR(__xludf.DUMMYFUNCTION("""COMPUTED_VALUE"""),"Tremorsense")</f>
        <v>Tremorsense</v>
      </c>
      <c r="C876" s="263"/>
      <c r="D876" s="263" t="str">
        <f>IFERROR(__xludf.DUMMYFUNCTION("""COMPUTED_VALUE"""),"Overcharge")</f>
        <v>Overcharge</v>
      </c>
      <c r="E876" s="263" t="str">
        <f>IFERROR(__xludf.DUMMYFUNCTION("""COMPUTED_VALUE"""),"40ft")</f>
        <v>40ft</v>
      </c>
      <c r="F876" s="268" t="str">
        <f>IFERROR(__xludf.DUMMYFUNCTION("""COMPUTED_VALUE"""),"You become aware of the presence and exact location of any creature within range that is touching the ground until the end of your turn.
Overcharge: You may spend extra mana to increase the range by an additional 40ft per mana spent.")</f>
        <v>You become aware of the presence and exact location of any creature within range that is touching the ground until the end of your turn.
Overcharge: You may spend extra mana to increase the range by an additional 40ft per mana spent.</v>
      </c>
      <c r="G876" s="263" t="str">
        <f>IFERROR(__xludf.DUMMYFUNCTION("""COMPUTED_VALUE"""),"")</f>
        <v/>
      </c>
      <c r="H876" s="267" t="str">
        <f>IFERROR(__xludf.DUMMYFUNCTION("""COMPUTED_VALUE"""),"1 AP, 1 MP")</f>
        <v>1 AP, 1 MP</v>
      </c>
      <c r="I876" s="263" t="str">
        <f>IFERROR(__xludf.DUMMYFUNCTION("""COMPUTED_VALUE"""),"1 AP")</f>
        <v>1 AP</v>
      </c>
      <c r="J876" s="263" t="str">
        <f>IFERROR(__xludf.DUMMYFUNCTION("""COMPUTED_VALUE"""),"1 MP")</f>
        <v>1 MP</v>
      </c>
      <c r="K876" s="263" t="str">
        <f>IFERROR(__xludf.DUMMYFUNCTION("""COMPUTED_VALUE"""),"")</f>
        <v/>
      </c>
      <c r="L876" s="263" t="str">
        <f>IFERROR(__xludf.DUMMYFUNCTION("""COMPUTED_VALUE"""),"")</f>
        <v/>
      </c>
      <c r="M876" s="263"/>
      <c r="N876" s="263"/>
      <c r="O876" s="263"/>
      <c r="P876" s="263"/>
      <c r="Q876" s="263"/>
      <c r="R876" s="263"/>
      <c r="S876" s="263"/>
      <c r="T876" s="263"/>
      <c r="U876" s="246"/>
      <c r="V876" s="246"/>
      <c r="W876" s="246"/>
      <c r="X876" s="246"/>
      <c r="Y876" s="246"/>
      <c r="Z876" s="246"/>
    </row>
    <row r="877">
      <c r="A877" s="263"/>
      <c r="B877" s="267" t="str">
        <f>IFERROR(__xludf.DUMMYFUNCTION("""COMPUTED_VALUE"""),"Trial By Fire")</f>
        <v>Trial By Fire</v>
      </c>
      <c r="C877" s="263"/>
      <c r="D877" s="263" t="str">
        <f>IFERROR(__xludf.DUMMYFUNCTION("""COMPUTED_VALUE"""),"Challenge")</f>
        <v>Challenge</v>
      </c>
      <c r="E877" s="263" t="str">
        <f>IFERROR(__xludf.DUMMYFUNCTION("""COMPUTED_VALUE"""),"Melee Weapon Range")</f>
        <v>Melee Weapon Range</v>
      </c>
      <c r="F877" s="268" t="str">
        <f>IFERROR(__xludf.DUMMYFUNCTION("""COMPUTED_VALUE"""),"You make a Light attack against the target. On damage, they are challenged by you until the start of your next turn.
If this does not deal damage, they cannot be challenged by you until the start of your next turn.")</f>
        <v>You make a Light attack against the target. On damage, they are challenged by you until the start of your next turn.
If this does not deal damage, they cannot be challenged by you until the start of your next turn.</v>
      </c>
      <c r="G877" s="263" t="str">
        <f>IFERROR(__xludf.DUMMYFUNCTION("""COMPUTED_VALUE"""),"")</f>
        <v/>
      </c>
      <c r="H877" s="267" t="str">
        <f>IFERROR(__xludf.DUMMYFUNCTION("""COMPUTED_VALUE"""),"1 AP")</f>
        <v>1 AP</v>
      </c>
      <c r="I877" s="263" t="str">
        <f>IFERROR(__xludf.DUMMYFUNCTION("""COMPUTED_VALUE"""),"1 AP")</f>
        <v>1 AP</v>
      </c>
      <c r="J877" s="263" t="str">
        <f>IFERROR(__xludf.DUMMYFUNCTION("""COMPUTED_VALUE"""),"")</f>
        <v/>
      </c>
      <c r="K877" s="263" t="str">
        <f>IFERROR(__xludf.DUMMYFUNCTION("""COMPUTED_VALUE"""),"")</f>
        <v/>
      </c>
      <c r="L877" s="263" t="str">
        <f>IFERROR(__xludf.DUMMYFUNCTION("""COMPUTED_VALUE"""),"")</f>
        <v/>
      </c>
      <c r="M877" s="263"/>
      <c r="N877" s="263"/>
      <c r="O877" s="263"/>
      <c r="P877" s="263"/>
      <c r="Q877" s="263"/>
      <c r="R877" s="263"/>
      <c r="S877" s="263"/>
      <c r="T877" s="263"/>
      <c r="U877" s="246"/>
      <c r="V877" s="246"/>
      <c r="W877" s="246"/>
      <c r="X877" s="246"/>
      <c r="Y877" s="246"/>
      <c r="Z877" s="246"/>
    </row>
    <row r="878">
      <c r="A878" s="263"/>
      <c r="B878" s="267" t="str">
        <f>IFERROR(__xludf.DUMMYFUNCTION("""COMPUTED_VALUE"""),"True Death")</f>
        <v>True Death</v>
      </c>
      <c r="C878" s="263"/>
      <c r="D878" s="263" t="str">
        <f>IFERROR(__xludf.DUMMYFUNCTION("""COMPUTED_VALUE"""),"")</f>
        <v/>
      </c>
      <c r="E878" s="263" t="str">
        <f>IFERROR(__xludf.DUMMYFUNCTION("""COMPUTED_VALUE"""),"'-")</f>
        <v>'-</v>
      </c>
      <c r="F878" s="268" t="str">
        <f>IFERROR(__xludf.DUMMYFUNCTION("""COMPUTED_VALUE"""),"Damage from melee weapon attacks made by you also reduces the target’s max HP by the same amount. This lasts until the end of the encounter.")</f>
        <v>Damage from melee weapon attacks made by you also reduces the target’s max HP by the same amount. This lasts until the end of the encounter.</v>
      </c>
      <c r="G878" s="263" t="str">
        <f>IFERROR(__xludf.DUMMYFUNCTION("""COMPUTED_VALUE"""),"")</f>
        <v/>
      </c>
      <c r="H878" s="267" t="str">
        <f>IFERROR(__xludf.DUMMYFUNCTION("""COMPUTED_VALUE"""),"")</f>
        <v/>
      </c>
      <c r="I878" s="263" t="str">
        <f>IFERROR(__xludf.DUMMYFUNCTION("""COMPUTED_VALUE"""),"")</f>
        <v/>
      </c>
      <c r="J878" s="263" t="str">
        <f>IFERROR(__xludf.DUMMYFUNCTION("""COMPUTED_VALUE"""),"")</f>
        <v/>
      </c>
      <c r="K878" s="263" t="str">
        <f>IFERROR(__xludf.DUMMYFUNCTION("""COMPUTED_VALUE"""),"")</f>
        <v/>
      </c>
      <c r="L878" s="263" t="str">
        <f>IFERROR(__xludf.DUMMYFUNCTION("""COMPUTED_VALUE"""),"")</f>
        <v/>
      </c>
      <c r="M878" s="263"/>
      <c r="N878" s="263"/>
      <c r="O878" s="263"/>
      <c r="P878" s="263"/>
      <c r="Q878" s="263"/>
      <c r="R878" s="263"/>
      <c r="S878" s="263"/>
      <c r="T878" s="263"/>
      <c r="U878" s="246"/>
      <c r="V878" s="246"/>
      <c r="W878" s="246"/>
      <c r="X878" s="246"/>
      <c r="Y878" s="246"/>
      <c r="Z878" s="246"/>
    </row>
    <row r="879">
      <c r="A879" s="263"/>
      <c r="B879" s="267" t="str">
        <f>IFERROR(__xludf.DUMMYFUNCTION("""COMPUTED_VALUE"""),"True Divine Release")</f>
        <v>True Divine Release</v>
      </c>
      <c r="C879" s="263"/>
      <c r="D879" s="263" t="str">
        <f>IFERROR(__xludf.DUMMYFUNCTION("""COMPUTED_VALUE"""),"Transformation, Upkeep")</f>
        <v>Transformation, Upkeep</v>
      </c>
      <c r="E879" s="263" t="str">
        <f>IFERROR(__xludf.DUMMYFUNCTION("""COMPUTED_VALUE"""),"Self")</f>
        <v>Self</v>
      </c>
      <c r="F879" s="268" t="str">
        <f>IFERROR(__xludf.DUMMYFUNCTION("""COMPUTED_VALUE"""),"You unleash your latent angelic powers and transform into a semi-divine being for up to an hour. While transformed, you gain controlled flight and +5 movement speed. Upkeep: 2 mana After using this ability, you cannot do so again until the interlude rest "&amp;"phase.")</f>
        <v>You unleash your latent angelic powers and transform into a semi-divine being for up to an hour. While transformed, you gain controlled flight and +5 movement speed. Upkeep: 2 mana After using this ability, you cannot do so again until the interlude rest phase.</v>
      </c>
      <c r="G879" s="263" t="str">
        <f>IFERROR(__xludf.DUMMYFUNCTION("""COMPUTED_VALUE"""),"Not already transformed")</f>
        <v>Not already transformed</v>
      </c>
      <c r="H879" s="267" t="str">
        <f>IFERROR(__xludf.DUMMYFUNCTION("""COMPUTED_VALUE"""),"4 AP")</f>
        <v>4 AP</v>
      </c>
      <c r="I879" s="263" t="str">
        <f>IFERROR(__xludf.DUMMYFUNCTION("""COMPUTED_VALUE"""),"4 AP")</f>
        <v>4 AP</v>
      </c>
      <c r="J879" s="263" t="str">
        <f>IFERROR(__xludf.DUMMYFUNCTION("""COMPUTED_VALUE"""),"")</f>
        <v/>
      </c>
      <c r="K879" s="263" t="str">
        <f>IFERROR(__xludf.DUMMYFUNCTION("""COMPUTED_VALUE"""),"")</f>
        <v/>
      </c>
      <c r="L879" s="263" t="str">
        <f>IFERROR(__xludf.DUMMYFUNCTION("""COMPUTED_VALUE"""),"")</f>
        <v/>
      </c>
      <c r="M879" s="263"/>
      <c r="N879" s="263"/>
      <c r="O879" s="263"/>
      <c r="P879" s="263"/>
      <c r="Q879" s="263"/>
      <c r="R879" s="263"/>
      <c r="S879" s="263"/>
      <c r="T879" s="263"/>
      <c r="U879" s="246"/>
      <c r="V879" s="246"/>
      <c r="W879" s="246"/>
      <c r="X879" s="246"/>
      <c r="Y879" s="246"/>
      <c r="Z879" s="246"/>
    </row>
    <row r="880">
      <c r="A880" s="263"/>
      <c r="B880" s="267" t="str">
        <f>IFERROR(__xludf.DUMMYFUNCTION("""COMPUTED_VALUE"""),"Twin Verdict")</f>
        <v>Twin Verdict</v>
      </c>
      <c r="C880" s="263"/>
      <c r="D880" s="263" t="str">
        <f>IFERROR(__xludf.DUMMYFUNCTION("""COMPUTED_VALUE"""),"")</f>
        <v/>
      </c>
      <c r="E880" s="263" t="str">
        <f>IFERROR(__xludf.DUMMYFUNCTION("""COMPUTED_VALUE"""),"Ranged Weapon Range")</f>
        <v>Ranged Weapon Range</v>
      </c>
      <c r="F880" s="268" t="str">
        <f>IFERROR(__xludf.DUMMYFUNCTION("""COMPUTED_VALUE"""),"You make two Heavy attacks against the target.")</f>
        <v>You make two Heavy attacks against the target.</v>
      </c>
      <c r="G880" s="263" t="str">
        <f>IFERROR(__xludf.DUMMYFUNCTION("""COMPUTED_VALUE"""),"")</f>
        <v/>
      </c>
      <c r="H880" s="267" t="str">
        <f>IFERROR(__xludf.DUMMYFUNCTION("""COMPUTED_VALUE"""),"3 AP, 1 RP")</f>
        <v>3 AP, 1 RP</v>
      </c>
      <c r="I880" s="263" t="str">
        <f>IFERROR(__xludf.DUMMYFUNCTION("""COMPUTED_VALUE"""),"3 AP")</f>
        <v>3 AP</v>
      </c>
      <c r="J880" s="263" t="str">
        <f>IFERROR(__xludf.DUMMYFUNCTION("""COMPUTED_VALUE"""),"")</f>
        <v/>
      </c>
      <c r="K880" s="263" t="str">
        <f>IFERROR(__xludf.DUMMYFUNCTION("""COMPUTED_VALUE"""),"1 RP")</f>
        <v>1 RP</v>
      </c>
      <c r="L880" s="263" t="str">
        <f>IFERROR(__xludf.DUMMYFUNCTION("""COMPUTED_VALUE"""),"")</f>
        <v/>
      </c>
      <c r="M880" s="263"/>
      <c r="N880" s="263"/>
      <c r="O880" s="263"/>
      <c r="P880" s="263"/>
      <c r="Q880" s="263"/>
      <c r="R880" s="263"/>
      <c r="S880" s="263"/>
      <c r="T880" s="263"/>
      <c r="U880" s="246"/>
      <c r="V880" s="246"/>
      <c r="W880" s="246"/>
      <c r="X880" s="246"/>
      <c r="Y880" s="246"/>
      <c r="Z880" s="246"/>
    </row>
    <row r="881">
      <c r="A881" s="263"/>
      <c r="B881" s="267" t="str">
        <f>IFERROR(__xludf.DUMMYFUNCTION("""COMPUTED_VALUE"""),"Twinkle Step")</f>
        <v>Twinkle Step</v>
      </c>
      <c r="C881" s="263"/>
      <c r="D881" s="263" t="str">
        <f>IFERROR(__xludf.DUMMYFUNCTION("""COMPUTED_VALUE"""),"Song, Sound, Idol, Upkeep")</f>
        <v>Song, Sound, Idol, Upkeep</v>
      </c>
      <c r="E881" s="263" t="str">
        <f>IFERROR(__xludf.DUMMYFUNCTION("""COMPUTED_VALUE"""),"30ft")</f>
        <v>30ft</v>
      </c>
      <c r="F881" s="268" t="str">
        <f>IFERROR(__xludf.DUMMYFUNCTION("""COMPUTED_VALUE"""),"All allies within range gain a +1 Song bonus to their Evasion and Dodge.
Upkeep: 1 AP")</f>
        <v>All allies within range gain a +1 Song bonus to their Evasion and Dodge.
Upkeep: 1 AP</v>
      </c>
      <c r="G881" s="263" t="str">
        <f>IFERROR(__xludf.DUMMYFUNCTION("""COMPUTED_VALUE"""),"")</f>
        <v/>
      </c>
      <c r="H881" s="267" t="str">
        <f>IFERROR(__xludf.DUMMYFUNCTION("""COMPUTED_VALUE"""),"2 AP")</f>
        <v>2 AP</v>
      </c>
      <c r="I881" s="263" t="str">
        <f>IFERROR(__xludf.DUMMYFUNCTION("""COMPUTED_VALUE"""),"2 AP")</f>
        <v>2 AP</v>
      </c>
      <c r="J881" s="263" t="str">
        <f>IFERROR(__xludf.DUMMYFUNCTION("""COMPUTED_VALUE"""),"")</f>
        <v/>
      </c>
      <c r="K881" s="263" t="str">
        <f>IFERROR(__xludf.DUMMYFUNCTION("""COMPUTED_VALUE"""),"")</f>
        <v/>
      </c>
      <c r="L881" s="263" t="str">
        <f>IFERROR(__xludf.DUMMYFUNCTION("""COMPUTED_VALUE"""),"")</f>
        <v/>
      </c>
      <c r="M881" s="263"/>
      <c r="N881" s="263"/>
      <c r="O881" s="263"/>
      <c r="P881" s="263"/>
      <c r="Q881" s="263"/>
      <c r="R881" s="263"/>
      <c r="S881" s="263"/>
      <c r="T881" s="263"/>
      <c r="U881" s="246"/>
      <c r="V881" s="246"/>
      <c r="W881" s="246"/>
      <c r="X881" s="246"/>
      <c r="Y881" s="246"/>
      <c r="Z881" s="246"/>
    </row>
    <row r="882">
      <c r="A882" s="263"/>
      <c r="B882" s="267" t="str">
        <f>IFERROR(__xludf.DUMMYFUNCTION("""COMPUTED_VALUE"""),"Two Point Strike")</f>
        <v>Two Point Strike</v>
      </c>
      <c r="C882" s="263"/>
      <c r="D882" s="263" t="str">
        <f>IFERROR(__xludf.DUMMYFUNCTION("""COMPUTED_VALUE"""),"Unarmed Strike, Mystic Eye")</f>
        <v>Unarmed Strike, Mystic Eye</v>
      </c>
      <c r="E882" s="263" t="str">
        <f>IFERROR(__xludf.DUMMYFUNCTION("""COMPUTED_VALUE"""),"Melee Weapon Range")</f>
        <v>Melee Weapon Range</v>
      </c>
      <c r="F882" s="268" t="str">
        <f>IFERROR(__xludf.DUMMYFUNCTION("""COMPUTED_VALUE"""),"You may make a Light Attack against the target. On damage, you apply Wave Palm I.
Wave Palm increases the mana cost of the afflicted target’s next action that uses mana by an amount equal to the amount of stacks applied. If the triggering attack makes the"&amp;" number of total stacks exceed the target's current mana, they lose mana equal to the amount of total stacks and take true damage equal to triple this amount. Wave Palm does not stack with itself, use only the higher value.
If the target has no mana, they"&amp;" immediately take true damage as if their stacks exceeded their current mana.
When the Wave Palm effect triggers, either by increasing the mana cost or by dealing the true damage, the Wave Palm effect is removed.")</f>
        <v>You may make a Light Attack against the target. On damage, you apply Wave Palm I.
Wave Palm increases the mana cost of the afflicted target’s next action that uses mana by an amount equal to the amount of stacks applied. If the triggering attack makes the number of total stacks exceed the target's current mana, they lose mana equal to the amount of total stacks and take true damage equal to triple this amount. Wave Palm does not stack with itself, use only the higher value.
If the target has no mana, they immediately take true damage as if their stacks exceeded their current mana.
When the Wave Palm effect triggers, either by increasing the mana cost or by dealing the true damage, the Wave Palm effect is removed.</v>
      </c>
      <c r="G882" s="263" t="str">
        <f>IFERROR(__xludf.DUMMYFUNCTION("""COMPUTED_VALUE"""),"")</f>
        <v/>
      </c>
      <c r="H882" s="267" t="str">
        <f>IFERROR(__xludf.DUMMYFUNCTION("""COMPUTED_VALUE"""),"1 AP, 1 MP")</f>
        <v>1 AP, 1 MP</v>
      </c>
      <c r="I882" s="263" t="str">
        <f>IFERROR(__xludf.DUMMYFUNCTION("""COMPUTED_VALUE"""),"1 AP")</f>
        <v>1 AP</v>
      </c>
      <c r="J882" s="263" t="str">
        <f>IFERROR(__xludf.DUMMYFUNCTION("""COMPUTED_VALUE"""),"1 MP")</f>
        <v>1 MP</v>
      </c>
      <c r="K882" s="263" t="str">
        <f>IFERROR(__xludf.DUMMYFUNCTION("""COMPUTED_VALUE"""),"")</f>
        <v/>
      </c>
      <c r="L882" s="263" t="str">
        <f>IFERROR(__xludf.DUMMYFUNCTION("""COMPUTED_VALUE"""),"")</f>
        <v/>
      </c>
      <c r="M882" s="263"/>
      <c r="N882" s="263"/>
      <c r="O882" s="263"/>
      <c r="P882" s="263"/>
      <c r="Q882" s="263"/>
      <c r="R882" s="263"/>
      <c r="S882" s="263"/>
      <c r="T882" s="263"/>
      <c r="U882" s="246"/>
      <c r="V882" s="246"/>
      <c r="W882" s="246"/>
      <c r="X882" s="246"/>
      <c r="Y882" s="246"/>
      <c r="Z882" s="246"/>
    </row>
    <row r="883">
      <c r="A883" s="263"/>
      <c r="B883" s="267" t="str">
        <f>IFERROR(__xludf.DUMMYFUNCTION("""COMPUTED_VALUE"""),"Two Sword Crush")</f>
        <v>Two Sword Crush</v>
      </c>
      <c r="C883" s="263"/>
      <c r="D883" s="263" t="str">
        <f>IFERROR(__xludf.DUMMYFUNCTION("""COMPUTED_VALUE"""),"Rage, Augment")</f>
        <v>Rage, Augment</v>
      </c>
      <c r="E883" s="263" t="str">
        <f>IFERROR(__xludf.DUMMYFUNCTION("""COMPUTED_VALUE"""),"Melee Weapon Range")</f>
        <v>Melee Weapon Range</v>
      </c>
      <c r="F883" s="268" t="str">
        <f>IFERROR(__xludf.DUMMYFUNCTION("""COMPUTED_VALUE"""),"You may add your Light damage to the attack.")</f>
        <v>You may add your Light damage to the attack.</v>
      </c>
      <c r="G883" s="263" t="str">
        <f>IFERROR(__xludf.DUMMYFUNCTION("""COMPUTED_VALUE"""),"Can be used after hitting an attack with a Two-Handed melee weapon. Must be dual wielding a second Two-Handed melee weapon.")</f>
        <v>Can be used after hitting an attack with a Two-Handed melee weapon. Must be dual wielding a second Two-Handed melee weapon.</v>
      </c>
      <c r="H883" s="267" t="str">
        <f>IFERROR(__xludf.DUMMYFUNCTION("""COMPUTED_VALUE"""),"1 RP")</f>
        <v>1 RP</v>
      </c>
      <c r="I883" s="263" t="str">
        <f>IFERROR(__xludf.DUMMYFUNCTION("""COMPUTED_VALUE"""),"")</f>
        <v/>
      </c>
      <c r="J883" s="263" t="str">
        <f>IFERROR(__xludf.DUMMYFUNCTION("""COMPUTED_VALUE"""),"")</f>
        <v/>
      </c>
      <c r="K883" s="263" t="str">
        <f>IFERROR(__xludf.DUMMYFUNCTION("""COMPUTED_VALUE"""),"1 RP")</f>
        <v>1 RP</v>
      </c>
      <c r="L883" s="263" t="str">
        <f>IFERROR(__xludf.DUMMYFUNCTION("""COMPUTED_VALUE"""),"")</f>
        <v/>
      </c>
      <c r="M883" s="263"/>
      <c r="N883" s="263"/>
      <c r="O883" s="263"/>
      <c r="P883" s="263"/>
      <c r="Q883" s="263"/>
      <c r="R883" s="263"/>
      <c r="S883" s="263"/>
      <c r="T883" s="263"/>
      <c r="U883" s="246"/>
      <c r="V883" s="246"/>
      <c r="W883" s="246"/>
      <c r="X883" s="246"/>
      <c r="Y883" s="246"/>
      <c r="Z883" s="246"/>
    </row>
    <row r="884">
      <c r="A884" s="263"/>
      <c r="B884" s="267" t="str">
        <f>IFERROR(__xludf.DUMMYFUNCTION("""COMPUTED_VALUE"""),"Uke Nagashi")</f>
        <v>Uke Nagashi</v>
      </c>
      <c r="C884" s="263"/>
      <c r="D884" s="263" t="str">
        <f>IFERROR(__xludf.DUMMYFUNCTION("""COMPUTED_VALUE"""),"Counter, Iaijutsu")</f>
        <v>Counter, Iaijutsu</v>
      </c>
      <c r="E884" s="263" t="str">
        <f>IFERROR(__xludf.DUMMYFUNCTION("""COMPUTED_VALUE"""),"Melee Weapon Range")</f>
        <v>Melee Weapon Range</v>
      </c>
      <c r="F884" s="268" t="str">
        <f>IFERROR(__xludf.DUMMYFUNCTION("""COMPUTED_VALUE"""),"Roll Heavy Damage and treat that as your Block against the attack that’s targeting you. If you reduce the damage to 0, the attacker becomes Unbalanced. On hit effects and maces do not gain their effect if you reduce the damage to 0. After the attack is re"&amp;"solved, you may immediately make an Iai Strike against the attacker for 0 RP. This Iai Strike gains the Sure Hit keyword against an Unbalanced target.")</f>
        <v>Roll Heavy Damage and treat that as your Block against the attack that’s targeting you. If you reduce the damage to 0, the attacker becomes Unbalanced. On hit effects and maces do not gain their effect if you reduce the damage to 0. After the attack is resolved, you may immediately make an Iai Strike against the attacker for 0 RP. This Iai Strike gains the Sure Hit keyword against an Unbalanced target.</v>
      </c>
      <c r="G884" s="263" t="str">
        <f>IFERROR(__xludf.DUMMYFUNCTION("""COMPUTED_VALUE"""),"Katana only, target of a melee attack and must be in the Iai state.")</f>
        <v>Katana only, target of a melee attack and must be in the Iai state.</v>
      </c>
      <c r="H884" s="267" t="str">
        <f>IFERROR(__xludf.DUMMYFUNCTION("""COMPUTED_VALUE"""),"1 RP")</f>
        <v>1 RP</v>
      </c>
      <c r="I884" s="263" t="str">
        <f>IFERROR(__xludf.DUMMYFUNCTION("""COMPUTED_VALUE"""),"")</f>
        <v/>
      </c>
      <c r="J884" s="263" t="str">
        <f>IFERROR(__xludf.DUMMYFUNCTION("""COMPUTED_VALUE"""),"")</f>
        <v/>
      </c>
      <c r="K884" s="263" t="str">
        <f>IFERROR(__xludf.DUMMYFUNCTION("""COMPUTED_VALUE"""),"1 RP")</f>
        <v>1 RP</v>
      </c>
      <c r="L884" s="263" t="str">
        <f>IFERROR(__xludf.DUMMYFUNCTION("""COMPUTED_VALUE"""),"")</f>
        <v/>
      </c>
      <c r="M884" s="263"/>
      <c r="N884" s="263"/>
      <c r="O884" s="263"/>
      <c r="P884" s="263"/>
      <c r="Q884" s="263"/>
      <c r="R884" s="263"/>
      <c r="S884" s="263"/>
      <c r="T884" s="263"/>
      <c r="U884" s="246"/>
      <c r="V884" s="246"/>
      <c r="W884" s="246"/>
      <c r="X884" s="246"/>
      <c r="Y884" s="246"/>
      <c r="Z884" s="246"/>
    </row>
    <row r="885">
      <c r="A885" s="263"/>
      <c r="B885" s="267" t="str">
        <f>IFERROR(__xludf.DUMMYFUNCTION("""COMPUTED_VALUE"""),"Unconventional Weapon")</f>
        <v>Unconventional Weapon</v>
      </c>
      <c r="C885" s="263"/>
      <c r="D885" s="263" t="str">
        <f>IFERROR(__xludf.DUMMYFUNCTION("""COMPUTED_VALUE"""),"Quick, Augment")</f>
        <v>Quick, Augment</v>
      </c>
      <c r="E885" s="263" t="str">
        <f>IFERROR(__xludf.DUMMYFUNCTION("""COMPUTED_VALUE"""),"Self")</f>
        <v>Self</v>
      </c>
      <c r="F885" s="268" t="str">
        <f>IFERROR(__xludf.DUMMYFUNCTION("""COMPUTED_VALUE"""),"You may treat the weapon you’re currently wielding as a weapon of a different group for the next attack in addition to its normal group. In addition to receiving the base weapon properties of both weapon groups, this allows it to meet the requirements of "&amp;"abilities that require a certain group, and allows you to change its damage type to the chosen weapon’s damage type. The GM may rule that some abilities still cannot be performed with your equipped weapon.")</f>
        <v>You may treat the weapon you’re currently wielding as a weapon of a different group for the next attack in addition to its normal group. In addition to receiving the base weapon properties of both weapon groups, this allows it to meet the requirements of abilities that require a certain group, and allows you to change its damage type to the chosen weapon’s damage type. The GM may rule that some abilities still cannot be performed with your equipped weapon.</v>
      </c>
      <c r="G885" s="263" t="str">
        <f>IFERROR(__xludf.DUMMYFUNCTION("""COMPUTED_VALUE"""),"")</f>
        <v/>
      </c>
      <c r="H885" s="267" t="str">
        <f>IFERROR(__xludf.DUMMYFUNCTION("""COMPUTED_VALUE"""),"0 AP")</f>
        <v>0 AP</v>
      </c>
      <c r="I885" s="263" t="str">
        <f>IFERROR(__xludf.DUMMYFUNCTION("""COMPUTED_VALUE"""),"0 AP")</f>
        <v>0 AP</v>
      </c>
      <c r="J885" s="263" t="str">
        <f>IFERROR(__xludf.DUMMYFUNCTION("""COMPUTED_VALUE"""),"")</f>
        <v/>
      </c>
      <c r="K885" s="263" t="str">
        <f>IFERROR(__xludf.DUMMYFUNCTION("""COMPUTED_VALUE"""),"")</f>
        <v/>
      </c>
      <c r="L885" s="263" t="str">
        <f>IFERROR(__xludf.DUMMYFUNCTION("""COMPUTED_VALUE"""),"")</f>
        <v/>
      </c>
      <c r="M885" s="263"/>
      <c r="N885" s="263"/>
      <c r="O885" s="263"/>
      <c r="P885" s="263"/>
      <c r="Q885" s="263"/>
      <c r="R885" s="263"/>
      <c r="S885" s="263"/>
      <c r="T885" s="263"/>
      <c r="U885" s="246"/>
      <c r="V885" s="246"/>
      <c r="W885" s="246"/>
      <c r="X885" s="246"/>
      <c r="Y885" s="246"/>
      <c r="Z885" s="246"/>
    </row>
    <row r="886">
      <c r="A886" s="263"/>
      <c r="B886" s="267" t="str">
        <f>IFERROR(__xludf.DUMMYFUNCTION("""COMPUTED_VALUE"""),"Undying Justice")</f>
        <v>Undying Justice</v>
      </c>
      <c r="C886" s="263"/>
      <c r="D886" s="263" t="str">
        <f>IFERROR(__xludf.DUMMYFUNCTION("""COMPUTED_VALUE"""),"")</f>
        <v/>
      </c>
      <c r="E886" s="263" t="str">
        <f>IFERROR(__xludf.DUMMYFUNCTION("""COMPUTED_VALUE"""),"Self")</f>
        <v>Self</v>
      </c>
      <c r="F886" s="268" t="str">
        <f>IFERROR(__xludf.DUMMYFUNCTION("""COMPUTED_VALUE"""),"If the damage would reduce your HP to 0 or lower, it instead lowers your HP to 1.")</f>
        <v>If the damage would reduce your HP to 0 or lower, it instead lowers your HP to 1.</v>
      </c>
      <c r="G886" s="263" t="str">
        <f>IFERROR(__xludf.DUMMYFUNCTION("""COMPUTED_VALUE"""),"You take damage. Your HP is higher than 1.")</f>
        <v>You take damage. Your HP is higher than 1.</v>
      </c>
      <c r="H886" s="267" t="str">
        <f>IFERROR(__xludf.DUMMYFUNCTION("""COMPUTED_VALUE"""),"2 MP, 0 RP")</f>
        <v>2 MP, 0 RP</v>
      </c>
      <c r="I886" s="263" t="str">
        <f>IFERROR(__xludf.DUMMYFUNCTION("""COMPUTED_VALUE"""),"")</f>
        <v/>
      </c>
      <c r="J886" s="263" t="str">
        <f>IFERROR(__xludf.DUMMYFUNCTION("""COMPUTED_VALUE"""),"2 MP")</f>
        <v>2 MP</v>
      </c>
      <c r="K886" s="263" t="str">
        <f>IFERROR(__xludf.DUMMYFUNCTION("""COMPUTED_VALUE"""),"0 RP")</f>
        <v>0 RP</v>
      </c>
      <c r="L886" s="263" t="str">
        <f>IFERROR(__xludf.DUMMYFUNCTION("""COMPUTED_VALUE"""),"")</f>
        <v/>
      </c>
      <c r="M886" s="263"/>
      <c r="N886" s="263"/>
      <c r="O886" s="263"/>
      <c r="P886" s="263"/>
      <c r="Q886" s="263"/>
      <c r="R886" s="263"/>
      <c r="S886" s="263"/>
      <c r="T886" s="263"/>
      <c r="U886" s="246"/>
      <c r="V886" s="246"/>
      <c r="W886" s="246"/>
      <c r="X886" s="246"/>
      <c r="Y886" s="246"/>
      <c r="Z886" s="246"/>
    </row>
    <row r="887">
      <c r="A887" s="263"/>
      <c r="B887" s="267" t="str">
        <f>IFERROR(__xludf.DUMMYFUNCTION("""COMPUTED_VALUE"""),"Unerring Aim")</f>
        <v>Unerring Aim</v>
      </c>
      <c r="C887" s="263"/>
      <c r="D887" s="263" t="str">
        <f>IFERROR(__xludf.DUMMYFUNCTION("""COMPUTED_VALUE"""),"")</f>
        <v/>
      </c>
      <c r="E887" s="263" t="str">
        <f>IFERROR(__xludf.DUMMYFUNCTION("""COMPUTED_VALUE"""),"")</f>
        <v/>
      </c>
      <c r="F887" s="268" t="str">
        <f>IFERROR(__xludf.DUMMYFUNCTION("""COMPUTED_VALUE"""),"When you aim at an object not being worn or wielded within your ranged weapon range, you always hit your target.")</f>
        <v>When you aim at an object not being worn or wielded within your ranged weapon range, you always hit your target.</v>
      </c>
      <c r="G887" s="263" t="str">
        <f>IFERROR(__xludf.DUMMYFUNCTION("""COMPUTED_VALUE"""),"")</f>
        <v/>
      </c>
      <c r="H887" s="267" t="str">
        <f>IFERROR(__xludf.DUMMYFUNCTION("""COMPUTED_VALUE"""),"")</f>
        <v/>
      </c>
      <c r="I887" s="263" t="str">
        <f>IFERROR(__xludf.DUMMYFUNCTION("""COMPUTED_VALUE"""),"")</f>
        <v/>
      </c>
      <c r="J887" s="263" t="str">
        <f>IFERROR(__xludf.DUMMYFUNCTION("""COMPUTED_VALUE"""),"")</f>
        <v/>
      </c>
      <c r="K887" s="263" t="str">
        <f>IFERROR(__xludf.DUMMYFUNCTION("""COMPUTED_VALUE"""),"")</f>
        <v/>
      </c>
      <c r="L887" s="263" t="str">
        <f>IFERROR(__xludf.DUMMYFUNCTION("""COMPUTED_VALUE"""),"")</f>
        <v/>
      </c>
      <c r="M887" s="263"/>
      <c r="N887" s="263"/>
      <c r="O887" s="263"/>
      <c r="P887" s="263"/>
      <c r="Q887" s="263"/>
      <c r="R887" s="263"/>
      <c r="S887" s="263"/>
      <c r="T887" s="263"/>
      <c r="U887" s="246"/>
      <c r="V887" s="246"/>
      <c r="W887" s="246"/>
      <c r="X887" s="246"/>
      <c r="Y887" s="246"/>
      <c r="Z887" s="246"/>
    </row>
    <row r="888">
      <c r="A888" s="263"/>
      <c r="B888" s="267" t="str">
        <f>IFERROR(__xludf.DUMMYFUNCTION("""COMPUTED_VALUE"""),"Unholy Pact")</f>
        <v>Unholy Pact</v>
      </c>
      <c r="C888" s="263"/>
      <c r="D888" s="263" t="str">
        <f>IFERROR(__xludf.DUMMYFUNCTION("""COMPUTED_VALUE"""),"Healing")</f>
        <v>Healing</v>
      </c>
      <c r="E888" s="263" t="str">
        <f>IFERROR(__xludf.DUMMYFUNCTION("""COMPUTED_VALUE"""),"Self")</f>
        <v>Self</v>
      </c>
      <c r="F888" s="268" t="str">
        <f>IFERROR(__xludf.DUMMYFUNCTION("""COMPUTED_VALUE"""),"You remove your Bone Armor to heal yourself for Power x 2 and gain a +2 Power bonus on your next attack.")</f>
        <v>You remove your Bone Armor to heal yourself for Power x 2 and gain a +2 Power bonus on your next attack.</v>
      </c>
      <c r="G888" s="263" t="str">
        <f>IFERROR(__xludf.DUMMYFUNCTION("""COMPUTED_VALUE"""),"Bone Armor is active on you.")</f>
        <v>Bone Armor is active on you.</v>
      </c>
      <c r="H888" s="267" t="str">
        <f>IFERROR(__xludf.DUMMYFUNCTION("""COMPUTED_VALUE"""),"1 AP, 2 MP")</f>
        <v>1 AP, 2 MP</v>
      </c>
      <c r="I888" s="263" t="str">
        <f>IFERROR(__xludf.DUMMYFUNCTION("""COMPUTED_VALUE"""),"1 AP")</f>
        <v>1 AP</v>
      </c>
      <c r="J888" s="263" t="str">
        <f>IFERROR(__xludf.DUMMYFUNCTION("""COMPUTED_VALUE"""),"2 MP")</f>
        <v>2 MP</v>
      </c>
      <c r="K888" s="263" t="str">
        <f>IFERROR(__xludf.DUMMYFUNCTION("""COMPUTED_VALUE"""),"")</f>
        <v/>
      </c>
      <c r="L888" s="263" t="str">
        <f>IFERROR(__xludf.DUMMYFUNCTION("""COMPUTED_VALUE"""),"")</f>
        <v/>
      </c>
      <c r="M888" s="263"/>
      <c r="N888" s="263"/>
      <c r="O888" s="263"/>
      <c r="P888" s="263"/>
      <c r="Q888" s="263"/>
      <c r="R888" s="263"/>
      <c r="S888" s="263"/>
      <c r="T888" s="263"/>
      <c r="U888" s="246"/>
      <c r="V888" s="246"/>
      <c r="W888" s="246"/>
      <c r="X888" s="246"/>
      <c r="Y888" s="246"/>
      <c r="Z888" s="246"/>
    </row>
    <row r="889">
      <c r="A889" s="263"/>
      <c r="B889" s="267" t="str">
        <f>IFERROR(__xludf.DUMMYFUNCTION("""COMPUTED_VALUE"""),"Unmake")</f>
        <v>Unmake</v>
      </c>
      <c r="C889" s="263"/>
      <c r="D889" s="263" t="str">
        <f>IFERROR(__xludf.DUMMYFUNCTION("""COMPUTED_VALUE"""),"Mystic Eye")</f>
        <v>Mystic Eye</v>
      </c>
      <c r="E889" s="263" t="str">
        <f>IFERROR(__xludf.DUMMYFUNCTION("""COMPUTED_VALUE"""),"120ft")</f>
        <v>120ft</v>
      </c>
      <c r="F889" s="268" t="str">
        <f>IFERROR(__xludf.DUMMYFUNCTION("""COMPUTED_VALUE"""),"You target one magically created wall or unattended object within range. You instantly destroy a 5x5 square of it or the object entirely.")</f>
        <v>You target one magically created wall or unattended object within range. You instantly destroy a 5x5 square of it or the object entirely.</v>
      </c>
      <c r="G889" s="263" t="str">
        <f>IFERROR(__xludf.DUMMYFUNCTION("""COMPUTED_VALUE"""),"")</f>
        <v/>
      </c>
      <c r="H889" s="267" t="str">
        <f>IFERROR(__xludf.DUMMYFUNCTION("""COMPUTED_VALUE"""),"1 AP, 1 MP")</f>
        <v>1 AP, 1 MP</v>
      </c>
      <c r="I889" s="263" t="str">
        <f>IFERROR(__xludf.DUMMYFUNCTION("""COMPUTED_VALUE"""),"1 AP")</f>
        <v>1 AP</v>
      </c>
      <c r="J889" s="263" t="str">
        <f>IFERROR(__xludf.DUMMYFUNCTION("""COMPUTED_VALUE"""),"1 MP")</f>
        <v>1 MP</v>
      </c>
      <c r="K889" s="263" t="str">
        <f>IFERROR(__xludf.DUMMYFUNCTION("""COMPUTED_VALUE"""),"")</f>
        <v/>
      </c>
      <c r="L889" s="263" t="str">
        <f>IFERROR(__xludf.DUMMYFUNCTION("""COMPUTED_VALUE"""),"")</f>
        <v/>
      </c>
      <c r="M889" s="263"/>
      <c r="N889" s="263"/>
      <c r="O889" s="263"/>
      <c r="P889" s="263"/>
      <c r="Q889" s="263"/>
      <c r="R889" s="263"/>
      <c r="S889" s="263"/>
      <c r="T889" s="263"/>
      <c r="U889" s="246"/>
      <c r="V889" s="246"/>
      <c r="W889" s="246"/>
      <c r="X889" s="246"/>
      <c r="Y889" s="246"/>
      <c r="Z889" s="246"/>
    </row>
    <row r="890">
      <c r="A890" s="263"/>
      <c r="B890" s="267" t="str">
        <f>IFERROR(__xludf.DUMMYFUNCTION("""COMPUTED_VALUE"""),"Unrelenting Assault")</f>
        <v>Unrelenting Assault</v>
      </c>
      <c r="C890" s="263"/>
      <c r="D890" s="263" t="str">
        <f>IFERROR(__xludf.DUMMYFUNCTION("""COMPUTED_VALUE"""),"Rage")</f>
        <v>Rage</v>
      </c>
      <c r="E890" s="263" t="str">
        <f>IFERROR(__xludf.DUMMYFUNCTION("""COMPUTED_VALUE"""),"Melee Weapon Range")</f>
        <v>Melee Weapon Range</v>
      </c>
      <c r="F890" s="268" t="str">
        <f>IFERROR(__xludf.DUMMYFUNCTION("""COMPUTED_VALUE"""),"You may use this ability when an enemy willingly moves out of your melee weapon range to make a Heavy attack against them. You can use this even if they took the disengage action or a similar action that would not make them provoke attacks of opportunity."&amp;" If the target uses a teleport type move, then you cannot use this ability, unless they Teleport into your weapon range.
This is treated as an opportunity attack.")</f>
        <v>You may use this ability when an enemy willingly moves out of your melee weapon range to make a Heavy attack against them. You can use this even if they took the disengage action or a similar action that would not make them provoke attacks of opportunity. If the target uses a teleport type move, then you cannot use this ability, unless they Teleport into your weapon range.
This is treated as an opportunity attack.</v>
      </c>
      <c r="G890" s="263" t="str">
        <f>IFERROR(__xludf.DUMMYFUNCTION("""COMPUTED_VALUE"""),"An enemy moves out of your range.")</f>
        <v>An enemy moves out of your range.</v>
      </c>
      <c r="H890" s="267" t="str">
        <f>IFERROR(__xludf.DUMMYFUNCTION("""COMPUTED_VALUE"""),"1 RP")</f>
        <v>1 RP</v>
      </c>
      <c r="I890" s="263" t="str">
        <f>IFERROR(__xludf.DUMMYFUNCTION("""COMPUTED_VALUE"""),"")</f>
        <v/>
      </c>
      <c r="J890" s="263" t="str">
        <f>IFERROR(__xludf.DUMMYFUNCTION("""COMPUTED_VALUE"""),"")</f>
        <v/>
      </c>
      <c r="K890" s="263" t="str">
        <f>IFERROR(__xludf.DUMMYFUNCTION("""COMPUTED_VALUE"""),"1 RP")</f>
        <v>1 RP</v>
      </c>
      <c r="L890" s="263" t="str">
        <f>IFERROR(__xludf.DUMMYFUNCTION("""COMPUTED_VALUE"""),"")</f>
        <v/>
      </c>
      <c r="M890" s="263"/>
      <c r="N890" s="263"/>
      <c r="O890" s="263"/>
      <c r="P890" s="263"/>
      <c r="Q890" s="263"/>
      <c r="R890" s="263"/>
      <c r="S890" s="263"/>
      <c r="T890" s="263"/>
      <c r="U890" s="246"/>
      <c r="V890" s="246"/>
      <c r="W890" s="246"/>
      <c r="X890" s="246"/>
      <c r="Y890" s="246"/>
      <c r="Z890" s="246"/>
    </row>
    <row r="891">
      <c r="A891" s="263"/>
      <c r="B891" s="267" t="str">
        <f>IFERROR(__xludf.DUMMYFUNCTION("""COMPUTED_VALUE"""),"Unsummon")</f>
        <v>Unsummon</v>
      </c>
      <c r="C891" s="263"/>
      <c r="D891" s="263" t="str">
        <f>IFERROR(__xludf.DUMMYFUNCTION("""COMPUTED_VALUE"""),"Encounter Conclusion")</f>
        <v>Encounter Conclusion</v>
      </c>
      <c r="E891" s="263" t="str">
        <f>IFERROR(__xludf.DUMMYFUNCTION("""COMPUTED_VALUE"""),"Self")</f>
        <v>Self</v>
      </c>
      <c r="F891" s="268" t="str">
        <f>IFERROR(__xludf.DUMMYFUNCTION("""COMPUTED_VALUE"""),"Unsummon your Eidolon or Lesser Eidolon.  Recover mana equal to half of the mana cost of the summon cost.
You may use this as an Encounter Conclusion action.")</f>
        <v>Unsummon your Eidolon or Lesser Eidolon.  Recover mana equal to half of the mana cost of the summon cost.
You may use this as an Encounter Conclusion action.</v>
      </c>
      <c r="G891" s="263" t="str">
        <f>IFERROR(__xludf.DUMMYFUNCTION("""COMPUTED_VALUE"""),"You have an active Eidolon or Lesser Eidolon.")</f>
        <v>You have an active Eidolon or Lesser Eidolon.</v>
      </c>
      <c r="H891" s="267" t="str">
        <f>IFERROR(__xludf.DUMMYFUNCTION("""COMPUTED_VALUE"""),"3 AP")</f>
        <v>3 AP</v>
      </c>
      <c r="I891" s="263" t="str">
        <f>IFERROR(__xludf.DUMMYFUNCTION("""COMPUTED_VALUE"""),"3 AP")</f>
        <v>3 AP</v>
      </c>
      <c r="J891" s="263" t="str">
        <f>IFERROR(__xludf.DUMMYFUNCTION("""COMPUTED_VALUE"""),"")</f>
        <v/>
      </c>
      <c r="K891" s="263" t="str">
        <f>IFERROR(__xludf.DUMMYFUNCTION("""COMPUTED_VALUE"""),"")</f>
        <v/>
      </c>
      <c r="L891" s="263" t="str">
        <f>IFERROR(__xludf.DUMMYFUNCTION("""COMPUTED_VALUE"""),"")</f>
        <v/>
      </c>
      <c r="M891" s="263"/>
      <c r="N891" s="263"/>
      <c r="O891" s="263"/>
      <c r="P891" s="263"/>
      <c r="Q891" s="263"/>
      <c r="R891" s="263"/>
      <c r="S891" s="263"/>
      <c r="T891" s="263"/>
      <c r="U891" s="246"/>
      <c r="V891" s="246"/>
      <c r="W891" s="246"/>
      <c r="X891" s="246"/>
      <c r="Y891" s="246"/>
      <c r="Z891" s="246"/>
    </row>
    <row r="892">
      <c r="A892" s="263"/>
      <c r="B892" s="267" t="str">
        <f>IFERROR(__xludf.DUMMYFUNCTION("""COMPUTED_VALUE"""),"Until My Voice Breaks")</f>
        <v>Until My Voice Breaks</v>
      </c>
      <c r="C892" s="263"/>
      <c r="D892" s="263" t="str">
        <f>IFERROR(__xludf.DUMMYFUNCTION("""COMPUTED_VALUE"""),"")</f>
        <v/>
      </c>
      <c r="E892" s="263" t="str">
        <f>IFERROR(__xludf.DUMMYFUNCTION("""COMPUTED_VALUE"""),"")</f>
        <v/>
      </c>
      <c r="F892" s="268" t="str">
        <f>IFERROR(__xludf.DUMMYFUNCTION("""COMPUTED_VALUE"""),"Whenever you’re about to pay mana on one of your abilities with the Idol keyword, you may instead reduce your current and max HP by 8 for each mana you’d spend.
This max HP reduction lasts until the end of the encounter and cannot be removed.")</f>
        <v>Whenever you’re about to pay mana on one of your abilities with the Idol keyword, you may instead reduce your current and max HP by 8 for each mana you’d spend.
This max HP reduction lasts until the end of the encounter and cannot be removed.</v>
      </c>
      <c r="G892" s="263" t="str">
        <f>IFERROR(__xludf.DUMMYFUNCTION("""COMPUTED_VALUE"""),"")</f>
        <v/>
      </c>
      <c r="H892" s="267" t="str">
        <f>IFERROR(__xludf.DUMMYFUNCTION("""COMPUTED_VALUE"""),"")</f>
        <v/>
      </c>
      <c r="I892" s="263" t="str">
        <f>IFERROR(__xludf.DUMMYFUNCTION("""COMPUTED_VALUE"""),"")</f>
        <v/>
      </c>
      <c r="J892" s="263" t="str">
        <f>IFERROR(__xludf.DUMMYFUNCTION("""COMPUTED_VALUE"""),"")</f>
        <v/>
      </c>
      <c r="K892" s="263" t="str">
        <f>IFERROR(__xludf.DUMMYFUNCTION("""COMPUTED_VALUE"""),"")</f>
        <v/>
      </c>
      <c r="L892" s="263" t="str">
        <f>IFERROR(__xludf.DUMMYFUNCTION("""COMPUTED_VALUE"""),"")</f>
        <v/>
      </c>
      <c r="M892" s="263"/>
      <c r="N892" s="263"/>
      <c r="O892" s="263"/>
      <c r="P892" s="263"/>
      <c r="Q892" s="263"/>
      <c r="R892" s="263"/>
      <c r="S892" s="263"/>
      <c r="T892" s="263"/>
      <c r="U892" s="246"/>
      <c r="V892" s="246"/>
      <c r="W892" s="246"/>
      <c r="X892" s="246"/>
      <c r="Y892" s="246"/>
      <c r="Z892" s="246"/>
    </row>
    <row r="893">
      <c r="A893" s="263"/>
      <c r="B893" s="267" t="str">
        <f>IFERROR(__xludf.DUMMYFUNCTION("""COMPUTED_VALUE"""),"Vampire Bite")</f>
        <v>Vampire Bite</v>
      </c>
      <c r="C893" s="263"/>
      <c r="D893" s="263" t="str">
        <f>IFERROR(__xludf.DUMMYFUNCTION("""COMPUTED_VALUE"""),"Unarmed Strike")</f>
        <v>Unarmed Strike</v>
      </c>
      <c r="E893" s="263" t="str">
        <f>IFERROR(__xludf.DUMMYFUNCTION("""COMPUTED_VALUE"""),"5ft")</f>
        <v>5ft</v>
      </c>
      <c r="F893" s="268" t="str">
        <f>IFERROR(__xludf.DUMMYFUNCTION("""COMPUTED_VALUE"""),"You may make a Light Attack against the target. On damage, you drain 1 mana from the target, recovering 1 mana yourself. If the target has no mana remaining, you instead deal an additional Light damage.
This unarmed strike must be made with your fangs, bu"&amp;"t may be made even with both hands full.
Damage done by this ability also reduces the target’s max HP until the target finishes a rest.
A target reduced to 0 HP by this ability is killed and if the target was a heroic unit, it has a chance (GM’s decision)"&amp;" to turn into a vampire subservient to you.
If the target has any mana remaining and is a willing target, you may choose to not deal damage with this attack.")</f>
        <v>You may make a Light Attack against the target. On damage, you drain 1 mana from the target, recovering 1 mana yourself. If the target has no mana remaining, you instead deal an additional Light damage.
This unarmed strike must be made with your fangs, but may be made even with both hands full.
Damage done by this ability also reduces the target’s max HP until the target finishes a rest.
A target reduced to 0 HP by this ability is killed and if the target was a heroic unit, it has a chance (GM’s decision) to turn into a vampire subservient to you.
If the target has any mana remaining and is a willing target, you may choose to not deal damage with this attack.</v>
      </c>
      <c r="G893" s="263" t="str">
        <f>IFERROR(__xludf.DUMMYFUNCTION("""COMPUTED_VALUE"""),"")</f>
        <v/>
      </c>
      <c r="H893" s="267" t="str">
        <f>IFERROR(__xludf.DUMMYFUNCTION("""COMPUTED_VALUE"""),"4 AP")</f>
        <v>4 AP</v>
      </c>
      <c r="I893" s="263" t="str">
        <f>IFERROR(__xludf.DUMMYFUNCTION("""COMPUTED_VALUE"""),"4 AP")</f>
        <v>4 AP</v>
      </c>
      <c r="J893" s="263" t="str">
        <f>IFERROR(__xludf.DUMMYFUNCTION("""COMPUTED_VALUE"""),"")</f>
        <v/>
      </c>
      <c r="K893" s="263" t="str">
        <f>IFERROR(__xludf.DUMMYFUNCTION("""COMPUTED_VALUE"""),"")</f>
        <v/>
      </c>
      <c r="L893" s="263" t="str">
        <f>IFERROR(__xludf.DUMMYFUNCTION("""COMPUTED_VALUE"""),"")</f>
        <v/>
      </c>
      <c r="M893" s="263"/>
      <c r="N893" s="263"/>
      <c r="O893" s="263"/>
      <c r="P893" s="263"/>
      <c r="Q893" s="263"/>
      <c r="R893" s="263"/>
      <c r="S893" s="263"/>
      <c r="T893" s="263"/>
      <c r="U893" s="246"/>
      <c r="V893" s="246"/>
      <c r="W893" s="246"/>
      <c r="X893" s="246"/>
      <c r="Y893" s="246"/>
      <c r="Z893" s="246"/>
    </row>
    <row r="894">
      <c r="A894" s="263"/>
      <c r="B894" s="267" t="str">
        <f>IFERROR(__xludf.DUMMYFUNCTION("""COMPUTED_VALUE"""),"Vampire Shapeshift")</f>
        <v>Vampire Shapeshift</v>
      </c>
      <c r="C894" s="263"/>
      <c r="D894" s="263" t="str">
        <f>IFERROR(__xludf.DUMMYFUNCTION("""COMPUTED_VALUE"""),"Concentration")</f>
        <v>Concentration</v>
      </c>
      <c r="E894" s="263" t="str">
        <f>IFERROR(__xludf.DUMMYFUNCTION("""COMPUTED_VALUE"""),"Self")</f>
        <v>Self</v>
      </c>
      <c r="F894" s="268" t="str">
        <f>IFERROR(__xludf.DUMMYFUNCTION("""COMPUTED_VALUE"""),"You are able to change your form to that of a rat or bat.
While in this form, your size changes to that of the chosen animal and you are treated as a normal animal of that type. You cannot make any attacks or use any abilities while in this form.
You may "&amp;"exit this form at any time for 0 RP.")</f>
        <v>You are able to change your form to that of a rat or bat.
While in this form, your size changes to that of the chosen animal and you are treated as a normal animal of that type. You cannot make any attacks or use any abilities while in this form.
You may exit this form at any time for 0 RP.</v>
      </c>
      <c r="G894" s="263" t="str">
        <f>IFERROR(__xludf.DUMMYFUNCTION("""COMPUTED_VALUE"""),"")</f>
        <v/>
      </c>
      <c r="H894" s="267" t="str">
        <f>IFERROR(__xludf.DUMMYFUNCTION("""COMPUTED_VALUE"""),"0 AP, 1 MP")</f>
        <v>0 AP, 1 MP</v>
      </c>
      <c r="I894" s="263" t="str">
        <f>IFERROR(__xludf.DUMMYFUNCTION("""COMPUTED_VALUE"""),"0 AP")</f>
        <v>0 AP</v>
      </c>
      <c r="J894" s="263" t="str">
        <f>IFERROR(__xludf.DUMMYFUNCTION("""COMPUTED_VALUE"""),"1 MP")</f>
        <v>1 MP</v>
      </c>
      <c r="K894" s="263" t="str">
        <f>IFERROR(__xludf.DUMMYFUNCTION("""COMPUTED_VALUE"""),"")</f>
        <v/>
      </c>
      <c r="L894" s="263" t="str">
        <f>IFERROR(__xludf.DUMMYFUNCTION("""COMPUTED_VALUE"""),"")</f>
        <v/>
      </c>
      <c r="M894" s="263"/>
      <c r="N894" s="263"/>
      <c r="O894" s="263"/>
      <c r="P894" s="263"/>
      <c r="Q894" s="263"/>
      <c r="R894" s="263"/>
      <c r="S894" s="263"/>
      <c r="T894" s="263"/>
      <c r="U894" s="246"/>
      <c r="V894" s="246"/>
      <c r="W894" s="246"/>
      <c r="X894" s="246"/>
      <c r="Y894" s="246"/>
      <c r="Z894" s="246"/>
    </row>
    <row r="895">
      <c r="A895" s="263"/>
      <c r="B895" s="267" t="str">
        <f>IFERROR(__xludf.DUMMYFUNCTION("""COMPUTED_VALUE"""),"Vampiric Domination")</f>
        <v>Vampiric Domination</v>
      </c>
      <c r="C895" s="263"/>
      <c r="D895" s="263" t="str">
        <f>IFERROR(__xludf.DUMMYFUNCTION("""COMPUTED_VALUE"""),"")</f>
        <v/>
      </c>
      <c r="E895" s="263" t="str">
        <f>IFERROR(__xludf.DUMMYFUNCTION("""COMPUTED_VALUE"""),"20ft")</f>
        <v>20ft</v>
      </c>
      <c r="F895" s="268" t="str">
        <f>IFERROR(__xludf.DUMMYFUNCTION("""COMPUTED_VALUE"""),"You mentally dominate the target. The target immediately considers you their master and they will serve you like a loyal servant. You may command them and they will obey most commands. Any command that is obviously suicidal or completely goes against thei"&amp;"r nature (for example: telling a servant to jump off a cliff or to kill their own child) will end the domination prematurely. This effect lasts until dispelled, they die or until you use Vampiric Domination on another target.
After the effect ends, the ta"&amp;"rget will remember everything it was forced to do while it was your servant and it cannot be affected by Vampiric Domination again for a year.")</f>
        <v>You mentally dominate the target. The target immediately considers you their master and they will serve you like a loyal servant. You may command them and they will obey most commands. Any command that is obviously suicidal or completely goes against their nature (for example: telling a servant to jump off a cliff or to kill their own child) will end the domination prematurely. This effect lasts until dispelled, they die or until you use Vampiric Domination on another target.
After the effect ends, the target will remember everything it was forced to do while it was your servant and it cannot be affected by Vampiric Domination again for a year.</v>
      </c>
      <c r="G895" s="263" t="str">
        <f>IFERROR(__xludf.DUMMYFUNCTION("""COMPUTED_VALUE"""),"Target must be under the effects of Vampiric Fascination")</f>
        <v>Target must be under the effects of Vampiric Fascination</v>
      </c>
      <c r="H895" s="267" t="str">
        <f>IFERROR(__xludf.DUMMYFUNCTION("""COMPUTED_VALUE"""),"4 AP")</f>
        <v>4 AP</v>
      </c>
      <c r="I895" s="263" t="str">
        <f>IFERROR(__xludf.DUMMYFUNCTION("""COMPUTED_VALUE"""),"4 AP")</f>
        <v>4 AP</v>
      </c>
      <c r="J895" s="263" t="str">
        <f>IFERROR(__xludf.DUMMYFUNCTION("""COMPUTED_VALUE"""),"")</f>
        <v/>
      </c>
      <c r="K895" s="263" t="str">
        <f>IFERROR(__xludf.DUMMYFUNCTION("""COMPUTED_VALUE"""),"")</f>
        <v/>
      </c>
      <c r="L895" s="263" t="str">
        <f>IFERROR(__xludf.DUMMYFUNCTION("""COMPUTED_VALUE"""),"")</f>
        <v/>
      </c>
      <c r="M895" s="263"/>
      <c r="N895" s="263"/>
      <c r="O895" s="263"/>
      <c r="P895" s="263"/>
      <c r="Q895" s="263"/>
      <c r="R895" s="263"/>
      <c r="S895" s="263"/>
      <c r="T895" s="263"/>
      <c r="U895" s="246"/>
      <c r="V895" s="246"/>
      <c r="W895" s="246"/>
      <c r="X895" s="246"/>
      <c r="Y895" s="246"/>
      <c r="Z895" s="246"/>
    </row>
    <row r="896">
      <c r="A896" s="263"/>
      <c r="B896" s="267" t="str">
        <f>IFERROR(__xludf.DUMMYFUNCTION("""COMPUTED_VALUE"""),"Vampiric Fascination")</f>
        <v>Vampiric Fascination</v>
      </c>
      <c r="C896" s="263"/>
      <c r="D896" s="263" t="str">
        <f>IFERROR(__xludf.DUMMYFUNCTION("""COMPUTED_VALUE"""),"Mind Affecting")</f>
        <v>Mind Affecting</v>
      </c>
      <c r="E896" s="263" t="str">
        <f>IFERROR(__xludf.DUMMYFUNCTION("""COMPUTED_VALUE"""),"40ft")</f>
        <v>40ft</v>
      </c>
      <c r="F896" s="268" t="str">
        <f>IFERROR(__xludf.DUMMYFUNCTION("""COMPUTED_VALUE"""),"You charm a non-heroic creature within range. While charmed, the target must spend its AP during its turns on moving towards you in the most direct path possible while avoiding any dangers it is aware of. If it is already next to you, it instead takes no "&amp;"actions.
At the start of your next turn, you may spend 4 AP to continue the charm. If so, the charm continues until you stop paying the AP cost or until the target takes damage from an attack other than a Vampire Bite.
While you have a target under the in"&amp;"fluence of Vampiric Fascination, your Vampire Bite costs 0 AP and has Sure Hit plus Full Pierce against that target the first time you use it each turn.")</f>
        <v>You charm a non-heroic creature within range. While charmed, the target must spend its AP during its turns on moving towards you in the most direct path possible while avoiding any dangers it is aware of. If it is already next to you, it instead takes no actions.
At the start of your next turn, you may spend 4 AP to continue the charm. If so, the charm continues until you stop paying the AP cost or until the target takes damage from an attack other than a Vampire Bite.
While you have a target under the influence of Vampiric Fascination, your Vampire Bite costs 0 AP and has Sure Hit plus Full Pierce against that target the first time you use it each turn.</v>
      </c>
      <c r="G896" s="263" t="str">
        <f>IFERROR(__xludf.DUMMYFUNCTION("""COMPUTED_VALUE"""),"Target must be able to see or hear you, Target must be non-heroic.")</f>
        <v>Target must be able to see or hear you, Target must be non-heroic.</v>
      </c>
      <c r="H896" s="267" t="str">
        <f>IFERROR(__xludf.DUMMYFUNCTION("""COMPUTED_VALUE"""),"4 AP")</f>
        <v>4 AP</v>
      </c>
      <c r="I896" s="263" t="str">
        <f>IFERROR(__xludf.DUMMYFUNCTION("""COMPUTED_VALUE"""),"4 AP")</f>
        <v>4 AP</v>
      </c>
      <c r="J896" s="263" t="str">
        <f>IFERROR(__xludf.DUMMYFUNCTION("""COMPUTED_VALUE"""),"")</f>
        <v/>
      </c>
      <c r="K896" s="263" t="str">
        <f>IFERROR(__xludf.DUMMYFUNCTION("""COMPUTED_VALUE"""),"")</f>
        <v/>
      </c>
      <c r="L896" s="263" t="str">
        <f>IFERROR(__xludf.DUMMYFUNCTION("""COMPUTED_VALUE"""),"")</f>
        <v/>
      </c>
      <c r="M896" s="263"/>
      <c r="N896" s="263"/>
      <c r="O896" s="263"/>
      <c r="P896" s="263"/>
      <c r="Q896" s="263"/>
      <c r="R896" s="263"/>
      <c r="S896" s="263"/>
      <c r="T896" s="263"/>
      <c r="U896" s="246"/>
      <c r="V896" s="246"/>
      <c r="W896" s="246"/>
      <c r="X896" s="246"/>
      <c r="Y896" s="246"/>
      <c r="Z896" s="246"/>
    </row>
    <row r="897">
      <c r="A897" s="263"/>
      <c r="B897" s="267" t="str">
        <f>IFERROR(__xludf.DUMMYFUNCTION("""COMPUTED_VALUE"""),"Vanish")</f>
        <v>Vanish</v>
      </c>
      <c r="C897" s="263"/>
      <c r="D897" s="263" t="str">
        <f>IFERROR(__xludf.DUMMYFUNCTION("""COMPUTED_VALUE"""),"Shadow, Hiding, Stealth")</f>
        <v>Shadow, Hiding, Stealth</v>
      </c>
      <c r="E897" s="263" t="str">
        <f>IFERROR(__xludf.DUMMYFUNCTION("""COMPUTED_VALUE"""),"Self")</f>
        <v>Self</v>
      </c>
      <c r="F897" s="268" t="str">
        <f>IFERROR(__xludf.DUMMYFUNCTION("""COMPUTED_VALUE"""),"You gain the Hiding state from anyone you have cover or concealment from.
During the night, the mana cost of this is reduced by 1.")</f>
        <v>You gain the Hiding state from anyone you have cover or concealment from.
During the night, the mana cost of this is reduced by 1.</v>
      </c>
      <c r="G897" s="263" t="str">
        <f>IFERROR(__xludf.DUMMYFUNCTION("""COMPUTED_VALUE"""),"")</f>
        <v/>
      </c>
      <c r="H897" s="267" t="str">
        <f>IFERROR(__xludf.DUMMYFUNCTION("""COMPUTED_VALUE"""),"1 MP, 1 RP")</f>
        <v>1 MP, 1 RP</v>
      </c>
      <c r="I897" s="263" t="str">
        <f>IFERROR(__xludf.DUMMYFUNCTION("""COMPUTED_VALUE"""),"")</f>
        <v/>
      </c>
      <c r="J897" s="263" t="str">
        <f>IFERROR(__xludf.DUMMYFUNCTION("""COMPUTED_VALUE"""),"1 MP")</f>
        <v>1 MP</v>
      </c>
      <c r="K897" s="263" t="str">
        <f>IFERROR(__xludf.DUMMYFUNCTION("""COMPUTED_VALUE"""),"1 RP")</f>
        <v>1 RP</v>
      </c>
      <c r="L897" s="263" t="str">
        <f>IFERROR(__xludf.DUMMYFUNCTION("""COMPUTED_VALUE"""),"")</f>
        <v/>
      </c>
      <c r="M897" s="263"/>
      <c r="N897" s="263"/>
      <c r="O897" s="263"/>
      <c r="P897" s="263"/>
      <c r="Q897" s="263"/>
      <c r="R897" s="263"/>
      <c r="S897" s="263"/>
      <c r="T897" s="263"/>
      <c r="U897" s="246"/>
      <c r="V897" s="246"/>
      <c r="W897" s="246"/>
      <c r="X897" s="246"/>
      <c r="Y897" s="246"/>
      <c r="Z897" s="246"/>
    </row>
    <row r="898">
      <c r="A898" s="263"/>
      <c r="B898" s="267" t="str">
        <f>IFERROR(__xludf.DUMMYFUNCTION("""COMPUTED_VALUE"""),"Vengeance")</f>
        <v>Vengeance</v>
      </c>
      <c r="C898" s="263"/>
      <c r="D898" s="263" t="str">
        <f>IFERROR(__xludf.DUMMYFUNCTION("""COMPUTED_VALUE"""),"Lock On, Block Crush")</f>
        <v>Lock On, Block Crush</v>
      </c>
      <c r="E898" s="263" t="str">
        <f>IFERROR(__xludf.DUMMYFUNCTION("""COMPUTED_VALUE"""),"Weapon Range")</f>
        <v>Weapon Range</v>
      </c>
      <c r="F898" s="268" t="str">
        <f>IFERROR(__xludf.DUMMYFUNCTION("""COMPUTED_VALUE"""),"You may make a Heavy Attack against the target. If your VIP is at 0 HP or lower, this attack gains Lock On and Guard Crush.")</f>
        <v>You may make a Heavy Attack against the target. If your VIP is at 0 HP or lower, this attack gains Lock On and Guard Crush.</v>
      </c>
      <c r="G898" s="263" t="str">
        <f>IFERROR(__xludf.DUMMYFUNCTION("""COMPUTED_VALUE"""),"Your VIP was attacked last turn and you re-directed an attack from them to you or your VIP is downed.")</f>
        <v>Your VIP was attacked last turn and you re-directed an attack from them to you or your VIP is downed.</v>
      </c>
      <c r="H898" s="267" t="str">
        <f>IFERROR(__xludf.DUMMYFUNCTION("""COMPUTED_VALUE"""),"1 AP")</f>
        <v>1 AP</v>
      </c>
      <c r="I898" s="263" t="str">
        <f>IFERROR(__xludf.DUMMYFUNCTION("""COMPUTED_VALUE"""),"1 AP")</f>
        <v>1 AP</v>
      </c>
      <c r="J898" s="263" t="str">
        <f>IFERROR(__xludf.DUMMYFUNCTION("""COMPUTED_VALUE"""),"")</f>
        <v/>
      </c>
      <c r="K898" s="263" t="str">
        <f>IFERROR(__xludf.DUMMYFUNCTION("""COMPUTED_VALUE"""),"")</f>
        <v/>
      </c>
      <c r="L898" s="263" t="str">
        <f>IFERROR(__xludf.DUMMYFUNCTION("""COMPUTED_VALUE"""),"")</f>
        <v/>
      </c>
      <c r="M898" s="263"/>
      <c r="N898" s="263"/>
      <c r="O898" s="263"/>
      <c r="P898" s="263"/>
      <c r="Q898" s="263"/>
      <c r="R898" s="263"/>
      <c r="S898" s="263"/>
      <c r="T898" s="263"/>
      <c r="U898" s="246"/>
      <c r="V898" s="246"/>
      <c r="W898" s="246"/>
      <c r="X898" s="246"/>
      <c r="Y898" s="246"/>
      <c r="Z898" s="246"/>
    </row>
    <row r="899">
      <c r="A899" s="263"/>
      <c r="B899" s="267" t="str">
        <f>IFERROR(__xludf.DUMMYFUNCTION("""COMPUTED_VALUE"""),"Venom Strike")</f>
        <v>Venom Strike</v>
      </c>
      <c r="C899" s="263"/>
      <c r="D899" s="263" t="str">
        <f>IFERROR(__xludf.DUMMYFUNCTION("""COMPUTED_VALUE"""),"Poison, Rapid, Toxic")</f>
        <v>Poison, Rapid, Toxic</v>
      </c>
      <c r="E899" s="263" t="str">
        <f>IFERROR(__xludf.DUMMYFUNCTION("""COMPUTED_VALUE"""),"Weapon Range")</f>
        <v>Weapon Range</v>
      </c>
      <c r="F899" s="268" t="str">
        <f>IFERROR(__xludf.DUMMYFUNCTION("""COMPUTED_VALUE"""),"You make a Light attack against the target. On damage, inflicts the enemy with Toxic, making them take 1d6 full pierce Poison damage at the start of their turn until they spend 2 AP to remove the poison effect.")</f>
        <v>You make a Light attack against the target. On damage, inflicts the enemy with Toxic, making them take 1d6 full pierce Poison damage at the start of their turn until they spend 2 AP to remove the poison effect.</v>
      </c>
      <c r="G899" s="263" t="str">
        <f>IFERROR(__xludf.DUMMYFUNCTION("""COMPUTED_VALUE"""),"Must be made with a melee weapon or with a Set of Missiles, Throwing Weapon or Thrown attack with small weapon only.")</f>
        <v>Must be made with a melee weapon or with a Set of Missiles, Throwing Weapon or Thrown attack with small weapon only.</v>
      </c>
      <c r="H899" s="267" t="str">
        <f>IFERROR(__xludf.DUMMYFUNCTION("""COMPUTED_VALUE"""),"1 AP, 1 MP")</f>
        <v>1 AP, 1 MP</v>
      </c>
      <c r="I899" s="263" t="str">
        <f>IFERROR(__xludf.DUMMYFUNCTION("""COMPUTED_VALUE"""),"1 AP")</f>
        <v>1 AP</v>
      </c>
      <c r="J899" s="263" t="str">
        <f>IFERROR(__xludf.DUMMYFUNCTION("""COMPUTED_VALUE"""),"1 MP")</f>
        <v>1 MP</v>
      </c>
      <c r="K899" s="263" t="str">
        <f>IFERROR(__xludf.DUMMYFUNCTION("""COMPUTED_VALUE"""),"")</f>
        <v/>
      </c>
      <c r="L899" s="263" t="str">
        <f>IFERROR(__xludf.DUMMYFUNCTION("""COMPUTED_VALUE"""),"")</f>
        <v/>
      </c>
      <c r="M899" s="263"/>
      <c r="N899" s="263"/>
      <c r="O899" s="263"/>
      <c r="P899" s="263"/>
      <c r="Q899" s="263"/>
      <c r="R899" s="263"/>
      <c r="S899" s="263"/>
      <c r="T899" s="263"/>
      <c r="U899" s="246"/>
      <c r="V899" s="246"/>
      <c r="W899" s="246"/>
      <c r="X899" s="246"/>
      <c r="Y899" s="246"/>
      <c r="Z899" s="246"/>
    </row>
    <row r="900">
      <c r="A900" s="263"/>
      <c r="B900" s="267" t="str">
        <f>IFERROR(__xludf.DUMMYFUNCTION("""COMPUTED_VALUE"""),"Verdant Instinct")</f>
        <v>Verdant Instinct</v>
      </c>
      <c r="C900" s="263"/>
      <c r="D900" s="263" t="str">
        <f>IFERROR(__xludf.DUMMYFUNCTION("""COMPUTED_VALUE"""),"")</f>
        <v/>
      </c>
      <c r="E900" s="263" t="str">
        <f>IFERROR(__xludf.DUMMYFUNCTION("""COMPUTED_VALUE"""),"")</f>
        <v/>
      </c>
      <c r="F900" s="268" t="str">
        <f>IFERROR(__xludf.DUMMYFUNCTION("""COMPUTED_VALUE"""),"Make a gathering check and apply it to NP. After rolling, roll two more dice that will be used as your next 2 strike dice values. You may reorder them or replace one with a 5.")</f>
        <v>Make a gathering check and apply it to NP. After rolling, roll two more dice that will be used as your next 2 strike dice values. You may reorder them or replace one with a 5.</v>
      </c>
      <c r="G900" s="263" t="str">
        <f>IFERROR(__xludf.DUMMYFUNCTION("""COMPUTED_VALUE"""),"Must be in a gathering session.")</f>
        <v>Must be in a gathering session.</v>
      </c>
      <c r="H900" s="267" t="str">
        <f>IFERROR(__xludf.DUMMYFUNCTION("""COMPUTED_VALUE"""),"1 Strike Dice")</f>
        <v>1 Strike Dice</v>
      </c>
      <c r="I900" s="263" t="str">
        <f>IFERROR(__xludf.DUMMYFUNCTION("""COMPUTED_VALUE"""),"")</f>
        <v/>
      </c>
      <c r="J900" s="263" t="str">
        <f>IFERROR(__xludf.DUMMYFUNCTION("""COMPUTED_VALUE"""),"")</f>
        <v/>
      </c>
      <c r="K900" s="263" t="str">
        <f>IFERROR(__xludf.DUMMYFUNCTION("""COMPUTED_VALUE"""),"")</f>
        <v/>
      </c>
      <c r="L900" s="263" t="str">
        <f>IFERROR(__xludf.DUMMYFUNCTION("""COMPUTED_VALUE"""),"")</f>
        <v/>
      </c>
      <c r="M900" s="263"/>
      <c r="N900" s="263"/>
      <c r="O900" s="263"/>
      <c r="P900" s="263"/>
      <c r="Q900" s="263"/>
      <c r="R900" s="263"/>
      <c r="S900" s="263"/>
      <c r="T900" s="263"/>
      <c r="U900" s="246"/>
      <c r="V900" s="246"/>
      <c r="W900" s="246"/>
      <c r="X900" s="246"/>
      <c r="Y900" s="246"/>
      <c r="Z900" s="246"/>
    </row>
    <row r="901">
      <c r="A901" s="263"/>
      <c r="B901" s="267" t="str">
        <f>IFERROR(__xludf.DUMMYFUNCTION("""COMPUTED_VALUE"""),"Victory or Death")</f>
        <v>Victory or Death</v>
      </c>
      <c r="C901" s="263"/>
      <c r="D901" s="263" t="str">
        <f>IFERROR(__xludf.DUMMYFUNCTION("""COMPUTED_VALUE"""),"")</f>
        <v/>
      </c>
      <c r="E901" s="263" t="str">
        <f>IFERROR(__xludf.DUMMYFUNCTION("""COMPUTED_VALUE"""),"Self")</f>
        <v>Self</v>
      </c>
      <c r="F901" s="268" t="str">
        <f>IFERROR(__xludf.DUMMYFUNCTION("""COMPUTED_VALUE"""),"All melee weapon attacks that you make this turn deal maximum damage on hit. All weapon attacks made against you until the start of your next turn also deal maximum damage on hit. Once used, this cannot be used again until the end of the encounter.")</f>
        <v>All melee weapon attacks that you make this turn deal maximum damage on hit. All weapon attacks made against you until the start of your next turn also deal maximum damage on hit. Once used, this cannot be used again until the end of the encounter.</v>
      </c>
      <c r="G901" s="263" t="str">
        <f>IFERROR(__xludf.DUMMYFUNCTION("""COMPUTED_VALUE"""),"In rage stance.")</f>
        <v>In rage stance.</v>
      </c>
      <c r="H901" s="267" t="str">
        <f>IFERROR(__xludf.DUMMYFUNCTION("""COMPUTED_VALUE"""),"0 AP")</f>
        <v>0 AP</v>
      </c>
      <c r="I901" s="263" t="str">
        <f>IFERROR(__xludf.DUMMYFUNCTION("""COMPUTED_VALUE"""),"0 AP")</f>
        <v>0 AP</v>
      </c>
      <c r="J901" s="263" t="str">
        <f>IFERROR(__xludf.DUMMYFUNCTION("""COMPUTED_VALUE"""),"")</f>
        <v/>
      </c>
      <c r="K901" s="263" t="str">
        <f>IFERROR(__xludf.DUMMYFUNCTION("""COMPUTED_VALUE"""),"")</f>
        <v/>
      </c>
      <c r="L901" s="263" t="str">
        <f>IFERROR(__xludf.DUMMYFUNCTION("""COMPUTED_VALUE"""),"")</f>
        <v/>
      </c>
      <c r="M901" s="263"/>
      <c r="N901" s="263"/>
      <c r="O901" s="263"/>
      <c r="P901" s="263"/>
      <c r="Q901" s="263"/>
      <c r="R901" s="263"/>
      <c r="S901" s="263"/>
      <c r="T901" s="263"/>
      <c r="U901" s="246"/>
      <c r="V901" s="246"/>
      <c r="W901" s="246"/>
      <c r="X901" s="246"/>
      <c r="Y901" s="246"/>
      <c r="Z901" s="246"/>
    </row>
    <row r="902">
      <c r="A902" s="263"/>
      <c r="B902" s="267" t="str">
        <f>IFERROR(__xludf.DUMMYFUNCTION("""COMPUTED_VALUE"""),"VIP Protection")</f>
        <v>VIP Protection</v>
      </c>
      <c r="C902" s="263"/>
      <c r="D902" s="263" t="str">
        <f>IFERROR(__xludf.DUMMYFUNCTION("""COMPUTED_VALUE"""),"Rapid")</f>
        <v>Rapid</v>
      </c>
      <c r="E902" s="263" t="str">
        <f>IFERROR(__xludf.DUMMYFUNCTION("""COMPUTED_VALUE"""),"5ft")</f>
        <v>5ft</v>
      </c>
      <c r="F902" s="268" t="str">
        <f>IFERROR(__xludf.DUMMYFUNCTION("""COMPUTED_VALUE"""),"You change the target of the attack to you instead of your VIP.
This attack automatically hits you and you may not use the Dodge and Block or similar reactions against it.
The re-directed attack is treated as having most the requirements met as if it was "&amp;"still targeting the original target, including effects that are conditional such as Full Pierce on a downed target, and you are considered to be in the original target's spot for the purposes of range of the attack you're re-directing.
GM's may rule some "&amp;"conditional effects are based on you rather than the original target, such as attacks with effects based on race.
Does not work against Attacks of Opportunity and cannot be used against an attack that's already redirected.")</f>
        <v>You change the target of the attack to you instead of your VIP.
This attack automatically hits you and you may not use the Dodge and Block or similar reactions against it.
The re-directed attack is treated as having most the requirements met as if it was still targeting the original target, including effects that are conditional such as Full Pierce on a downed target, and you are considered to be in the original target's spot for the purposes of range of the attack you're re-directing.
GM's may rule some conditional effects are based on you rather than the original target, such as attacks with effects based on race.
Does not work against Attacks of Opportunity and cannot be used against an attack that's already redirected.</v>
      </c>
      <c r="G902" s="263" t="str">
        <f>IFERROR(__xludf.DUMMYFUNCTION("""COMPUTED_VALUE"""),"Your VIP is within 5ft of you and is the target of an attack that does not target you as well.")</f>
        <v>Your VIP is within 5ft of you and is the target of an attack that does not target you as well.</v>
      </c>
      <c r="H902" s="267" t="str">
        <f>IFERROR(__xludf.DUMMYFUNCTION("""COMPUTED_VALUE"""),"0 RP")</f>
        <v>0 RP</v>
      </c>
      <c r="I902" s="263" t="str">
        <f>IFERROR(__xludf.DUMMYFUNCTION("""COMPUTED_VALUE"""),"")</f>
        <v/>
      </c>
      <c r="J902" s="263" t="str">
        <f>IFERROR(__xludf.DUMMYFUNCTION("""COMPUTED_VALUE"""),"")</f>
        <v/>
      </c>
      <c r="K902" s="263" t="str">
        <f>IFERROR(__xludf.DUMMYFUNCTION("""COMPUTED_VALUE"""),"0 RP")</f>
        <v>0 RP</v>
      </c>
      <c r="L902" s="263" t="str">
        <f>IFERROR(__xludf.DUMMYFUNCTION("""COMPUTED_VALUE"""),"")</f>
        <v/>
      </c>
      <c r="M902" s="263"/>
      <c r="N902" s="263"/>
      <c r="O902" s="263"/>
      <c r="P902" s="263"/>
      <c r="Q902" s="263"/>
      <c r="R902" s="263"/>
      <c r="S902" s="263"/>
      <c r="T902" s="263"/>
      <c r="U902" s="246"/>
      <c r="V902" s="246"/>
      <c r="W902" s="246"/>
      <c r="X902" s="246"/>
      <c r="Y902" s="246"/>
      <c r="Z902" s="246"/>
    </row>
    <row r="903">
      <c r="A903" s="263"/>
      <c r="B903" s="267" t="str">
        <f>IFERROR(__xludf.DUMMYFUNCTION("""COMPUTED_VALUE"""),"Vital Drain")</f>
        <v>Vital Drain</v>
      </c>
      <c r="C903" s="263"/>
      <c r="D903" s="263" t="str">
        <f>IFERROR(__xludf.DUMMYFUNCTION("""COMPUTED_VALUE"""),"Earth, Full Pierce, Healing, Spell")</f>
        <v>Earth, Full Pierce, Healing, Spell</v>
      </c>
      <c r="E903" s="263" t="str">
        <f>IFERROR(__xludf.DUMMYFUNCTION("""COMPUTED_VALUE"""),"20ft")</f>
        <v>20ft</v>
      </c>
      <c r="F903" s="268" t="str">
        <f>IFERROR(__xludf.DUMMYFUNCTION("""COMPUTED_VALUE"""),"You make a Precise Attack against the target creature that deals Earth damage equal to their Toughness with Full Pierce.  On damage the current host of Spore Symbiote is healed for the damage dealt.
Vital Drain can be casted from the location of the host "&amp;"of your Spore Symbiote.")</f>
        <v>You make a Precise Attack against the target creature that deals Earth damage equal to their Toughness with Full Pierce.  On damage the current host of Spore Symbiote is healed for the damage dealt.
Vital Drain can be casted from the location of the host of your Spore Symbiote.</v>
      </c>
      <c r="G903" s="263" t="str">
        <f>IFERROR(__xludf.DUMMYFUNCTION("""COMPUTED_VALUE"""),"")</f>
        <v/>
      </c>
      <c r="H903" s="267" t="str">
        <f>IFERROR(__xludf.DUMMYFUNCTION("""COMPUTED_VALUE"""),"1 AP, 1 MP")</f>
        <v>1 AP, 1 MP</v>
      </c>
      <c r="I903" s="263" t="str">
        <f>IFERROR(__xludf.DUMMYFUNCTION("""COMPUTED_VALUE"""),"1 AP")</f>
        <v>1 AP</v>
      </c>
      <c r="J903" s="263" t="str">
        <f>IFERROR(__xludf.DUMMYFUNCTION("""COMPUTED_VALUE"""),"1 MP")</f>
        <v>1 MP</v>
      </c>
      <c r="K903" s="263" t="str">
        <f>IFERROR(__xludf.DUMMYFUNCTION("""COMPUTED_VALUE"""),"")</f>
        <v/>
      </c>
      <c r="L903" s="263" t="str">
        <f>IFERROR(__xludf.DUMMYFUNCTION("""COMPUTED_VALUE"""),"")</f>
        <v/>
      </c>
      <c r="M903" s="263"/>
      <c r="N903" s="263"/>
      <c r="O903" s="263"/>
      <c r="P903" s="263"/>
      <c r="Q903" s="263"/>
      <c r="R903" s="263"/>
      <c r="S903" s="263"/>
      <c r="T903" s="263"/>
      <c r="U903" s="246"/>
      <c r="V903" s="246"/>
      <c r="W903" s="246"/>
      <c r="X903" s="246"/>
      <c r="Y903" s="246"/>
      <c r="Z903" s="246"/>
    </row>
    <row r="904">
      <c r="A904" s="263"/>
      <c r="B904" s="267" t="str">
        <f>IFERROR(__xludf.DUMMYFUNCTION("""COMPUTED_VALUE"""),"Vital Drive")</f>
        <v>Vital Drive</v>
      </c>
      <c r="C904" s="263"/>
      <c r="D904" s="263" t="str">
        <f>IFERROR(__xludf.DUMMYFUNCTION("""COMPUTED_VALUE"""),"Healing")</f>
        <v>Healing</v>
      </c>
      <c r="E904" s="263" t="str">
        <f>IFERROR(__xludf.DUMMYFUNCTION("""COMPUTED_VALUE"""),"Self")</f>
        <v>Self</v>
      </c>
      <c r="F904" s="268" t="str">
        <f>IFERROR(__xludf.DUMMYFUNCTION("""COMPUTED_VALUE"""),"You regain HP equal to 5 times the mana spent.")</f>
        <v>You regain HP equal to 5 times the mana spent.</v>
      </c>
      <c r="G904" s="263" t="str">
        <f>IFERROR(__xludf.DUMMYFUNCTION("""COMPUTED_VALUE"""),"")</f>
        <v/>
      </c>
      <c r="H904" s="267" t="str">
        <f>IFERROR(__xludf.DUMMYFUNCTION("""COMPUTED_VALUE"""),"0 AP, X MP")</f>
        <v>0 AP, X MP</v>
      </c>
      <c r="I904" s="263" t="str">
        <f>IFERROR(__xludf.DUMMYFUNCTION("""COMPUTED_VALUE"""),"0 AP")</f>
        <v>0 AP</v>
      </c>
      <c r="J904" s="263" t="str">
        <f>IFERROR(__xludf.DUMMYFUNCTION("""COMPUTED_VALUE"""),"X MP")</f>
        <v>X MP</v>
      </c>
      <c r="K904" s="263" t="str">
        <f>IFERROR(__xludf.DUMMYFUNCTION("""COMPUTED_VALUE"""),"")</f>
        <v/>
      </c>
      <c r="L904" s="263" t="str">
        <f>IFERROR(__xludf.DUMMYFUNCTION("""COMPUTED_VALUE"""),"")</f>
        <v/>
      </c>
      <c r="M904" s="263"/>
      <c r="N904" s="263"/>
      <c r="O904" s="263"/>
      <c r="P904" s="263"/>
      <c r="Q904" s="263"/>
      <c r="R904" s="263"/>
      <c r="S904" s="263"/>
      <c r="T904" s="263"/>
      <c r="U904" s="246"/>
      <c r="V904" s="246"/>
      <c r="W904" s="246"/>
      <c r="X904" s="246"/>
      <c r="Y904" s="246"/>
      <c r="Z904" s="246"/>
    </row>
    <row r="905">
      <c r="A905" s="263"/>
      <c r="B905" s="267" t="str">
        <f>IFERROR(__xludf.DUMMYFUNCTION("""COMPUTED_VALUE"""),"Vital Drive II")</f>
        <v>Vital Drive II</v>
      </c>
      <c r="C905" s="263"/>
      <c r="D905" s="263" t="str">
        <f>IFERROR(__xludf.DUMMYFUNCTION("""COMPUTED_VALUE"""),"Healing")</f>
        <v>Healing</v>
      </c>
      <c r="E905" s="263" t="str">
        <f>IFERROR(__xludf.DUMMYFUNCTION("""COMPUTED_VALUE"""),"Self")</f>
        <v>Self</v>
      </c>
      <c r="F905" s="268" t="str">
        <f>IFERROR(__xludf.DUMMYFUNCTION("""COMPUTED_VALUE"""),"You regain HP equal to five times the mana spent. Vital Drive II cannot heal more than the damage you took from the triggering attack.")</f>
        <v>You regain HP equal to five times the mana spent. Vital Drive II cannot heal more than the damage you took from the triggering attack.</v>
      </c>
      <c r="G905" s="263" t="str">
        <f>IFERROR(__xludf.DUMMYFUNCTION("""COMPUTED_VALUE"""),"You took damage from an attack.")</f>
        <v>You took damage from an attack.</v>
      </c>
      <c r="H905" s="267" t="str">
        <f>IFERROR(__xludf.DUMMYFUNCTION("""COMPUTED_VALUE"""),"X MP, 0 RP")</f>
        <v>X MP, 0 RP</v>
      </c>
      <c r="I905" s="263" t="str">
        <f>IFERROR(__xludf.DUMMYFUNCTION("""COMPUTED_VALUE"""),"")</f>
        <v/>
      </c>
      <c r="J905" s="263" t="str">
        <f>IFERROR(__xludf.DUMMYFUNCTION("""COMPUTED_VALUE"""),"X MP")</f>
        <v>X MP</v>
      </c>
      <c r="K905" s="263" t="str">
        <f>IFERROR(__xludf.DUMMYFUNCTION("""COMPUTED_VALUE"""),"0 RP")</f>
        <v>0 RP</v>
      </c>
      <c r="L905" s="263" t="str">
        <f>IFERROR(__xludf.DUMMYFUNCTION("""COMPUTED_VALUE"""),"")</f>
        <v/>
      </c>
      <c r="M905" s="263"/>
      <c r="N905" s="263"/>
      <c r="O905" s="263"/>
      <c r="P905" s="263"/>
      <c r="Q905" s="263"/>
      <c r="R905" s="263"/>
      <c r="S905" s="263"/>
      <c r="T905" s="263"/>
      <c r="U905" s="246"/>
      <c r="V905" s="246"/>
      <c r="W905" s="246"/>
      <c r="X905" s="246"/>
      <c r="Y905" s="246"/>
      <c r="Z905" s="246"/>
    </row>
    <row r="906">
      <c r="A906" s="263"/>
      <c r="B906" s="267" t="str">
        <f>IFERROR(__xludf.DUMMYFUNCTION("""COMPUTED_VALUE"""),"Vivisect")</f>
        <v>Vivisect</v>
      </c>
      <c r="C906" s="263"/>
      <c r="D906" s="263" t="str">
        <f>IFERROR(__xludf.DUMMYFUNCTION("""COMPUTED_VALUE"""),"")</f>
        <v/>
      </c>
      <c r="E906" s="263" t="str">
        <f>IFERROR(__xludf.DUMMYFUNCTION("""COMPUTED_VALUE"""),"Melee Weapon Range")</f>
        <v>Melee Weapon Range</v>
      </c>
      <c r="F906" s="268" t="str">
        <f>IFERROR(__xludf.DUMMYFUNCTION("""COMPUTED_VALUE"""),"You cut the target in half with your scissors or chainsaw, killing them instantly.")</f>
        <v>You cut the target in half with your scissors or chainsaw, killing them instantly.</v>
      </c>
      <c r="G906" s="263" t="str">
        <f>IFERROR(__xludf.DUMMYFUNCTION("""COMPUTED_VALUE"""),"Giant Scissors or Chainsaw only. Target is affected by Expose and is a grunt.")</f>
        <v>Giant Scissors or Chainsaw only. Target is affected by Expose and is a grunt.</v>
      </c>
      <c r="H906" s="267" t="str">
        <f>IFERROR(__xludf.DUMMYFUNCTION("""COMPUTED_VALUE"""),"3 AP, 1 MP")</f>
        <v>3 AP, 1 MP</v>
      </c>
      <c r="I906" s="263" t="str">
        <f>IFERROR(__xludf.DUMMYFUNCTION("""COMPUTED_VALUE"""),"3 AP")</f>
        <v>3 AP</v>
      </c>
      <c r="J906" s="263" t="str">
        <f>IFERROR(__xludf.DUMMYFUNCTION("""COMPUTED_VALUE"""),"1 MP")</f>
        <v>1 MP</v>
      </c>
      <c r="K906" s="263" t="str">
        <f>IFERROR(__xludf.DUMMYFUNCTION("""COMPUTED_VALUE"""),"")</f>
        <v/>
      </c>
      <c r="L906" s="263" t="str">
        <f>IFERROR(__xludf.DUMMYFUNCTION("""COMPUTED_VALUE"""),"")</f>
        <v/>
      </c>
      <c r="M906" s="263"/>
      <c r="N906" s="263"/>
      <c r="O906" s="263"/>
      <c r="P906" s="263"/>
      <c r="Q906" s="263"/>
      <c r="R906" s="263"/>
      <c r="S906" s="263"/>
      <c r="T906" s="263"/>
      <c r="U906" s="246"/>
      <c r="V906" s="246"/>
      <c r="W906" s="246"/>
      <c r="X906" s="246"/>
      <c r="Y906" s="246"/>
      <c r="Z906" s="246"/>
    </row>
    <row r="907">
      <c r="A907" s="263"/>
      <c r="B907" s="267" t="str">
        <f>IFERROR(__xludf.DUMMYFUNCTION("""COMPUTED_VALUE"""),"Volley")</f>
        <v>Volley</v>
      </c>
      <c r="C907" s="263"/>
      <c r="D907" s="263" t="str">
        <f>IFERROR(__xludf.DUMMYFUNCTION("""COMPUTED_VALUE"""),"Scatter")</f>
        <v>Scatter</v>
      </c>
      <c r="E907" s="263" t="str">
        <f>IFERROR(__xludf.DUMMYFUNCTION("""COMPUTED_VALUE"""),"Ranged Weapon Range")</f>
        <v>Ranged Weapon Range</v>
      </c>
      <c r="F907" s="268" t="str">
        <f>IFERROR(__xludf.DUMMYFUNCTION("""COMPUTED_VALUE"""),"You make a Light attack against all targets in a 25x25ft area.")</f>
        <v>You make a Light attack against all targets in a 25x25ft area.</v>
      </c>
      <c r="G907" s="263" t="str">
        <f>IFERROR(__xludf.DUMMYFUNCTION("""COMPUTED_VALUE"""),"")</f>
        <v/>
      </c>
      <c r="H907" s="267" t="str">
        <f>IFERROR(__xludf.DUMMYFUNCTION("""COMPUTED_VALUE"""),"2 AP, 1 MP")</f>
        <v>2 AP, 1 MP</v>
      </c>
      <c r="I907" s="263" t="str">
        <f>IFERROR(__xludf.DUMMYFUNCTION("""COMPUTED_VALUE"""),"2 AP")</f>
        <v>2 AP</v>
      </c>
      <c r="J907" s="263" t="str">
        <f>IFERROR(__xludf.DUMMYFUNCTION("""COMPUTED_VALUE"""),"1 MP")</f>
        <v>1 MP</v>
      </c>
      <c r="K907" s="263" t="str">
        <f>IFERROR(__xludf.DUMMYFUNCTION("""COMPUTED_VALUE"""),"")</f>
        <v/>
      </c>
      <c r="L907" s="263" t="str">
        <f>IFERROR(__xludf.DUMMYFUNCTION("""COMPUTED_VALUE"""),"")</f>
        <v/>
      </c>
      <c r="M907" s="263"/>
      <c r="N907" s="263"/>
      <c r="O907" s="263"/>
      <c r="P907" s="263"/>
      <c r="Q907" s="263"/>
      <c r="R907" s="263"/>
      <c r="S907" s="263"/>
      <c r="T907" s="263"/>
      <c r="U907" s="246"/>
      <c r="V907" s="246"/>
      <c r="W907" s="246"/>
      <c r="X907" s="246"/>
      <c r="Y907" s="246"/>
      <c r="Z907" s="246"/>
    </row>
    <row r="908">
      <c r="A908" s="263"/>
      <c r="B908" s="267" t="str">
        <f>IFERROR(__xludf.DUMMYFUNCTION("""COMPUTED_VALUE"""),"Wall Formation")</f>
        <v>Wall Formation</v>
      </c>
      <c r="C908" s="263"/>
      <c r="D908" s="263" t="str">
        <f>IFERROR(__xludf.DUMMYFUNCTION("""COMPUTED_VALUE"""),"")</f>
        <v/>
      </c>
      <c r="E908" s="263" t="str">
        <f>IFERROR(__xludf.DUMMYFUNCTION("""COMPUTED_VALUE"""),"40ft")</f>
        <v>40ft</v>
      </c>
      <c r="F908" s="268" t="str">
        <f>IFERROR(__xludf.DUMMYFUNCTION("""COMPUTED_VALUE"""),"Until the start of your next turn, every ally within range gains Wall Formation. If they are adjacent to another ally gains a +1 bonus to their guard and a +4 bonus to their block value.")</f>
        <v>Until the start of your next turn, every ally within range gains Wall Formation. If they are adjacent to another ally gains a +1 bonus to their guard and a +4 bonus to their block value.</v>
      </c>
      <c r="G908" s="263" t="str">
        <f>IFERROR(__xludf.DUMMYFUNCTION("""COMPUTED_VALUE"""),"")</f>
        <v/>
      </c>
      <c r="H908" s="267" t="str">
        <f>IFERROR(__xludf.DUMMYFUNCTION("""COMPUTED_VALUE"""),"1 AP, 1 MP")</f>
        <v>1 AP, 1 MP</v>
      </c>
      <c r="I908" s="263" t="str">
        <f>IFERROR(__xludf.DUMMYFUNCTION("""COMPUTED_VALUE"""),"1 AP")</f>
        <v>1 AP</v>
      </c>
      <c r="J908" s="263" t="str">
        <f>IFERROR(__xludf.DUMMYFUNCTION("""COMPUTED_VALUE"""),"1 MP")</f>
        <v>1 MP</v>
      </c>
      <c r="K908" s="263" t="str">
        <f>IFERROR(__xludf.DUMMYFUNCTION("""COMPUTED_VALUE"""),"")</f>
        <v/>
      </c>
      <c r="L908" s="263" t="str">
        <f>IFERROR(__xludf.DUMMYFUNCTION("""COMPUTED_VALUE"""),"")</f>
        <v/>
      </c>
      <c r="M908" s="263"/>
      <c r="N908" s="263"/>
      <c r="O908" s="263"/>
      <c r="P908" s="263"/>
      <c r="Q908" s="263"/>
      <c r="R908" s="263"/>
      <c r="S908" s="263"/>
      <c r="T908" s="263"/>
      <c r="U908" s="246"/>
      <c r="V908" s="246"/>
      <c r="W908" s="246"/>
      <c r="X908" s="246"/>
      <c r="Y908" s="246"/>
      <c r="Z908" s="246"/>
    </row>
    <row r="909">
      <c r="A909" s="263"/>
      <c r="B909" s="267" t="str">
        <f>IFERROR(__xludf.DUMMYFUNCTION("""COMPUTED_VALUE"""),"Warm Together")</f>
        <v>Warm Together</v>
      </c>
      <c r="C909" s="263"/>
      <c r="D909" s="263" t="str">
        <f>IFERROR(__xludf.DUMMYFUNCTION("""COMPUTED_VALUE"""),"")</f>
        <v/>
      </c>
      <c r="E909" s="263" t="str">
        <f>IFERROR(__xludf.DUMMYFUNCTION("""COMPUTED_VALUE"""),"")</f>
        <v/>
      </c>
      <c r="F909" s="268" t="str">
        <f>IFERROR(__xludf.DUMMYFUNCTION("""COMPUTED_VALUE"""),"When you have “Just A Hug” active. You and the target gain resistance to cold from environmental effects.")</f>
        <v>When you have “Just A Hug” active. You and the target gain resistance to cold from environmental effects.</v>
      </c>
      <c r="G909" s="263" t="str">
        <f>IFERROR(__xludf.DUMMYFUNCTION("""COMPUTED_VALUE"""),"")</f>
        <v/>
      </c>
      <c r="H909" s="267" t="str">
        <f>IFERROR(__xludf.DUMMYFUNCTION("""COMPUTED_VALUE"""),"")</f>
        <v/>
      </c>
      <c r="I909" s="263" t="str">
        <f>IFERROR(__xludf.DUMMYFUNCTION("""COMPUTED_VALUE"""),"")</f>
        <v/>
      </c>
      <c r="J909" s="263" t="str">
        <f>IFERROR(__xludf.DUMMYFUNCTION("""COMPUTED_VALUE"""),"")</f>
        <v/>
      </c>
      <c r="K909" s="263" t="str">
        <f>IFERROR(__xludf.DUMMYFUNCTION("""COMPUTED_VALUE"""),"")</f>
        <v/>
      </c>
      <c r="L909" s="263" t="str">
        <f>IFERROR(__xludf.DUMMYFUNCTION("""COMPUTED_VALUE"""),"")</f>
        <v/>
      </c>
      <c r="M909" s="263"/>
      <c r="N909" s="263"/>
      <c r="O909" s="263"/>
      <c r="P909" s="263"/>
      <c r="Q909" s="263"/>
      <c r="R909" s="263"/>
      <c r="S909" s="263"/>
      <c r="T909" s="263"/>
      <c r="U909" s="246"/>
      <c r="V909" s="246"/>
      <c r="W909" s="246"/>
      <c r="X909" s="246"/>
      <c r="Y909" s="246"/>
      <c r="Z909" s="246"/>
    </row>
    <row r="910">
      <c r="A910" s="263"/>
      <c r="B910" s="267" t="str">
        <f>IFERROR(__xludf.DUMMYFUNCTION("""COMPUTED_VALUE"""),"Warning Shot")</f>
        <v>Warning Shot</v>
      </c>
      <c r="C910" s="263"/>
      <c r="D910" s="263" t="str">
        <f>IFERROR(__xludf.DUMMYFUNCTION("""COMPUTED_VALUE"""),"")</f>
        <v/>
      </c>
      <c r="E910" s="263" t="str">
        <f>IFERROR(__xludf.DUMMYFUNCTION("""COMPUTED_VALUE"""),"Ranged Weapon Range")</f>
        <v>Ranged Weapon Range</v>
      </c>
      <c r="F910" s="268" t="str">
        <f>IFERROR(__xludf.DUMMYFUNCTION("""COMPUTED_VALUE"""),"You fire a warning shot against a target in your range. Your next basic attack or Ricochet ability with a pistol against that target gains the Trick Attack keyword.")</f>
        <v>You fire a warning shot against a target in your range. Your next basic attack or Ricochet ability with a pistol against that target gains the Trick Attack keyword.</v>
      </c>
      <c r="G910" s="263" t="str">
        <f>IFERROR(__xludf.DUMMYFUNCTION("""COMPUTED_VALUE"""),"")</f>
        <v/>
      </c>
      <c r="H910" s="267" t="str">
        <f>IFERROR(__xludf.DUMMYFUNCTION("""COMPUTED_VALUE"""),"0 AP, 2 MP")</f>
        <v>0 AP, 2 MP</v>
      </c>
      <c r="I910" s="263" t="str">
        <f>IFERROR(__xludf.DUMMYFUNCTION("""COMPUTED_VALUE"""),"0 AP")</f>
        <v>0 AP</v>
      </c>
      <c r="J910" s="263" t="str">
        <f>IFERROR(__xludf.DUMMYFUNCTION("""COMPUTED_VALUE"""),"2 MP")</f>
        <v>2 MP</v>
      </c>
      <c r="K910" s="263" t="str">
        <f>IFERROR(__xludf.DUMMYFUNCTION("""COMPUTED_VALUE"""),"")</f>
        <v/>
      </c>
      <c r="L910" s="263" t="str">
        <f>IFERROR(__xludf.DUMMYFUNCTION("""COMPUTED_VALUE"""),"")</f>
        <v/>
      </c>
      <c r="M910" s="263"/>
      <c r="N910" s="263"/>
      <c r="O910" s="263"/>
      <c r="P910" s="263"/>
      <c r="Q910" s="263"/>
      <c r="R910" s="263"/>
      <c r="S910" s="263"/>
      <c r="T910" s="263"/>
      <c r="U910" s="246"/>
      <c r="V910" s="246"/>
      <c r="W910" s="246"/>
      <c r="X910" s="246"/>
      <c r="Y910" s="246"/>
      <c r="Z910" s="246"/>
    </row>
    <row r="911">
      <c r="A911" s="263"/>
      <c r="B911" s="267" t="str">
        <f>IFERROR(__xludf.DUMMYFUNCTION("""COMPUTED_VALUE"""),"Weapon Maintenance")</f>
        <v>Weapon Maintenance</v>
      </c>
      <c r="C911" s="263"/>
      <c r="D911" s="263" t="str">
        <f>IFERROR(__xludf.DUMMYFUNCTION("""COMPUTED_VALUE"""),"Encounter Start, Flashback, Stealth")</f>
        <v>Encounter Start, Flashback, Stealth</v>
      </c>
      <c r="E911" s="263" t="str">
        <f>IFERROR(__xludf.DUMMYFUNCTION("""COMPUTED_VALUE"""),"")</f>
        <v/>
      </c>
      <c r="F911" s="268" t="str">
        <f>IFERROR(__xludf.DUMMYFUNCTION("""COMPUTED_VALUE"""),"You recall having previously assisted an ally in maintaining their weapon, causing it to be in top shape for battle. This weapon gains a +1 Power Material Bonus or +1 Focus Material Bonus. If you smithed the weapon it gains both. This Artisan bonus is con"&amp;"sidered the same bonus as from a weapon's material like Tamahagane and does not stack with it.
If the weapon you choose gets no bonus from this ability, it's critical range instead improves by 1. (A normal weapon now crits on a 19 and 20, a katana on a 18"&amp;", 19 and 20).")</f>
        <v>You recall having previously assisted an ally in maintaining their weapon, causing it to be in top shape for battle. This weapon gains a +1 Power Material Bonus or +1 Focus Material Bonus. If you smithed the weapon it gains both. This Artisan bonus is considered the same bonus as from a weapon's material like Tamahagane and does not stack with it.
If the weapon you choose gets no bonus from this ability, it's critical range instead improves by 1. (A normal weapon now crits on a 19 and 20, a katana on a 18, 19 and 20).</v>
      </c>
      <c r="G911" s="263" t="str">
        <f>IFERROR(__xludf.DUMMYFUNCTION("""COMPUTED_VALUE"""),"1 Ally’s Smithed Weapon, or your own smithed weapon.")</f>
        <v>1 Ally’s Smithed Weapon, or your own smithed weapon.</v>
      </c>
      <c r="H911" s="267" t="str">
        <f>IFERROR(__xludf.DUMMYFUNCTION("""COMPUTED_VALUE"""),"")</f>
        <v/>
      </c>
      <c r="I911" s="263" t="str">
        <f>IFERROR(__xludf.DUMMYFUNCTION("""COMPUTED_VALUE"""),"")</f>
        <v/>
      </c>
      <c r="J911" s="263" t="str">
        <f>IFERROR(__xludf.DUMMYFUNCTION("""COMPUTED_VALUE"""),"")</f>
        <v/>
      </c>
      <c r="K911" s="263" t="str">
        <f>IFERROR(__xludf.DUMMYFUNCTION("""COMPUTED_VALUE"""),"")</f>
        <v/>
      </c>
      <c r="L911" s="263" t="str">
        <f>IFERROR(__xludf.DUMMYFUNCTION("""COMPUTED_VALUE"""),"")</f>
        <v/>
      </c>
      <c r="M911" s="263"/>
      <c r="N911" s="263"/>
      <c r="O911" s="263"/>
      <c r="P911" s="263"/>
      <c r="Q911" s="263"/>
      <c r="R911" s="263"/>
      <c r="S911" s="263"/>
      <c r="T911" s="263"/>
      <c r="U911" s="246"/>
      <c r="V911" s="246"/>
      <c r="W911" s="246"/>
      <c r="X911" s="246"/>
      <c r="Y911" s="246"/>
      <c r="Z911" s="246"/>
    </row>
    <row r="912">
      <c r="A912" s="263"/>
      <c r="B912" s="267" t="str">
        <f>IFERROR(__xludf.DUMMYFUNCTION("""COMPUTED_VALUE"""),"Weighing the Heart")</f>
        <v>Weighing the Heart</v>
      </c>
      <c r="C912" s="263"/>
      <c r="D912" s="263" t="str">
        <f>IFERROR(__xludf.DUMMYFUNCTION("""COMPUTED_VALUE"""),"")</f>
        <v/>
      </c>
      <c r="E912" s="263" t="str">
        <f>IFERROR(__xludf.DUMMYFUNCTION("""COMPUTED_VALUE"""),"")</f>
        <v/>
      </c>
      <c r="F912" s="268" t="str">
        <f>IFERROR(__xludf.DUMMYFUNCTION("""COMPUTED_VALUE"""),"You get a +5 Expertise bonus to insight checks when looking to discern if someone is lying to you.")</f>
        <v>You get a +5 Expertise bonus to insight checks when looking to discern if someone is lying to you.</v>
      </c>
      <c r="G912" s="263" t="str">
        <f>IFERROR(__xludf.DUMMYFUNCTION("""COMPUTED_VALUE"""),"")</f>
        <v/>
      </c>
      <c r="H912" s="267" t="str">
        <f>IFERROR(__xludf.DUMMYFUNCTION("""COMPUTED_VALUE"""),"")</f>
        <v/>
      </c>
      <c r="I912" s="263" t="str">
        <f>IFERROR(__xludf.DUMMYFUNCTION("""COMPUTED_VALUE"""),"")</f>
        <v/>
      </c>
      <c r="J912" s="263" t="str">
        <f>IFERROR(__xludf.DUMMYFUNCTION("""COMPUTED_VALUE"""),"")</f>
        <v/>
      </c>
      <c r="K912" s="263" t="str">
        <f>IFERROR(__xludf.DUMMYFUNCTION("""COMPUTED_VALUE"""),"")</f>
        <v/>
      </c>
      <c r="L912" s="263" t="str">
        <f>IFERROR(__xludf.DUMMYFUNCTION("""COMPUTED_VALUE"""),"")</f>
        <v/>
      </c>
      <c r="M912" s="263"/>
      <c r="N912" s="263"/>
      <c r="O912" s="263"/>
      <c r="P912" s="263"/>
      <c r="Q912" s="263"/>
      <c r="R912" s="263"/>
      <c r="S912" s="263"/>
      <c r="T912" s="263"/>
      <c r="U912" s="246"/>
      <c r="V912" s="246"/>
      <c r="W912" s="246"/>
      <c r="X912" s="246"/>
      <c r="Y912" s="246"/>
      <c r="Z912" s="246"/>
    </row>
    <row r="913">
      <c r="A913" s="263"/>
      <c r="B913" s="267" t="str">
        <f>IFERROR(__xludf.DUMMYFUNCTION("""COMPUTED_VALUE"""),"Weight of the Mountain")</f>
        <v>Weight of the Mountain</v>
      </c>
      <c r="C913" s="263"/>
      <c r="D913" s="263" t="str">
        <f>IFERROR(__xludf.DUMMYFUNCTION("""COMPUTED_VALUE"""),"")</f>
        <v/>
      </c>
      <c r="E913" s="263" t="str">
        <f>IFERROR(__xludf.DUMMYFUNCTION("""COMPUTED_VALUE"""),"Self")</f>
        <v>Self</v>
      </c>
      <c r="F913" s="268" t="str">
        <f>IFERROR(__xludf.DUMMYFUNCTION("""COMPUTED_VALUE"""),"You prepare to strike with enhanced power.
Your next attack with a two-handed melee weapon this turn loses the keywords: Lock On and Sure Hit. In addition, you do not gain accuracy from your Focus on the enhanced attack. The attack also cannot benefit fro"&amp;"m Offstep and similar effects that guarantee the attack hits.
Instead, the attack deals extra damage equal to the accuracy lost from not gaining Focus due to Weight of the Mountain. If the attack is a heavy or precise attack, it deals extra damage equal t"&amp;"o double the accuracy lost instead.
If the attack made with this effect already did not benefit from focus, this ability has no effect.")</f>
        <v>You prepare to strike with enhanced power.
Your next attack with a two-handed melee weapon this turn loses the keywords: Lock On and Sure Hit. In addition, you do not gain accuracy from your Focus on the enhanced attack. The attack also cannot benefit from Offstep and similar effects that guarantee the attack hits.
Instead, the attack deals extra damage equal to the accuracy lost from not gaining Focus due to Weight of the Mountain. If the attack is a heavy or precise attack, it deals extra damage equal to double the accuracy lost instead.
If the attack made with this effect already did not benefit from focus, this ability has no effect.</v>
      </c>
      <c r="G913" s="263" t="str">
        <f>IFERROR(__xludf.DUMMYFUNCTION("""COMPUTED_VALUE"""),"")</f>
        <v/>
      </c>
      <c r="H913" s="267" t="str">
        <f>IFERROR(__xludf.DUMMYFUNCTION("""COMPUTED_VALUE"""),"0 AP")</f>
        <v>0 AP</v>
      </c>
      <c r="I913" s="263" t="str">
        <f>IFERROR(__xludf.DUMMYFUNCTION("""COMPUTED_VALUE"""),"0 AP")</f>
        <v>0 AP</v>
      </c>
      <c r="J913" s="263" t="str">
        <f>IFERROR(__xludf.DUMMYFUNCTION("""COMPUTED_VALUE"""),"")</f>
        <v/>
      </c>
      <c r="K913" s="263" t="str">
        <f>IFERROR(__xludf.DUMMYFUNCTION("""COMPUTED_VALUE"""),"")</f>
        <v/>
      </c>
      <c r="L913" s="263" t="str">
        <f>IFERROR(__xludf.DUMMYFUNCTION("""COMPUTED_VALUE"""),"")</f>
        <v/>
      </c>
      <c r="M913" s="263"/>
      <c r="N913" s="263"/>
      <c r="O913" s="263"/>
      <c r="P913" s="263"/>
      <c r="Q913" s="263"/>
      <c r="R913" s="263"/>
      <c r="S913" s="263"/>
      <c r="T913" s="263"/>
      <c r="U913" s="246"/>
      <c r="V913" s="246"/>
      <c r="W913" s="246"/>
      <c r="X913" s="246"/>
      <c r="Y913" s="246"/>
      <c r="Z913" s="246"/>
    </row>
    <row r="914">
      <c r="A914" s="263"/>
      <c r="B914" s="267" t="str">
        <f>IFERROR(__xludf.DUMMYFUNCTION("""COMPUTED_VALUE"""),"Weight of the World")</f>
        <v>Weight of the World</v>
      </c>
      <c r="C914" s="263"/>
      <c r="D914" s="263" t="str">
        <f>IFERROR(__xludf.DUMMYFUNCTION("""COMPUTED_VALUE"""),"Gravity")</f>
        <v>Gravity</v>
      </c>
      <c r="E914" s="263" t="str">
        <f>IFERROR(__xludf.DUMMYFUNCTION("""COMPUTED_VALUE"""),"40ft")</f>
        <v>40ft</v>
      </c>
      <c r="F914" s="268" t="str">
        <f>IFERROR(__xludf.DUMMYFUNCTION("""COMPUTED_VALUE"""),"You increase the target’s gravity, reducing their elevation by 40ft. This may interrupt movement and if you reduce their elevation down to 0, you slam them into the ground dealing fall damage for the distance they failed to move and knocking them prone.")</f>
        <v>You increase the target’s gravity, reducing their elevation by 40ft. This may interrupt movement and if you reduce their elevation down to 0, you slam them into the ground dealing fall damage for the distance they failed to move and knocking them prone.</v>
      </c>
      <c r="G914" s="263" t="str">
        <f>IFERROR(__xludf.DUMMYFUNCTION("""COMPUTED_VALUE"""),"Target enemy is flying or jumping.")</f>
        <v>Target enemy is flying or jumping.</v>
      </c>
      <c r="H914" s="267" t="str">
        <f>IFERROR(__xludf.DUMMYFUNCTION("""COMPUTED_VALUE"""),"1 RP")</f>
        <v>1 RP</v>
      </c>
      <c r="I914" s="263" t="str">
        <f>IFERROR(__xludf.DUMMYFUNCTION("""COMPUTED_VALUE"""),"")</f>
        <v/>
      </c>
      <c r="J914" s="263" t="str">
        <f>IFERROR(__xludf.DUMMYFUNCTION("""COMPUTED_VALUE"""),"")</f>
        <v/>
      </c>
      <c r="K914" s="263" t="str">
        <f>IFERROR(__xludf.DUMMYFUNCTION("""COMPUTED_VALUE"""),"1 RP")</f>
        <v>1 RP</v>
      </c>
      <c r="L914" s="263" t="str">
        <f>IFERROR(__xludf.DUMMYFUNCTION("""COMPUTED_VALUE"""),"")</f>
        <v/>
      </c>
      <c r="M914" s="263"/>
      <c r="N914" s="263"/>
      <c r="O914" s="263"/>
      <c r="P914" s="263"/>
      <c r="Q914" s="263"/>
      <c r="R914" s="263"/>
      <c r="S914" s="263"/>
      <c r="T914" s="263"/>
      <c r="U914" s="246"/>
      <c r="V914" s="246"/>
      <c r="W914" s="246"/>
      <c r="X914" s="246"/>
      <c r="Y914" s="246"/>
      <c r="Z914" s="246"/>
    </row>
    <row r="915">
      <c r="A915" s="263"/>
      <c r="B915" s="267" t="str">
        <f>IFERROR(__xludf.DUMMYFUNCTION("""COMPUTED_VALUE"""),"Whisper of the Streets")</f>
        <v>Whisper of the Streets</v>
      </c>
      <c r="C915" s="263"/>
      <c r="D915" s="263" t="str">
        <f>IFERROR(__xludf.DUMMYFUNCTION("""COMPUTED_VALUE"""),"Flashback")</f>
        <v>Flashback</v>
      </c>
      <c r="E915" s="263" t="str">
        <f>IFERROR(__xludf.DUMMYFUNCTION("""COMPUTED_VALUE"""),"Self")</f>
        <v>Self</v>
      </c>
      <c r="F915" s="268" t="str">
        <f>IFERROR(__xludf.DUMMYFUNCTION("""COMPUTED_VALUE"""),"You recall conversations you had with business partners. This grants you a +5 to any Reason check.")</f>
        <v>You recall conversations you had with business partners. This grants you a +5 to any Reason check.</v>
      </c>
      <c r="G915" s="263" t="str">
        <f>IFERROR(__xludf.DUMMYFUNCTION("""COMPUTED_VALUE"""),"")</f>
        <v/>
      </c>
      <c r="H915" s="267" t="str">
        <f>IFERROR(__xludf.DUMMYFUNCTION("""COMPUTED_VALUE"""),"1 MP, 0 RP")</f>
        <v>1 MP, 0 RP</v>
      </c>
      <c r="I915" s="263" t="str">
        <f>IFERROR(__xludf.DUMMYFUNCTION("""COMPUTED_VALUE"""),"")</f>
        <v/>
      </c>
      <c r="J915" s="263" t="str">
        <f>IFERROR(__xludf.DUMMYFUNCTION("""COMPUTED_VALUE"""),"1 MP")</f>
        <v>1 MP</v>
      </c>
      <c r="K915" s="263" t="str">
        <f>IFERROR(__xludf.DUMMYFUNCTION("""COMPUTED_VALUE"""),"0 RP")</f>
        <v>0 RP</v>
      </c>
      <c r="L915" s="263" t="str">
        <f>IFERROR(__xludf.DUMMYFUNCTION("""COMPUTED_VALUE"""),"")</f>
        <v/>
      </c>
      <c r="M915" s="263"/>
      <c r="N915" s="263"/>
      <c r="O915" s="263"/>
      <c r="P915" s="263"/>
      <c r="Q915" s="263"/>
      <c r="R915" s="263"/>
      <c r="S915" s="263"/>
      <c r="T915" s="263"/>
      <c r="U915" s="246"/>
      <c r="V915" s="246"/>
      <c r="W915" s="246"/>
      <c r="X915" s="246"/>
      <c r="Y915" s="246"/>
      <c r="Z915" s="246"/>
    </row>
    <row r="916">
      <c r="A916" s="263"/>
      <c r="B916" s="267" t="str">
        <f>IFERROR(__xludf.DUMMYFUNCTION("""COMPUTED_VALUE"""),"White Thunder")</f>
        <v>White Thunder</v>
      </c>
      <c r="C916" s="263"/>
      <c r="D916" s="263" t="str">
        <f>IFERROR(__xludf.DUMMYFUNCTION("""COMPUTED_VALUE"""),"Frost, Slow, Spell, Scatter")</f>
        <v>Frost, Slow, Spell, Scatter</v>
      </c>
      <c r="E916" s="263" t="str">
        <f>IFERROR(__xludf.DUMMYFUNCTION("""COMPUTED_VALUE"""),"80ft")</f>
        <v>80ft</v>
      </c>
      <c r="F916" s="268" t="str">
        <f>IFERROR(__xludf.DUMMYFUNCTION("""COMPUTED_VALUE"""),"You target a Glacial Wall in range and fire a bolt of Frost energy that requires line of sight. On impact, the wall is destroyed and explodes into blades of ice, attacking all enemies within 5ft of the destroyed wall with a Precise attack that deals Frost"&amp;" damage. On damage, the target is Slowed until the end of their next turn.")</f>
        <v>You target a Glacial Wall in range and fire a bolt of Frost energy that requires line of sight. On impact, the wall is destroyed and explodes into blades of ice, attacking all enemies within 5ft of the destroyed wall with a Precise attack that deals Frost damage. On damage, the target is Slowed until the end of their next turn.</v>
      </c>
      <c r="G916" s="263" t="str">
        <f>IFERROR(__xludf.DUMMYFUNCTION("""COMPUTED_VALUE"""),"")</f>
        <v/>
      </c>
      <c r="H916" s="267" t="str">
        <f>IFERROR(__xludf.DUMMYFUNCTION("""COMPUTED_VALUE"""),"1 AP")</f>
        <v>1 AP</v>
      </c>
      <c r="I916" s="263" t="str">
        <f>IFERROR(__xludf.DUMMYFUNCTION("""COMPUTED_VALUE"""),"1 AP")</f>
        <v>1 AP</v>
      </c>
      <c r="J916" s="263" t="str">
        <f>IFERROR(__xludf.DUMMYFUNCTION("""COMPUTED_VALUE"""),"")</f>
        <v/>
      </c>
      <c r="K916" s="263" t="str">
        <f>IFERROR(__xludf.DUMMYFUNCTION("""COMPUTED_VALUE"""),"")</f>
        <v/>
      </c>
      <c r="L916" s="263" t="str">
        <f>IFERROR(__xludf.DUMMYFUNCTION("""COMPUTED_VALUE"""),"")</f>
        <v/>
      </c>
      <c r="M916" s="263"/>
      <c r="N916" s="263"/>
      <c r="O916" s="263"/>
      <c r="P916" s="263"/>
      <c r="Q916" s="263"/>
      <c r="R916" s="263"/>
      <c r="S916" s="263"/>
      <c r="T916" s="263"/>
      <c r="U916" s="246"/>
      <c r="V916" s="246"/>
      <c r="W916" s="246"/>
      <c r="X916" s="246"/>
      <c r="Y916" s="246"/>
      <c r="Z916" s="246"/>
    </row>
    <row r="917">
      <c r="A917" s="263"/>
      <c r="B917" s="267" t="str">
        <f>IFERROR(__xludf.DUMMYFUNCTION("""COMPUTED_VALUE"""),"Wild Bloom")</f>
        <v>Wild Bloom</v>
      </c>
      <c r="C917" s="263"/>
      <c r="D917" s="263" t="str">
        <f>IFERROR(__xludf.DUMMYFUNCTION("""COMPUTED_VALUE"""),"Spell, Healing, Regrowth")</f>
        <v>Spell, Healing, Regrowth</v>
      </c>
      <c r="E917" s="263" t="str">
        <f>IFERROR(__xludf.DUMMYFUNCTION("""COMPUTED_VALUE"""),"40ft")</f>
        <v>40ft</v>
      </c>
      <c r="F917" s="268" t="str">
        <f>IFERROR(__xludf.DUMMYFUNCTION("""COMPUTED_VALUE"""),"You apply Regrowth to up to 5 (including yourself) allies within range.")</f>
        <v>You apply Regrowth to up to 5 (including yourself) allies within range.</v>
      </c>
      <c r="G917" s="263" t="str">
        <f>IFERROR(__xludf.DUMMYFUNCTION("""COMPUTED_VALUE"""),"")</f>
        <v/>
      </c>
      <c r="H917" s="267" t="str">
        <f>IFERROR(__xludf.DUMMYFUNCTION("""COMPUTED_VALUE"""),"2 AP, 2 MP")</f>
        <v>2 AP, 2 MP</v>
      </c>
      <c r="I917" s="263" t="str">
        <f>IFERROR(__xludf.DUMMYFUNCTION("""COMPUTED_VALUE"""),"2 AP")</f>
        <v>2 AP</v>
      </c>
      <c r="J917" s="263" t="str">
        <f>IFERROR(__xludf.DUMMYFUNCTION("""COMPUTED_VALUE"""),"2 MP")</f>
        <v>2 MP</v>
      </c>
      <c r="K917" s="263" t="str">
        <f>IFERROR(__xludf.DUMMYFUNCTION("""COMPUTED_VALUE"""),"")</f>
        <v/>
      </c>
      <c r="L917" s="263" t="str">
        <f>IFERROR(__xludf.DUMMYFUNCTION("""COMPUTED_VALUE"""),"")</f>
        <v/>
      </c>
      <c r="M917" s="263"/>
      <c r="N917" s="263"/>
      <c r="O917" s="263"/>
      <c r="P917" s="263"/>
      <c r="Q917" s="263"/>
      <c r="R917" s="263"/>
      <c r="S917" s="263"/>
      <c r="T917" s="263"/>
      <c r="U917" s="246"/>
      <c r="V917" s="246"/>
      <c r="W917" s="246"/>
      <c r="X917" s="246"/>
      <c r="Y917" s="246"/>
      <c r="Z917" s="246"/>
    </row>
    <row r="918">
      <c r="A918" s="263"/>
      <c r="B918" s="267" t="str">
        <f>IFERROR(__xludf.DUMMYFUNCTION("""COMPUTED_VALUE"""),"Wild Thrusts")</f>
        <v>Wild Thrusts</v>
      </c>
      <c r="C918" s="263"/>
      <c r="D918" s="263" t="str">
        <f>IFERROR(__xludf.DUMMYFUNCTION("""COMPUTED_VALUE"""),"Scatter")</f>
        <v>Scatter</v>
      </c>
      <c r="E918" s="263" t="str">
        <f>IFERROR(__xludf.DUMMYFUNCTION("""COMPUTED_VALUE"""),"Melee Weapon Range")</f>
        <v>Melee Weapon Range</v>
      </c>
      <c r="F918" s="268" t="str">
        <f>IFERROR(__xludf.DUMMYFUNCTION("""COMPUTED_VALUE"""),"You rapidly thrust your weapon in front of you, making a Light attack against all enemies in a 15ft wide, 10ft long box in front of you. Until the start of your next turn, you may make Attacks of Opportunity against any enemy walking through that box. You"&amp;" cannot make any other Attacks of Opportunity while this effect lasts.
You may cancel this effect for 0 RP.")</f>
        <v>You rapidly thrust your weapon in front of you, making a Light attack against all enemies in a 15ft wide, 10ft long box in front of you. Until the start of your next turn, you may make Attacks of Opportunity against any enemy walking through that box. You cannot make any other Attacks of Opportunity while this effect lasts.
You may cancel this effect for 0 RP.</v>
      </c>
      <c r="G918" s="263" t="str">
        <f>IFERROR(__xludf.DUMMYFUNCTION("""COMPUTED_VALUE"""),"Polearm only.")</f>
        <v>Polearm only.</v>
      </c>
      <c r="H918" s="267" t="str">
        <f>IFERROR(__xludf.DUMMYFUNCTION("""COMPUTED_VALUE"""),"2 AP, 1 MP")</f>
        <v>2 AP, 1 MP</v>
      </c>
      <c r="I918" s="263" t="str">
        <f>IFERROR(__xludf.DUMMYFUNCTION("""COMPUTED_VALUE"""),"2 AP")</f>
        <v>2 AP</v>
      </c>
      <c r="J918" s="263" t="str">
        <f>IFERROR(__xludf.DUMMYFUNCTION("""COMPUTED_VALUE"""),"1 MP")</f>
        <v>1 MP</v>
      </c>
      <c r="K918" s="263" t="str">
        <f>IFERROR(__xludf.DUMMYFUNCTION("""COMPUTED_VALUE"""),"")</f>
        <v/>
      </c>
      <c r="L918" s="263" t="str">
        <f>IFERROR(__xludf.DUMMYFUNCTION("""COMPUTED_VALUE"""),"")</f>
        <v/>
      </c>
      <c r="M918" s="263"/>
      <c r="N918" s="263"/>
      <c r="O918" s="263"/>
      <c r="P918" s="263"/>
      <c r="Q918" s="263"/>
      <c r="R918" s="263"/>
      <c r="S918" s="263"/>
      <c r="T918" s="263"/>
      <c r="U918" s="246"/>
      <c r="V918" s="246"/>
      <c r="W918" s="246"/>
      <c r="X918" s="246"/>
      <c r="Y918" s="246"/>
      <c r="Z918" s="246"/>
    </row>
    <row r="919">
      <c r="A919" s="263"/>
      <c r="B919" s="267" t="str">
        <f>IFERROR(__xludf.DUMMYFUNCTION("""COMPUTED_VALUE"""),"Wind Blast")</f>
        <v>Wind Blast</v>
      </c>
      <c r="C919" s="263"/>
      <c r="D919" s="263" t="str">
        <f>IFERROR(__xludf.DUMMYFUNCTION("""COMPUTED_VALUE"""),"Spell, Wind")</f>
        <v>Spell, Wind</v>
      </c>
      <c r="E919" s="263" t="str">
        <f>IFERROR(__xludf.DUMMYFUNCTION("""COMPUTED_VALUE"""),"120ft")</f>
        <v>120ft</v>
      </c>
      <c r="F919" s="268" t="str">
        <f>IFERROR(__xludf.DUMMYFUNCTION("""COMPUTED_VALUE"""),"You may make a Light Attack that deals Wind against the target. On damage, you push the target back 20ft. Targets knocked into other characters or an object take damage as if they fell a distance equal to distance they failed to move.")</f>
        <v>You may make a Light Attack that deals Wind against the target. On damage, you push the target back 20ft. Targets knocked into other characters or an object take damage as if they fell a distance equal to distance they failed to move.</v>
      </c>
      <c r="G919" s="263" t="str">
        <f>IFERROR(__xludf.DUMMYFUNCTION("""COMPUTED_VALUE"""),"")</f>
        <v/>
      </c>
      <c r="H919" s="267" t="str">
        <f>IFERROR(__xludf.DUMMYFUNCTION("""COMPUTED_VALUE"""),"1 AP, 1 MP")</f>
        <v>1 AP, 1 MP</v>
      </c>
      <c r="I919" s="263" t="str">
        <f>IFERROR(__xludf.DUMMYFUNCTION("""COMPUTED_VALUE"""),"1 AP")</f>
        <v>1 AP</v>
      </c>
      <c r="J919" s="263" t="str">
        <f>IFERROR(__xludf.DUMMYFUNCTION("""COMPUTED_VALUE"""),"1 MP")</f>
        <v>1 MP</v>
      </c>
      <c r="K919" s="263" t="str">
        <f>IFERROR(__xludf.DUMMYFUNCTION("""COMPUTED_VALUE"""),"")</f>
        <v/>
      </c>
      <c r="L919" s="263" t="str">
        <f>IFERROR(__xludf.DUMMYFUNCTION("""COMPUTED_VALUE"""),"")</f>
        <v/>
      </c>
      <c r="M919" s="263"/>
      <c r="N919" s="263"/>
      <c r="O919" s="263"/>
      <c r="P919" s="263"/>
      <c r="Q919" s="263"/>
      <c r="R919" s="263"/>
      <c r="S919" s="263"/>
      <c r="T919" s="263"/>
      <c r="U919" s="246"/>
      <c r="V919" s="246"/>
      <c r="W919" s="246"/>
      <c r="X919" s="246"/>
      <c r="Y919" s="246"/>
      <c r="Z919" s="246"/>
    </row>
    <row r="920">
      <c r="A920" s="263"/>
      <c r="B920" s="267" t="str">
        <f>IFERROR(__xludf.DUMMYFUNCTION("""COMPUTED_VALUE"""),"Wind Blast II")</f>
        <v>Wind Blast II</v>
      </c>
      <c r="C920" s="263"/>
      <c r="D920" s="263" t="str">
        <f>IFERROR(__xludf.DUMMYFUNCTION("""COMPUTED_VALUE"""),"Spell, Wind")</f>
        <v>Spell, Wind</v>
      </c>
      <c r="E920" s="263" t="str">
        <f>IFERROR(__xludf.DUMMYFUNCTION("""COMPUTED_VALUE"""),"120ft")</f>
        <v>120ft</v>
      </c>
      <c r="F920" s="268" t="str">
        <f>IFERROR(__xludf.DUMMYFUNCTION("""COMPUTED_VALUE"""),"You may make a Light (1 AP), Precise (2 AP) or Heavy Attack (2 AP) that deals Wind damage against the target. On damage, you push the target back 20ft.")</f>
        <v>You may make a Light (1 AP), Precise (2 AP) or Heavy Attack (2 AP) that deals Wind damage against the target. On damage, you push the target back 20ft.</v>
      </c>
      <c r="G920" s="263" t="str">
        <f>IFERROR(__xludf.DUMMYFUNCTION("""COMPUTED_VALUE"""),"")</f>
        <v/>
      </c>
      <c r="H920" s="267" t="str">
        <f>IFERROR(__xludf.DUMMYFUNCTION("""COMPUTED_VALUE"""),"1 AP, 1 MP")</f>
        <v>1 AP, 1 MP</v>
      </c>
      <c r="I920" s="263" t="str">
        <f>IFERROR(__xludf.DUMMYFUNCTION("""COMPUTED_VALUE"""),"1 AP")</f>
        <v>1 AP</v>
      </c>
      <c r="J920" s="263" t="str">
        <f>IFERROR(__xludf.DUMMYFUNCTION("""COMPUTED_VALUE"""),"1 MP")</f>
        <v>1 MP</v>
      </c>
      <c r="K920" s="263" t="str">
        <f>IFERROR(__xludf.DUMMYFUNCTION("""COMPUTED_VALUE"""),"")</f>
        <v/>
      </c>
      <c r="L920" s="263" t="str">
        <f>IFERROR(__xludf.DUMMYFUNCTION("""COMPUTED_VALUE"""),"")</f>
        <v/>
      </c>
      <c r="M920" s="263"/>
      <c r="N920" s="263"/>
      <c r="O920" s="263"/>
      <c r="P920" s="263"/>
      <c r="Q920" s="263"/>
      <c r="R920" s="263"/>
      <c r="S920" s="263"/>
      <c r="T920" s="263"/>
      <c r="U920" s="246"/>
      <c r="V920" s="246"/>
      <c r="W920" s="246"/>
      <c r="X920" s="246"/>
      <c r="Y920" s="246"/>
      <c r="Z920" s="246"/>
    </row>
    <row r="921">
      <c r="A921" s="263"/>
      <c r="B921" s="267" t="str">
        <f>IFERROR(__xludf.DUMMYFUNCTION("""COMPUTED_VALUE"""),"Wind Buffet")</f>
        <v>Wind Buffet</v>
      </c>
      <c r="C921" s="263"/>
      <c r="D921" s="263" t="str">
        <f>IFERROR(__xludf.DUMMYFUNCTION("""COMPUTED_VALUE"""),"Spell, Wind")</f>
        <v>Spell, Wind</v>
      </c>
      <c r="E921" s="263" t="str">
        <f>IFERROR(__xludf.DUMMYFUNCTION("""COMPUTED_VALUE"""),"30ft cone")</f>
        <v>30ft cone</v>
      </c>
      <c r="F921" s="268" t="str">
        <f>IFERROR(__xludf.DUMMYFUNCTION("""COMPUTED_VALUE"""),"You blow wind in a 30ft, 60ft degree cone in your chosen direction. All caught in the cone must make a save against your Potency or be blown back to the end of the cone and knocked Prone. Enemies with a size smaller than you suffer a 1d4 penalty to this r"&amp;"oll, while enemies bigger than you get a 1d4 bonus instead. Targets knocked into other characters or an object take damage as if they fell a distance equal to distance they failed to move.")</f>
        <v>You blow wind in a 30ft, 60ft degree cone in your chosen direction. All caught in the cone must make a save against your Potency or be blown back to the end of the cone and knocked Prone. Enemies with a size smaller than you suffer a 1d4 penalty to this roll, while enemies bigger than you get a 1d4 bonus instead. Targets knocked into other characters or an object take damage as if they fell a distance equal to distance they failed to move.</v>
      </c>
      <c r="G921" s="263" t="str">
        <f>IFERROR(__xludf.DUMMYFUNCTION("""COMPUTED_VALUE"""),"")</f>
        <v/>
      </c>
      <c r="H921" s="267" t="str">
        <f>IFERROR(__xludf.DUMMYFUNCTION("""COMPUTED_VALUE"""),"2 AP, 2 MP")</f>
        <v>2 AP, 2 MP</v>
      </c>
      <c r="I921" s="263" t="str">
        <f>IFERROR(__xludf.DUMMYFUNCTION("""COMPUTED_VALUE"""),"2 AP")</f>
        <v>2 AP</v>
      </c>
      <c r="J921" s="263" t="str">
        <f>IFERROR(__xludf.DUMMYFUNCTION("""COMPUTED_VALUE"""),"2 MP")</f>
        <v>2 MP</v>
      </c>
      <c r="K921" s="263" t="str">
        <f>IFERROR(__xludf.DUMMYFUNCTION("""COMPUTED_VALUE"""),"")</f>
        <v/>
      </c>
      <c r="L921" s="263" t="str">
        <f>IFERROR(__xludf.DUMMYFUNCTION("""COMPUTED_VALUE"""),"")</f>
        <v/>
      </c>
      <c r="M921" s="263"/>
      <c r="N921" s="263"/>
      <c r="O921" s="263"/>
      <c r="P921" s="263"/>
      <c r="Q921" s="263"/>
      <c r="R921" s="263"/>
      <c r="S921" s="263"/>
      <c r="T921" s="263"/>
      <c r="U921" s="246"/>
      <c r="V921" s="246"/>
      <c r="W921" s="246"/>
      <c r="X921" s="246"/>
      <c r="Y921" s="246"/>
      <c r="Z921" s="246"/>
    </row>
    <row r="922">
      <c r="A922" s="263"/>
      <c r="B922" s="267" t="str">
        <f>IFERROR(__xludf.DUMMYFUNCTION("""COMPUTED_VALUE"""),"Wind Infusion")</f>
        <v>Wind Infusion</v>
      </c>
      <c r="C922" s="263"/>
      <c r="D922" s="263" t="str">
        <f>IFERROR(__xludf.DUMMYFUNCTION("""COMPUTED_VALUE"""),"Spell, Type, Wind")</f>
        <v>Spell, Type, Wind</v>
      </c>
      <c r="E922" s="263" t="str">
        <f>IFERROR(__xludf.DUMMYFUNCTION("""COMPUTED_VALUE"""),"30ft")</f>
        <v>30ft</v>
      </c>
      <c r="F922" s="268" t="str">
        <f>IFERROR(__xludf.DUMMYFUNCTION("""COMPUTED_VALUE"""),"You surround the willing target in protective winds, changing their typing to Wind II. As a Wind II type, they take regular damage from all other elements, but only half damage from Wind or Earth damage or from attacks with the Wind or Earth keyword unles"&amp;"s that attack deals true damage. They take 50% more damage from Frost damage or attacks with the Frost keyword. While the ward lasts, they gain a +2 bonus to their Evasion against ranged weapon attacks. The ward lasts until the end of the encounter or unt"&amp;"il their type is overwritten by a more powerful type.")</f>
        <v>You surround the willing target in protective winds, changing their typing to Wind II. As a Wind II type, they take regular damage from all other elements, but only half damage from Wind or Earth damage or from attacks with the Wind or Earth keyword unless that attack deals true damage. They take 50% more damage from Frost damage or attacks with the Frost keyword. While the ward lasts, they gain a +2 bonus to their Evasion against ranged weapon attacks. The ward lasts until the end of the encounter or until their type is overwritten by a more powerful type.</v>
      </c>
      <c r="G922" s="263" t="str">
        <f>IFERROR(__xludf.DUMMYFUNCTION("""COMPUTED_VALUE"""),"")</f>
        <v/>
      </c>
      <c r="H922" s="267" t="str">
        <f>IFERROR(__xludf.DUMMYFUNCTION("""COMPUTED_VALUE"""),"1 AP, 0 MP")</f>
        <v>1 AP, 0 MP</v>
      </c>
      <c r="I922" s="263" t="str">
        <f>IFERROR(__xludf.DUMMYFUNCTION("""COMPUTED_VALUE"""),"1 AP")</f>
        <v>1 AP</v>
      </c>
      <c r="J922" s="263" t="str">
        <f>IFERROR(__xludf.DUMMYFUNCTION("""COMPUTED_VALUE"""),"0 MP")</f>
        <v>0 MP</v>
      </c>
      <c r="K922" s="263" t="str">
        <f>IFERROR(__xludf.DUMMYFUNCTION("""COMPUTED_VALUE"""),"")</f>
        <v/>
      </c>
      <c r="L922" s="263" t="str">
        <f>IFERROR(__xludf.DUMMYFUNCTION("""COMPUTED_VALUE"""),"")</f>
        <v/>
      </c>
      <c r="M922" s="263"/>
      <c r="N922" s="263"/>
      <c r="O922" s="263"/>
      <c r="P922" s="263"/>
      <c r="Q922" s="263"/>
      <c r="R922" s="263"/>
      <c r="S922" s="263"/>
      <c r="T922" s="263"/>
      <c r="U922" s="246"/>
      <c r="V922" s="246"/>
      <c r="W922" s="246"/>
      <c r="X922" s="246"/>
      <c r="Y922" s="246"/>
      <c r="Z922" s="246"/>
    </row>
    <row r="923">
      <c r="A923" s="263"/>
      <c r="B923" s="267" t="str">
        <f>IFERROR(__xludf.DUMMYFUNCTION("""COMPUTED_VALUE"""),"Wind Scatter")</f>
        <v>Wind Scatter</v>
      </c>
      <c r="C923" s="263"/>
      <c r="D923" s="263" t="str">
        <f>IFERROR(__xludf.DUMMYFUNCTION("""COMPUTED_VALUE"""),"Spell, Wind")</f>
        <v>Spell, Wind</v>
      </c>
      <c r="E923" s="263" t="str">
        <f>IFERROR(__xludf.DUMMYFUNCTION("""COMPUTED_VALUE"""),"60ft")</f>
        <v>60ft</v>
      </c>
      <c r="F923" s="268" t="str">
        <f>IFERROR(__xludf.DUMMYFUNCTION("""COMPUTED_VALUE"""),"You select a point within range. All targets in a 15x15 area must make a save against Potency or be pushed back 15ft away from the point you selected. Targets knocked into other characters or an object take damage as if they fell a distance equal to dista"&amp;"nce they failed to move.")</f>
        <v>You select a point within range. All targets in a 15x15 area must make a save against Potency or be pushed back 15ft away from the point you selected. Targets knocked into other characters or an object take damage as if they fell a distance equal to distance they failed to move.</v>
      </c>
      <c r="G923" s="263" t="str">
        <f>IFERROR(__xludf.DUMMYFUNCTION("""COMPUTED_VALUE"""),"")</f>
        <v/>
      </c>
      <c r="H923" s="267" t="str">
        <f>IFERROR(__xludf.DUMMYFUNCTION("""COMPUTED_VALUE"""),"1 AP")</f>
        <v>1 AP</v>
      </c>
      <c r="I923" s="263" t="str">
        <f>IFERROR(__xludf.DUMMYFUNCTION("""COMPUTED_VALUE"""),"1 AP")</f>
        <v>1 AP</v>
      </c>
      <c r="J923" s="263" t="str">
        <f>IFERROR(__xludf.DUMMYFUNCTION("""COMPUTED_VALUE"""),"")</f>
        <v/>
      </c>
      <c r="K923" s="263" t="str">
        <f>IFERROR(__xludf.DUMMYFUNCTION("""COMPUTED_VALUE"""),"")</f>
        <v/>
      </c>
      <c r="L923" s="263" t="str">
        <f>IFERROR(__xludf.DUMMYFUNCTION("""COMPUTED_VALUE"""),"")</f>
        <v/>
      </c>
      <c r="M923" s="263"/>
      <c r="N923" s="263"/>
      <c r="O923" s="263"/>
      <c r="P923" s="263"/>
      <c r="Q923" s="263"/>
      <c r="R923" s="263"/>
      <c r="S923" s="263"/>
      <c r="T923" s="263"/>
      <c r="U923" s="246"/>
      <c r="V923" s="246"/>
      <c r="W923" s="246"/>
      <c r="X923" s="246"/>
      <c r="Y923" s="246"/>
      <c r="Z923" s="246"/>
    </row>
    <row r="924">
      <c r="A924" s="263"/>
      <c r="B924" s="267" t="str">
        <f>IFERROR(__xludf.DUMMYFUNCTION("""COMPUTED_VALUE"""),"Wind Shield")</f>
        <v>Wind Shield</v>
      </c>
      <c r="C924" s="263"/>
      <c r="D924" s="263" t="str">
        <f>IFERROR(__xludf.DUMMYFUNCTION("""COMPUTED_VALUE"""),"Aid, Shield, Spell")</f>
        <v>Aid, Shield, Spell</v>
      </c>
      <c r="E924" s="263" t="str">
        <f>IFERROR(__xludf.DUMMYFUNCTION("""COMPUTED_VALUE"""),"30ft")</f>
        <v>30ft</v>
      </c>
      <c r="F924" s="268" t="str">
        <f>IFERROR(__xludf.DUMMYFUNCTION("""COMPUTED_VALUE"""),"You grant the target  1 RP that must be spent on the basic Dodge or Block action against the triggering attack as well as Wind Shield. Wind Shield grants a bonus to Dodge equal to your Focus against the triggering attack. The triggering attack can also no"&amp;" longer benefit from Lock On or Sure Hit")</f>
        <v>You grant the target  1 RP that must be spent on the basic Dodge or Block action against the triggering attack as well as Wind Shield. Wind Shield grants a bonus to Dodge equal to your Focus against the triggering attack. The triggering attack can also no longer benefit from Lock On or Sure Hit</v>
      </c>
      <c r="G924" s="263" t="str">
        <f>IFERROR(__xludf.DUMMYFUNCTION("""COMPUTED_VALUE"""),"Ally is targeted by a ranged attack.")</f>
        <v>Ally is targeted by a ranged attack.</v>
      </c>
      <c r="H924" s="267" t="str">
        <f>IFERROR(__xludf.DUMMYFUNCTION("""COMPUTED_VALUE"""),"1 RP")</f>
        <v>1 RP</v>
      </c>
      <c r="I924" s="263" t="str">
        <f>IFERROR(__xludf.DUMMYFUNCTION("""COMPUTED_VALUE"""),"")</f>
        <v/>
      </c>
      <c r="J924" s="263" t="str">
        <f>IFERROR(__xludf.DUMMYFUNCTION("""COMPUTED_VALUE"""),"")</f>
        <v/>
      </c>
      <c r="K924" s="263" t="str">
        <f>IFERROR(__xludf.DUMMYFUNCTION("""COMPUTED_VALUE"""),"1 RP")</f>
        <v>1 RP</v>
      </c>
      <c r="L924" s="263" t="str">
        <f>IFERROR(__xludf.DUMMYFUNCTION("""COMPUTED_VALUE"""),"")</f>
        <v/>
      </c>
      <c r="M924" s="263"/>
      <c r="N924" s="263"/>
      <c r="O924" s="263"/>
      <c r="P924" s="263"/>
      <c r="Q924" s="263"/>
      <c r="R924" s="263"/>
      <c r="S924" s="263"/>
      <c r="T924" s="263"/>
      <c r="U924" s="246"/>
      <c r="V924" s="246"/>
      <c r="W924" s="246"/>
      <c r="X924" s="246"/>
      <c r="Y924" s="246"/>
      <c r="Z924" s="246"/>
    </row>
    <row r="925">
      <c r="A925" s="263"/>
      <c r="B925" s="267" t="str">
        <f>IFERROR(__xludf.DUMMYFUNCTION("""COMPUTED_VALUE"""),"Wind Wall")</f>
        <v>Wind Wall</v>
      </c>
      <c r="C925" s="263"/>
      <c r="D925" s="263" t="str">
        <f>IFERROR(__xludf.DUMMYFUNCTION("""COMPUTED_VALUE"""),"Concentration, Spell, Wind")</f>
        <v>Concentration, Spell, Wind</v>
      </c>
      <c r="E925" s="263" t="str">
        <f>IFERROR(__xludf.DUMMYFUNCTION("""COMPUTED_VALUE"""),"60ft")</f>
        <v>60ft</v>
      </c>
      <c r="F925" s="268" t="str">
        <f>IFERROR(__xludf.DUMMYFUNCTION("""COMPUTED_VALUE"""),"You create a wall of wind that is 30ft long, 5ft wide and 10ft high that slows down all ranged weapon attacks passing through it, treating them as having only half the normal range. This wall must be a straight line. These attacks also lose the Lock On, S"&amp;"ure Hit, Half Pierce, Guard Crush and Full Pierce keywords. In addition, the targets of those attacks are treated as having +2 Evasion and +1 Guard. Any Spells that are considered attacks (those that require an accuracy roll against a person that isn’t us"&amp;"ing the Block reaction) that pass through the wall also suffer this penalty.")</f>
        <v>You create a wall of wind that is 30ft long, 5ft wide and 10ft high that slows down all ranged weapon attacks passing through it, treating them as having only half the normal range. This wall must be a straight line. These attacks also lose the Lock On, Sure Hit, Half Pierce, Guard Crush and Full Pierce keywords. In addition, the targets of those attacks are treated as having +2 Evasion and +1 Guard. Any Spells that are considered attacks (those that require an accuracy roll against a person that isn’t using the Block reaction) that pass through the wall also suffer this penalty.</v>
      </c>
      <c r="G925" s="263" t="str">
        <f>IFERROR(__xludf.DUMMYFUNCTION("""COMPUTED_VALUE"""),"")</f>
        <v/>
      </c>
      <c r="H925" s="267" t="str">
        <f>IFERROR(__xludf.DUMMYFUNCTION("""COMPUTED_VALUE"""),"2 AP, 1 MP")</f>
        <v>2 AP, 1 MP</v>
      </c>
      <c r="I925" s="263" t="str">
        <f>IFERROR(__xludf.DUMMYFUNCTION("""COMPUTED_VALUE"""),"2 AP")</f>
        <v>2 AP</v>
      </c>
      <c r="J925" s="263" t="str">
        <f>IFERROR(__xludf.DUMMYFUNCTION("""COMPUTED_VALUE"""),"1 MP")</f>
        <v>1 MP</v>
      </c>
      <c r="K925" s="263" t="str">
        <f>IFERROR(__xludf.DUMMYFUNCTION("""COMPUTED_VALUE"""),"")</f>
        <v/>
      </c>
      <c r="L925" s="263" t="str">
        <f>IFERROR(__xludf.DUMMYFUNCTION("""COMPUTED_VALUE"""),"")</f>
        <v/>
      </c>
      <c r="M925" s="263"/>
      <c r="N925" s="263"/>
      <c r="O925" s="263"/>
      <c r="P925" s="263"/>
      <c r="Q925" s="263"/>
      <c r="R925" s="263"/>
      <c r="S925" s="263"/>
      <c r="T925" s="263"/>
      <c r="U925" s="246"/>
      <c r="V925" s="246"/>
      <c r="W925" s="246"/>
      <c r="X925" s="246"/>
      <c r="Y925" s="246"/>
      <c r="Z925" s="246"/>
    </row>
    <row r="926">
      <c r="A926" s="263"/>
      <c r="B926" s="267" t="str">
        <f>IFERROR(__xludf.DUMMYFUNCTION("""COMPUTED_VALUE"""),"Wind-Empowered Aim")</f>
        <v>Wind-Empowered Aim</v>
      </c>
      <c r="C926" s="263"/>
      <c r="D926" s="263" t="str">
        <f>IFERROR(__xludf.DUMMYFUNCTION("""COMPUTED_VALUE"""),"Aura, Upkeep")</f>
        <v>Aura, Upkeep</v>
      </c>
      <c r="E926" s="263" t="str">
        <f>IFERROR(__xludf.DUMMYFUNCTION("""COMPUTED_VALUE"""),"Self")</f>
        <v>Self</v>
      </c>
      <c r="F926" s="268" t="str">
        <f>IFERROR(__xludf.DUMMYFUNCTION("""COMPUTED_VALUE"""),"You project Wind-Empowered Aim aura around yourself that empowers the ranged attacks of your allies. When a heroic ally within 20ft of you (including yourself) makes a ranged attack, they may add 1d4 to the accuracy roll. Upkeep: You must spend 1 AP at th"&amp;"e start of each turn or the Aura fades.")</f>
        <v>You project Wind-Empowered Aim aura around yourself that empowers the ranged attacks of your allies. When a heroic ally within 20ft of you (including yourself) makes a ranged attack, they may add 1d4 to the accuracy roll. Upkeep: You must spend 1 AP at the start of each turn or the Aura fades.</v>
      </c>
      <c r="G926" s="263" t="str">
        <f>IFERROR(__xludf.DUMMYFUNCTION("""COMPUTED_VALUE"""),"")</f>
        <v/>
      </c>
      <c r="H926" s="267" t="str">
        <f>IFERROR(__xludf.DUMMYFUNCTION("""COMPUTED_VALUE"""),"2 AP")</f>
        <v>2 AP</v>
      </c>
      <c r="I926" s="263" t="str">
        <f>IFERROR(__xludf.DUMMYFUNCTION("""COMPUTED_VALUE"""),"2 AP")</f>
        <v>2 AP</v>
      </c>
      <c r="J926" s="263" t="str">
        <f>IFERROR(__xludf.DUMMYFUNCTION("""COMPUTED_VALUE"""),"")</f>
        <v/>
      </c>
      <c r="K926" s="263" t="str">
        <f>IFERROR(__xludf.DUMMYFUNCTION("""COMPUTED_VALUE"""),"")</f>
        <v/>
      </c>
      <c r="L926" s="263" t="str">
        <f>IFERROR(__xludf.DUMMYFUNCTION("""COMPUTED_VALUE"""),"")</f>
        <v/>
      </c>
      <c r="M926" s="263"/>
      <c r="N926" s="263"/>
      <c r="O926" s="263"/>
      <c r="P926" s="263"/>
      <c r="Q926" s="263"/>
      <c r="R926" s="263"/>
      <c r="S926" s="263"/>
      <c r="T926" s="263"/>
      <c r="U926" s="246"/>
      <c r="V926" s="246"/>
      <c r="W926" s="246"/>
      <c r="X926" s="246"/>
      <c r="Y926" s="246"/>
      <c r="Z926" s="246"/>
    </row>
    <row r="927">
      <c r="A927" s="263"/>
      <c r="B927" s="267" t="str">
        <f>IFERROR(__xludf.DUMMYFUNCTION("""COMPUTED_VALUE"""),"Wind-up Punch")</f>
        <v>Wind-up Punch</v>
      </c>
      <c r="C927" s="263"/>
      <c r="D927" s="263" t="str">
        <f>IFERROR(__xludf.DUMMYFUNCTION("""COMPUTED_VALUE"""),"Overcharge, Unarmed Strike")</f>
        <v>Overcharge, Unarmed Strike</v>
      </c>
      <c r="E927" s="263" t="str">
        <f>IFERROR(__xludf.DUMMYFUNCTION("""COMPUTED_VALUE"""),"Melee Weapon Range")</f>
        <v>Melee Weapon Range</v>
      </c>
      <c r="F927" s="268" t="str">
        <f>IFERROR(__xludf.DUMMYFUNCTION("""COMPUTED_VALUE"""),"You may make a Heavy attack against the target. Overcharge: You may spend additional AP when using this ability to deal an additional Light Damage per AP used. Add all of this damage together before applying damage reduction from Guard or abilities.")</f>
        <v>You may make a Heavy attack against the target. Overcharge: You may spend additional AP when using this ability to deal an additional Light Damage per AP used. Add all of this damage together before applying damage reduction from Guard or abilities.</v>
      </c>
      <c r="G927" s="263" t="str">
        <f>IFERROR(__xludf.DUMMYFUNCTION("""COMPUTED_VALUE"""),"")</f>
        <v/>
      </c>
      <c r="H927" s="267" t="str">
        <f>IFERROR(__xludf.DUMMYFUNCTION("""COMPUTED_VALUE"""),"2 AP")</f>
        <v>2 AP</v>
      </c>
      <c r="I927" s="263" t="str">
        <f>IFERROR(__xludf.DUMMYFUNCTION("""COMPUTED_VALUE"""),"2 AP")</f>
        <v>2 AP</v>
      </c>
      <c r="J927" s="263" t="str">
        <f>IFERROR(__xludf.DUMMYFUNCTION("""COMPUTED_VALUE"""),"")</f>
        <v/>
      </c>
      <c r="K927" s="263" t="str">
        <f>IFERROR(__xludf.DUMMYFUNCTION("""COMPUTED_VALUE"""),"")</f>
        <v/>
      </c>
      <c r="L927" s="263" t="str">
        <f>IFERROR(__xludf.DUMMYFUNCTION("""COMPUTED_VALUE"""),"")</f>
        <v/>
      </c>
      <c r="M927" s="263"/>
      <c r="N927" s="263"/>
      <c r="O927" s="263"/>
      <c r="P927" s="263"/>
      <c r="Q927" s="263"/>
      <c r="R927" s="263"/>
      <c r="S927" s="263"/>
      <c r="T927" s="263"/>
      <c r="U927" s="246"/>
      <c r="V927" s="246"/>
      <c r="W927" s="246"/>
      <c r="X927" s="246"/>
      <c r="Y927" s="246"/>
      <c r="Z927" s="246"/>
    </row>
    <row r="928">
      <c r="A928" s="263"/>
      <c r="B928" s="267" t="str">
        <f>IFERROR(__xludf.DUMMYFUNCTION("""COMPUTED_VALUE"""),"Wire Sweep")</f>
        <v>Wire Sweep</v>
      </c>
      <c r="C928" s="263"/>
      <c r="D928" s="263" t="str">
        <f>IFERROR(__xludf.DUMMYFUNCTION("""COMPUTED_VALUE"""),"")</f>
        <v/>
      </c>
      <c r="E928" s="263" t="str">
        <f>IFERROR(__xludf.DUMMYFUNCTION("""COMPUTED_VALUE"""),"20ft")</f>
        <v>20ft</v>
      </c>
      <c r="F928" s="268" t="str">
        <f>IFERROR(__xludf.DUMMYFUNCTION("""COMPUTED_VALUE"""),"You whip your wire to ensnare the target. If they fail their save against your Potency+2 they are rendered Prone and take Light Damage.")</f>
        <v>You whip your wire to ensnare the target. If they fail their save against your Potency+2 they are rendered Prone and take Light Damage.</v>
      </c>
      <c r="G928" s="263" t="str">
        <f>IFERROR(__xludf.DUMMYFUNCTION("""COMPUTED_VALUE"""),"Saboteur Threaded Dagger only.")</f>
        <v>Saboteur Threaded Dagger only.</v>
      </c>
      <c r="H928" s="267" t="str">
        <f>IFERROR(__xludf.DUMMYFUNCTION("""COMPUTED_VALUE"""),"1 AP, 1 MP")</f>
        <v>1 AP, 1 MP</v>
      </c>
      <c r="I928" s="263" t="str">
        <f>IFERROR(__xludf.DUMMYFUNCTION("""COMPUTED_VALUE"""),"1 AP")</f>
        <v>1 AP</v>
      </c>
      <c r="J928" s="263" t="str">
        <f>IFERROR(__xludf.DUMMYFUNCTION("""COMPUTED_VALUE"""),"1 MP")</f>
        <v>1 MP</v>
      </c>
      <c r="K928" s="263" t="str">
        <f>IFERROR(__xludf.DUMMYFUNCTION("""COMPUTED_VALUE"""),"")</f>
        <v/>
      </c>
      <c r="L928" s="263" t="str">
        <f>IFERROR(__xludf.DUMMYFUNCTION("""COMPUTED_VALUE"""),"")</f>
        <v/>
      </c>
      <c r="M928" s="263"/>
      <c r="N928" s="263"/>
      <c r="O928" s="263"/>
      <c r="P928" s="263"/>
      <c r="Q928" s="263"/>
      <c r="R928" s="263"/>
      <c r="S928" s="263"/>
      <c r="T928" s="263"/>
      <c r="U928" s="246"/>
      <c r="V928" s="246"/>
      <c r="W928" s="246"/>
      <c r="X928" s="246"/>
      <c r="Y928" s="246"/>
      <c r="Z928" s="246"/>
    </row>
    <row r="929">
      <c r="A929" s="263"/>
      <c r="B929" s="267" t="str">
        <f>IFERROR(__xludf.DUMMYFUNCTION("""COMPUTED_VALUE"""),"Wither the Stalk")</f>
        <v>Wither the Stalk</v>
      </c>
      <c r="C929" s="263"/>
      <c r="D929" s="263" t="str">
        <f>IFERROR(__xludf.DUMMYFUNCTION("""COMPUTED_VALUE"""),"")</f>
        <v/>
      </c>
      <c r="E929" s="263" t="str">
        <f>IFERROR(__xludf.DUMMYFUNCTION("""COMPUTED_VALUE"""),"Melee Weapon Range")</f>
        <v>Melee Weapon Range</v>
      </c>
      <c r="F929" s="268" t="str">
        <f>IFERROR(__xludf.DUMMYFUNCTION("""COMPUTED_VALUE"""),"You strike an enemy with an attack that saps their strength. You make a Light attack against the target. On damage, the target cannot add their Power for damage to their next attack.
Does not work against Boss enemies.")</f>
        <v>You strike an enemy with an attack that saps their strength. You make a Light attack against the target. On damage, the target cannot add their Power for damage to their next attack.
Does not work against Boss enemies.</v>
      </c>
      <c r="G929" s="263" t="str">
        <f>IFERROR(__xludf.DUMMYFUNCTION("""COMPUTED_VALUE"""),"Scythe only")</f>
        <v>Scythe only</v>
      </c>
      <c r="H929" s="267" t="str">
        <f>IFERROR(__xludf.DUMMYFUNCTION("""COMPUTED_VALUE"""),"1 AP, 1 MP")</f>
        <v>1 AP, 1 MP</v>
      </c>
      <c r="I929" s="263" t="str">
        <f>IFERROR(__xludf.DUMMYFUNCTION("""COMPUTED_VALUE"""),"1 AP")</f>
        <v>1 AP</v>
      </c>
      <c r="J929" s="263" t="str">
        <f>IFERROR(__xludf.DUMMYFUNCTION("""COMPUTED_VALUE"""),"1 MP")</f>
        <v>1 MP</v>
      </c>
      <c r="K929" s="263" t="str">
        <f>IFERROR(__xludf.DUMMYFUNCTION("""COMPUTED_VALUE"""),"")</f>
        <v/>
      </c>
      <c r="L929" s="263" t="str">
        <f>IFERROR(__xludf.DUMMYFUNCTION("""COMPUTED_VALUE"""),"")</f>
        <v/>
      </c>
      <c r="M929" s="263"/>
      <c r="N929" s="263"/>
      <c r="O929" s="263"/>
      <c r="P929" s="263"/>
      <c r="Q929" s="263"/>
      <c r="R929" s="263"/>
      <c r="S929" s="263"/>
      <c r="T929" s="263"/>
      <c r="U929" s="246"/>
      <c r="V929" s="246"/>
      <c r="W929" s="246"/>
      <c r="X929" s="246"/>
      <c r="Y929" s="246"/>
      <c r="Z929" s="246"/>
    </row>
    <row r="930">
      <c r="A930" s="263"/>
      <c r="B930" s="267" t="str">
        <f>IFERROR(__xludf.DUMMYFUNCTION("""COMPUTED_VALUE"""),"X-Attack")</f>
        <v>X-Attack</v>
      </c>
      <c r="C930" s="263"/>
      <c r="D930" s="263" t="str">
        <f>IFERROR(__xludf.DUMMYFUNCTION("""COMPUTED_VALUE"""),"")</f>
        <v/>
      </c>
      <c r="E930" s="263" t="str">
        <f>IFERROR(__xludf.DUMMYFUNCTION("""COMPUTED_VALUE"""),"Sight")</f>
        <v>Sight</v>
      </c>
      <c r="F930" s="268" t="str">
        <f>IFERROR(__xludf.DUMMYFUNCTION("""COMPUTED_VALUE"""),"You give your summon a +1 Focus and +1 Power buff.")</f>
        <v>You give your summon a +1 Focus and +1 Power buff.</v>
      </c>
      <c r="G930" s="263" t="str">
        <f>IFERROR(__xludf.DUMMYFUNCTION("""COMPUTED_VALUE"""),"Can only target your summoned animal.")</f>
        <v>Can only target your summoned animal.</v>
      </c>
      <c r="H930" s="267" t="str">
        <f>IFERROR(__xludf.DUMMYFUNCTION("""COMPUTED_VALUE"""),"2 AP")</f>
        <v>2 AP</v>
      </c>
      <c r="I930" s="263" t="str">
        <f>IFERROR(__xludf.DUMMYFUNCTION("""COMPUTED_VALUE"""),"2 AP")</f>
        <v>2 AP</v>
      </c>
      <c r="J930" s="263" t="str">
        <f>IFERROR(__xludf.DUMMYFUNCTION("""COMPUTED_VALUE"""),"")</f>
        <v/>
      </c>
      <c r="K930" s="263" t="str">
        <f>IFERROR(__xludf.DUMMYFUNCTION("""COMPUTED_VALUE"""),"")</f>
        <v/>
      </c>
      <c r="L930" s="263" t="str">
        <f>IFERROR(__xludf.DUMMYFUNCTION("""COMPUTED_VALUE"""),"")</f>
        <v/>
      </c>
      <c r="M930" s="263"/>
      <c r="N930" s="263"/>
      <c r="O930" s="263"/>
      <c r="P930" s="263"/>
      <c r="Q930" s="263"/>
      <c r="R930" s="263"/>
      <c r="S930" s="263"/>
      <c r="T930" s="263"/>
      <c r="U930" s="246"/>
      <c r="V930" s="246"/>
      <c r="W930" s="246"/>
      <c r="X930" s="246"/>
      <c r="Y930" s="246"/>
      <c r="Z930" s="246"/>
    </row>
    <row r="931">
      <c r="A931" s="263"/>
      <c r="B931" s="267" t="str">
        <f>IFERROR(__xludf.DUMMYFUNCTION("""COMPUTED_VALUE"""),"Zap")</f>
        <v>Zap</v>
      </c>
      <c r="C931" s="263"/>
      <c r="D931" s="263" t="str">
        <f>IFERROR(__xludf.DUMMYFUNCTION("""COMPUTED_VALUE"""),"Lightning, Lock On, Spell")</f>
        <v>Lightning, Lock On, Spell</v>
      </c>
      <c r="E931" s="263" t="str">
        <f>IFERROR(__xludf.DUMMYFUNCTION("""COMPUTED_VALUE"""),"60ft")</f>
        <v>60ft</v>
      </c>
      <c r="F931" s="268" t="str">
        <f>IFERROR(__xludf.DUMMYFUNCTION("""COMPUTED_VALUE"""),"You may make a Light attack against the target, dealing Lightning damage. On damage, inflict Static X where X equals your Focus X 3.")</f>
        <v>You may make a Light attack against the target, dealing Lightning damage. On damage, inflict Static X where X equals your Focus X 3.</v>
      </c>
      <c r="G931" s="263" t="str">
        <f>IFERROR(__xludf.DUMMYFUNCTION("""COMPUTED_VALUE"""),"")</f>
        <v/>
      </c>
      <c r="H931" s="267" t="str">
        <f>IFERROR(__xludf.DUMMYFUNCTION("""COMPUTED_VALUE"""),"1 AP, 1 MP")</f>
        <v>1 AP, 1 MP</v>
      </c>
      <c r="I931" s="263" t="str">
        <f>IFERROR(__xludf.DUMMYFUNCTION("""COMPUTED_VALUE"""),"1 AP")</f>
        <v>1 AP</v>
      </c>
      <c r="J931" s="263" t="str">
        <f>IFERROR(__xludf.DUMMYFUNCTION("""COMPUTED_VALUE"""),"1 MP")</f>
        <v>1 MP</v>
      </c>
      <c r="K931" s="263" t="str">
        <f>IFERROR(__xludf.DUMMYFUNCTION("""COMPUTED_VALUE"""),"")</f>
        <v/>
      </c>
      <c r="L931" s="263" t="str">
        <f>IFERROR(__xludf.DUMMYFUNCTION("""COMPUTED_VALUE"""),"")</f>
        <v/>
      </c>
      <c r="M931" s="263"/>
      <c r="N931" s="263"/>
      <c r="O931" s="263"/>
      <c r="P931" s="263"/>
      <c r="Q931" s="263"/>
      <c r="R931" s="263"/>
      <c r="S931" s="263"/>
      <c r="T931" s="263"/>
      <c r="U931" s="246"/>
      <c r="V931" s="246"/>
      <c r="W931" s="246"/>
      <c r="X931" s="246"/>
      <c r="Y931" s="246"/>
      <c r="Z931" s="246"/>
    </row>
    <row r="932">
      <c r="A932" s="263"/>
      <c r="B932" s="267" t="str">
        <f>IFERROR(__xludf.DUMMYFUNCTION("""COMPUTED_VALUE"""),"Zhen Jiao")</f>
        <v>Zhen Jiao</v>
      </c>
      <c r="C932" s="263"/>
      <c r="D932" s="263" t="str">
        <f>IFERROR(__xludf.DUMMYFUNCTION("""COMPUTED_VALUE"""),"")</f>
        <v/>
      </c>
      <c r="E932" s="263" t="str">
        <f>IFERROR(__xludf.DUMMYFUNCTION("""COMPUTED_VALUE"""),"")</f>
        <v/>
      </c>
      <c r="F932" s="268" t="str">
        <f>IFERROR(__xludf.DUMMYFUNCTION("""COMPUTED_VALUE"""),"When you move toward an enemy as part of a Martial Artist or Bajiquan ability due to Fire Stance or an inherent move effect of the ability (such as Rushing Knee Drop), your attack deals three extra points of damage for every 5ft moved. If your attack hits"&amp;" more than once or more than one target, you only apply this damage once.")</f>
        <v>When you move toward an enemy as part of a Martial Artist or Bajiquan ability due to Fire Stance or an inherent move effect of the ability (such as Rushing Knee Drop), your attack deals three extra points of damage for every 5ft moved. If your attack hits more than once or more than one target, you only apply this damage once.</v>
      </c>
      <c r="G932" s="263" t="str">
        <f>IFERROR(__xludf.DUMMYFUNCTION("""COMPUTED_VALUE"""),"")</f>
        <v/>
      </c>
      <c r="H932" s="267" t="str">
        <f>IFERROR(__xludf.DUMMYFUNCTION("""COMPUTED_VALUE"""),"")</f>
        <v/>
      </c>
      <c r="I932" s="263" t="str">
        <f>IFERROR(__xludf.DUMMYFUNCTION("""COMPUTED_VALUE"""),"")</f>
        <v/>
      </c>
      <c r="J932" s="263" t="str">
        <f>IFERROR(__xludf.DUMMYFUNCTION("""COMPUTED_VALUE"""),"")</f>
        <v/>
      </c>
      <c r="K932" s="263" t="str">
        <f>IFERROR(__xludf.DUMMYFUNCTION("""COMPUTED_VALUE"""),"")</f>
        <v/>
      </c>
      <c r="L932" s="263" t="str">
        <f>IFERROR(__xludf.DUMMYFUNCTION("""COMPUTED_VALUE"""),"")</f>
        <v/>
      </c>
      <c r="M932" s="263"/>
      <c r="N932" s="263"/>
      <c r="O932" s="263"/>
      <c r="P932" s="263"/>
      <c r="Q932" s="263"/>
      <c r="R932" s="263"/>
      <c r="S932" s="263"/>
      <c r="T932" s="263"/>
      <c r="U932" s="246"/>
      <c r="V932" s="246"/>
      <c r="W932" s="246"/>
      <c r="X932" s="246"/>
      <c r="Y932" s="246"/>
      <c r="Z932" s="246"/>
    </row>
    <row r="933">
      <c r="A933" s="263"/>
      <c r="B933" s="267"/>
      <c r="C933" s="263"/>
      <c r="D933" s="263"/>
      <c r="E933" s="263"/>
      <c r="F933" s="268"/>
      <c r="G933" s="263"/>
      <c r="H933" s="267"/>
      <c r="I933" s="263"/>
      <c r="J933" s="263"/>
      <c r="K933" s="263"/>
      <c r="L933" s="263"/>
      <c r="M933" s="263"/>
      <c r="N933" s="263"/>
      <c r="O933" s="263"/>
      <c r="P933" s="263"/>
      <c r="Q933" s="263"/>
      <c r="R933" s="263"/>
      <c r="S933" s="263"/>
      <c r="T933" s="263"/>
      <c r="U933" s="246"/>
      <c r="V933" s="246"/>
      <c r="W933" s="246"/>
      <c r="X933" s="246"/>
      <c r="Y933" s="246"/>
      <c r="Z933" s="246"/>
    </row>
    <row r="934">
      <c r="A934" s="263"/>
      <c r="B934" s="267"/>
      <c r="C934" s="263"/>
      <c r="D934" s="263"/>
      <c r="E934" s="263"/>
      <c r="F934" s="268"/>
      <c r="G934" s="263"/>
      <c r="H934" s="267"/>
      <c r="I934" s="263"/>
      <c r="J934" s="263"/>
      <c r="K934" s="263"/>
      <c r="L934" s="263"/>
      <c r="M934" s="263"/>
      <c r="N934" s="263"/>
      <c r="O934" s="263"/>
      <c r="P934" s="263"/>
      <c r="Q934" s="263"/>
      <c r="R934" s="263"/>
      <c r="S934" s="263"/>
      <c r="T934" s="263"/>
      <c r="U934" s="246"/>
      <c r="V934" s="246"/>
      <c r="W934" s="246"/>
      <c r="X934" s="246"/>
      <c r="Y934" s="246"/>
      <c r="Z934" s="246"/>
    </row>
    <row r="935">
      <c r="A935" s="263"/>
      <c r="B935" s="267"/>
      <c r="C935" s="263"/>
      <c r="D935" s="263"/>
      <c r="E935" s="263"/>
      <c r="F935" s="268"/>
      <c r="G935" s="263"/>
      <c r="H935" s="267"/>
      <c r="I935" s="263"/>
      <c r="J935" s="263"/>
      <c r="K935" s="263"/>
      <c r="L935" s="263"/>
      <c r="M935" s="263"/>
      <c r="N935" s="263"/>
      <c r="O935" s="263"/>
      <c r="P935" s="263"/>
      <c r="Q935" s="263"/>
      <c r="R935" s="263"/>
      <c r="S935" s="263"/>
      <c r="T935" s="263"/>
      <c r="U935" s="246"/>
      <c r="V935" s="246"/>
      <c r="W935" s="246"/>
      <c r="X935" s="246"/>
      <c r="Y935" s="246"/>
      <c r="Z935" s="246"/>
    </row>
    <row r="936">
      <c r="A936" s="263"/>
      <c r="B936" s="267"/>
      <c r="C936" s="263"/>
      <c r="D936" s="263"/>
      <c r="E936" s="263"/>
      <c r="F936" s="268"/>
      <c r="G936" s="263"/>
      <c r="H936" s="267"/>
      <c r="I936" s="263"/>
      <c r="J936" s="263"/>
      <c r="K936" s="263"/>
      <c r="L936" s="263"/>
      <c r="M936" s="263"/>
      <c r="N936" s="263"/>
      <c r="O936" s="263"/>
      <c r="P936" s="263"/>
      <c r="Q936" s="263"/>
      <c r="R936" s="263"/>
      <c r="S936" s="263"/>
      <c r="T936" s="263"/>
      <c r="U936" s="246"/>
      <c r="V936" s="246"/>
      <c r="W936" s="246"/>
      <c r="X936" s="246"/>
      <c r="Y936" s="246"/>
      <c r="Z936" s="246"/>
    </row>
    <row r="937">
      <c r="A937" s="263"/>
      <c r="B937" s="267"/>
      <c r="C937" s="263"/>
      <c r="D937" s="263"/>
      <c r="E937" s="263"/>
      <c r="F937" s="268"/>
      <c r="G937" s="263"/>
      <c r="H937" s="267"/>
      <c r="I937" s="263"/>
      <c r="J937" s="263"/>
      <c r="K937" s="263"/>
      <c r="L937" s="263"/>
      <c r="M937" s="263"/>
      <c r="N937" s="263"/>
      <c r="O937" s="263"/>
      <c r="P937" s="263"/>
      <c r="Q937" s="263"/>
      <c r="R937" s="263"/>
      <c r="S937" s="263"/>
      <c r="T937" s="263"/>
      <c r="U937" s="246"/>
      <c r="V937" s="246"/>
      <c r="W937" s="246"/>
      <c r="X937" s="246"/>
      <c r="Y937" s="246"/>
      <c r="Z937" s="246"/>
    </row>
    <row r="938">
      <c r="A938" s="263"/>
      <c r="B938" s="267"/>
      <c r="C938" s="263"/>
      <c r="D938" s="263"/>
      <c r="E938" s="263"/>
      <c r="F938" s="268"/>
      <c r="G938" s="263"/>
      <c r="H938" s="267"/>
      <c r="I938" s="263"/>
      <c r="J938" s="263"/>
      <c r="K938" s="263"/>
      <c r="L938" s="263"/>
      <c r="M938" s="263"/>
      <c r="N938" s="263"/>
      <c r="O938" s="263"/>
      <c r="P938" s="263"/>
      <c r="Q938" s="263"/>
      <c r="R938" s="263"/>
      <c r="S938" s="263"/>
      <c r="T938" s="263"/>
      <c r="U938" s="246"/>
      <c r="V938" s="246"/>
      <c r="W938" s="246"/>
      <c r="X938" s="246"/>
      <c r="Y938" s="246"/>
      <c r="Z938" s="246"/>
    </row>
    <row r="939">
      <c r="A939" s="263"/>
      <c r="B939" s="267"/>
      <c r="C939" s="263"/>
      <c r="D939" s="263"/>
      <c r="E939" s="263"/>
      <c r="F939" s="268"/>
      <c r="G939" s="263"/>
      <c r="H939" s="267"/>
      <c r="I939" s="263"/>
      <c r="J939" s="263"/>
      <c r="K939" s="263"/>
      <c r="L939" s="263"/>
      <c r="M939" s="263"/>
      <c r="N939" s="263"/>
      <c r="O939" s="263"/>
      <c r="P939" s="263"/>
      <c r="Q939" s="263"/>
      <c r="R939" s="263"/>
      <c r="S939" s="263"/>
      <c r="T939" s="263"/>
      <c r="U939" s="246"/>
      <c r="V939" s="246"/>
      <c r="W939" s="246"/>
      <c r="X939" s="246"/>
      <c r="Y939" s="246"/>
      <c r="Z939" s="246"/>
    </row>
    <row r="940">
      <c r="A940" s="263"/>
      <c r="B940" s="267"/>
      <c r="C940" s="263"/>
      <c r="D940" s="263"/>
      <c r="E940" s="263"/>
      <c r="F940" s="268"/>
      <c r="G940" s="263"/>
      <c r="H940" s="267"/>
      <c r="I940" s="263"/>
      <c r="J940" s="263"/>
      <c r="K940" s="263"/>
      <c r="L940" s="263"/>
      <c r="M940" s="263"/>
      <c r="N940" s="263"/>
      <c r="O940" s="263"/>
      <c r="P940" s="263"/>
      <c r="Q940" s="263"/>
      <c r="R940" s="263"/>
      <c r="S940" s="263"/>
      <c r="T940" s="263"/>
      <c r="U940" s="246"/>
      <c r="V940" s="246"/>
      <c r="W940" s="246"/>
      <c r="X940" s="246"/>
      <c r="Y940" s="246"/>
      <c r="Z940" s="246"/>
    </row>
    <row r="941">
      <c r="A941" s="263"/>
      <c r="B941" s="267"/>
      <c r="C941" s="263"/>
      <c r="D941" s="263"/>
      <c r="E941" s="263"/>
      <c r="F941" s="268"/>
      <c r="G941" s="263"/>
      <c r="H941" s="267"/>
      <c r="I941" s="263"/>
      <c r="J941" s="263"/>
      <c r="K941" s="263"/>
      <c r="L941" s="263"/>
      <c r="M941" s="263"/>
      <c r="N941" s="263"/>
      <c r="O941" s="263"/>
      <c r="P941" s="263"/>
      <c r="Q941" s="263"/>
      <c r="R941" s="263"/>
      <c r="S941" s="263"/>
      <c r="T941" s="263"/>
      <c r="U941" s="246"/>
      <c r="V941" s="246"/>
      <c r="W941" s="246"/>
      <c r="X941" s="246"/>
      <c r="Y941" s="246"/>
      <c r="Z941" s="246"/>
    </row>
    <row r="942">
      <c r="A942" s="263"/>
      <c r="B942" s="267"/>
      <c r="C942" s="263"/>
      <c r="D942" s="263"/>
      <c r="E942" s="263"/>
      <c r="F942" s="268"/>
      <c r="G942" s="263"/>
      <c r="H942" s="267"/>
      <c r="I942" s="263"/>
      <c r="J942" s="263"/>
      <c r="K942" s="263"/>
      <c r="L942" s="263"/>
      <c r="M942" s="263"/>
      <c r="N942" s="263"/>
      <c r="O942" s="263"/>
      <c r="P942" s="263"/>
      <c r="Q942" s="263"/>
      <c r="R942" s="263"/>
      <c r="S942" s="263"/>
      <c r="T942" s="263"/>
      <c r="U942" s="246"/>
      <c r="V942" s="246"/>
      <c r="W942" s="246"/>
      <c r="X942" s="246"/>
      <c r="Y942" s="246"/>
      <c r="Z942" s="246"/>
    </row>
    <row r="943">
      <c r="A943" s="263"/>
      <c r="B943" s="267"/>
      <c r="C943" s="263"/>
      <c r="D943" s="263"/>
      <c r="E943" s="263"/>
      <c r="F943" s="268"/>
      <c r="G943" s="263"/>
      <c r="H943" s="267"/>
      <c r="I943" s="263"/>
      <c r="J943" s="263"/>
      <c r="K943" s="263"/>
      <c r="L943" s="263"/>
      <c r="M943" s="263"/>
      <c r="N943" s="263"/>
      <c r="O943" s="263"/>
      <c r="P943" s="263"/>
      <c r="Q943" s="263"/>
      <c r="R943" s="263"/>
      <c r="S943" s="263"/>
      <c r="T943" s="263"/>
      <c r="U943" s="246"/>
      <c r="V943" s="246"/>
      <c r="W943" s="246"/>
      <c r="X943" s="246"/>
      <c r="Y943" s="246"/>
      <c r="Z943" s="246"/>
    </row>
    <row r="944">
      <c r="A944" s="263"/>
      <c r="B944" s="267"/>
      <c r="C944" s="263"/>
      <c r="D944" s="263"/>
      <c r="E944" s="263"/>
      <c r="F944" s="268"/>
      <c r="G944" s="263"/>
      <c r="H944" s="267"/>
      <c r="I944" s="263"/>
      <c r="J944" s="263"/>
      <c r="K944" s="263"/>
      <c r="L944" s="263"/>
      <c r="M944" s="263"/>
      <c r="N944" s="263"/>
      <c r="O944" s="263"/>
      <c r="P944" s="263"/>
      <c r="Q944" s="263"/>
      <c r="R944" s="263"/>
      <c r="S944" s="263"/>
      <c r="T944" s="263"/>
      <c r="U944" s="246"/>
      <c r="V944" s="246"/>
      <c r="W944" s="246"/>
      <c r="X944" s="246"/>
      <c r="Y944" s="246"/>
      <c r="Z944" s="246"/>
    </row>
    <row r="945">
      <c r="A945" s="263"/>
      <c r="B945" s="267"/>
      <c r="C945" s="263"/>
      <c r="D945" s="263"/>
      <c r="E945" s="263"/>
      <c r="F945" s="268"/>
      <c r="G945" s="263"/>
      <c r="H945" s="267"/>
      <c r="I945" s="263"/>
      <c r="J945" s="263"/>
      <c r="K945" s="263"/>
      <c r="L945" s="263"/>
      <c r="M945" s="263"/>
      <c r="N945" s="263"/>
      <c r="O945" s="263"/>
      <c r="P945" s="263"/>
      <c r="Q945" s="263"/>
      <c r="R945" s="263"/>
      <c r="S945" s="263"/>
      <c r="T945" s="263"/>
      <c r="U945" s="246"/>
      <c r="V945" s="246"/>
      <c r="W945" s="246"/>
      <c r="X945" s="246"/>
      <c r="Y945" s="246"/>
      <c r="Z945" s="246"/>
    </row>
    <row r="946">
      <c r="A946" s="263"/>
      <c r="B946" s="267"/>
      <c r="C946" s="263"/>
      <c r="D946" s="263"/>
      <c r="E946" s="263"/>
      <c r="F946" s="268"/>
      <c r="G946" s="263"/>
      <c r="H946" s="267"/>
      <c r="I946" s="263"/>
      <c r="J946" s="263"/>
      <c r="K946" s="263"/>
      <c r="L946" s="263"/>
      <c r="M946" s="263"/>
      <c r="N946" s="263"/>
      <c r="O946" s="263"/>
      <c r="P946" s="263"/>
      <c r="Q946" s="263"/>
      <c r="R946" s="263"/>
      <c r="S946" s="263"/>
      <c r="T946" s="263"/>
      <c r="U946" s="246"/>
      <c r="V946" s="246"/>
      <c r="W946" s="246"/>
      <c r="X946" s="246"/>
      <c r="Y946" s="246"/>
      <c r="Z946" s="246"/>
    </row>
    <row r="947">
      <c r="A947" s="263"/>
      <c r="B947" s="267"/>
      <c r="C947" s="263"/>
      <c r="D947" s="263"/>
      <c r="E947" s="263"/>
      <c r="F947" s="268"/>
      <c r="G947" s="263"/>
      <c r="H947" s="267"/>
      <c r="I947" s="263"/>
      <c r="J947" s="263"/>
      <c r="K947" s="263"/>
      <c r="L947" s="263"/>
      <c r="M947" s="263"/>
      <c r="N947" s="263"/>
      <c r="O947" s="263"/>
      <c r="P947" s="263"/>
      <c r="Q947" s="263"/>
      <c r="R947" s="263"/>
      <c r="S947" s="263"/>
      <c r="T947" s="263"/>
      <c r="U947" s="246"/>
      <c r="V947" s="246"/>
      <c r="W947" s="246"/>
      <c r="X947" s="246"/>
      <c r="Y947" s="246"/>
      <c r="Z947" s="246"/>
    </row>
    <row r="948">
      <c r="A948" s="263"/>
      <c r="B948" s="267"/>
      <c r="C948" s="263"/>
      <c r="D948" s="263"/>
      <c r="E948" s="263"/>
      <c r="F948" s="268"/>
      <c r="G948" s="263"/>
      <c r="H948" s="267"/>
      <c r="I948" s="263"/>
      <c r="J948" s="263"/>
      <c r="K948" s="263"/>
      <c r="L948" s="263"/>
      <c r="M948" s="263"/>
      <c r="N948" s="263"/>
      <c r="O948" s="263"/>
      <c r="P948" s="263"/>
      <c r="Q948" s="263"/>
      <c r="R948" s="263"/>
      <c r="S948" s="263"/>
      <c r="T948" s="263"/>
      <c r="U948" s="246"/>
      <c r="V948" s="246"/>
      <c r="W948" s="246"/>
      <c r="X948" s="246"/>
      <c r="Y948" s="246"/>
      <c r="Z948" s="246"/>
    </row>
    <row r="949">
      <c r="A949" s="263"/>
      <c r="B949" s="267"/>
      <c r="C949" s="263"/>
      <c r="D949" s="263"/>
      <c r="E949" s="263"/>
      <c r="F949" s="268"/>
      <c r="G949" s="263"/>
      <c r="H949" s="267"/>
      <c r="I949" s="263"/>
      <c r="J949" s="263"/>
      <c r="K949" s="263"/>
      <c r="L949" s="263"/>
      <c r="M949" s="263"/>
      <c r="N949" s="263"/>
      <c r="O949" s="263"/>
      <c r="P949" s="263"/>
      <c r="Q949" s="263"/>
      <c r="R949" s="263"/>
      <c r="S949" s="263"/>
      <c r="T949" s="263"/>
      <c r="U949" s="246"/>
      <c r="V949" s="246"/>
      <c r="W949" s="246"/>
      <c r="X949" s="246"/>
      <c r="Y949" s="246"/>
      <c r="Z949" s="246"/>
    </row>
    <row r="950">
      <c r="A950" s="263"/>
      <c r="B950" s="267"/>
      <c r="C950" s="263"/>
      <c r="D950" s="263"/>
      <c r="E950" s="263"/>
      <c r="F950" s="268"/>
      <c r="G950" s="263"/>
      <c r="H950" s="267"/>
      <c r="I950" s="263"/>
      <c r="J950" s="263"/>
      <c r="K950" s="263"/>
      <c r="L950" s="263"/>
      <c r="M950" s="263"/>
      <c r="N950" s="263"/>
      <c r="O950" s="263"/>
      <c r="P950" s="263"/>
      <c r="Q950" s="263"/>
      <c r="R950" s="263"/>
      <c r="S950" s="263"/>
      <c r="T950" s="263"/>
      <c r="U950" s="246"/>
      <c r="V950" s="246"/>
      <c r="W950" s="246"/>
      <c r="X950" s="246"/>
      <c r="Y950" s="246"/>
      <c r="Z950" s="246"/>
    </row>
    <row r="951">
      <c r="A951" s="263"/>
      <c r="B951" s="267"/>
      <c r="C951" s="263"/>
      <c r="D951" s="263"/>
      <c r="E951" s="263"/>
      <c r="F951" s="268"/>
      <c r="G951" s="263"/>
      <c r="H951" s="267"/>
      <c r="I951" s="263"/>
      <c r="J951" s="263"/>
      <c r="K951" s="263"/>
      <c r="L951" s="263"/>
      <c r="M951" s="263"/>
      <c r="N951" s="263"/>
      <c r="O951" s="263"/>
      <c r="P951" s="263"/>
      <c r="Q951" s="263"/>
      <c r="R951" s="263"/>
      <c r="S951" s="263"/>
      <c r="T951" s="263"/>
      <c r="U951" s="246"/>
      <c r="V951" s="246"/>
      <c r="W951" s="246"/>
      <c r="X951" s="246"/>
      <c r="Y951" s="246"/>
      <c r="Z951" s="246"/>
    </row>
    <row r="952">
      <c r="A952" s="263"/>
      <c r="B952" s="267"/>
      <c r="C952" s="263"/>
      <c r="D952" s="263"/>
      <c r="E952" s="263"/>
      <c r="F952" s="268"/>
      <c r="G952" s="263"/>
      <c r="H952" s="267"/>
      <c r="I952" s="263"/>
      <c r="J952" s="263"/>
      <c r="K952" s="263"/>
      <c r="L952" s="263"/>
      <c r="M952" s="263"/>
      <c r="N952" s="263"/>
      <c r="O952" s="263"/>
      <c r="P952" s="263"/>
      <c r="Q952" s="263"/>
      <c r="R952" s="263"/>
      <c r="S952" s="263"/>
      <c r="T952" s="263"/>
      <c r="U952" s="246"/>
      <c r="V952" s="246"/>
      <c r="W952" s="246"/>
      <c r="X952" s="246"/>
      <c r="Y952" s="246"/>
      <c r="Z952" s="246"/>
    </row>
    <row r="953">
      <c r="A953" s="263"/>
      <c r="B953" s="267"/>
      <c r="C953" s="263"/>
      <c r="D953" s="263"/>
      <c r="E953" s="263"/>
      <c r="F953" s="268"/>
      <c r="G953" s="263"/>
      <c r="H953" s="267"/>
      <c r="I953" s="263"/>
      <c r="J953" s="263"/>
      <c r="K953" s="263"/>
      <c r="L953" s="263"/>
      <c r="M953" s="263"/>
      <c r="N953" s="263"/>
      <c r="O953" s="263"/>
      <c r="P953" s="263"/>
      <c r="Q953" s="263"/>
      <c r="R953" s="263"/>
      <c r="S953" s="263"/>
      <c r="T953" s="263"/>
      <c r="U953" s="246"/>
      <c r="V953" s="246"/>
      <c r="W953" s="246"/>
      <c r="X953" s="246"/>
      <c r="Y953" s="246"/>
      <c r="Z953" s="246"/>
    </row>
    <row r="954">
      <c r="A954" s="263"/>
      <c r="B954" s="267"/>
      <c r="C954" s="263"/>
      <c r="D954" s="263"/>
      <c r="E954" s="263"/>
      <c r="F954" s="268"/>
      <c r="G954" s="263"/>
      <c r="H954" s="267"/>
      <c r="I954" s="263"/>
      <c r="J954" s="263"/>
      <c r="K954" s="263"/>
      <c r="L954" s="263"/>
      <c r="M954" s="263"/>
      <c r="N954" s="263"/>
      <c r="O954" s="263"/>
      <c r="P954" s="263"/>
      <c r="Q954" s="263"/>
      <c r="R954" s="263"/>
      <c r="S954" s="263"/>
      <c r="T954" s="263"/>
      <c r="U954" s="246"/>
      <c r="V954" s="246"/>
      <c r="W954" s="246"/>
      <c r="X954" s="246"/>
      <c r="Y954" s="246"/>
      <c r="Z954" s="246"/>
    </row>
    <row r="955">
      <c r="A955" s="263"/>
      <c r="B955" s="267"/>
      <c r="C955" s="263"/>
      <c r="D955" s="263"/>
      <c r="E955" s="263"/>
      <c r="F955" s="268"/>
      <c r="G955" s="263"/>
      <c r="H955" s="267"/>
      <c r="I955" s="263"/>
      <c r="J955" s="263"/>
      <c r="K955" s="263"/>
      <c r="L955" s="263"/>
      <c r="M955" s="263"/>
      <c r="N955" s="263"/>
      <c r="O955" s="263"/>
      <c r="P955" s="263"/>
      <c r="Q955" s="263"/>
      <c r="R955" s="263"/>
      <c r="S955" s="263"/>
      <c r="T955" s="263"/>
      <c r="U955" s="246"/>
      <c r="V955" s="246"/>
      <c r="W955" s="246"/>
      <c r="X955" s="246"/>
      <c r="Y955" s="246"/>
      <c r="Z955" s="246"/>
    </row>
    <row r="956">
      <c r="A956" s="263"/>
      <c r="B956" s="267"/>
      <c r="C956" s="263"/>
      <c r="D956" s="263"/>
      <c r="E956" s="263"/>
      <c r="F956" s="268"/>
      <c r="G956" s="263"/>
      <c r="H956" s="267"/>
      <c r="I956" s="263"/>
      <c r="J956" s="263"/>
      <c r="K956" s="263"/>
      <c r="L956" s="263"/>
      <c r="M956" s="263"/>
      <c r="N956" s="263"/>
      <c r="O956" s="263"/>
      <c r="P956" s="263"/>
      <c r="Q956" s="263"/>
      <c r="R956" s="263"/>
      <c r="S956" s="263"/>
      <c r="T956" s="263"/>
      <c r="U956" s="246"/>
      <c r="V956" s="246"/>
      <c r="W956" s="246"/>
      <c r="X956" s="246"/>
      <c r="Y956" s="246"/>
      <c r="Z956" s="246"/>
    </row>
    <row r="957">
      <c r="A957" s="263"/>
      <c r="B957" s="267"/>
      <c r="C957" s="263"/>
      <c r="D957" s="263"/>
      <c r="E957" s="263"/>
      <c r="F957" s="268"/>
      <c r="G957" s="263"/>
      <c r="H957" s="267"/>
      <c r="I957" s="263"/>
      <c r="J957" s="263"/>
      <c r="K957" s="263"/>
      <c r="L957" s="263"/>
      <c r="M957" s="263"/>
      <c r="N957" s="263"/>
      <c r="O957" s="263"/>
      <c r="P957" s="263"/>
      <c r="Q957" s="263"/>
      <c r="R957" s="263"/>
      <c r="S957" s="263"/>
      <c r="T957" s="263"/>
      <c r="U957" s="246"/>
      <c r="V957" s="246"/>
      <c r="W957" s="246"/>
      <c r="X957" s="246"/>
      <c r="Y957" s="246"/>
      <c r="Z957" s="246"/>
    </row>
    <row r="958">
      <c r="A958" s="263"/>
      <c r="B958" s="267"/>
      <c r="C958" s="263"/>
      <c r="D958" s="263"/>
      <c r="E958" s="263"/>
      <c r="F958" s="268"/>
      <c r="G958" s="263"/>
      <c r="H958" s="267"/>
      <c r="I958" s="263"/>
      <c r="J958" s="263"/>
      <c r="K958" s="263"/>
      <c r="L958" s="263"/>
      <c r="M958" s="263"/>
      <c r="N958" s="263"/>
      <c r="O958" s="263"/>
      <c r="P958" s="263"/>
      <c r="Q958" s="263"/>
      <c r="R958" s="263"/>
      <c r="S958" s="263"/>
      <c r="T958" s="263"/>
      <c r="U958" s="246"/>
      <c r="V958" s="246"/>
      <c r="W958" s="246"/>
      <c r="X958" s="246"/>
      <c r="Y958" s="246"/>
      <c r="Z958" s="246"/>
    </row>
    <row r="959">
      <c r="A959" s="263"/>
      <c r="B959" s="267"/>
      <c r="C959" s="263"/>
      <c r="D959" s="263"/>
      <c r="E959" s="263"/>
      <c r="F959" s="268"/>
      <c r="G959" s="263"/>
      <c r="H959" s="267"/>
      <c r="I959" s="263"/>
      <c r="J959" s="263"/>
      <c r="K959" s="263"/>
      <c r="L959" s="263"/>
      <c r="M959" s="263"/>
      <c r="N959" s="263"/>
      <c r="O959" s="263"/>
      <c r="P959" s="263"/>
      <c r="Q959" s="263"/>
      <c r="R959" s="263"/>
      <c r="S959" s="263"/>
      <c r="T959" s="263"/>
      <c r="U959" s="246"/>
      <c r="V959" s="246"/>
      <c r="W959" s="246"/>
      <c r="X959" s="246"/>
      <c r="Y959" s="246"/>
      <c r="Z959" s="246"/>
    </row>
    <row r="960">
      <c r="A960" s="263"/>
      <c r="B960" s="267"/>
      <c r="C960" s="263"/>
      <c r="D960" s="263"/>
      <c r="E960" s="263"/>
      <c r="F960" s="268"/>
      <c r="G960" s="263"/>
      <c r="H960" s="267"/>
      <c r="I960" s="263"/>
      <c r="J960" s="263"/>
      <c r="K960" s="263"/>
      <c r="L960" s="263"/>
      <c r="M960" s="263"/>
      <c r="N960" s="263"/>
      <c r="O960" s="263"/>
      <c r="P960" s="263"/>
      <c r="Q960" s="263"/>
      <c r="R960" s="263"/>
      <c r="S960" s="263"/>
      <c r="T960" s="263"/>
      <c r="U960" s="246"/>
      <c r="V960" s="246"/>
      <c r="W960" s="246"/>
      <c r="X960" s="246"/>
      <c r="Y960" s="246"/>
      <c r="Z960" s="246"/>
    </row>
    <row r="961">
      <c r="A961" s="263"/>
      <c r="B961" s="267"/>
      <c r="C961" s="263"/>
      <c r="D961" s="263"/>
      <c r="E961" s="263"/>
      <c r="F961" s="268"/>
      <c r="G961" s="263"/>
      <c r="H961" s="267"/>
      <c r="I961" s="263"/>
      <c r="J961" s="263"/>
      <c r="K961" s="263"/>
      <c r="L961" s="263"/>
      <c r="M961" s="263"/>
      <c r="N961" s="263"/>
      <c r="O961" s="263"/>
      <c r="P961" s="263"/>
      <c r="Q961" s="263"/>
      <c r="R961" s="263"/>
      <c r="S961" s="263"/>
      <c r="T961" s="263"/>
      <c r="U961" s="246"/>
      <c r="V961" s="246"/>
      <c r="W961" s="246"/>
      <c r="X961" s="246"/>
      <c r="Y961" s="246"/>
      <c r="Z961" s="246"/>
    </row>
    <row r="962">
      <c r="A962" s="263"/>
      <c r="B962" s="267"/>
      <c r="C962" s="263"/>
      <c r="D962" s="263"/>
      <c r="E962" s="263"/>
      <c r="F962" s="268"/>
      <c r="G962" s="263"/>
      <c r="H962" s="267"/>
      <c r="I962" s="263"/>
      <c r="J962" s="263"/>
      <c r="K962" s="263"/>
      <c r="L962" s="263"/>
      <c r="M962" s="263"/>
      <c r="N962" s="263"/>
      <c r="O962" s="263"/>
      <c r="P962" s="263"/>
      <c r="Q962" s="263"/>
      <c r="R962" s="263"/>
      <c r="S962" s="263"/>
      <c r="T962" s="263"/>
      <c r="U962" s="246"/>
      <c r="V962" s="246"/>
      <c r="W962" s="246"/>
      <c r="X962" s="246"/>
      <c r="Y962" s="246"/>
      <c r="Z962" s="246"/>
    </row>
    <row r="963">
      <c r="A963" s="263"/>
      <c r="B963" s="267"/>
      <c r="C963" s="263"/>
      <c r="D963" s="263"/>
      <c r="E963" s="263"/>
      <c r="F963" s="268"/>
      <c r="G963" s="263"/>
      <c r="H963" s="267"/>
      <c r="I963" s="263"/>
      <c r="J963" s="263"/>
      <c r="K963" s="263"/>
      <c r="L963" s="263"/>
      <c r="M963" s="263"/>
      <c r="N963" s="263"/>
      <c r="O963" s="263"/>
      <c r="P963" s="263"/>
      <c r="Q963" s="263"/>
      <c r="R963" s="263"/>
      <c r="S963" s="263"/>
      <c r="T963" s="263"/>
      <c r="U963" s="246"/>
      <c r="V963" s="246"/>
      <c r="W963" s="246"/>
      <c r="X963" s="246"/>
      <c r="Y963" s="246"/>
      <c r="Z963" s="246"/>
    </row>
    <row r="964">
      <c r="A964" s="263"/>
      <c r="B964" s="267"/>
      <c r="C964" s="263"/>
      <c r="D964" s="263"/>
      <c r="E964" s="263"/>
      <c r="F964" s="268"/>
      <c r="G964" s="263"/>
      <c r="H964" s="267"/>
      <c r="I964" s="263"/>
      <c r="J964" s="263"/>
      <c r="K964" s="263"/>
      <c r="L964" s="263"/>
      <c r="M964" s="263"/>
      <c r="N964" s="263"/>
      <c r="O964" s="263"/>
      <c r="P964" s="263"/>
      <c r="Q964" s="263"/>
      <c r="R964" s="263"/>
      <c r="S964" s="263"/>
      <c r="T964" s="263"/>
      <c r="U964" s="246"/>
      <c r="V964" s="246"/>
      <c r="W964" s="246"/>
      <c r="X964" s="246"/>
      <c r="Y964" s="246"/>
      <c r="Z964" s="246"/>
    </row>
    <row r="965">
      <c r="A965" s="263"/>
      <c r="B965" s="267"/>
      <c r="C965" s="263"/>
      <c r="D965" s="263"/>
      <c r="E965" s="263"/>
      <c r="F965" s="268"/>
      <c r="G965" s="263"/>
      <c r="H965" s="267"/>
      <c r="I965" s="263"/>
      <c r="J965" s="263"/>
      <c r="K965" s="263"/>
      <c r="L965" s="263"/>
      <c r="M965" s="263"/>
      <c r="N965" s="263"/>
      <c r="O965" s="263"/>
      <c r="P965" s="263"/>
      <c r="Q965" s="263"/>
      <c r="R965" s="263"/>
      <c r="S965" s="263"/>
      <c r="T965" s="263"/>
      <c r="U965" s="246"/>
      <c r="V965" s="246"/>
      <c r="W965" s="246"/>
      <c r="X965" s="246"/>
      <c r="Y965" s="246"/>
      <c r="Z965" s="246"/>
    </row>
    <row r="966">
      <c r="A966" s="263"/>
      <c r="B966" s="267"/>
      <c r="C966" s="263"/>
      <c r="D966" s="263"/>
      <c r="E966" s="263"/>
      <c r="F966" s="268"/>
      <c r="G966" s="263"/>
      <c r="H966" s="267"/>
      <c r="I966" s="263"/>
      <c r="J966" s="263"/>
      <c r="K966" s="263"/>
      <c r="L966" s="263"/>
      <c r="M966" s="263"/>
      <c r="N966" s="263"/>
      <c r="O966" s="263"/>
      <c r="P966" s="263"/>
      <c r="Q966" s="263"/>
      <c r="R966" s="263"/>
      <c r="S966" s="263"/>
      <c r="T966" s="263"/>
      <c r="U966" s="246"/>
      <c r="V966" s="246"/>
      <c r="W966" s="246"/>
      <c r="X966" s="246"/>
      <c r="Y966" s="246"/>
      <c r="Z966" s="246"/>
    </row>
    <row r="967">
      <c r="A967" s="263"/>
      <c r="B967" s="267"/>
      <c r="C967" s="263"/>
      <c r="D967" s="263"/>
      <c r="E967" s="263"/>
      <c r="F967" s="268"/>
      <c r="G967" s="263"/>
      <c r="H967" s="267"/>
      <c r="I967" s="263"/>
      <c r="J967" s="263"/>
      <c r="K967" s="263"/>
      <c r="L967" s="263"/>
      <c r="M967" s="263"/>
      <c r="N967" s="263"/>
      <c r="O967" s="263"/>
      <c r="P967" s="263"/>
      <c r="Q967" s="263"/>
      <c r="R967" s="263"/>
      <c r="S967" s="263"/>
      <c r="T967" s="263"/>
      <c r="U967" s="246"/>
      <c r="V967" s="246"/>
      <c r="W967" s="246"/>
      <c r="X967" s="246"/>
      <c r="Y967" s="246"/>
      <c r="Z967" s="246"/>
    </row>
    <row r="968">
      <c r="A968" s="263"/>
      <c r="B968" s="267"/>
      <c r="C968" s="263"/>
      <c r="D968" s="263"/>
      <c r="E968" s="263"/>
      <c r="F968" s="268"/>
      <c r="G968" s="263"/>
      <c r="H968" s="267"/>
      <c r="I968" s="263"/>
      <c r="J968" s="263"/>
      <c r="K968" s="263"/>
      <c r="L968" s="263"/>
      <c r="M968" s="263"/>
      <c r="N968" s="263"/>
      <c r="O968" s="263"/>
      <c r="P968" s="263"/>
      <c r="Q968" s="263"/>
      <c r="R968" s="263"/>
      <c r="S968" s="263"/>
      <c r="T968" s="263"/>
      <c r="U968" s="246"/>
      <c r="V968" s="246"/>
      <c r="W968" s="246"/>
      <c r="X968" s="246"/>
      <c r="Y968" s="246"/>
      <c r="Z968" s="246"/>
    </row>
    <row r="969">
      <c r="A969" s="263"/>
      <c r="B969" s="267"/>
      <c r="C969" s="263"/>
      <c r="D969" s="263"/>
      <c r="E969" s="263"/>
      <c r="F969" s="268"/>
      <c r="G969" s="263"/>
      <c r="H969" s="267"/>
      <c r="I969" s="263"/>
      <c r="J969" s="263"/>
      <c r="K969" s="263"/>
      <c r="L969" s="263"/>
      <c r="M969" s="263"/>
      <c r="N969" s="263"/>
      <c r="O969" s="263"/>
      <c r="P969" s="263"/>
      <c r="Q969" s="263"/>
      <c r="R969" s="263"/>
      <c r="S969" s="263"/>
      <c r="T969" s="263"/>
      <c r="U969" s="246"/>
      <c r="V969" s="246"/>
      <c r="W969" s="246"/>
      <c r="X969" s="246"/>
      <c r="Y969" s="246"/>
      <c r="Z969" s="246"/>
    </row>
    <row r="970">
      <c r="A970" s="263"/>
      <c r="B970" s="267"/>
      <c r="C970" s="263"/>
      <c r="D970" s="263"/>
      <c r="E970" s="263"/>
      <c r="F970" s="268"/>
      <c r="G970" s="263"/>
      <c r="H970" s="267"/>
      <c r="I970" s="263"/>
      <c r="J970" s="263"/>
      <c r="K970" s="263"/>
      <c r="L970" s="263"/>
      <c r="M970" s="263"/>
      <c r="N970" s="263"/>
      <c r="O970" s="263"/>
      <c r="P970" s="263"/>
      <c r="Q970" s="263"/>
      <c r="R970" s="263"/>
      <c r="S970" s="263"/>
      <c r="T970" s="263"/>
      <c r="U970" s="246"/>
      <c r="V970" s="246"/>
      <c r="W970" s="246"/>
      <c r="X970" s="246"/>
      <c r="Y970" s="246"/>
      <c r="Z970" s="246"/>
    </row>
    <row r="971">
      <c r="A971" s="263"/>
      <c r="B971" s="267"/>
      <c r="C971" s="263"/>
      <c r="D971" s="263"/>
      <c r="E971" s="263"/>
      <c r="F971" s="268"/>
      <c r="G971" s="263"/>
      <c r="H971" s="267"/>
      <c r="I971" s="263"/>
      <c r="J971" s="263"/>
      <c r="K971" s="263"/>
      <c r="L971" s="263"/>
      <c r="M971" s="263"/>
      <c r="N971" s="263"/>
      <c r="O971" s="263"/>
      <c r="P971" s="263"/>
      <c r="Q971" s="263"/>
      <c r="R971" s="263"/>
      <c r="S971" s="263"/>
      <c r="T971" s="263"/>
      <c r="U971" s="246"/>
      <c r="V971" s="246"/>
      <c r="W971" s="246"/>
      <c r="X971" s="246"/>
      <c r="Y971" s="246"/>
      <c r="Z971" s="246"/>
    </row>
    <row r="972">
      <c r="A972" s="263"/>
      <c r="B972" s="267"/>
      <c r="C972" s="263"/>
      <c r="D972" s="263"/>
      <c r="E972" s="263"/>
      <c r="F972" s="268"/>
      <c r="G972" s="263"/>
      <c r="H972" s="267"/>
      <c r="I972" s="263"/>
      <c r="J972" s="263"/>
      <c r="K972" s="263"/>
      <c r="L972" s="263"/>
      <c r="M972" s="263"/>
      <c r="N972" s="263"/>
      <c r="O972" s="263"/>
      <c r="P972" s="263"/>
      <c r="Q972" s="263"/>
      <c r="R972" s="263"/>
      <c r="S972" s="263"/>
      <c r="T972" s="263"/>
      <c r="U972" s="246"/>
      <c r="V972" s="246"/>
      <c r="W972" s="246"/>
      <c r="X972" s="246"/>
      <c r="Y972" s="246"/>
      <c r="Z972" s="246"/>
    </row>
    <row r="973">
      <c r="A973" s="263"/>
      <c r="B973" s="267"/>
      <c r="C973" s="263"/>
      <c r="D973" s="263"/>
      <c r="E973" s="263"/>
      <c r="F973" s="268"/>
      <c r="G973" s="263"/>
      <c r="H973" s="267"/>
      <c r="I973" s="263"/>
      <c r="J973" s="263"/>
      <c r="K973" s="263"/>
      <c r="L973" s="263"/>
      <c r="M973" s="263"/>
      <c r="N973" s="263"/>
      <c r="O973" s="263"/>
      <c r="P973" s="263"/>
      <c r="Q973" s="263"/>
      <c r="R973" s="263"/>
      <c r="S973" s="263"/>
      <c r="T973" s="263"/>
      <c r="U973" s="246"/>
      <c r="V973" s="246"/>
      <c r="W973" s="246"/>
      <c r="X973" s="246"/>
      <c r="Y973" s="246"/>
      <c r="Z973" s="246"/>
    </row>
    <row r="974">
      <c r="A974" s="263"/>
      <c r="B974" s="267"/>
      <c r="C974" s="263"/>
      <c r="D974" s="263"/>
      <c r="E974" s="263"/>
      <c r="F974" s="268"/>
      <c r="G974" s="263"/>
      <c r="H974" s="267"/>
      <c r="I974" s="263"/>
      <c r="J974" s="263"/>
      <c r="K974" s="263"/>
      <c r="L974" s="263"/>
      <c r="M974" s="263"/>
      <c r="N974" s="263"/>
      <c r="O974" s="263"/>
      <c r="P974" s="263"/>
      <c r="Q974" s="263"/>
      <c r="R974" s="263"/>
      <c r="S974" s="263"/>
      <c r="T974" s="263"/>
      <c r="U974" s="246"/>
      <c r="V974" s="246"/>
      <c r="W974" s="246"/>
      <c r="X974" s="246"/>
      <c r="Y974" s="246"/>
      <c r="Z974" s="246"/>
    </row>
    <row r="975">
      <c r="A975" s="263"/>
      <c r="B975" s="267"/>
      <c r="C975" s="263"/>
      <c r="D975" s="263"/>
      <c r="E975" s="263"/>
      <c r="F975" s="268"/>
      <c r="G975" s="263"/>
      <c r="H975" s="267"/>
      <c r="I975" s="263"/>
      <c r="J975" s="263"/>
      <c r="K975" s="263"/>
      <c r="L975" s="263"/>
      <c r="M975" s="263"/>
      <c r="N975" s="263"/>
      <c r="O975" s="263"/>
      <c r="P975" s="263"/>
      <c r="Q975" s="263"/>
      <c r="R975" s="263"/>
      <c r="S975" s="263"/>
      <c r="T975" s="263"/>
      <c r="U975" s="246"/>
      <c r="V975" s="246"/>
      <c r="W975" s="246"/>
      <c r="X975" s="246"/>
      <c r="Y975" s="246"/>
      <c r="Z975" s="246"/>
    </row>
    <row r="976">
      <c r="A976" s="263"/>
      <c r="B976" s="267"/>
      <c r="C976" s="263"/>
      <c r="D976" s="263"/>
      <c r="E976" s="263"/>
      <c r="F976" s="268"/>
      <c r="G976" s="263"/>
      <c r="H976" s="267"/>
      <c r="I976" s="263"/>
      <c r="J976" s="263"/>
      <c r="K976" s="263"/>
      <c r="L976" s="263"/>
      <c r="M976" s="263"/>
      <c r="N976" s="263"/>
      <c r="O976" s="263"/>
      <c r="P976" s="263"/>
      <c r="Q976" s="263"/>
      <c r="R976" s="263"/>
      <c r="S976" s="263"/>
      <c r="T976" s="263"/>
      <c r="U976" s="246"/>
      <c r="V976" s="246"/>
      <c r="W976" s="246"/>
      <c r="X976" s="246"/>
      <c r="Y976" s="246"/>
      <c r="Z976" s="246"/>
    </row>
    <row r="977">
      <c r="A977" s="263"/>
      <c r="B977" s="267"/>
      <c r="C977" s="263"/>
      <c r="D977" s="263"/>
      <c r="E977" s="263"/>
      <c r="F977" s="268"/>
      <c r="G977" s="263"/>
      <c r="H977" s="267"/>
      <c r="I977" s="263"/>
      <c r="J977" s="263"/>
      <c r="K977" s="263"/>
      <c r="L977" s="263"/>
      <c r="M977" s="263"/>
      <c r="N977" s="263"/>
      <c r="O977" s="263"/>
      <c r="P977" s="263"/>
      <c r="Q977" s="263"/>
      <c r="R977" s="263"/>
      <c r="S977" s="263"/>
      <c r="T977" s="263"/>
      <c r="U977" s="246"/>
      <c r="V977" s="246"/>
      <c r="W977" s="246"/>
      <c r="X977" s="246"/>
      <c r="Y977" s="246"/>
      <c r="Z977" s="246"/>
    </row>
    <row r="978">
      <c r="A978" s="263"/>
      <c r="B978" s="267"/>
      <c r="C978" s="263"/>
      <c r="D978" s="263"/>
      <c r="E978" s="263"/>
      <c r="F978" s="268"/>
      <c r="G978" s="263"/>
      <c r="H978" s="267"/>
      <c r="I978" s="263"/>
      <c r="J978" s="263"/>
      <c r="K978" s="263"/>
      <c r="L978" s="263"/>
      <c r="M978" s="263"/>
      <c r="N978" s="263"/>
      <c r="O978" s="263"/>
      <c r="P978" s="263"/>
      <c r="Q978" s="263"/>
      <c r="R978" s="263"/>
      <c r="S978" s="263"/>
      <c r="T978" s="263"/>
      <c r="U978" s="246"/>
      <c r="V978" s="246"/>
      <c r="W978" s="246"/>
      <c r="X978" s="246"/>
      <c r="Y978" s="246"/>
      <c r="Z978" s="246"/>
    </row>
    <row r="979">
      <c r="A979" s="263"/>
      <c r="B979" s="267"/>
      <c r="C979" s="263"/>
      <c r="D979" s="263"/>
      <c r="E979" s="263"/>
      <c r="F979" s="268"/>
      <c r="G979" s="263"/>
      <c r="H979" s="267"/>
      <c r="I979" s="263"/>
      <c r="J979" s="263"/>
      <c r="K979" s="263"/>
      <c r="L979" s="263"/>
      <c r="M979" s="263"/>
      <c r="N979" s="263"/>
      <c r="O979" s="263"/>
      <c r="P979" s="263"/>
      <c r="Q979" s="263"/>
      <c r="R979" s="263"/>
      <c r="S979" s="263"/>
      <c r="T979" s="263"/>
      <c r="U979" s="246"/>
      <c r="V979" s="246"/>
      <c r="W979" s="246"/>
      <c r="X979" s="246"/>
      <c r="Y979" s="246"/>
      <c r="Z979" s="246"/>
    </row>
    <row r="980">
      <c r="A980" s="263"/>
      <c r="B980" s="267"/>
      <c r="C980" s="263"/>
      <c r="D980" s="263"/>
      <c r="E980" s="263"/>
      <c r="F980" s="268"/>
      <c r="G980" s="263"/>
      <c r="H980" s="267"/>
      <c r="I980" s="263"/>
      <c r="J980" s="263"/>
      <c r="K980" s="263"/>
      <c r="L980" s="263"/>
      <c r="M980" s="263"/>
      <c r="N980" s="263"/>
      <c r="O980" s="263"/>
      <c r="P980" s="263"/>
      <c r="Q980" s="263"/>
      <c r="R980" s="263"/>
      <c r="S980" s="263"/>
      <c r="T980" s="263"/>
      <c r="U980" s="246"/>
      <c r="V980" s="246"/>
      <c r="W980" s="246"/>
      <c r="X980" s="246"/>
      <c r="Y980" s="246"/>
      <c r="Z980" s="246"/>
    </row>
    <row r="981">
      <c r="A981" s="263"/>
      <c r="B981" s="267"/>
      <c r="C981" s="263"/>
      <c r="D981" s="263"/>
      <c r="E981" s="263"/>
      <c r="F981" s="268"/>
      <c r="G981" s="263"/>
      <c r="H981" s="267"/>
      <c r="I981" s="263"/>
      <c r="J981" s="263"/>
      <c r="K981" s="263"/>
      <c r="L981" s="263"/>
      <c r="M981" s="263"/>
      <c r="N981" s="263"/>
      <c r="O981" s="263"/>
      <c r="P981" s="263"/>
      <c r="Q981" s="263"/>
      <c r="R981" s="263"/>
      <c r="S981" s="263"/>
      <c r="T981" s="263"/>
      <c r="U981" s="246"/>
      <c r="V981" s="246"/>
      <c r="W981" s="246"/>
      <c r="X981" s="246"/>
      <c r="Y981" s="246"/>
      <c r="Z981" s="246"/>
    </row>
    <row r="982">
      <c r="A982" s="263"/>
      <c r="B982" s="267"/>
      <c r="C982" s="263"/>
      <c r="D982" s="263"/>
      <c r="E982" s="263"/>
      <c r="F982" s="268"/>
      <c r="G982" s="263"/>
      <c r="H982" s="267"/>
      <c r="I982" s="263"/>
      <c r="J982" s="263"/>
      <c r="K982" s="263"/>
      <c r="L982" s="263"/>
      <c r="M982" s="263"/>
      <c r="N982" s="263"/>
      <c r="O982" s="263"/>
      <c r="P982" s="263"/>
      <c r="Q982" s="263"/>
      <c r="R982" s="263"/>
      <c r="S982" s="263"/>
      <c r="T982" s="263"/>
      <c r="U982" s="246"/>
      <c r="V982" s="246"/>
      <c r="W982" s="246"/>
      <c r="X982" s="246"/>
      <c r="Y982" s="246"/>
      <c r="Z982" s="246"/>
    </row>
    <row r="983">
      <c r="A983" s="263"/>
      <c r="B983" s="267"/>
      <c r="C983" s="263"/>
      <c r="D983" s="263"/>
      <c r="E983" s="263"/>
      <c r="F983" s="268"/>
      <c r="G983" s="263"/>
      <c r="H983" s="267"/>
      <c r="I983" s="263"/>
      <c r="J983" s="263"/>
      <c r="K983" s="263"/>
      <c r="L983" s="263"/>
      <c r="M983" s="263"/>
      <c r="N983" s="263"/>
      <c r="O983" s="263"/>
      <c r="P983" s="263"/>
      <c r="Q983" s="263"/>
      <c r="R983" s="263"/>
      <c r="S983" s="263"/>
      <c r="T983" s="263"/>
      <c r="U983" s="246"/>
      <c r="V983" s="246"/>
      <c r="W983" s="246"/>
      <c r="X983" s="246"/>
      <c r="Y983" s="246"/>
      <c r="Z983" s="246"/>
    </row>
    <row r="984">
      <c r="A984" s="263"/>
      <c r="B984" s="267"/>
      <c r="C984" s="263"/>
      <c r="D984" s="263"/>
      <c r="E984" s="263"/>
      <c r="F984" s="268"/>
      <c r="G984" s="263"/>
      <c r="H984" s="267"/>
      <c r="I984" s="263"/>
      <c r="J984" s="263"/>
      <c r="K984" s="263"/>
      <c r="L984" s="263"/>
      <c r="M984" s="263"/>
      <c r="N984" s="263"/>
      <c r="O984" s="263"/>
      <c r="P984" s="263"/>
      <c r="Q984" s="263"/>
      <c r="R984" s="263"/>
      <c r="S984" s="263"/>
      <c r="T984" s="263"/>
      <c r="U984" s="246"/>
      <c r="V984" s="246"/>
      <c r="W984" s="246"/>
      <c r="X984" s="246"/>
      <c r="Y984" s="246"/>
      <c r="Z984" s="246"/>
    </row>
    <row r="985">
      <c r="A985" s="263"/>
      <c r="B985" s="267"/>
      <c r="C985" s="263"/>
      <c r="D985" s="263"/>
      <c r="E985" s="263"/>
      <c r="F985" s="268"/>
      <c r="G985" s="263"/>
      <c r="H985" s="267"/>
      <c r="I985" s="263"/>
      <c r="J985" s="263"/>
      <c r="K985" s="263"/>
      <c r="L985" s="263"/>
      <c r="M985" s="263"/>
      <c r="N985" s="263"/>
      <c r="O985" s="263"/>
      <c r="P985" s="263"/>
      <c r="Q985" s="263"/>
      <c r="R985" s="263"/>
      <c r="S985" s="263"/>
      <c r="T985" s="263"/>
      <c r="U985" s="246"/>
      <c r="V985" s="246"/>
      <c r="W985" s="246"/>
      <c r="X985" s="246"/>
      <c r="Y985" s="246"/>
      <c r="Z985" s="246"/>
    </row>
    <row r="986">
      <c r="A986" s="263"/>
      <c r="B986" s="267"/>
      <c r="C986" s="263"/>
      <c r="D986" s="263"/>
      <c r="E986" s="263"/>
      <c r="F986" s="268"/>
      <c r="G986" s="263"/>
      <c r="H986" s="267"/>
      <c r="I986" s="263"/>
      <c r="J986" s="263"/>
      <c r="K986" s="263"/>
      <c r="L986" s="263"/>
      <c r="M986" s="263"/>
      <c r="N986" s="263"/>
      <c r="O986" s="263"/>
      <c r="P986" s="263"/>
      <c r="Q986" s="263"/>
      <c r="R986" s="263"/>
      <c r="S986" s="263"/>
      <c r="T986" s="263"/>
      <c r="U986" s="246"/>
      <c r="V986" s="246"/>
      <c r="W986" s="246"/>
      <c r="X986" s="246"/>
      <c r="Y986" s="246"/>
      <c r="Z986" s="246"/>
    </row>
    <row r="987">
      <c r="A987" s="263"/>
      <c r="B987" s="267"/>
      <c r="C987" s="263"/>
      <c r="D987" s="263"/>
      <c r="E987" s="263"/>
      <c r="F987" s="268"/>
      <c r="G987" s="263"/>
      <c r="H987" s="267"/>
      <c r="I987" s="263"/>
      <c r="J987" s="263"/>
      <c r="K987" s="263"/>
      <c r="L987" s="263"/>
      <c r="M987" s="263"/>
      <c r="N987" s="263"/>
      <c r="O987" s="263"/>
      <c r="P987" s="263"/>
      <c r="Q987" s="263"/>
      <c r="R987" s="263"/>
      <c r="S987" s="263"/>
      <c r="T987" s="263"/>
      <c r="U987" s="246"/>
      <c r="V987" s="246"/>
      <c r="W987" s="246"/>
      <c r="X987" s="246"/>
      <c r="Y987" s="246"/>
      <c r="Z987" s="246"/>
    </row>
    <row r="988">
      <c r="A988" s="263"/>
      <c r="B988" s="267"/>
      <c r="C988" s="263"/>
      <c r="D988" s="263"/>
      <c r="E988" s="263"/>
      <c r="F988" s="268"/>
      <c r="G988" s="263"/>
      <c r="H988" s="267"/>
      <c r="I988" s="263"/>
      <c r="J988" s="263"/>
      <c r="K988" s="263"/>
      <c r="L988" s="263"/>
      <c r="M988" s="263"/>
      <c r="N988" s="263"/>
      <c r="O988" s="263"/>
      <c r="P988" s="263"/>
      <c r="Q988" s="263"/>
      <c r="R988" s="263"/>
      <c r="S988" s="263"/>
      <c r="T988" s="263"/>
      <c r="U988" s="246"/>
      <c r="V988" s="246"/>
      <c r="W988" s="246"/>
      <c r="X988" s="246"/>
      <c r="Y988" s="246"/>
      <c r="Z988" s="246"/>
    </row>
    <row r="989">
      <c r="A989" s="263"/>
      <c r="B989" s="267"/>
      <c r="C989" s="263"/>
      <c r="D989" s="263"/>
      <c r="E989" s="263"/>
      <c r="F989" s="268"/>
      <c r="G989" s="263"/>
      <c r="H989" s="267"/>
      <c r="I989" s="263"/>
      <c r="J989" s="263"/>
      <c r="K989" s="263"/>
      <c r="L989" s="263"/>
      <c r="M989" s="263"/>
      <c r="N989" s="263"/>
      <c r="O989" s="263"/>
      <c r="P989" s="263"/>
      <c r="Q989" s="263"/>
      <c r="R989" s="263"/>
      <c r="S989" s="263"/>
      <c r="T989" s="263"/>
      <c r="U989" s="246"/>
      <c r="V989" s="246"/>
      <c r="W989" s="246"/>
      <c r="X989" s="246"/>
      <c r="Y989" s="246"/>
      <c r="Z989" s="246"/>
    </row>
    <row r="990">
      <c r="A990" s="263"/>
      <c r="B990" s="267"/>
      <c r="C990" s="263"/>
      <c r="D990" s="263"/>
      <c r="E990" s="263"/>
      <c r="F990" s="268"/>
      <c r="G990" s="263"/>
      <c r="H990" s="267"/>
      <c r="I990" s="263"/>
      <c r="J990" s="263"/>
      <c r="K990" s="263"/>
      <c r="L990" s="263"/>
      <c r="M990" s="263"/>
      <c r="N990" s="263"/>
      <c r="O990" s="263"/>
      <c r="P990" s="263"/>
      <c r="Q990" s="263"/>
      <c r="R990" s="263"/>
      <c r="S990" s="263"/>
      <c r="T990" s="263"/>
      <c r="U990" s="246"/>
      <c r="V990" s="246"/>
      <c r="W990" s="246"/>
      <c r="X990" s="246"/>
      <c r="Y990" s="246"/>
      <c r="Z990" s="246"/>
    </row>
    <row r="991">
      <c r="A991" s="263"/>
      <c r="B991" s="267"/>
      <c r="C991" s="263"/>
      <c r="D991" s="263"/>
      <c r="E991" s="263"/>
      <c r="F991" s="268"/>
      <c r="G991" s="263"/>
      <c r="H991" s="267"/>
      <c r="I991" s="263"/>
      <c r="J991" s="263"/>
      <c r="K991" s="263"/>
      <c r="L991" s="263"/>
      <c r="M991" s="263"/>
      <c r="N991" s="263"/>
      <c r="O991" s="263"/>
      <c r="P991" s="263"/>
      <c r="Q991" s="263"/>
      <c r="R991" s="263"/>
      <c r="S991" s="263"/>
      <c r="T991" s="263"/>
      <c r="U991" s="246"/>
      <c r="V991" s="246"/>
      <c r="W991" s="246"/>
      <c r="X991" s="246"/>
      <c r="Y991" s="246"/>
      <c r="Z991" s="246"/>
    </row>
    <row r="992">
      <c r="A992" s="263"/>
      <c r="B992" s="267"/>
      <c r="C992" s="263"/>
      <c r="D992" s="263"/>
      <c r="E992" s="263"/>
      <c r="F992" s="268"/>
      <c r="G992" s="263"/>
      <c r="H992" s="267"/>
      <c r="I992" s="263"/>
      <c r="J992" s="263"/>
      <c r="K992" s="263"/>
      <c r="L992" s="263"/>
      <c r="M992" s="263"/>
      <c r="N992" s="263"/>
      <c r="O992" s="263"/>
      <c r="P992" s="263"/>
      <c r="Q992" s="263"/>
      <c r="R992" s="263"/>
      <c r="S992" s="263"/>
      <c r="T992" s="263"/>
      <c r="U992" s="246"/>
      <c r="V992" s="246"/>
      <c r="W992" s="246"/>
      <c r="X992" s="246"/>
      <c r="Y992" s="246"/>
      <c r="Z992" s="246"/>
    </row>
    <row r="993">
      <c r="A993" s="263"/>
      <c r="B993" s="267"/>
      <c r="C993" s="263"/>
      <c r="D993" s="263"/>
      <c r="E993" s="263"/>
      <c r="F993" s="268"/>
      <c r="G993" s="263"/>
      <c r="H993" s="267"/>
      <c r="I993" s="263"/>
      <c r="J993" s="263"/>
      <c r="K993" s="263"/>
      <c r="L993" s="263"/>
      <c r="M993" s="263"/>
      <c r="N993" s="263"/>
      <c r="O993" s="263"/>
      <c r="P993" s="263"/>
      <c r="Q993" s="263"/>
      <c r="R993" s="263"/>
      <c r="S993" s="263"/>
      <c r="T993" s="263"/>
      <c r="U993" s="246"/>
      <c r="V993" s="246"/>
      <c r="W993" s="246"/>
      <c r="X993" s="246"/>
      <c r="Y993" s="246"/>
      <c r="Z993" s="246"/>
    </row>
    <row r="994">
      <c r="A994" s="263"/>
      <c r="B994" s="267"/>
      <c r="C994" s="263"/>
      <c r="D994" s="263"/>
      <c r="E994" s="263"/>
      <c r="F994" s="268"/>
      <c r="G994" s="263"/>
      <c r="H994" s="267"/>
      <c r="I994" s="263"/>
      <c r="J994" s="263"/>
      <c r="K994" s="263"/>
      <c r="L994" s="263"/>
      <c r="M994" s="263"/>
      <c r="N994" s="263"/>
      <c r="O994" s="263"/>
      <c r="P994" s="263"/>
      <c r="Q994" s="263"/>
      <c r="R994" s="263"/>
      <c r="S994" s="263"/>
      <c r="T994" s="263"/>
      <c r="U994" s="246"/>
      <c r="V994" s="246"/>
      <c r="W994" s="246"/>
      <c r="X994" s="246"/>
      <c r="Y994" s="246"/>
      <c r="Z994" s="246"/>
    </row>
    <row r="995">
      <c r="A995" s="263"/>
      <c r="B995" s="267"/>
      <c r="C995" s="263"/>
      <c r="D995" s="263"/>
      <c r="E995" s="263"/>
      <c r="F995" s="268"/>
      <c r="G995" s="263"/>
      <c r="H995" s="267"/>
      <c r="I995" s="263"/>
      <c r="J995" s="263"/>
      <c r="K995" s="263"/>
      <c r="L995" s="263"/>
      <c r="M995" s="263"/>
      <c r="N995" s="263"/>
      <c r="O995" s="263"/>
      <c r="P995" s="263"/>
      <c r="Q995" s="263"/>
      <c r="R995" s="263"/>
      <c r="S995" s="263"/>
      <c r="T995" s="263"/>
      <c r="U995" s="246"/>
      <c r="V995" s="246"/>
      <c r="W995" s="246"/>
      <c r="X995" s="246"/>
      <c r="Y995" s="246"/>
      <c r="Z995" s="246"/>
    </row>
    <row r="996">
      <c r="A996" s="263"/>
      <c r="B996" s="267"/>
      <c r="C996" s="263"/>
      <c r="D996" s="263"/>
      <c r="E996" s="263"/>
      <c r="F996" s="268"/>
      <c r="G996" s="263"/>
      <c r="H996" s="267"/>
      <c r="I996" s="263"/>
      <c r="J996" s="263"/>
      <c r="K996" s="263"/>
      <c r="L996" s="263"/>
      <c r="M996" s="263"/>
      <c r="N996" s="263"/>
      <c r="O996" s="263"/>
      <c r="P996" s="263"/>
      <c r="Q996" s="263"/>
      <c r="R996" s="263"/>
      <c r="S996" s="263"/>
      <c r="T996" s="263"/>
      <c r="U996" s="246"/>
      <c r="V996" s="246"/>
      <c r="W996" s="246"/>
      <c r="X996" s="246"/>
      <c r="Y996" s="246"/>
      <c r="Z996" s="246"/>
    </row>
    <row r="997">
      <c r="A997" s="263"/>
      <c r="B997" s="267"/>
      <c r="C997" s="263"/>
      <c r="D997" s="263"/>
      <c r="E997" s="263"/>
      <c r="F997" s="268"/>
      <c r="G997" s="263"/>
      <c r="H997" s="267"/>
      <c r="I997" s="263"/>
      <c r="J997" s="263"/>
      <c r="K997" s="263"/>
      <c r="L997" s="263"/>
      <c r="M997" s="263"/>
      <c r="N997" s="263"/>
      <c r="O997" s="263"/>
      <c r="P997" s="263"/>
      <c r="Q997" s="263"/>
      <c r="R997" s="263"/>
      <c r="S997" s="263"/>
      <c r="T997" s="263"/>
      <c r="U997" s="246"/>
      <c r="V997" s="246"/>
      <c r="W997" s="246"/>
      <c r="X997" s="246"/>
      <c r="Y997" s="246"/>
      <c r="Z997" s="246"/>
    </row>
    <row r="998">
      <c r="A998" s="263"/>
      <c r="B998" s="267"/>
      <c r="C998" s="263"/>
      <c r="D998" s="263"/>
      <c r="E998" s="263"/>
      <c r="F998" s="268"/>
      <c r="G998" s="263"/>
      <c r="H998" s="267"/>
      <c r="I998" s="263"/>
      <c r="J998" s="263"/>
      <c r="K998" s="263"/>
      <c r="L998" s="263"/>
      <c r="M998" s="263"/>
      <c r="N998" s="263"/>
      <c r="O998" s="263"/>
      <c r="P998" s="263"/>
      <c r="Q998" s="263"/>
      <c r="R998" s="263"/>
      <c r="S998" s="263"/>
      <c r="T998" s="263"/>
      <c r="U998" s="246"/>
      <c r="V998" s="246"/>
      <c r="W998" s="246"/>
      <c r="X998" s="246"/>
      <c r="Y998" s="246"/>
      <c r="Z998" s="246"/>
    </row>
    <row r="999">
      <c r="A999" s="263"/>
      <c r="B999" s="267"/>
      <c r="C999" s="263"/>
      <c r="D999" s="263"/>
      <c r="E999" s="263"/>
      <c r="F999" s="268"/>
      <c r="G999" s="263"/>
      <c r="H999" s="267"/>
      <c r="I999" s="263"/>
      <c r="J999" s="263"/>
      <c r="K999" s="263"/>
      <c r="L999" s="263"/>
      <c r="M999" s="263"/>
      <c r="N999" s="263"/>
      <c r="O999" s="263"/>
      <c r="P999" s="263"/>
      <c r="Q999" s="263"/>
      <c r="R999" s="263"/>
      <c r="S999" s="263"/>
      <c r="T999" s="263"/>
      <c r="U999" s="246"/>
      <c r="V999" s="246"/>
      <c r="W999" s="246"/>
      <c r="X999" s="246"/>
      <c r="Y999" s="246"/>
      <c r="Z999" s="246"/>
    </row>
    <row r="1000">
      <c r="A1000" s="263"/>
      <c r="B1000" s="267"/>
      <c r="C1000" s="263"/>
      <c r="D1000" s="263"/>
      <c r="E1000" s="263"/>
      <c r="F1000" s="268"/>
      <c r="G1000" s="263"/>
      <c r="H1000" s="267"/>
      <c r="I1000" s="263"/>
      <c r="J1000" s="263"/>
      <c r="K1000" s="263"/>
      <c r="L1000" s="263"/>
      <c r="M1000" s="263"/>
      <c r="N1000" s="263"/>
      <c r="O1000" s="263"/>
      <c r="P1000" s="263"/>
      <c r="Q1000" s="263"/>
      <c r="R1000" s="263"/>
      <c r="S1000" s="263"/>
      <c r="T1000" s="263"/>
      <c r="U1000" s="246"/>
      <c r="V1000" s="246"/>
      <c r="W1000" s="246"/>
      <c r="X1000" s="246"/>
      <c r="Y1000" s="246"/>
      <c r="Z1000" s="246"/>
    </row>
    <row r="1001">
      <c r="A1001" s="263"/>
      <c r="B1001" s="267"/>
      <c r="C1001" s="263"/>
      <c r="D1001" s="263"/>
      <c r="E1001" s="263"/>
      <c r="F1001" s="268"/>
      <c r="G1001" s="263"/>
      <c r="H1001" s="267"/>
      <c r="I1001" s="263"/>
      <c r="J1001" s="263"/>
      <c r="K1001" s="263"/>
      <c r="L1001" s="263"/>
      <c r="M1001" s="263"/>
      <c r="N1001" s="263"/>
      <c r="O1001" s="263"/>
      <c r="P1001" s="263"/>
      <c r="Q1001" s="263"/>
      <c r="R1001" s="263"/>
      <c r="S1001" s="263"/>
      <c r="T1001" s="263"/>
      <c r="U1001" s="246"/>
      <c r="V1001" s="246"/>
      <c r="W1001" s="246"/>
      <c r="X1001" s="246"/>
      <c r="Y1001" s="246"/>
      <c r="Z1001" s="246"/>
    </row>
    <row r="1002">
      <c r="A1002" s="263"/>
      <c r="B1002" s="267"/>
      <c r="C1002" s="263"/>
      <c r="D1002" s="263"/>
      <c r="E1002" s="263"/>
      <c r="F1002" s="268"/>
      <c r="G1002" s="263"/>
      <c r="H1002" s="267"/>
      <c r="I1002" s="263"/>
      <c r="J1002" s="263"/>
      <c r="K1002" s="263"/>
      <c r="L1002" s="263"/>
      <c r="M1002" s="263"/>
      <c r="N1002" s="263"/>
      <c r="O1002" s="263"/>
      <c r="P1002" s="263"/>
      <c r="Q1002" s="263"/>
      <c r="R1002" s="263"/>
      <c r="S1002" s="263"/>
      <c r="T1002" s="263"/>
      <c r="U1002" s="246"/>
      <c r="V1002" s="246"/>
      <c r="W1002" s="246"/>
      <c r="X1002" s="246"/>
      <c r="Y1002" s="246"/>
      <c r="Z1002" s="246"/>
    </row>
    <row r="1003">
      <c r="A1003" s="263"/>
      <c r="B1003" s="267"/>
      <c r="C1003" s="263"/>
      <c r="D1003" s="263"/>
      <c r="E1003" s="263"/>
      <c r="F1003" s="268"/>
      <c r="G1003" s="263"/>
      <c r="H1003" s="267"/>
      <c r="I1003" s="263"/>
      <c r="J1003" s="263"/>
      <c r="K1003" s="263"/>
      <c r="L1003" s="263"/>
      <c r="M1003" s="263"/>
      <c r="N1003" s="263"/>
      <c r="O1003" s="263"/>
      <c r="P1003" s="263"/>
      <c r="Q1003" s="263"/>
      <c r="R1003" s="263"/>
      <c r="S1003" s="263"/>
      <c r="T1003" s="263"/>
      <c r="U1003" s="246"/>
      <c r="V1003" s="246"/>
      <c r="W1003" s="246"/>
      <c r="X1003" s="246"/>
      <c r="Y1003" s="246"/>
      <c r="Z1003" s="246"/>
    </row>
    <row r="1004">
      <c r="A1004" s="263"/>
      <c r="B1004" s="267"/>
      <c r="C1004" s="263"/>
      <c r="D1004" s="263"/>
      <c r="E1004" s="263"/>
      <c r="F1004" s="268"/>
      <c r="G1004" s="263"/>
      <c r="H1004" s="267"/>
      <c r="I1004" s="263"/>
      <c r="J1004" s="263"/>
      <c r="K1004" s="263"/>
      <c r="L1004" s="263"/>
      <c r="M1004" s="263"/>
      <c r="N1004" s="263"/>
      <c r="O1004" s="263"/>
      <c r="P1004" s="263"/>
      <c r="Q1004" s="263"/>
      <c r="R1004" s="263"/>
      <c r="S1004" s="263"/>
      <c r="T1004" s="263"/>
      <c r="U1004" s="246"/>
      <c r="V1004" s="246"/>
      <c r="W1004" s="246"/>
      <c r="X1004" s="246"/>
      <c r="Y1004" s="246"/>
      <c r="Z1004" s="246"/>
    </row>
    <row r="1005">
      <c r="A1005" s="263"/>
      <c r="B1005" s="267"/>
      <c r="C1005" s="263"/>
      <c r="D1005" s="263"/>
      <c r="E1005" s="263"/>
      <c r="F1005" s="268"/>
      <c r="G1005" s="263"/>
      <c r="H1005" s="267"/>
      <c r="I1005" s="263"/>
      <c r="J1005" s="263"/>
      <c r="K1005" s="263"/>
      <c r="L1005" s="263"/>
      <c r="M1005" s="263"/>
      <c r="N1005" s="263"/>
      <c r="O1005" s="263"/>
      <c r="P1005" s="263"/>
      <c r="Q1005" s="263"/>
      <c r="R1005" s="263"/>
      <c r="S1005" s="263"/>
      <c r="T1005" s="263"/>
      <c r="U1005" s="246"/>
      <c r="V1005" s="246"/>
      <c r="W1005" s="246"/>
      <c r="X1005" s="246"/>
      <c r="Y1005" s="246"/>
      <c r="Z1005" s="246"/>
    </row>
    <row r="1006">
      <c r="A1006" s="263"/>
      <c r="B1006" s="267"/>
      <c r="C1006" s="263"/>
      <c r="D1006" s="263"/>
      <c r="E1006" s="263"/>
      <c r="F1006" s="268"/>
      <c r="G1006" s="263"/>
      <c r="H1006" s="267"/>
      <c r="I1006" s="263"/>
      <c r="J1006" s="263"/>
      <c r="K1006" s="263"/>
      <c r="L1006" s="263"/>
      <c r="M1006" s="263"/>
      <c r="N1006" s="263"/>
      <c r="O1006" s="263"/>
      <c r="P1006" s="263"/>
      <c r="Q1006" s="263"/>
      <c r="R1006" s="263"/>
      <c r="S1006" s="263"/>
      <c r="T1006" s="263"/>
      <c r="U1006" s="246"/>
      <c r="V1006" s="246"/>
      <c r="W1006" s="246"/>
      <c r="X1006" s="246"/>
      <c r="Y1006" s="246"/>
      <c r="Z1006" s="246"/>
    </row>
    <row r="1007">
      <c r="A1007" s="263"/>
      <c r="B1007" s="267"/>
      <c r="C1007" s="263"/>
      <c r="D1007" s="263"/>
      <c r="E1007" s="263"/>
      <c r="F1007" s="268"/>
      <c r="G1007" s="263"/>
      <c r="H1007" s="267"/>
      <c r="I1007" s="263"/>
      <c r="J1007" s="263"/>
      <c r="K1007" s="263"/>
      <c r="L1007" s="263"/>
      <c r="M1007" s="263"/>
      <c r="N1007" s="263"/>
      <c r="O1007" s="263"/>
      <c r="P1007" s="263"/>
      <c r="Q1007" s="263"/>
      <c r="R1007" s="263"/>
      <c r="S1007" s="263"/>
      <c r="T1007" s="263"/>
      <c r="U1007" s="246"/>
      <c r="V1007" s="246"/>
      <c r="W1007" s="246"/>
      <c r="X1007" s="246"/>
      <c r="Y1007" s="246"/>
      <c r="Z1007" s="246"/>
    </row>
    <row r="1008">
      <c r="A1008" s="263"/>
      <c r="B1008" s="267"/>
      <c r="C1008" s="263"/>
      <c r="D1008" s="263"/>
      <c r="E1008" s="263"/>
      <c r="F1008" s="268"/>
      <c r="G1008" s="263"/>
      <c r="H1008" s="267"/>
      <c r="I1008" s="263"/>
      <c r="J1008" s="263"/>
      <c r="K1008" s="263"/>
      <c r="L1008" s="263"/>
      <c r="M1008" s="263"/>
      <c r="N1008" s="263"/>
      <c r="O1008" s="263"/>
      <c r="P1008" s="263"/>
      <c r="Q1008" s="263"/>
      <c r="R1008" s="263"/>
      <c r="S1008" s="263"/>
      <c r="T1008" s="263"/>
      <c r="U1008" s="246"/>
      <c r="V1008" s="246"/>
      <c r="W1008" s="246"/>
      <c r="X1008" s="246"/>
      <c r="Y1008" s="246"/>
      <c r="Z1008" s="246"/>
    </row>
    <row r="1009">
      <c r="A1009" s="263"/>
      <c r="B1009" s="267"/>
      <c r="C1009" s="263"/>
      <c r="D1009" s="263"/>
      <c r="E1009" s="263"/>
      <c r="F1009" s="268"/>
      <c r="G1009" s="263"/>
      <c r="H1009" s="267"/>
      <c r="I1009" s="263"/>
      <c r="J1009" s="263"/>
      <c r="K1009" s="263"/>
      <c r="L1009" s="263"/>
      <c r="M1009" s="263"/>
      <c r="N1009" s="263"/>
      <c r="O1009" s="263"/>
      <c r="P1009" s="263"/>
      <c r="Q1009" s="263"/>
      <c r="R1009" s="263"/>
      <c r="S1009" s="263"/>
      <c r="T1009" s="263"/>
      <c r="U1009" s="246"/>
      <c r="V1009" s="246"/>
      <c r="W1009" s="246"/>
      <c r="X1009" s="246"/>
      <c r="Y1009" s="246"/>
      <c r="Z1009" s="246"/>
    </row>
    <row r="1010">
      <c r="A1010" s="263"/>
      <c r="B1010" s="267"/>
      <c r="C1010" s="263"/>
      <c r="D1010" s="263"/>
      <c r="E1010" s="263"/>
      <c r="F1010" s="268"/>
      <c r="G1010" s="263"/>
      <c r="H1010" s="267"/>
      <c r="I1010" s="263"/>
      <c r="J1010" s="263"/>
      <c r="K1010" s="263"/>
      <c r="L1010" s="263"/>
      <c r="M1010" s="263"/>
      <c r="N1010" s="263"/>
      <c r="O1010" s="263"/>
      <c r="P1010" s="263"/>
      <c r="Q1010" s="263"/>
      <c r="R1010" s="263"/>
      <c r="S1010" s="263"/>
      <c r="T1010" s="263"/>
      <c r="U1010" s="246"/>
      <c r="V1010" s="246"/>
      <c r="W1010" s="246"/>
      <c r="X1010" s="246"/>
      <c r="Y1010" s="246"/>
      <c r="Z1010" s="246"/>
    </row>
    <row r="1011">
      <c r="A1011" s="263"/>
      <c r="B1011" s="267"/>
      <c r="C1011" s="263"/>
      <c r="D1011" s="263"/>
      <c r="E1011" s="263"/>
      <c r="F1011" s="268"/>
      <c r="G1011" s="263"/>
      <c r="H1011" s="267"/>
      <c r="I1011" s="263"/>
      <c r="J1011" s="263"/>
      <c r="K1011" s="263"/>
      <c r="L1011" s="263"/>
      <c r="M1011" s="263"/>
      <c r="N1011" s="263"/>
      <c r="O1011" s="263"/>
      <c r="P1011" s="263"/>
      <c r="Q1011" s="263"/>
      <c r="R1011" s="263"/>
      <c r="S1011" s="263"/>
      <c r="T1011" s="263"/>
      <c r="U1011" s="246"/>
      <c r="V1011" s="246"/>
      <c r="W1011" s="246"/>
      <c r="X1011" s="246"/>
      <c r="Y1011" s="246"/>
      <c r="Z1011" s="246"/>
    </row>
    <row r="1012">
      <c r="A1012" s="263"/>
      <c r="B1012" s="267"/>
      <c r="C1012" s="263"/>
      <c r="D1012" s="263"/>
      <c r="E1012" s="263"/>
      <c r="F1012" s="268"/>
      <c r="G1012" s="263"/>
      <c r="H1012" s="267"/>
      <c r="I1012" s="263"/>
      <c r="J1012" s="263"/>
      <c r="K1012" s="263"/>
      <c r="L1012" s="263"/>
      <c r="M1012" s="263"/>
      <c r="N1012" s="263"/>
      <c r="O1012" s="263"/>
      <c r="P1012" s="263"/>
      <c r="Q1012" s="263"/>
      <c r="R1012" s="263"/>
      <c r="S1012" s="263"/>
      <c r="T1012" s="263"/>
      <c r="U1012" s="246"/>
      <c r="V1012" s="246"/>
      <c r="W1012" s="246"/>
      <c r="X1012" s="246"/>
      <c r="Y1012" s="246"/>
      <c r="Z1012" s="246"/>
    </row>
    <row r="1013">
      <c r="A1013" s="263"/>
      <c r="B1013" s="267"/>
      <c r="C1013" s="263"/>
      <c r="D1013" s="263"/>
      <c r="E1013" s="263"/>
      <c r="F1013" s="268"/>
      <c r="G1013" s="263"/>
      <c r="H1013" s="267"/>
      <c r="I1013" s="263"/>
      <c r="J1013" s="263"/>
      <c r="K1013" s="263"/>
      <c r="L1013" s="263"/>
      <c r="M1013" s="263"/>
      <c r="N1013" s="263"/>
      <c r="O1013" s="263"/>
      <c r="P1013" s="263"/>
      <c r="Q1013" s="263"/>
      <c r="R1013" s="263"/>
      <c r="S1013" s="263"/>
      <c r="T1013" s="263"/>
      <c r="U1013" s="246"/>
      <c r="V1013" s="246"/>
      <c r="W1013" s="246"/>
      <c r="X1013" s="246"/>
      <c r="Y1013" s="246"/>
      <c r="Z1013" s="246"/>
    </row>
    <row r="1014">
      <c r="A1014" s="263"/>
      <c r="B1014" s="267"/>
      <c r="C1014" s="263"/>
      <c r="D1014" s="263"/>
      <c r="E1014" s="263"/>
      <c r="F1014" s="268"/>
      <c r="G1014" s="263"/>
      <c r="H1014" s="267"/>
      <c r="I1014" s="263"/>
      <c r="J1014" s="263"/>
      <c r="K1014" s="263"/>
      <c r="L1014" s="263"/>
      <c r="M1014" s="263"/>
      <c r="N1014" s="263"/>
      <c r="O1014" s="263"/>
      <c r="P1014" s="263"/>
      <c r="Q1014" s="263"/>
      <c r="R1014" s="263"/>
      <c r="S1014" s="263"/>
      <c r="T1014" s="263"/>
      <c r="U1014" s="246"/>
      <c r="V1014" s="246"/>
      <c r="W1014" s="246"/>
      <c r="X1014" s="246"/>
      <c r="Y1014" s="246"/>
      <c r="Z1014" s="246"/>
    </row>
    <row r="1015">
      <c r="A1015" s="263"/>
      <c r="B1015" s="267"/>
      <c r="C1015" s="263"/>
      <c r="D1015" s="263"/>
      <c r="E1015" s="263"/>
      <c r="F1015" s="268"/>
      <c r="G1015" s="263"/>
      <c r="H1015" s="267"/>
      <c r="I1015" s="263"/>
      <c r="J1015" s="263"/>
      <c r="K1015" s="263"/>
      <c r="L1015" s="263"/>
      <c r="M1015" s="263"/>
      <c r="N1015" s="263"/>
      <c r="O1015" s="263"/>
      <c r="P1015" s="263"/>
      <c r="Q1015" s="263"/>
      <c r="R1015" s="263"/>
      <c r="S1015" s="263"/>
      <c r="T1015" s="263"/>
      <c r="U1015" s="246"/>
      <c r="V1015" s="246"/>
      <c r="W1015" s="246"/>
      <c r="X1015" s="246"/>
      <c r="Y1015" s="246"/>
      <c r="Z1015" s="246"/>
    </row>
    <row r="1016">
      <c r="A1016" s="263"/>
      <c r="B1016" s="267"/>
      <c r="C1016" s="263"/>
      <c r="D1016" s="263"/>
      <c r="E1016" s="263"/>
      <c r="F1016" s="268"/>
      <c r="G1016" s="263"/>
      <c r="H1016" s="267"/>
      <c r="I1016" s="263"/>
      <c r="J1016" s="263"/>
      <c r="K1016" s="263"/>
      <c r="L1016" s="263"/>
      <c r="M1016" s="263"/>
      <c r="N1016" s="263"/>
      <c r="O1016" s="263"/>
      <c r="P1016" s="263"/>
      <c r="Q1016" s="263"/>
      <c r="R1016" s="263"/>
      <c r="S1016" s="263"/>
      <c r="T1016" s="263"/>
      <c r="U1016" s="246"/>
      <c r="V1016" s="246"/>
      <c r="W1016" s="246"/>
      <c r="X1016" s="246"/>
      <c r="Y1016" s="246"/>
      <c r="Z1016" s="246"/>
    </row>
    <row r="1017">
      <c r="A1017" s="263"/>
      <c r="B1017" s="267"/>
      <c r="C1017" s="263"/>
      <c r="D1017" s="263"/>
      <c r="E1017" s="263"/>
      <c r="F1017" s="268"/>
      <c r="G1017" s="263"/>
      <c r="H1017" s="267"/>
      <c r="I1017" s="263"/>
      <c r="J1017" s="263"/>
      <c r="K1017" s="263"/>
      <c r="L1017" s="263"/>
      <c r="M1017" s="263"/>
      <c r="N1017" s="263"/>
      <c r="O1017" s="263"/>
      <c r="P1017" s="263"/>
      <c r="Q1017" s="263"/>
      <c r="R1017" s="263"/>
      <c r="S1017" s="263"/>
      <c r="T1017" s="263"/>
      <c r="U1017" s="246"/>
      <c r="V1017" s="246"/>
      <c r="W1017" s="246"/>
      <c r="X1017" s="246"/>
      <c r="Y1017" s="246"/>
      <c r="Z1017" s="246"/>
    </row>
    <row r="1018">
      <c r="A1018" s="263"/>
      <c r="B1018" s="267"/>
      <c r="C1018" s="263"/>
      <c r="D1018" s="263"/>
      <c r="E1018" s="263"/>
      <c r="F1018" s="268"/>
      <c r="G1018" s="263"/>
      <c r="H1018" s="267"/>
      <c r="I1018" s="263"/>
      <c r="J1018" s="263"/>
      <c r="K1018" s="263"/>
      <c r="L1018" s="263"/>
      <c r="M1018" s="263"/>
      <c r="N1018" s="263"/>
      <c r="O1018" s="263"/>
      <c r="P1018" s="263"/>
      <c r="Q1018" s="263"/>
      <c r="R1018" s="263"/>
      <c r="S1018" s="263"/>
      <c r="T1018" s="263"/>
      <c r="U1018" s="246"/>
      <c r="V1018" s="246"/>
      <c r="W1018" s="246"/>
      <c r="X1018" s="246"/>
      <c r="Y1018" s="246"/>
      <c r="Z1018" s="246"/>
    </row>
    <row r="1019">
      <c r="A1019" s="263"/>
      <c r="B1019" s="267"/>
      <c r="C1019" s="263"/>
      <c r="D1019" s="263"/>
      <c r="E1019" s="263"/>
      <c r="F1019" s="268"/>
      <c r="G1019" s="263"/>
      <c r="H1019" s="267"/>
      <c r="I1019" s="263"/>
      <c r="J1019" s="263"/>
      <c r="K1019" s="263"/>
      <c r="L1019" s="263"/>
      <c r="M1019" s="263"/>
      <c r="N1019" s="263"/>
      <c r="O1019" s="263"/>
      <c r="P1019" s="263"/>
      <c r="Q1019" s="263"/>
      <c r="R1019" s="263"/>
      <c r="S1019" s="263"/>
      <c r="T1019" s="263"/>
      <c r="U1019" s="246"/>
      <c r="V1019" s="246"/>
      <c r="W1019" s="246"/>
      <c r="X1019" s="246"/>
      <c r="Y1019" s="246"/>
      <c r="Z1019" s="246"/>
    </row>
    <row r="1020">
      <c r="A1020" s="263"/>
      <c r="B1020" s="267"/>
      <c r="C1020" s="263"/>
      <c r="D1020" s="263"/>
      <c r="E1020" s="263"/>
      <c r="F1020" s="268"/>
      <c r="G1020" s="263"/>
      <c r="H1020" s="267"/>
      <c r="I1020" s="263"/>
      <c r="J1020" s="263"/>
      <c r="K1020" s="263"/>
      <c r="L1020" s="263"/>
      <c r="M1020" s="263"/>
      <c r="N1020" s="263"/>
      <c r="O1020" s="263"/>
      <c r="P1020" s="263"/>
      <c r="Q1020" s="263"/>
      <c r="R1020" s="263"/>
      <c r="S1020" s="263"/>
      <c r="T1020" s="263"/>
      <c r="U1020" s="246"/>
      <c r="V1020" s="246"/>
      <c r="W1020" s="246"/>
      <c r="X1020" s="246"/>
      <c r="Y1020" s="246"/>
      <c r="Z1020" s="246"/>
    </row>
    <row r="1021">
      <c r="A1021" s="263"/>
      <c r="B1021" s="267"/>
      <c r="C1021" s="263"/>
      <c r="D1021" s="263"/>
      <c r="E1021" s="263"/>
      <c r="F1021" s="268"/>
      <c r="G1021" s="263"/>
      <c r="H1021" s="267"/>
      <c r="I1021" s="263"/>
      <c r="J1021" s="263"/>
      <c r="K1021" s="263"/>
      <c r="L1021" s="263"/>
      <c r="M1021" s="263"/>
      <c r="N1021" s="263"/>
      <c r="O1021" s="263"/>
      <c r="P1021" s="263"/>
      <c r="Q1021" s="263"/>
      <c r="R1021" s="263"/>
      <c r="S1021" s="263"/>
      <c r="T1021" s="263"/>
      <c r="U1021" s="246"/>
      <c r="V1021" s="246"/>
      <c r="W1021" s="246"/>
      <c r="X1021" s="246"/>
      <c r="Y1021" s="246"/>
      <c r="Z1021" s="246"/>
    </row>
    <row r="1022">
      <c r="A1022" s="263"/>
      <c r="B1022" s="267"/>
      <c r="C1022" s="263"/>
      <c r="D1022" s="263"/>
      <c r="E1022" s="263"/>
      <c r="F1022" s="268"/>
      <c r="G1022" s="263"/>
      <c r="H1022" s="267"/>
      <c r="I1022" s="263"/>
      <c r="J1022" s="263"/>
      <c r="K1022" s="263"/>
      <c r="L1022" s="263"/>
      <c r="M1022" s="263"/>
      <c r="N1022" s="263"/>
      <c r="O1022" s="263"/>
      <c r="P1022" s="263"/>
      <c r="Q1022" s="263"/>
      <c r="R1022" s="263"/>
      <c r="S1022" s="263"/>
      <c r="T1022" s="263"/>
      <c r="U1022" s="246"/>
      <c r="V1022" s="246"/>
      <c r="W1022" s="246"/>
      <c r="X1022" s="246"/>
      <c r="Y1022" s="246"/>
      <c r="Z1022" s="246"/>
    </row>
    <row r="1023">
      <c r="A1023" s="263"/>
      <c r="B1023" s="267"/>
      <c r="C1023" s="263"/>
      <c r="D1023" s="263"/>
      <c r="E1023" s="263"/>
      <c r="F1023" s="268"/>
      <c r="G1023" s="263"/>
      <c r="H1023" s="267"/>
      <c r="I1023" s="263"/>
      <c r="J1023" s="263"/>
      <c r="K1023" s="263"/>
      <c r="L1023" s="263"/>
      <c r="M1023" s="263"/>
      <c r="N1023" s="263"/>
      <c r="O1023" s="263"/>
      <c r="P1023" s="263"/>
      <c r="Q1023" s="263"/>
      <c r="R1023" s="263"/>
      <c r="S1023" s="263"/>
      <c r="T1023" s="263"/>
      <c r="U1023" s="246"/>
      <c r="V1023" s="246"/>
      <c r="W1023" s="246"/>
      <c r="X1023" s="246"/>
      <c r="Y1023" s="246"/>
      <c r="Z1023" s="246"/>
    </row>
    <row r="1024">
      <c r="A1024" s="263"/>
      <c r="B1024" s="267"/>
      <c r="C1024" s="263"/>
      <c r="D1024" s="263"/>
      <c r="E1024" s="263"/>
      <c r="F1024" s="268"/>
      <c r="G1024" s="263"/>
      <c r="H1024" s="267"/>
      <c r="I1024" s="263"/>
      <c r="J1024" s="263"/>
      <c r="K1024" s="263"/>
      <c r="L1024" s="263"/>
      <c r="M1024" s="263"/>
      <c r="N1024" s="263"/>
      <c r="O1024" s="263"/>
      <c r="P1024" s="263"/>
      <c r="Q1024" s="263"/>
      <c r="R1024" s="263"/>
      <c r="S1024" s="263"/>
      <c r="T1024" s="263"/>
      <c r="U1024" s="246"/>
      <c r="V1024" s="246"/>
      <c r="W1024" s="246"/>
      <c r="X1024" s="246"/>
      <c r="Y1024" s="246"/>
      <c r="Z1024" s="246"/>
    </row>
    <row r="1025">
      <c r="A1025" s="263"/>
      <c r="B1025" s="267"/>
      <c r="C1025" s="263"/>
      <c r="D1025" s="263"/>
      <c r="E1025" s="263"/>
      <c r="F1025" s="268"/>
      <c r="G1025" s="263"/>
      <c r="H1025" s="267"/>
      <c r="I1025" s="263"/>
      <c r="J1025" s="263"/>
      <c r="K1025" s="263"/>
      <c r="L1025" s="263"/>
      <c r="M1025" s="263"/>
      <c r="N1025" s="263"/>
      <c r="O1025" s="263"/>
      <c r="P1025" s="263"/>
      <c r="Q1025" s="263"/>
      <c r="R1025" s="263"/>
      <c r="S1025" s="263"/>
      <c r="T1025" s="263"/>
      <c r="U1025" s="246"/>
      <c r="V1025" s="246"/>
      <c r="W1025" s="246"/>
      <c r="X1025" s="246"/>
      <c r="Y1025" s="246"/>
      <c r="Z1025" s="246"/>
    </row>
    <row r="1026">
      <c r="A1026" s="263"/>
      <c r="B1026" s="267"/>
      <c r="C1026" s="263"/>
      <c r="D1026" s="263"/>
      <c r="E1026" s="263"/>
      <c r="F1026" s="268"/>
      <c r="G1026" s="263"/>
      <c r="H1026" s="267"/>
      <c r="I1026" s="263"/>
      <c r="J1026" s="263"/>
      <c r="K1026" s="263"/>
      <c r="L1026" s="263"/>
      <c r="M1026" s="263"/>
      <c r="N1026" s="263"/>
      <c r="O1026" s="263"/>
      <c r="P1026" s="263"/>
      <c r="Q1026" s="263"/>
      <c r="R1026" s="263"/>
      <c r="S1026" s="263"/>
      <c r="T1026" s="263"/>
      <c r="U1026" s="246"/>
      <c r="V1026" s="246"/>
      <c r="W1026" s="246"/>
      <c r="X1026" s="246"/>
      <c r="Y1026" s="246"/>
      <c r="Z1026" s="246"/>
    </row>
    <row r="1027">
      <c r="A1027" s="263"/>
      <c r="B1027" s="267"/>
      <c r="C1027" s="263"/>
      <c r="D1027" s="263"/>
      <c r="E1027" s="263"/>
      <c r="F1027" s="268"/>
      <c r="G1027" s="263"/>
      <c r="H1027" s="267"/>
      <c r="I1027" s="263"/>
      <c r="J1027" s="263"/>
      <c r="K1027" s="263"/>
      <c r="L1027" s="263"/>
      <c r="M1027" s="263"/>
      <c r="N1027" s="263"/>
      <c r="O1027" s="263"/>
      <c r="P1027" s="263"/>
      <c r="Q1027" s="263"/>
      <c r="R1027" s="263"/>
      <c r="S1027" s="263"/>
      <c r="T1027" s="263"/>
      <c r="U1027" s="246"/>
      <c r="V1027" s="246"/>
      <c r="W1027" s="246"/>
      <c r="X1027" s="246"/>
      <c r="Y1027" s="246"/>
      <c r="Z1027" s="246"/>
    </row>
    <row r="1028">
      <c r="A1028" s="263"/>
      <c r="B1028" s="267"/>
      <c r="C1028" s="263"/>
      <c r="D1028" s="263"/>
      <c r="E1028" s="263"/>
      <c r="F1028" s="268"/>
      <c r="G1028" s="263"/>
      <c r="H1028" s="267"/>
      <c r="I1028" s="263"/>
      <c r="J1028" s="263"/>
      <c r="K1028" s="263"/>
      <c r="L1028" s="263"/>
      <c r="M1028" s="263"/>
      <c r="N1028" s="263"/>
      <c r="O1028" s="263"/>
      <c r="P1028" s="263"/>
      <c r="Q1028" s="263"/>
      <c r="R1028" s="263"/>
      <c r="S1028" s="263"/>
      <c r="T1028" s="263"/>
      <c r="U1028" s="246"/>
      <c r="V1028" s="246"/>
      <c r="W1028" s="246"/>
      <c r="X1028" s="246"/>
      <c r="Y1028" s="246"/>
      <c r="Z1028" s="246"/>
    </row>
    <row r="1029">
      <c r="A1029" s="263"/>
      <c r="B1029" s="267"/>
      <c r="C1029" s="263"/>
      <c r="D1029" s="263"/>
      <c r="E1029" s="263"/>
      <c r="F1029" s="268"/>
      <c r="G1029" s="263"/>
      <c r="H1029" s="267"/>
      <c r="I1029" s="263"/>
      <c r="J1029" s="263"/>
      <c r="K1029" s="263"/>
      <c r="L1029" s="263"/>
      <c r="M1029" s="263"/>
      <c r="N1029" s="263"/>
      <c r="O1029" s="263"/>
      <c r="P1029" s="263"/>
      <c r="Q1029" s="263"/>
      <c r="R1029" s="263"/>
      <c r="S1029" s="263"/>
      <c r="T1029" s="263"/>
      <c r="U1029" s="246"/>
      <c r="V1029" s="246"/>
      <c r="W1029" s="246"/>
      <c r="X1029" s="246"/>
      <c r="Y1029" s="246"/>
      <c r="Z1029" s="246"/>
    </row>
    <row r="1030">
      <c r="A1030" s="263"/>
      <c r="B1030" s="267"/>
      <c r="C1030" s="263"/>
      <c r="D1030" s="263"/>
      <c r="E1030" s="263"/>
      <c r="F1030" s="268"/>
      <c r="G1030" s="263"/>
      <c r="H1030" s="267"/>
      <c r="I1030" s="263"/>
      <c r="J1030" s="263"/>
      <c r="K1030" s="263"/>
      <c r="L1030" s="263"/>
      <c r="M1030" s="263"/>
      <c r="N1030" s="263"/>
      <c r="O1030" s="263"/>
      <c r="P1030" s="263"/>
      <c r="Q1030" s="263"/>
      <c r="R1030" s="263"/>
      <c r="S1030" s="263"/>
      <c r="T1030" s="263"/>
      <c r="U1030" s="246"/>
      <c r="V1030" s="246"/>
      <c r="W1030" s="246"/>
      <c r="X1030" s="246"/>
      <c r="Y1030" s="246"/>
      <c r="Z1030" s="246"/>
    </row>
    <row r="1031">
      <c r="A1031" s="263"/>
      <c r="B1031" s="267"/>
      <c r="C1031" s="263"/>
      <c r="D1031" s="263"/>
      <c r="E1031" s="263"/>
      <c r="F1031" s="268"/>
      <c r="G1031" s="263"/>
      <c r="H1031" s="267"/>
      <c r="I1031" s="263"/>
      <c r="J1031" s="263"/>
      <c r="K1031" s="263"/>
      <c r="L1031" s="263"/>
      <c r="M1031" s="263"/>
      <c r="N1031" s="263"/>
      <c r="O1031" s="263"/>
      <c r="P1031" s="263"/>
      <c r="Q1031" s="263"/>
      <c r="R1031" s="263"/>
      <c r="S1031" s="263"/>
      <c r="T1031" s="263"/>
      <c r="U1031" s="246"/>
      <c r="V1031" s="246"/>
      <c r="W1031" s="246"/>
      <c r="X1031" s="246"/>
      <c r="Y1031" s="246"/>
      <c r="Z1031" s="246"/>
    </row>
    <row r="1032">
      <c r="A1032" s="263"/>
      <c r="B1032" s="267"/>
      <c r="C1032" s="263"/>
      <c r="D1032" s="263"/>
      <c r="E1032" s="263"/>
      <c r="F1032" s="268"/>
      <c r="G1032" s="263"/>
      <c r="H1032" s="267"/>
      <c r="I1032" s="263"/>
      <c r="J1032" s="263"/>
      <c r="K1032" s="263"/>
      <c r="L1032" s="263"/>
      <c r="M1032" s="263"/>
      <c r="N1032" s="263"/>
      <c r="O1032" s="263"/>
      <c r="P1032" s="263"/>
      <c r="Q1032" s="263"/>
      <c r="R1032" s="263"/>
      <c r="S1032" s="263"/>
      <c r="T1032" s="263"/>
      <c r="U1032" s="246"/>
      <c r="V1032" s="246"/>
      <c r="W1032" s="246"/>
      <c r="X1032" s="246"/>
      <c r="Y1032" s="246"/>
      <c r="Z1032" s="246"/>
    </row>
    <row r="1033">
      <c r="A1033" s="263"/>
      <c r="B1033" s="267"/>
      <c r="C1033" s="263"/>
      <c r="D1033" s="263"/>
      <c r="E1033" s="263"/>
      <c r="F1033" s="268"/>
      <c r="G1033" s="263"/>
      <c r="H1033" s="267"/>
      <c r="I1033" s="263"/>
      <c r="J1033" s="263"/>
      <c r="K1033" s="263"/>
      <c r="L1033" s="263"/>
      <c r="M1033" s="263"/>
      <c r="N1033" s="263"/>
      <c r="O1033" s="263"/>
      <c r="P1033" s="263"/>
      <c r="Q1033" s="263"/>
      <c r="R1033" s="263"/>
      <c r="S1033" s="263"/>
      <c r="T1033" s="263"/>
      <c r="U1033" s="246"/>
      <c r="V1033" s="246"/>
      <c r="W1033" s="246"/>
      <c r="X1033" s="246"/>
      <c r="Y1033" s="246"/>
      <c r="Z1033" s="246"/>
    </row>
    <row r="1034">
      <c r="A1034" s="263"/>
      <c r="B1034" s="267"/>
      <c r="C1034" s="263"/>
      <c r="D1034" s="263"/>
      <c r="E1034" s="263"/>
      <c r="F1034" s="268"/>
      <c r="G1034" s="263"/>
      <c r="H1034" s="267"/>
      <c r="I1034" s="263"/>
      <c r="J1034" s="263"/>
      <c r="K1034" s="263"/>
      <c r="L1034" s="263"/>
      <c r="M1034" s="263"/>
      <c r="N1034" s="263"/>
      <c r="O1034" s="263"/>
      <c r="P1034" s="263"/>
      <c r="Q1034" s="263"/>
      <c r="R1034" s="263"/>
      <c r="S1034" s="263"/>
      <c r="T1034" s="263"/>
      <c r="U1034" s="246"/>
      <c r="V1034" s="246"/>
      <c r="W1034" s="246"/>
      <c r="X1034" s="246"/>
      <c r="Y1034" s="246"/>
      <c r="Z1034" s="246"/>
    </row>
    <row r="1035">
      <c r="A1035" s="263"/>
      <c r="B1035" s="267"/>
      <c r="C1035" s="263"/>
      <c r="D1035" s="263"/>
      <c r="E1035" s="263"/>
      <c r="F1035" s="268"/>
      <c r="G1035" s="263"/>
      <c r="H1035" s="267"/>
      <c r="I1035" s="263"/>
      <c r="J1035" s="263"/>
      <c r="K1035" s="263"/>
      <c r="L1035" s="263"/>
      <c r="M1035" s="263"/>
      <c r="N1035" s="263"/>
      <c r="O1035" s="263"/>
      <c r="P1035" s="263"/>
      <c r="Q1035" s="263"/>
      <c r="R1035" s="263"/>
      <c r="S1035" s="263"/>
      <c r="T1035" s="263"/>
      <c r="U1035" s="246"/>
      <c r="V1035" s="246"/>
      <c r="W1035" s="246"/>
      <c r="X1035" s="246"/>
      <c r="Y1035" s="246"/>
      <c r="Z1035" s="246"/>
    </row>
    <row r="1036">
      <c r="A1036" s="263"/>
      <c r="B1036" s="267"/>
      <c r="C1036" s="263"/>
      <c r="D1036" s="263"/>
      <c r="E1036" s="263"/>
      <c r="F1036" s="268"/>
      <c r="G1036" s="263"/>
      <c r="H1036" s="267"/>
      <c r="I1036" s="263"/>
      <c r="J1036" s="263"/>
      <c r="K1036" s="263"/>
      <c r="L1036" s="263"/>
      <c r="M1036" s="263"/>
      <c r="N1036" s="263"/>
      <c r="O1036" s="263"/>
      <c r="P1036" s="263"/>
      <c r="Q1036" s="263"/>
      <c r="R1036" s="263"/>
      <c r="S1036" s="263"/>
      <c r="T1036" s="263"/>
      <c r="U1036" s="246"/>
      <c r="V1036" s="246"/>
      <c r="W1036" s="246"/>
      <c r="X1036" s="246"/>
      <c r="Y1036" s="246"/>
      <c r="Z1036" s="246"/>
    </row>
    <row r="1037">
      <c r="A1037" s="263"/>
      <c r="B1037" s="267"/>
      <c r="C1037" s="263"/>
      <c r="D1037" s="263"/>
      <c r="E1037" s="263"/>
      <c r="F1037" s="268"/>
      <c r="G1037" s="263"/>
      <c r="H1037" s="267"/>
      <c r="I1037" s="263"/>
      <c r="J1037" s="263"/>
      <c r="K1037" s="263"/>
      <c r="L1037" s="263"/>
      <c r="M1037" s="263"/>
      <c r="N1037" s="263"/>
      <c r="O1037" s="263"/>
      <c r="P1037" s="263"/>
      <c r="Q1037" s="263"/>
      <c r="R1037" s="263"/>
      <c r="S1037" s="263"/>
      <c r="T1037" s="263"/>
      <c r="U1037" s="246"/>
      <c r="V1037" s="246"/>
      <c r="W1037" s="246"/>
      <c r="X1037" s="246"/>
      <c r="Y1037" s="246"/>
      <c r="Z1037" s="246"/>
    </row>
    <row r="1038">
      <c r="A1038" s="263"/>
      <c r="B1038" s="267"/>
      <c r="C1038" s="263"/>
      <c r="D1038" s="263"/>
      <c r="E1038" s="263"/>
      <c r="F1038" s="268"/>
      <c r="G1038" s="263"/>
      <c r="H1038" s="267"/>
      <c r="I1038" s="263"/>
      <c r="J1038" s="263"/>
      <c r="K1038" s="263"/>
      <c r="L1038" s="263"/>
      <c r="M1038" s="263"/>
      <c r="N1038" s="263"/>
      <c r="O1038" s="263"/>
      <c r="P1038" s="263"/>
      <c r="Q1038" s="263"/>
      <c r="R1038" s="263"/>
      <c r="S1038" s="263"/>
      <c r="T1038" s="263"/>
      <c r="U1038" s="246"/>
      <c r="V1038" s="246"/>
      <c r="W1038" s="246"/>
      <c r="X1038" s="246"/>
      <c r="Y1038" s="246"/>
      <c r="Z1038" s="246"/>
    </row>
    <row r="1039">
      <c r="A1039" s="263"/>
      <c r="B1039" s="267"/>
      <c r="C1039" s="263"/>
      <c r="D1039" s="263"/>
      <c r="E1039" s="263"/>
      <c r="F1039" s="268"/>
      <c r="G1039" s="263"/>
      <c r="H1039" s="267"/>
      <c r="I1039" s="263"/>
      <c r="J1039" s="263"/>
      <c r="K1039" s="263"/>
      <c r="L1039" s="263"/>
      <c r="M1039" s="263"/>
      <c r="N1039" s="263"/>
      <c r="O1039" s="263"/>
      <c r="P1039" s="263"/>
      <c r="Q1039" s="263"/>
      <c r="R1039" s="263"/>
      <c r="S1039" s="263"/>
      <c r="T1039" s="263"/>
      <c r="U1039" s="246"/>
      <c r="V1039" s="246"/>
      <c r="W1039" s="246"/>
      <c r="X1039" s="246"/>
      <c r="Y1039" s="246"/>
      <c r="Z1039" s="246"/>
    </row>
    <row r="1040">
      <c r="A1040" s="263"/>
      <c r="B1040" s="267"/>
      <c r="C1040" s="263"/>
      <c r="D1040" s="263"/>
      <c r="E1040" s="263"/>
      <c r="F1040" s="268"/>
      <c r="G1040" s="263"/>
      <c r="H1040" s="267"/>
      <c r="I1040" s="263"/>
      <c r="J1040" s="263"/>
      <c r="K1040" s="263"/>
      <c r="L1040" s="263"/>
      <c r="M1040" s="263"/>
      <c r="N1040" s="263"/>
      <c r="O1040" s="263"/>
      <c r="P1040" s="263"/>
      <c r="Q1040" s="263"/>
      <c r="R1040" s="263"/>
      <c r="S1040" s="263"/>
      <c r="T1040" s="263"/>
      <c r="U1040" s="246"/>
      <c r="V1040" s="246"/>
      <c r="W1040" s="246"/>
      <c r="X1040" s="246"/>
      <c r="Y1040" s="246"/>
      <c r="Z1040" s="246"/>
    </row>
    <row r="1041">
      <c r="A1041" s="263"/>
      <c r="B1041" s="267"/>
      <c r="C1041" s="263"/>
      <c r="D1041" s="263"/>
      <c r="E1041" s="263"/>
      <c r="F1041" s="268"/>
      <c r="G1041" s="263"/>
      <c r="H1041" s="267"/>
      <c r="I1041" s="263"/>
      <c r="J1041" s="263"/>
      <c r="K1041" s="263"/>
      <c r="L1041" s="263"/>
      <c r="M1041" s="263"/>
      <c r="N1041" s="263"/>
      <c r="O1041" s="263"/>
      <c r="P1041" s="263"/>
      <c r="Q1041" s="263"/>
      <c r="R1041" s="263"/>
      <c r="S1041" s="263"/>
      <c r="T1041" s="263"/>
      <c r="U1041" s="246"/>
      <c r="V1041" s="246"/>
      <c r="W1041" s="246"/>
      <c r="X1041" s="246"/>
      <c r="Y1041" s="246"/>
      <c r="Z1041" s="246"/>
    </row>
    <row r="1042">
      <c r="A1042" s="263"/>
      <c r="B1042" s="267"/>
      <c r="C1042" s="263"/>
      <c r="D1042" s="263"/>
      <c r="E1042" s="263"/>
      <c r="F1042" s="268"/>
      <c r="G1042" s="263"/>
      <c r="H1042" s="267"/>
      <c r="I1042" s="263"/>
      <c r="J1042" s="263"/>
      <c r="K1042" s="263"/>
      <c r="L1042" s="263"/>
      <c r="M1042" s="263"/>
      <c r="N1042" s="263"/>
      <c r="O1042" s="263"/>
      <c r="P1042" s="263"/>
      <c r="Q1042" s="263"/>
      <c r="R1042" s="263"/>
      <c r="S1042" s="263"/>
      <c r="T1042" s="263"/>
      <c r="U1042" s="246"/>
      <c r="V1042" s="246"/>
      <c r="W1042" s="246"/>
      <c r="X1042" s="246"/>
      <c r="Y1042" s="246"/>
      <c r="Z1042" s="246"/>
    </row>
    <row r="1043">
      <c r="A1043" s="263"/>
      <c r="B1043" s="267"/>
      <c r="C1043" s="263"/>
      <c r="D1043" s="263"/>
      <c r="E1043" s="263"/>
      <c r="F1043" s="268"/>
      <c r="G1043" s="263"/>
      <c r="H1043" s="267"/>
      <c r="I1043" s="263"/>
      <c r="J1043" s="263"/>
      <c r="K1043" s="263"/>
      <c r="L1043" s="263"/>
      <c r="M1043" s="263"/>
      <c r="N1043" s="263"/>
      <c r="O1043" s="263"/>
      <c r="P1043" s="263"/>
      <c r="Q1043" s="263"/>
      <c r="R1043" s="263"/>
      <c r="S1043" s="263"/>
      <c r="T1043" s="263"/>
      <c r="U1043" s="246"/>
      <c r="V1043" s="246"/>
      <c r="W1043" s="246"/>
      <c r="X1043" s="246"/>
      <c r="Y1043" s="246"/>
      <c r="Z1043" s="246"/>
    </row>
    <row r="1044">
      <c r="A1044" s="263"/>
      <c r="B1044" s="267"/>
      <c r="C1044" s="263"/>
      <c r="D1044" s="263"/>
      <c r="E1044" s="263"/>
      <c r="F1044" s="268"/>
      <c r="G1044" s="263"/>
      <c r="H1044" s="267"/>
      <c r="I1044" s="263"/>
      <c r="J1044" s="263"/>
      <c r="K1044" s="263"/>
      <c r="L1044" s="263"/>
      <c r="M1044" s="263"/>
      <c r="N1044" s="263"/>
      <c r="O1044" s="263"/>
      <c r="P1044" s="263"/>
      <c r="Q1044" s="263"/>
      <c r="R1044" s="263"/>
      <c r="S1044" s="263"/>
      <c r="T1044" s="263"/>
      <c r="U1044" s="246"/>
      <c r="V1044" s="246"/>
      <c r="W1044" s="246"/>
      <c r="X1044" s="246"/>
      <c r="Y1044" s="246"/>
      <c r="Z1044" s="246"/>
    </row>
    <row r="1045">
      <c r="A1045" s="263"/>
      <c r="B1045" s="267"/>
      <c r="C1045" s="263"/>
      <c r="D1045" s="263"/>
      <c r="E1045" s="263"/>
      <c r="F1045" s="268"/>
      <c r="G1045" s="263"/>
      <c r="H1045" s="267"/>
      <c r="I1045" s="263"/>
      <c r="J1045" s="263"/>
      <c r="K1045" s="263"/>
      <c r="L1045" s="263"/>
      <c r="M1045" s="263"/>
      <c r="N1045" s="263"/>
      <c r="O1045" s="263"/>
      <c r="P1045" s="263"/>
      <c r="Q1045" s="263"/>
      <c r="R1045" s="263"/>
      <c r="S1045" s="263"/>
      <c r="T1045" s="263"/>
      <c r="U1045" s="246"/>
      <c r="V1045" s="246"/>
      <c r="W1045" s="246"/>
      <c r="X1045" s="246"/>
      <c r="Y1045" s="246"/>
      <c r="Z1045" s="246"/>
    </row>
    <row r="1046">
      <c r="A1046" s="263"/>
      <c r="B1046" s="267"/>
      <c r="C1046" s="263"/>
      <c r="D1046" s="263"/>
      <c r="E1046" s="263"/>
      <c r="F1046" s="268"/>
      <c r="G1046" s="263"/>
      <c r="H1046" s="267"/>
      <c r="I1046" s="263"/>
      <c r="J1046" s="263"/>
      <c r="K1046" s="263"/>
      <c r="L1046" s="263"/>
      <c r="M1046" s="263"/>
      <c r="N1046" s="263"/>
      <c r="O1046" s="263"/>
      <c r="P1046" s="263"/>
      <c r="Q1046" s="263"/>
      <c r="R1046" s="263"/>
      <c r="S1046" s="263"/>
      <c r="T1046" s="263"/>
      <c r="U1046" s="246"/>
      <c r="V1046" s="246"/>
      <c r="W1046" s="246"/>
      <c r="X1046" s="246"/>
      <c r="Y1046" s="246"/>
      <c r="Z1046" s="246"/>
    </row>
    <row r="1047">
      <c r="A1047" s="263"/>
      <c r="B1047" s="267"/>
      <c r="C1047" s="263"/>
      <c r="D1047" s="263"/>
      <c r="E1047" s="263"/>
      <c r="F1047" s="268"/>
      <c r="G1047" s="263"/>
      <c r="H1047" s="267"/>
      <c r="I1047" s="263"/>
      <c r="J1047" s="263"/>
      <c r="K1047" s="263"/>
      <c r="L1047" s="263"/>
      <c r="M1047" s="263"/>
      <c r="N1047" s="263"/>
      <c r="O1047" s="263"/>
      <c r="P1047" s="263"/>
      <c r="Q1047" s="263"/>
      <c r="R1047" s="263"/>
      <c r="S1047" s="263"/>
      <c r="T1047" s="263"/>
      <c r="U1047" s="246"/>
      <c r="V1047" s="246"/>
      <c r="W1047" s="246"/>
      <c r="X1047" s="246"/>
      <c r="Y1047" s="246"/>
      <c r="Z1047" s="246"/>
    </row>
    <row r="1048">
      <c r="A1048" s="263"/>
      <c r="B1048" s="267"/>
      <c r="C1048" s="263"/>
      <c r="D1048" s="263"/>
      <c r="E1048" s="263"/>
      <c r="F1048" s="268"/>
      <c r="G1048" s="263"/>
      <c r="H1048" s="267"/>
      <c r="I1048" s="263"/>
      <c r="J1048" s="263"/>
      <c r="K1048" s="263"/>
      <c r="L1048" s="263"/>
      <c r="M1048" s="263"/>
      <c r="N1048" s="263"/>
      <c r="O1048" s="263"/>
      <c r="P1048" s="263"/>
      <c r="Q1048" s="263"/>
      <c r="R1048" s="263"/>
      <c r="S1048" s="263"/>
      <c r="T1048" s="263"/>
      <c r="U1048" s="246"/>
      <c r="V1048" s="246"/>
      <c r="W1048" s="246"/>
      <c r="X1048" s="246"/>
      <c r="Y1048" s="246"/>
      <c r="Z1048" s="246"/>
    </row>
    <row r="1049">
      <c r="A1049" s="263"/>
      <c r="B1049" s="267"/>
      <c r="C1049" s="263"/>
      <c r="D1049" s="263"/>
      <c r="E1049" s="263"/>
      <c r="F1049" s="268"/>
      <c r="G1049" s="263"/>
      <c r="H1049" s="267"/>
      <c r="I1049" s="263"/>
      <c r="J1049" s="263"/>
      <c r="K1049" s="263"/>
      <c r="L1049" s="263"/>
      <c r="M1049" s="263"/>
      <c r="N1049" s="263"/>
      <c r="O1049" s="263"/>
      <c r="P1049" s="263"/>
      <c r="Q1049" s="263"/>
      <c r="R1049" s="263"/>
      <c r="S1049" s="263"/>
      <c r="T1049" s="263"/>
      <c r="U1049" s="246"/>
      <c r="V1049" s="246"/>
      <c r="W1049" s="246"/>
      <c r="X1049" s="246"/>
      <c r="Y1049" s="246"/>
      <c r="Z1049" s="246"/>
    </row>
    <row r="1050">
      <c r="A1050" s="263"/>
      <c r="B1050" s="267"/>
      <c r="C1050" s="263"/>
      <c r="D1050" s="263"/>
      <c r="E1050" s="263"/>
      <c r="F1050" s="268"/>
      <c r="G1050" s="263"/>
      <c r="H1050" s="267"/>
      <c r="I1050" s="263"/>
      <c r="J1050" s="263"/>
      <c r="K1050" s="263"/>
      <c r="L1050" s="263"/>
      <c r="M1050" s="263"/>
      <c r="N1050" s="263"/>
      <c r="O1050" s="263"/>
      <c r="P1050" s="263"/>
      <c r="Q1050" s="263"/>
      <c r="R1050" s="263"/>
      <c r="S1050" s="263"/>
      <c r="T1050" s="263"/>
      <c r="U1050" s="246"/>
      <c r="V1050" s="246"/>
      <c r="W1050" s="246"/>
      <c r="X1050" s="246"/>
      <c r="Y1050" s="246"/>
      <c r="Z1050" s="246"/>
    </row>
    <row r="1051">
      <c r="A1051" s="263"/>
      <c r="B1051" s="267"/>
      <c r="C1051" s="263"/>
      <c r="D1051" s="263"/>
      <c r="E1051" s="263"/>
      <c r="F1051" s="268"/>
      <c r="G1051" s="263"/>
      <c r="H1051" s="267"/>
      <c r="I1051" s="263"/>
      <c r="J1051" s="263"/>
      <c r="K1051" s="263"/>
      <c r="L1051" s="263"/>
      <c r="M1051" s="263"/>
      <c r="N1051" s="263"/>
      <c r="O1051" s="263"/>
      <c r="P1051" s="263"/>
      <c r="Q1051" s="263"/>
      <c r="R1051" s="263"/>
      <c r="S1051" s="263"/>
      <c r="T1051" s="263"/>
      <c r="U1051" s="246"/>
      <c r="V1051" s="246"/>
      <c r="W1051" s="246"/>
      <c r="X1051" s="246"/>
      <c r="Y1051" s="246"/>
      <c r="Z1051" s="246"/>
    </row>
    <row r="1052">
      <c r="A1052" s="263"/>
      <c r="B1052" s="267"/>
      <c r="C1052" s="263"/>
      <c r="D1052" s="263"/>
      <c r="E1052" s="263"/>
      <c r="F1052" s="268"/>
      <c r="G1052" s="263"/>
      <c r="H1052" s="267"/>
      <c r="I1052" s="263"/>
      <c r="J1052" s="263"/>
      <c r="K1052" s="263"/>
      <c r="L1052" s="263"/>
      <c r="M1052" s="263"/>
      <c r="N1052" s="263"/>
      <c r="O1052" s="263"/>
      <c r="P1052" s="263"/>
      <c r="Q1052" s="263"/>
      <c r="R1052" s="263"/>
      <c r="S1052" s="263"/>
      <c r="T1052" s="263"/>
      <c r="U1052" s="246"/>
      <c r="V1052" s="246"/>
      <c r="W1052" s="246"/>
      <c r="X1052" s="246"/>
      <c r="Y1052" s="246"/>
      <c r="Z1052" s="246"/>
    </row>
    <row r="1053">
      <c r="A1053" s="263"/>
      <c r="B1053" s="267"/>
      <c r="C1053" s="263"/>
      <c r="D1053" s="263"/>
      <c r="E1053" s="263"/>
      <c r="F1053" s="268"/>
      <c r="G1053" s="263"/>
      <c r="H1053" s="267"/>
      <c r="I1053" s="263"/>
      <c r="J1053" s="263"/>
      <c r="K1053" s="263"/>
      <c r="L1053" s="263"/>
      <c r="M1053" s="263"/>
      <c r="N1053" s="263"/>
      <c r="O1053" s="263"/>
      <c r="P1053" s="263"/>
      <c r="Q1053" s="263"/>
      <c r="R1053" s="263"/>
      <c r="S1053" s="263"/>
      <c r="T1053" s="263"/>
      <c r="U1053" s="246"/>
      <c r="V1053" s="246"/>
      <c r="W1053" s="246"/>
      <c r="X1053" s="246"/>
      <c r="Y1053" s="246"/>
      <c r="Z1053" s="246"/>
    </row>
    <row r="1054">
      <c r="A1054" s="263"/>
      <c r="B1054" s="267"/>
      <c r="C1054" s="263"/>
      <c r="D1054" s="263"/>
      <c r="E1054" s="263"/>
      <c r="F1054" s="268"/>
      <c r="G1054" s="263"/>
      <c r="H1054" s="267"/>
      <c r="I1054" s="263"/>
      <c r="J1054" s="263"/>
      <c r="K1054" s="263"/>
      <c r="L1054" s="263"/>
      <c r="M1054" s="263"/>
      <c r="N1054" s="263"/>
      <c r="O1054" s="263"/>
      <c r="P1054" s="263"/>
      <c r="Q1054" s="263"/>
      <c r="R1054" s="263"/>
      <c r="S1054" s="263"/>
      <c r="T1054" s="263"/>
      <c r="U1054" s="246"/>
      <c r="V1054" s="246"/>
      <c r="W1054" s="246"/>
      <c r="X1054" s="246"/>
      <c r="Y1054" s="246"/>
      <c r="Z1054" s="246"/>
    </row>
    <row r="1055">
      <c r="A1055" s="263"/>
      <c r="B1055" s="267"/>
      <c r="C1055" s="263"/>
      <c r="D1055" s="263"/>
      <c r="E1055" s="263"/>
      <c r="F1055" s="268"/>
      <c r="G1055" s="263"/>
      <c r="H1055" s="267"/>
      <c r="I1055" s="263"/>
      <c r="J1055" s="263"/>
      <c r="K1055" s="263"/>
      <c r="L1055" s="263"/>
      <c r="M1055" s="263"/>
      <c r="N1055" s="263"/>
      <c r="O1055" s="263"/>
      <c r="P1055" s="263"/>
      <c r="Q1055" s="263"/>
      <c r="R1055" s="263"/>
      <c r="S1055" s="263"/>
      <c r="T1055" s="263"/>
      <c r="U1055" s="246"/>
      <c r="V1055" s="246"/>
      <c r="W1055" s="246"/>
      <c r="X1055" s="246"/>
      <c r="Y1055" s="246"/>
      <c r="Z1055" s="246"/>
    </row>
    <row r="1056">
      <c r="A1056" s="263"/>
      <c r="B1056" s="267"/>
      <c r="C1056" s="263"/>
      <c r="D1056" s="263"/>
      <c r="E1056" s="263"/>
      <c r="F1056" s="268"/>
      <c r="G1056" s="263"/>
      <c r="H1056" s="267"/>
      <c r="I1056" s="263"/>
      <c r="J1056" s="263"/>
      <c r="K1056" s="263"/>
      <c r="L1056" s="263"/>
      <c r="M1056" s="263"/>
      <c r="N1056" s="263"/>
      <c r="O1056" s="263"/>
      <c r="P1056" s="263"/>
      <c r="Q1056" s="263"/>
      <c r="R1056" s="263"/>
      <c r="S1056" s="263"/>
      <c r="T1056" s="263"/>
      <c r="U1056" s="246"/>
      <c r="V1056" s="246"/>
      <c r="W1056" s="246"/>
      <c r="X1056" s="246"/>
      <c r="Y1056" s="246"/>
      <c r="Z1056" s="246"/>
    </row>
    <row r="1057">
      <c r="A1057" s="263"/>
      <c r="B1057" s="267"/>
      <c r="C1057" s="263"/>
      <c r="D1057" s="263"/>
      <c r="E1057" s="263"/>
      <c r="F1057" s="268"/>
      <c r="G1057" s="263"/>
      <c r="H1057" s="267"/>
      <c r="I1057" s="263"/>
      <c r="J1057" s="263"/>
      <c r="K1057" s="263"/>
      <c r="L1057" s="263"/>
      <c r="M1057" s="263"/>
      <c r="N1057" s="263"/>
      <c r="O1057" s="263"/>
      <c r="P1057" s="263"/>
      <c r="Q1057" s="263"/>
      <c r="R1057" s="263"/>
      <c r="S1057" s="263"/>
      <c r="T1057" s="263"/>
      <c r="U1057" s="246"/>
      <c r="V1057" s="246"/>
      <c r="W1057" s="246"/>
      <c r="X1057" s="246"/>
      <c r="Y1057" s="246"/>
      <c r="Z1057" s="246"/>
    </row>
    <row r="1058">
      <c r="A1058" s="263"/>
      <c r="B1058" s="267"/>
      <c r="C1058" s="263"/>
      <c r="D1058" s="263"/>
      <c r="E1058" s="263"/>
      <c r="F1058" s="268"/>
      <c r="G1058" s="263"/>
      <c r="H1058" s="267"/>
      <c r="I1058" s="263"/>
      <c r="J1058" s="263"/>
      <c r="K1058" s="263"/>
      <c r="L1058" s="263"/>
      <c r="M1058" s="263"/>
      <c r="N1058" s="263"/>
      <c r="O1058" s="263"/>
      <c r="P1058" s="263"/>
      <c r="Q1058" s="263"/>
      <c r="R1058" s="263"/>
      <c r="S1058" s="263"/>
      <c r="T1058" s="263"/>
      <c r="U1058" s="246"/>
      <c r="V1058" s="246"/>
      <c r="W1058" s="246"/>
      <c r="X1058" s="246"/>
      <c r="Y1058" s="246"/>
      <c r="Z1058" s="246"/>
    </row>
    <row r="1059">
      <c r="A1059" s="263"/>
      <c r="B1059" s="267"/>
      <c r="C1059" s="263"/>
      <c r="D1059" s="263"/>
      <c r="E1059" s="263"/>
      <c r="F1059" s="268"/>
      <c r="G1059" s="263"/>
      <c r="H1059" s="267"/>
      <c r="I1059" s="263"/>
      <c r="J1059" s="263"/>
      <c r="K1059" s="263"/>
      <c r="L1059" s="263"/>
      <c r="M1059" s="263"/>
      <c r="N1059" s="263"/>
      <c r="O1059" s="263"/>
      <c r="P1059" s="263"/>
      <c r="Q1059" s="263"/>
      <c r="R1059" s="263"/>
      <c r="S1059" s="263"/>
      <c r="T1059" s="263"/>
      <c r="U1059" s="246"/>
      <c r="V1059" s="246"/>
      <c r="W1059" s="246"/>
      <c r="X1059" s="246"/>
      <c r="Y1059" s="246"/>
      <c r="Z1059" s="246"/>
    </row>
    <row r="1060">
      <c r="A1060" s="263"/>
      <c r="B1060" s="267"/>
      <c r="C1060" s="263"/>
      <c r="D1060" s="263"/>
      <c r="E1060" s="263"/>
      <c r="F1060" s="268"/>
      <c r="G1060" s="263"/>
      <c r="H1060" s="267"/>
      <c r="I1060" s="263"/>
      <c r="J1060" s="263"/>
      <c r="K1060" s="263"/>
      <c r="L1060" s="263"/>
      <c r="M1060" s="263"/>
      <c r="N1060" s="263"/>
      <c r="O1060" s="263"/>
      <c r="P1060" s="263"/>
      <c r="Q1060" s="263"/>
      <c r="R1060" s="263"/>
      <c r="S1060" s="263"/>
      <c r="T1060" s="263"/>
      <c r="U1060" s="246"/>
      <c r="V1060" s="246"/>
      <c r="W1060" s="246"/>
      <c r="X1060" s="246"/>
      <c r="Y1060" s="246"/>
      <c r="Z1060" s="246"/>
    </row>
    <row r="1061">
      <c r="A1061" s="263"/>
      <c r="B1061" s="267"/>
      <c r="C1061" s="263"/>
      <c r="D1061" s="263"/>
      <c r="E1061" s="263"/>
      <c r="F1061" s="268"/>
      <c r="G1061" s="263"/>
      <c r="H1061" s="267"/>
      <c r="I1061" s="263"/>
      <c r="J1061" s="263"/>
      <c r="K1061" s="263"/>
      <c r="L1061" s="263"/>
      <c r="M1061" s="263"/>
      <c r="N1061" s="263"/>
      <c r="O1061" s="263"/>
      <c r="P1061" s="263"/>
      <c r="Q1061" s="263"/>
      <c r="R1061" s="263"/>
      <c r="S1061" s="263"/>
      <c r="T1061" s="263"/>
      <c r="U1061" s="246"/>
      <c r="V1061" s="246"/>
      <c r="W1061" s="246"/>
      <c r="X1061" s="246"/>
      <c r="Y1061" s="246"/>
      <c r="Z1061" s="246"/>
    </row>
    <row r="1062">
      <c r="A1062" s="263"/>
      <c r="B1062" s="267"/>
      <c r="C1062" s="263"/>
      <c r="D1062" s="263"/>
      <c r="E1062" s="263"/>
      <c r="F1062" s="268"/>
      <c r="G1062" s="263"/>
      <c r="H1062" s="267"/>
      <c r="I1062" s="263"/>
      <c r="J1062" s="263"/>
      <c r="K1062" s="263"/>
      <c r="L1062" s="263"/>
      <c r="M1062" s="263"/>
      <c r="N1062" s="263"/>
      <c r="O1062" s="263"/>
      <c r="P1062" s="263"/>
      <c r="Q1062" s="263"/>
      <c r="R1062" s="263"/>
      <c r="S1062" s="263"/>
      <c r="T1062" s="263"/>
      <c r="U1062" s="246"/>
      <c r="V1062" s="246"/>
      <c r="W1062" s="246"/>
      <c r="X1062" s="246"/>
      <c r="Y1062" s="246"/>
      <c r="Z1062" s="246"/>
    </row>
    <row r="1063">
      <c r="A1063" s="263"/>
      <c r="B1063" s="267"/>
      <c r="C1063" s="263"/>
      <c r="D1063" s="263"/>
      <c r="E1063" s="263"/>
      <c r="F1063" s="268"/>
      <c r="G1063" s="263"/>
      <c r="H1063" s="267"/>
      <c r="I1063" s="263"/>
      <c r="J1063" s="263"/>
      <c r="K1063" s="263"/>
      <c r="L1063" s="263"/>
      <c r="M1063" s="263"/>
      <c r="N1063" s="263"/>
      <c r="O1063" s="263"/>
      <c r="P1063" s="263"/>
      <c r="Q1063" s="263"/>
      <c r="R1063" s="263"/>
      <c r="S1063" s="263"/>
      <c r="T1063" s="263"/>
      <c r="U1063" s="246"/>
      <c r="V1063" s="246"/>
      <c r="W1063" s="246"/>
      <c r="X1063" s="246"/>
      <c r="Y1063" s="246"/>
      <c r="Z1063" s="246"/>
    </row>
    <row r="1064">
      <c r="A1064" s="263"/>
      <c r="B1064" s="267"/>
      <c r="C1064" s="263"/>
      <c r="D1064" s="263"/>
      <c r="E1064" s="263"/>
      <c r="F1064" s="268"/>
      <c r="G1064" s="263"/>
      <c r="H1064" s="267"/>
      <c r="I1064" s="263"/>
      <c r="J1064" s="263"/>
      <c r="K1064" s="263"/>
      <c r="L1064" s="263"/>
      <c r="M1064" s="263"/>
      <c r="N1064" s="263"/>
      <c r="O1064" s="263"/>
      <c r="P1064" s="263"/>
      <c r="Q1064" s="263"/>
      <c r="R1064" s="263"/>
      <c r="S1064" s="263"/>
      <c r="T1064" s="263"/>
      <c r="U1064" s="246"/>
      <c r="V1064" s="246"/>
      <c r="W1064" s="246"/>
      <c r="X1064" s="246"/>
      <c r="Y1064" s="246"/>
      <c r="Z1064" s="246"/>
    </row>
    <row r="1065">
      <c r="A1065" s="263"/>
      <c r="B1065" s="267"/>
      <c r="C1065" s="263"/>
      <c r="D1065" s="263"/>
      <c r="E1065" s="263"/>
      <c r="F1065" s="268"/>
      <c r="G1065" s="263"/>
      <c r="H1065" s="267"/>
      <c r="I1065" s="263"/>
      <c r="J1065" s="263"/>
      <c r="K1065" s="263"/>
      <c r="L1065" s="263"/>
      <c r="M1065" s="263"/>
      <c r="N1065" s="263"/>
      <c r="O1065" s="263"/>
      <c r="P1065" s="263"/>
      <c r="Q1065" s="263"/>
      <c r="R1065" s="263"/>
      <c r="S1065" s="263"/>
      <c r="T1065" s="263"/>
      <c r="U1065" s="246"/>
      <c r="V1065" s="246"/>
      <c r="W1065" s="246"/>
      <c r="X1065" s="246"/>
      <c r="Y1065" s="246"/>
      <c r="Z1065" s="246"/>
    </row>
    <row r="1066">
      <c r="A1066" s="263"/>
      <c r="B1066" s="267"/>
      <c r="C1066" s="263"/>
      <c r="D1066" s="263"/>
      <c r="E1066" s="263"/>
      <c r="F1066" s="268"/>
      <c r="G1066" s="263"/>
      <c r="H1066" s="267"/>
      <c r="I1066" s="263"/>
      <c r="J1066" s="263"/>
      <c r="K1066" s="263"/>
      <c r="L1066" s="263"/>
      <c r="M1066" s="263"/>
      <c r="N1066" s="263"/>
      <c r="O1066" s="263"/>
      <c r="P1066" s="263"/>
      <c r="Q1066" s="263"/>
      <c r="R1066" s="263"/>
      <c r="S1066" s="263"/>
      <c r="T1066" s="263"/>
      <c r="U1066" s="246"/>
      <c r="V1066" s="246"/>
      <c r="W1066" s="246"/>
      <c r="X1066" s="246"/>
      <c r="Y1066" s="246"/>
      <c r="Z1066" s="246"/>
    </row>
    <row r="1067">
      <c r="A1067" s="263"/>
      <c r="B1067" s="267"/>
      <c r="C1067" s="263"/>
      <c r="D1067" s="263"/>
      <c r="E1067" s="263"/>
      <c r="F1067" s="268"/>
      <c r="G1067" s="263"/>
      <c r="H1067" s="267"/>
      <c r="I1067" s="263"/>
      <c r="J1067" s="263"/>
      <c r="K1067" s="263"/>
      <c r="L1067" s="263"/>
      <c r="M1067" s="263"/>
      <c r="N1067" s="263"/>
      <c r="O1067" s="263"/>
      <c r="P1067" s="263"/>
      <c r="Q1067" s="263"/>
      <c r="R1067" s="263"/>
      <c r="S1067" s="263"/>
      <c r="T1067" s="263"/>
      <c r="U1067" s="246"/>
      <c r="V1067" s="246"/>
      <c r="W1067" s="246"/>
      <c r="X1067" s="246"/>
      <c r="Y1067" s="246"/>
      <c r="Z1067" s="246"/>
    </row>
    <row r="1068">
      <c r="A1068" s="263"/>
      <c r="B1068" s="267"/>
      <c r="C1068" s="263"/>
      <c r="D1068" s="263"/>
      <c r="E1068" s="263"/>
      <c r="F1068" s="268"/>
      <c r="G1068" s="263"/>
      <c r="H1068" s="267"/>
      <c r="I1068" s="263"/>
      <c r="J1068" s="263"/>
      <c r="K1068" s="263"/>
      <c r="L1068" s="263"/>
      <c r="M1068" s="263"/>
      <c r="N1068" s="263"/>
      <c r="O1068" s="263"/>
      <c r="P1068" s="263"/>
      <c r="Q1068" s="263"/>
      <c r="R1068" s="263"/>
      <c r="S1068" s="263"/>
      <c r="T1068" s="263"/>
      <c r="U1068" s="246"/>
      <c r="V1068" s="246"/>
      <c r="W1068" s="246"/>
      <c r="X1068" s="246"/>
      <c r="Y1068" s="246"/>
      <c r="Z1068" s="246"/>
    </row>
    <row r="1069">
      <c r="A1069" s="263"/>
      <c r="B1069" s="267"/>
      <c r="C1069" s="263"/>
      <c r="D1069" s="263"/>
      <c r="E1069" s="263"/>
      <c r="F1069" s="268"/>
      <c r="G1069" s="263"/>
      <c r="H1069" s="267"/>
      <c r="I1069" s="263"/>
      <c r="J1069" s="263"/>
      <c r="K1069" s="263"/>
      <c r="L1069" s="263"/>
      <c r="M1069" s="263"/>
      <c r="N1069" s="263"/>
      <c r="O1069" s="263"/>
      <c r="P1069" s="263"/>
      <c r="Q1069" s="263"/>
      <c r="R1069" s="263"/>
      <c r="S1069" s="263"/>
      <c r="T1069" s="263"/>
      <c r="U1069" s="246"/>
      <c r="V1069" s="246"/>
      <c r="W1069" s="246"/>
      <c r="X1069" s="246"/>
      <c r="Y1069" s="246"/>
      <c r="Z1069" s="246"/>
    </row>
    <row r="1070">
      <c r="A1070" s="263"/>
      <c r="B1070" s="267"/>
      <c r="C1070" s="263"/>
      <c r="D1070" s="263"/>
      <c r="E1070" s="263"/>
      <c r="F1070" s="268"/>
      <c r="G1070" s="263"/>
      <c r="H1070" s="267"/>
      <c r="I1070" s="263"/>
      <c r="J1070" s="263"/>
      <c r="K1070" s="263"/>
      <c r="L1070" s="263"/>
      <c r="M1070" s="263"/>
      <c r="N1070" s="263"/>
      <c r="O1070" s="263"/>
      <c r="P1070" s="263"/>
      <c r="Q1070" s="263"/>
      <c r="R1070" s="263"/>
      <c r="S1070" s="263"/>
      <c r="T1070" s="263"/>
      <c r="U1070" s="246"/>
      <c r="V1070" s="246"/>
      <c r="W1070" s="246"/>
      <c r="X1070" s="246"/>
      <c r="Y1070" s="246"/>
      <c r="Z1070" s="246"/>
    </row>
    <row r="1071">
      <c r="A1071" s="263"/>
      <c r="B1071" s="267"/>
      <c r="C1071" s="263"/>
      <c r="D1071" s="263"/>
      <c r="E1071" s="263"/>
      <c r="F1071" s="268"/>
      <c r="G1071" s="263"/>
      <c r="H1071" s="267"/>
      <c r="I1071" s="263"/>
      <c r="J1071" s="263"/>
      <c r="K1071" s="263"/>
      <c r="L1071" s="263"/>
      <c r="M1071" s="263"/>
      <c r="N1071" s="263"/>
      <c r="O1071" s="263"/>
      <c r="P1071" s="263"/>
      <c r="Q1071" s="263"/>
      <c r="R1071" s="263"/>
      <c r="S1071" s="263"/>
      <c r="T1071" s="263"/>
      <c r="U1071" s="246"/>
      <c r="V1071" s="246"/>
      <c r="W1071" s="246"/>
      <c r="X1071" s="246"/>
      <c r="Y1071" s="246"/>
      <c r="Z1071" s="246"/>
    </row>
    <row r="1072">
      <c r="A1072" s="263"/>
      <c r="B1072" s="267"/>
      <c r="C1072" s="263"/>
      <c r="D1072" s="263"/>
      <c r="E1072" s="263"/>
      <c r="F1072" s="268"/>
      <c r="G1072" s="263"/>
      <c r="H1072" s="267"/>
      <c r="I1072" s="263"/>
      <c r="J1072" s="263"/>
      <c r="K1072" s="263"/>
      <c r="L1072" s="263"/>
      <c r="M1072" s="263"/>
      <c r="N1072" s="263"/>
      <c r="O1072" s="263"/>
      <c r="P1072" s="263"/>
      <c r="Q1072" s="263"/>
      <c r="R1072" s="263"/>
      <c r="S1072" s="263"/>
      <c r="T1072" s="263"/>
      <c r="U1072" s="246"/>
      <c r="V1072" s="246"/>
      <c r="W1072" s="246"/>
      <c r="X1072" s="246"/>
      <c r="Y1072" s="246"/>
      <c r="Z1072" s="246"/>
    </row>
    <row r="1073">
      <c r="A1073" s="263"/>
      <c r="B1073" s="267"/>
      <c r="C1073" s="263"/>
      <c r="D1073" s="263"/>
      <c r="E1073" s="263"/>
      <c r="F1073" s="268"/>
      <c r="G1073" s="263"/>
      <c r="H1073" s="267"/>
      <c r="I1073" s="263"/>
      <c r="J1073" s="263"/>
      <c r="K1073" s="263"/>
      <c r="L1073" s="263"/>
      <c r="M1073" s="263"/>
      <c r="N1073" s="263"/>
      <c r="O1073" s="263"/>
      <c r="P1073" s="263"/>
      <c r="Q1073" s="263"/>
      <c r="R1073" s="263"/>
      <c r="S1073" s="263"/>
      <c r="T1073" s="263"/>
      <c r="U1073" s="246"/>
      <c r="V1073" s="246"/>
      <c r="W1073" s="246"/>
      <c r="X1073" s="246"/>
      <c r="Y1073" s="246"/>
      <c r="Z1073" s="246"/>
    </row>
    <row r="1074">
      <c r="A1074" s="263"/>
      <c r="B1074" s="267"/>
      <c r="C1074" s="263"/>
      <c r="D1074" s="263"/>
      <c r="E1074" s="263"/>
      <c r="F1074" s="268"/>
      <c r="G1074" s="263"/>
      <c r="H1074" s="267"/>
      <c r="I1074" s="263"/>
      <c r="J1074" s="263"/>
      <c r="K1074" s="263"/>
      <c r="L1074" s="263"/>
      <c r="M1074" s="263"/>
      <c r="N1074" s="263"/>
      <c r="O1074" s="263"/>
      <c r="P1074" s="263"/>
      <c r="Q1074" s="263"/>
      <c r="R1074" s="263"/>
      <c r="S1074" s="263"/>
      <c r="T1074" s="263"/>
      <c r="U1074" s="246"/>
      <c r="V1074" s="246"/>
      <c r="W1074" s="246"/>
      <c r="X1074" s="246"/>
      <c r="Y1074" s="246"/>
      <c r="Z1074" s="246"/>
    </row>
    <row r="1075">
      <c r="A1075" s="263"/>
      <c r="B1075" s="267"/>
      <c r="C1075" s="263"/>
      <c r="D1075" s="263"/>
      <c r="E1075" s="263"/>
      <c r="F1075" s="268"/>
      <c r="G1075" s="263"/>
      <c r="H1075" s="267"/>
      <c r="I1075" s="263"/>
      <c r="J1075" s="263"/>
      <c r="K1075" s="263"/>
      <c r="L1075" s="263"/>
      <c r="M1075" s="263"/>
      <c r="N1075" s="263"/>
      <c r="O1075" s="263"/>
      <c r="P1075" s="263"/>
      <c r="Q1075" s="263"/>
      <c r="R1075" s="263"/>
      <c r="S1075" s="263"/>
      <c r="T1075" s="263"/>
      <c r="U1075" s="246"/>
      <c r="V1075" s="246"/>
      <c r="W1075" s="246"/>
      <c r="X1075" s="246"/>
      <c r="Y1075" s="246"/>
      <c r="Z1075" s="246"/>
    </row>
    <row r="1076">
      <c r="A1076" s="263"/>
      <c r="B1076" s="267"/>
      <c r="C1076" s="263"/>
      <c r="D1076" s="263"/>
      <c r="E1076" s="263"/>
      <c r="F1076" s="268"/>
      <c r="G1076" s="263"/>
      <c r="H1076" s="267"/>
      <c r="I1076" s="263"/>
      <c r="J1076" s="263"/>
      <c r="K1076" s="263"/>
      <c r="L1076" s="263"/>
      <c r="M1076" s="263"/>
      <c r="N1076" s="263"/>
      <c r="O1076" s="263"/>
      <c r="P1076" s="263"/>
      <c r="Q1076" s="263"/>
      <c r="R1076" s="263"/>
      <c r="S1076" s="263"/>
      <c r="T1076" s="263"/>
      <c r="U1076" s="246"/>
      <c r="V1076" s="246"/>
      <c r="W1076" s="246"/>
      <c r="X1076" s="246"/>
      <c r="Y1076" s="246"/>
      <c r="Z1076" s="246"/>
    </row>
    <row r="1077">
      <c r="A1077" s="263"/>
      <c r="B1077" s="267"/>
      <c r="C1077" s="263"/>
      <c r="D1077" s="263"/>
      <c r="E1077" s="263"/>
      <c r="F1077" s="268"/>
      <c r="G1077" s="263"/>
      <c r="H1077" s="267"/>
      <c r="I1077" s="263"/>
      <c r="J1077" s="263"/>
      <c r="K1077" s="263"/>
      <c r="L1077" s="263"/>
      <c r="M1077" s="263"/>
      <c r="N1077" s="263"/>
      <c r="O1077" s="263"/>
      <c r="P1077" s="263"/>
      <c r="Q1077" s="263"/>
      <c r="R1077" s="263"/>
      <c r="S1077" s="263"/>
      <c r="T1077" s="263"/>
      <c r="U1077" s="246"/>
      <c r="V1077" s="246"/>
      <c r="W1077" s="246"/>
      <c r="X1077" s="246"/>
      <c r="Y1077" s="246"/>
      <c r="Z1077" s="246"/>
    </row>
    <row r="1078">
      <c r="A1078" s="263"/>
      <c r="B1078" s="267"/>
      <c r="C1078" s="263"/>
      <c r="D1078" s="263"/>
      <c r="E1078" s="263"/>
      <c r="F1078" s="268"/>
      <c r="G1078" s="263"/>
      <c r="H1078" s="267"/>
      <c r="I1078" s="263"/>
      <c r="J1078" s="263"/>
      <c r="K1078" s="263"/>
      <c r="L1078" s="263"/>
      <c r="M1078" s="263"/>
      <c r="N1078" s="263"/>
      <c r="O1078" s="263"/>
      <c r="P1078" s="263"/>
      <c r="Q1078" s="263"/>
      <c r="R1078" s="263"/>
      <c r="S1078" s="263"/>
      <c r="T1078" s="263"/>
      <c r="U1078" s="246"/>
      <c r="V1078" s="246"/>
      <c r="W1078" s="246"/>
      <c r="X1078" s="246"/>
      <c r="Y1078" s="246"/>
      <c r="Z1078" s="246"/>
    </row>
    <row r="1079">
      <c r="A1079" s="263"/>
      <c r="B1079" s="267"/>
      <c r="C1079" s="263"/>
      <c r="D1079" s="263"/>
      <c r="E1079" s="263"/>
      <c r="F1079" s="268"/>
      <c r="G1079" s="263"/>
      <c r="H1079" s="267"/>
      <c r="I1079" s="263"/>
      <c r="J1079" s="263"/>
      <c r="K1079" s="263"/>
      <c r="L1079" s="263"/>
      <c r="M1079" s="263"/>
      <c r="N1079" s="263"/>
      <c r="O1079" s="263"/>
      <c r="P1079" s="263"/>
      <c r="Q1079" s="263"/>
      <c r="R1079" s="263"/>
      <c r="S1079" s="263"/>
      <c r="T1079" s="263"/>
      <c r="U1079" s="246"/>
      <c r="V1079" s="246"/>
      <c r="W1079" s="246"/>
      <c r="X1079" s="246"/>
      <c r="Y1079" s="246"/>
      <c r="Z1079" s="246"/>
    </row>
    <row r="1080">
      <c r="A1080" s="263"/>
      <c r="B1080" s="267"/>
      <c r="C1080" s="263"/>
      <c r="D1080" s="263"/>
      <c r="E1080" s="263"/>
      <c r="F1080" s="268"/>
      <c r="G1080" s="263"/>
      <c r="H1080" s="267"/>
      <c r="I1080" s="263"/>
      <c r="J1080" s="263"/>
      <c r="K1080" s="263"/>
      <c r="L1080" s="263"/>
      <c r="M1080" s="263"/>
      <c r="N1080" s="263"/>
      <c r="O1080" s="263"/>
      <c r="P1080" s="263"/>
      <c r="Q1080" s="263"/>
      <c r="R1080" s="263"/>
      <c r="S1080" s="263"/>
      <c r="T1080" s="263"/>
      <c r="U1080" s="246"/>
      <c r="V1080" s="246"/>
      <c r="W1080" s="246"/>
      <c r="X1080" s="246"/>
      <c r="Y1080" s="246"/>
      <c r="Z1080" s="246"/>
    </row>
    <row r="1081">
      <c r="A1081" s="263"/>
      <c r="B1081" s="267"/>
      <c r="C1081" s="263"/>
      <c r="D1081" s="263"/>
      <c r="E1081" s="263"/>
      <c r="F1081" s="268"/>
      <c r="G1081" s="263"/>
      <c r="H1081" s="267"/>
      <c r="I1081" s="263"/>
      <c r="J1081" s="263"/>
      <c r="K1081" s="263"/>
      <c r="L1081" s="263"/>
      <c r="M1081" s="263"/>
      <c r="N1081" s="263"/>
      <c r="O1081" s="263"/>
      <c r="P1081" s="263"/>
      <c r="Q1081" s="263"/>
      <c r="R1081" s="263"/>
      <c r="S1081" s="263"/>
      <c r="T1081" s="263"/>
      <c r="U1081" s="246"/>
      <c r="V1081" s="246"/>
      <c r="W1081" s="246"/>
      <c r="X1081" s="246"/>
      <c r="Y1081" s="246"/>
      <c r="Z1081" s="246"/>
    </row>
    <row r="1082">
      <c r="A1082" s="263"/>
      <c r="B1082" s="267"/>
      <c r="C1082" s="263"/>
      <c r="D1082" s="263"/>
      <c r="E1082" s="263"/>
      <c r="F1082" s="268"/>
      <c r="G1082" s="263"/>
      <c r="H1082" s="267"/>
      <c r="I1082" s="263"/>
      <c r="J1082" s="263"/>
      <c r="K1082" s="263"/>
      <c r="L1082" s="263"/>
      <c r="M1082" s="263"/>
      <c r="N1082" s="263"/>
      <c r="O1082" s="263"/>
      <c r="P1082" s="263"/>
      <c r="Q1082" s="263"/>
      <c r="R1082" s="263"/>
      <c r="S1082" s="263"/>
      <c r="T1082" s="263"/>
      <c r="U1082" s="246"/>
      <c r="V1082" s="246"/>
      <c r="W1082" s="246"/>
      <c r="X1082" s="246"/>
      <c r="Y1082" s="246"/>
      <c r="Z1082" s="246"/>
    </row>
    <row r="1083">
      <c r="A1083" s="263"/>
      <c r="B1083" s="267"/>
      <c r="C1083" s="263"/>
      <c r="D1083" s="263"/>
      <c r="E1083" s="263"/>
      <c r="F1083" s="268"/>
      <c r="G1083" s="263"/>
      <c r="H1083" s="267"/>
      <c r="I1083" s="263"/>
      <c r="J1083" s="263"/>
      <c r="K1083" s="263"/>
      <c r="L1083" s="263"/>
      <c r="M1083" s="263"/>
      <c r="N1083" s="263"/>
      <c r="O1083" s="263"/>
      <c r="P1083" s="263"/>
      <c r="Q1083" s="263"/>
      <c r="R1083" s="263"/>
      <c r="S1083" s="263"/>
      <c r="T1083" s="263"/>
      <c r="U1083" s="246"/>
      <c r="V1083" s="246"/>
      <c r="W1083" s="246"/>
      <c r="X1083" s="246"/>
      <c r="Y1083" s="246"/>
      <c r="Z1083" s="246"/>
    </row>
    <row r="1084">
      <c r="A1084" s="263"/>
      <c r="B1084" s="267"/>
      <c r="C1084" s="263"/>
      <c r="D1084" s="263"/>
      <c r="E1084" s="263"/>
      <c r="F1084" s="268"/>
      <c r="G1084" s="263"/>
      <c r="H1084" s="267"/>
      <c r="I1084" s="263"/>
      <c r="J1084" s="263"/>
      <c r="K1084" s="263"/>
      <c r="L1084" s="263"/>
      <c r="M1084" s="263"/>
      <c r="N1084" s="263"/>
      <c r="O1084" s="263"/>
      <c r="P1084" s="263"/>
      <c r="Q1084" s="263"/>
      <c r="R1084" s="263"/>
      <c r="S1084" s="263"/>
      <c r="T1084" s="263"/>
      <c r="U1084" s="246"/>
      <c r="V1084" s="246"/>
      <c r="W1084" s="246"/>
      <c r="X1084" s="246"/>
      <c r="Y1084" s="246"/>
      <c r="Z1084" s="246"/>
    </row>
    <row r="1085">
      <c r="A1085" s="263"/>
      <c r="B1085" s="267"/>
      <c r="C1085" s="263"/>
      <c r="D1085" s="263"/>
      <c r="E1085" s="263"/>
      <c r="F1085" s="268"/>
      <c r="G1085" s="263"/>
      <c r="H1085" s="267"/>
      <c r="I1085" s="263"/>
      <c r="J1085" s="263"/>
      <c r="K1085" s="263"/>
      <c r="L1085" s="263"/>
      <c r="M1085" s="263"/>
      <c r="N1085" s="263"/>
      <c r="O1085" s="263"/>
      <c r="P1085" s="263"/>
      <c r="Q1085" s="263"/>
      <c r="R1085" s="263"/>
      <c r="S1085" s="263"/>
      <c r="T1085" s="263"/>
      <c r="U1085" s="246"/>
      <c r="V1085" s="246"/>
      <c r="W1085" s="246"/>
      <c r="X1085" s="246"/>
      <c r="Y1085" s="246"/>
      <c r="Z1085" s="246"/>
    </row>
    <row r="1086">
      <c r="A1086" s="263"/>
      <c r="B1086" s="267"/>
      <c r="C1086" s="263"/>
      <c r="D1086" s="263"/>
      <c r="E1086" s="263"/>
      <c r="F1086" s="268"/>
      <c r="G1086" s="263"/>
      <c r="H1086" s="267"/>
      <c r="I1086" s="263"/>
      <c r="J1086" s="263"/>
      <c r="K1086" s="263"/>
      <c r="L1086" s="263"/>
      <c r="M1086" s="263"/>
      <c r="N1086" s="263"/>
      <c r="O1086" s="263"/>
      <c r="P1086" s="263"/>
      <c r="Q1086" s="263"/>
      <c r="R1086" s="263"/>
      <c r="S1086" s="263"/>
      <c r="T1086" s="263"/>
      <c r="U1086" s="246"/>
      <c r="V1086" s="246"/>
      <c r="W1086" s="246"/>
      <c r="X1086" s="246"/>
      <c r="Y1086" s="246"/>
      <c r="Z1086" s="246"/>
    </row>
    <row r="1087">
      <c r="A1087" s="263"/>
      <c r="B1087" s="267"/>
      <c r="C1087" s="263"/>
      <c r="D1087" s="263"/>
      <c r="E1087" s="263"/>
      <c r="F1087" s="268"/>
      <c r="G1087" s="263"/>
      <c r="H1087" s="267"/>
      <c r="I1087" s="263"/>
      <c r="J1087" s="263"/>
      <c r="K1087" s="263"/>
      <c r="L1087" s="263"/>
      <c r="M1087" s="263"/>
      <c r="N1087" s="263"/>
      <c r="O1087" s="263"/>
      <c r="P1087" s="263"/>
      <c r="Q1087" s="263"/>
      <c r="R1087" s="263"/>
      <c r="S1087" s="263"/>
      <c r="T1087" s="263"/>
      <c r="U1087" s="246"/>
      <c r="V1087" s="246"/>
      <c r="W1087" s="246"/>
      <c r="X1087" s="246"/>
      <c r="Y1087" s="246"/>
      <c r="Z1087" s="246"/>
    </row>
    <row r="1088">
      <c r="A1088" s="263"/>
      <c r="B1088" s="267"/>
      <c r="C1088" s="263"/>
      <c r="D1088" s="263"/>
      <c r="E1088" s="263"/>
      <c r="F1088" s="268"/>
      <c r="G1088" s="263"/>
      <c r="H1088" s="267"/>
      <c r="I1088" s="263"/>
      <c r="J1088" s="263"/>
      <c r="K1088" s="263"/>
      <c r="L1088" s="263"/>
      <c r="M1088" s="263"/>
      <c r="N1088" s="263"/>
      <c r="O1088" s="263"/>
      <c r="P1088" s="263"/>
      <c r="Q1088" s="263"/>
      <c r="R1088" s="263"/>
      <c r="S1088" s="263"/>
      <c r="T1088" s="263"/>
      <c r="U1088" s="246"/>
      <c r="V1088" s="246"/>
      <c r="W1088" s="246"/>
      <c r="X1088" s="246"/>
      <c r="Y1088" s="246"/>
      <c r="Z1088" s="246"/>
    </row>
    <row r="1089">
      <c r="A1089" s="263"/>
      <c r="B1089" s="267"/>
      <c r="C1089" s="263"/>
      <c r="D1089" s="263"/>
      <c r="E1089" s="263"/>
      <c r="F1089" s="268"/>
      <c r="G1089" s="263"/>
      <c r="H1089" s="267"/>
      <c r="I1089" s="263"/>
      <c r="J1089" s="263"/>
      <c r="K1089" s="263"/>
      <c r="L1089" s="263"/>
      <c r="M1089" s="263"/>
      <c r="N1089" s="263"/>
      <c r="O1089" s="263"/>
      <c r="P1089" s="263"/>
      <c r="Q1089" s="263"/>
      <c r="R1089" s="263"/>
      <c r="S1089" s="263"/>
      <c r="T1089" s="263"/>
      <c r="U1089" s="246"/>
      <c r="V1089" s="246"/>
      <c r="W1089" s="246"/>
      <c r="X1089" s="246"/>
      <c r="Y1089" s="246"/>
      <c r="Z1089" s="246"/>
    </row>
    <row r="1090">
      <c r="A1090" s="263"/>
      <c r="B1090" s="267"/>
      <c r="C1090" s="263"/>
      <c r="D1090" s="263"/>
      <c r="E1090" s="263"/>
      <c r="F1090" s="268"/>
      <c r="G1090" s="263"/>
      <c r="H1090" s="267"/>
      <c r="I1090" s="263"/>
      <c r="J1090" s="263"/>
      <c r="K1090" s="263"/>
      <c r="L1090" s="263"/>
      <c r="M1090" s="263"/>
      <c r="N1090" s="263"/>
      <c r="O1090" s="263"/>
      <c r="P1090" s="263"/>
      <c r="Q1090" s="263"/>
      <c r="R1090" s="263"/>
      <c r="S1090" s="263"/>
      <c r="T1090" s="263"/>
      <c r="U1090" s="246"/>
      <c r="V1090" s="246"/>
      <c r="W1090" s="246"/>
      <c r="X1090" s="246"/>
      <c r="Y1090" s="246"/>
      <c r="Z1090" s="246"/>
    </row>
    <row r="1091">
      <c r="A1091" s="263"/>
      <c r="B1091" s="267"/>
      <c r="C1091" s="263"/>
      <c r="D1091" s="263"/>
      <c r="E1091" s="263"/>
      <c r="F1091" s="268"/>
      <c r="G1091" s="263"/>
      <c r="H1091" s="267"/>
      <c r="I1091" s="263"/>
      <c r="J1091" s="263"/>
      <c r="K1091" s="263"/>
      <c r="L1091" s="263"/>
      <c r="M1091" s="263"/>
      <c r="N1091" s="263"/>
      <c r="O1091" s="263"/>
      <c r="P1091" s="263"/>
      <c r="Q1091" s="263"/>
      <c r="R1091" s="263"/>
      <c r="S1091" s="263"/>
      <c r="T1091" s="263"/>
      <c r="U1091" s="246"/>
      <c r="V1091" s="246"/>
      <c r="W1091" s="246"/>
      <c r="X1091" s="246"/>
      <c r="Y1091" s="246"/>
      <c r="Z1091" s="246"/>
    </row>
    <row r="1092">
      <c r="A1092" s="263"/>
      <c r="B1092" s="267"/>
      <c r="C1092" s="263"/>
      <c r="D1092" s="263"/>
      <c r="E1092" s="263"/>
      <c r="F1092" s="268"/>
      <c r="G1092" s="263"/>
      <c r="H1092" s="267"/>
      <c r="I1092" s="263"/>
      <c r="J1092" s="263"/>
      <c r="K1092" s="263"/>
      <c r="L1092" s="263"/>
      <c r="M1092" s="263"/>
      <c r="N1092" s="263"/>
      <c r="O1092" s="263"/>
      <c r="P1092" s="263"/>
      <c r="Q1092" s="263"/>
      <c r="R1092" s="263"/>
      <c r="S1092" s="263"/>
      <c r="T1092" s="263"/>
      <c r="U1092" s="246"/>
      <c r="V1092" s="246"/>
      <c r="W1092" s="246"/>
      <c r="X1092" s="246"/>
      <c r="Y1092" s="246"/>
      <c r="Z1092" s="246"/>
    </row>
    <row r="1093">
      <c r="A1093" s="263"/>
      <c r="B1093" s="267"/>
      <c r="C1093" s="263"/>
      <c r="D1093" s="263"/>
      <c r="E1093" s="263"/>
      <c r="F1093" s="268"/>
      <c r="G1093" s="263"/>
      <c r="H1093" s="267"/>
      <c r="I1093" s="263"/>
      <c r="J1093" s="263"/>
      <c r="K1093" s="263"/>
      <c r="L1093" s="263"/>
      <c r="M1093" s="263"/>
      <c r="N1093" s="263"/>
      <c r="O1093" s="263"/>
      <c r="P1093" s="263"/>
      <c r="Q1093" s="263"/>
      <c r="R1093" s="263"/>
      <c r="S1093" s="263"/>
      <c r="T1093" s="263"/>
      <c r="U1093" s="246"/>
      <c r="V1093" s="246"/>
      <c r="W1093" s="246"/>
      <c r="X1093" s="246"/>
      <c r="Y1093" s="246"/>
      <c r="Z1093" s="246"/>
    </row>
    <row r="1094">
      <c r="A1094" s="263"/>
      <c r="B1094" s="267"/>
      <c r="C1094" s="263"/>
      <c r="D1094" s="263"/>
      <c r="E1094" s="263"/>
      <c r="F1094" s="268"/>
      <c r="G1094" s="263"/>
      <c r="H1094" s="267"/>
      <c r="I1094" s="263"/>
      <c r="J1094" s="263"/>
      <c r="K1094" s="263"/>
      <c r="L1094" s="263"/>
      <c r="M1094" s="263"/>
      <c r="N1094" s="263"/>
      <c r="O1094" s="263"/>
      <c r="P1094" s="263"/>
      <c r="Q1094" s="263"/>
      <c r="R1094" s="263"/>
      <c r="S1094" s="263"/>
      <c r="T1094" s="263"/>
      <c r="U1094" s="246"/>
      <c r="V1094" s="246"/>
      <c r="W1094" s="246"/>
      <c r="X1094" s="246"/>
      <c r="Y1094" s="246"/>
      <c r="Z1094" s="246"/>
    </row>
    <row r="1095">
      <c r="A1095" s="263"/>
      <c r="B1095" s="267"/>
      <c r="C1095" s="263"/>
      <c r="D1095" s="263"/>
      <c r="E1095" s="263"/>
      <c r="F1095" s="268"/>
      <c r="G1095" s="263"/>
      <c r="H1095" s="267"/>
      <c r="I1095" s="263"/>
      <c r="J1095" s="263"/>
      <c r="K1095" s="263"/>
      <c r="L1095" s="263"/>
      <c r="M1095" s="263"/>
      <c r="N1095" s="263"/>
      <c r="O1095" s="263"/>
      <c r="P1095" s="263"/>
      <c r="Q1095" s="263"/>
      <c r="R1095" s="263"/>
      <c r="S1095" s="263"/>
      <c r="T1095" s="263"/>
      <c r="U1095" s="246"/>
      <c r="V1095" s="246"/>
      <c r="W1095" s="246"/>
      <c r="X1095" s="246"/>
      <c r="Y1095" s="246"/>
      <c r="Z1095" s="246"/>
    </row>
    <row r="1096">
      <c r="A1096" s="263"/>
      <c r="B1096" s="267"/>
      <c r="C1096" s="263"/>
      <c r="D1096" s="263"/>
      <c r="E1096" s="263"/>
      <c r="F1096" s="268"/>
      <c r="G1096" s="263"/>
      <c r="H1096" s="267"/>
      <c r="I1096" s="263"/>
      <c r="J1096" s="263"/>
      <c r="K1096" s="263"/>
      <c r="L1096" s="263"/>
      <c r="M1096" s="263"/>
      <c r="N1096" s="263"/>
      <c r="O1096" s="263"/>
      <c r="P1096" s="263"/>
      <c r="Q1096" s="263"/>
      <c r="R1096" s="263"/>
      <c r="S1096" s="263"/>
      <c r="T1096" s="263"/>
      <c r="U1096" s="246"/>
      <c r="V1096" s="246"/>
      <c r="W1096" s="246"/>
      <c r="X1096" s="246"/>
      <c r="Y1096" s="246"/>
      <c r="Z1096" s="246"/>
    </row>
    <row r="1097">
      <c r="A1097" s="263"/>
      <c r="B1097" s="267"/>
      <c r="C1097" s="263"/>
      <c r="D1097" s="263"/>
      <c r="E1097" s="263"/>
      <c r="F1097" s="268"/>
      <c r="G1097" s="263"/>
      <c r="H1097" s="267"/>
      <c r="I1097" s="263"/>
      <c r="J1097" s="263"/>
      <c r="K1097" s="263"/>
      <c r="L1097" s="263"/>
      <c r="M1097" s="263"/>
      <c r="N1097" s="263"/>
      <c r="O1097" s="263"/>
      <c r="P1097" s="263"/>
      <c r="Q1097" s="263"/>
      <c r="R1097" s="263"/>
      <c r="S1097" s="263"/>
      <c r="T1097" s="263"/>
      <c r="U1097" s="246"/>
      <c r="V1097" s="246"/>
      <c r="W1097" s="246"/>
      <c r="X1097" s="246"/>
      <c r="Y1097" s="246"/>
      <c r="Z1097" s="246"/>
    </row>
    <row r="1098">
      <c r="A1098" s="263"/>
      <c r="B1098" s="267"/>
      <c r="C1098" s="263"/>
      <c r="D1098" s="263"/>
      <c r="E1098" s="263"/>
      <c r="F1098" s="268"/>
      <c r="G1098" s="263"/>
      <c r="H1098" s="267"/>
      <c r="I1098" s="263"/>
      <c r="J1098" s="263"/>
      <c r="K1098" s="263"/>
      <c r="L1098" s="263"/>
      <c r="M1098" s="263"/>
      <c r="N1098" s="263"/>
      <c r="O1098" s="263"/>
      <c r="P1098" s="263"/>
      <c r="Q1098" s="263"/>
      <c r="R1098" s="263"/>
      <c r="S1098" s="263"/>
      <c r="T1098" s="263"/>
      <c r="U1098" s="246"/>
      <c r="V1098" s="246"/>
      <c r="W1098" s="246"/>
      <c r="X1098" s="246"/>
      <c r="Y1098" s="246"/>
      <c r="Z1098" s="246"/>
    </row>
    <row r="1099">
      <c r="A1099" s="263"/>
      <c r="B1099" s="267"/>
      <c r="C1099" s="263"/>
      <c r="D1099" s="263"/>
      <c r="E1099" s="263"/>
      <c r="F1099" s="268"/>
      <c r="G1099" s="263"/>
      <c r="H1099" s="267"/>
      <c r="I1099" s="263"/>
      <c r="J1099" s="263"/>
      <c r="K1099" s="263"/>
      <c r="L1099" s="263"/>
      <c r="M1099" s="263"/>
      <c r="N1099" s="263"/>
      <c r="O1099" s="263"/>
      <c r="P1099" s="263"/>
      <c r="Q1099" s="263"/>
      <c r="R1099" s="263"/>
      <c r="S1099" s="263"/>
      <c r="T1099" s="263"/>
      <c r="U1099" s="246"/>
      <c r="V1099" s="246"/>
      <c r="W1099" s="246"/>
      <c r="X1099" s="246"/>
      <c r="Y1099" s="246"/>
      <c r="Z1099" s="246"/>
    </row>
    <row r="1100">
      <c r="A1100" s="263"/>
      <c r="B1100" s="267"/>
      <c r="C1100" s="263"/>
      <c r="D1100" s="263"/>
      <c r="E1100" s="263"/>
      <c r="F1100" s="268"/>
      <c r="G1100" s="263"/>
      <c r="H1100" s="267"/>
      <c r="I1100" s="263"/>
      <c r="J1100" s="263"/>
      <c r="K1100" s="263"/>
      <c r="L1100" s="263"/>
      <c r="M1100" s="263"/>
      <c r="N1100" s="263"/>
      <c r="O1100" s="263"/>
      <c r="P1100" s="263"/>
      <c r="Q1100" s="263"/>
      <c r="R1100" s="263"/>
      <c r="S1100" s="263"/>
      <c r="T1100" s="263"/>
      <c r="U1100" s="246"/>
      <c r="V1100" s="246"/>
      <c r="W1100" s="246"/>
      <c r="X1100" s="246"/>
      <c r="Y1100" s="246"/>
      <c r="Z1100" s="246"/>
    </row>
    <row r="1101">
      <c r="A1101" s="263"/>
      <c r="B1101" s="267"/>
      <c r="C1101" s="263"/>
      <c r="D1101" s="263"/>
      <c r="E1101" s="263"/>
      <c r="F1101" s="268"/>
      <c r="G1101" s="263"/>
      <c r="H1101" s="267"/>
      <c r="I1101" s="263"/>
      <c r="J1101" s="263"/>
      <c r="K1101" s="263"/>
      <c r="L1101" s="263"/>
      <c r="M1101" s="263"/>
      <c r="N1101" s="263"/>
      <c r="O1101" s="263"/>
      <c r="P1101" s="263"/>
      <c r="Q1101" s="263"/>
      <c r="R1101" s="263"/>
      <c r="S1101" s="263"/>
      <c r="T1101" s="263"/>
      <c r="U1101" s="246"/>
      <c r="V1101" s="246"/>
      <c r="W1101" s="246"/>
      <c r="X1101" s="246"/>
      <c r="Y1101" s="246"/>
      <c r="Z1101" s="246"/>
    </row>
    <row r="1102">
      <c r="A1102" s="263"/>
      <c r="B1102" s="267"/>
      <c r="C1102" s="263"/>
      <c r="D1102" s="263"/>
      <c r="E1102" s="263"/>
      <c r="F1102" s="268"/>
      <c r="G1102" s="263"/>
      <c r="H1102" s="267"/>
      <c r="I1102" s="263"/>
      <c r="J1102" s="263"/>
      <c r="K1102" s="263"/>
      <c r="L1102" s="263"/>
      <c r="M1102" s="263"/>
      <c r="N1102" s="263"/>
      <c r="O1102" s="263"/>
      <c r="P1102" s="263"/>
      <c r="Q1102" s="263"/>
      <c r="R1102" s="263"/>
      <c r="S1102" s="263"/>
      <c r="T1102" s="263"/>
      <c r="U1102" s="246"/>
      <c r="V1102" s="246"/>
      <c r="W1102" s="246"/>
      <c r="X1102" s="246"/>
      <c r="Y1102" s="246"/>
      <c r="Z1102" s="246"/>
    </row>
    <row r="1103">
      <c r="A1103" s="263"/>
      <c r="B1103" s="267"/>
      <c r="C1103" s="263"/>
      <c r="D1103" s="263"/>
      <c r="E1103" s="263"/>
      <c r="F1103" s="268"/>
      <c r="G1103" s="263"/>
      <c r="H1103" s="267"/>
      <c r="I1103" s="263"/>
      <c r="J1103" s="263"/>
      <c r="K1103" s="263"/>
      <c r="L1103" s="263"/>
      <c r="M1103" s="263"/>
      <c r="N1103" s="263"/>
      <c r="O1103" s="263"/>
      <c r="P1103" s="263"/>
      <c r="Q1103" s="263"/>
      <c r="R1103" s="263"/>
      <c r="S1103" s="263"/>
      <c r="T1103" s="263"/>
      <c r="U1103" s="246"/>
      <c r="V1103" s="246"/>
      <c r="W1103" s="246"/>
      <c r="X1103" s="246"/>
      <c r="Y1103" s="246"/>
      <c r="Z1103" s="246"/>
    </row>
    <row r="1104">
      <c r="A1104" s="263"/>
      <c r="B1104" s="267"/>
      <c r="C1104" s="263"/>
      <c r="D1104" s="263"/>
      <c r="E1104" s="263"/>
      <c r="F1104" s="268"/>
      <c r="G1104" s="263"/>
      <c r="H1104" s="267"/>
      <c r="I1104" s="263"/>
      <c r="J1104" s="263"/>
      <c r="K1104" s="263"/>
      <c r="L1104" s="263"/>
      <c r="M1104" s="263"/>
      <c r="N1104" s="263"/>
      <c r="O1104" s="263"/>
      <c r="P1104" s="263"/>
      <c r="Q1104" s="263"/>
      <c r="R1104" s="263"/>
      <c r="S1104" s="263"/>
      <c r="T1104" s="263"/>
      <c r="U1104" s="246"/>
      <c r="V1104" s="246"/>
      <c r="W1104" s="246"/>
      <c r="X1104" s="246"/>
      <c r="Y1104" s="246"/>
      <c r="Z1104" s="246"/>
    </row>
    <row r="1105">
      <c r="A1105" s="263"/>
      <c r="B1105" s="267"/>
      <c r="C1105" s="263"/>
      <c r="D1105" s="263"/>
      <c r="E1105" s="263"/>
      <c r="F1105" s="268"/>
      <c r="G1105" s="263"/>
      <c r="H1105" s="267"/>
      <c r="I1105" s="263"/>
      <c r="J1105" s="263"/>
      <c r="K1105" s="263"/>
      <c r="L1105" s="263"/>
      <c r="M1105" s="263"/>
      <c r="N1105" s="263"/>
      <c r="O1105" s="263"/>
      <c r="P1105" s="263"/>
      <c r="Q1105" s="263"/>
      <c r="R1105" s="263"/>
      <c r="S1105" s="263"/>
      <c r="T1105" s="263"/>
      <c r="U1105" s="246"/>
      <c r="V1105" s="246"/>
      <c r="W1105" s="246"/>
      <c r="X1105" s="246"/>
      <c r="Y1105" s="246"/>
      <c r="Z1105" s="246"/>
    </row>
    <row r="1106">
      <c r="A1106" s="263"/>
      <c r="B1106" s="267"/>
      <c r="C1106" s="263"/>
      <c r="D1106" s="263"/>
      <c r="E1106" s="263"/>
      <c r="F1106" s="268"/>
      <c r="G1106" s="263"/>
      <c r="H1106" s="267"/>
      <c r="I1106" s="263"/>
      <c r="J1106" s="263"/>
      <c r="K1106" s="263"/>
      <c r="L1106" s="263"/>
      <c r="M1106" s="263"/>
      <c r="N1106" s="263"/>
      <c r="O1106" s="263"/>
      <c r="P1106" s="263"/>
      <c r="Q1106" s="263"/>
      <c r="R1106" s="263"/>
      <c r="S1106" s="263"/>
      <c r="T1106" s="263"/>
      <c r="U1106" s="246"/>
      <c r="V1106" s="246"/>
      <c r="W1106" s="246"/>
      <c r="X1106" s="246"/>
      <c r="Y1106" s="246"/>
      <c r="Z1106" s="246"/>
    </row>
    <row r="1107">
      <c r="A1107" s="263"/>
      <c r="B1107" s="267"/>
      <c r="C1107" s="263"/>
      <c r="D1107" s="263"/>
      <c r="E1107" s="263"/>
      <c r="F1107" s="268"/>
      <c r="G1107" s="263"/>
      <c r="H1107" s="267"/>
      <c r="I1107" s="263"/>
      <c r="J1107" s="263"/>
      <c r="K1107" s="263"/>
      <c r="L1107" s="263"/>
      <c r="M1107" s="263"/>
      <c r="N1107" s="263"/>
      <c r="O1107" s="263"/>
      <c r="P1107" s="263"/>
      <c r="Q1107" s="263"/>
      <c r="R1107" s="263"/>
      <c r="S1107" s="263"/>
      <c r="T1107" s="263"/>
      <c r="U1107" s="246"/>
      <c r="V1107" s="246"/>
      <c r="W1107" s="246"/>
      <c r="X1107" s="246"/>
      <c r="Y1107" s="246"/>
      <c r="Z1107" s="246"/>
    </row>
    <row r="1108">
      <c r="A1108" s="263"/>
      <c r="B1108" s="267"/>
      <c r="C1108" s="263"/>
      <c r="D1108" s="263"/>
      <c r="E1108" s="263"/>
      <c r="F1108" s="268"/>
      <c r="G1108" s="263"/>
      <c r="H1108" s="267"/>
      <c r="I1108" s="263"/>
      <c r="J1108" s="263"/>
      <c r="K1108" s="263"/>
      <c r="L1108" s="263"/>
      <c r="M1108" s="263"/>
      <c r="N1108" s="263"/>
      <c r="O1108" s="263"/>
      <c r="P1108" s="263"/>
      <c r="Q1108" s="263"/>
      <c r="R1108" s="263"/>
      <c r="S1108" s="263"/>
      <c r="T1108" s="263"/>
      <c r="U1108" s="246"/>
      <c r="V1108" s="246"/>
      <c r="W1108" s="246"/>
      <c r="X1108" s="246"/>
      <c r="Y1108" s="246"/>
      <c r="Z1108" s="246"/>
    </row>
    <row r="1109">
      <c r="A1109" s="263"/>
      <c r="B1109" s="267"/>
      <c r="C1109" s="263"/>
      <c r="D1109" s="263"/>
      <c r="E1109" s="263"/>
      <c r="F1109" s="268"/>
      <c r="G1109" s="263"/>
      <c r="H1109" s="267"/>
      <c r="I1109" s="263"/>
      <c r="J1109" s="263"/>
      <c r="K1109" s="263"/>
      <c r="L1109" s="263"/>
      <c r="M1109" s="263"/>
      <c r="N1109" s="263"/>
      <c r="O1109" s="263"/>
      <c r="P1109" s="263"/>
      <c r="Q1109" s="263"/>
      <c r="R1109" s="263"/>
      <c r="S1109" s="263"/>
      <c r="T1109" s="263"/>
      <c r="U1109" s="246"/>
      <c r="V1109" s="246"/>
      <c r="W1109" s="246"/>
      <c r="X1109" s="246"/>
      <c r="Y1109" s="246"/>
      <c r="Z1109" s="246"/>
    </row>
    <row r="1110">
      <c r="A1110" s="263"/>
      <c r="B1110" s="267"/>
      <c r="C1110" s="263"/>
      <c r="D1110" s="263"/>
      <c r="E1110" s="263"/>
      <c r="F1110" s="268"/>
      <c r="G1110" s="263"/>
      <c r="H1110" s="267"/>
      <c r="I1110" s="263"/>
      <c r="J1110" s="263"/>
      <c r="K1110" s="263"/>
      <c r="L1110" s="263"/>
      <c r="M1110" s="263"/>
      <c r="N1110" s="263"/>
      <c r="O1110" s="263"/>
      <c r="P1110" s="263"/>
      <c r="Q1110" s="263"/>
      <c r="R1110" s="263"/>
      <c r="S1110" s="263"/>
      <c r="T1110" s="263"/>
      <c r="U1110" s="246"/>
      <c r="V1110" s="246"/>
      <c r="W1110" s="246"/>
      <c r="X1110" s="246"/>
      <c r="Y1110" s="246"/>
      <c r="Z1110" s="246"/>
    </row>
    <row r="1111">
      <c r="A1111" s="263"/>
      <c r="B1111" s="267"/>
      <c r="C1111" s="263"/>
      <c r="D1111" s="263"/>
      <c r="E1111" s="263"/>
      <c r="F1111" s="268"/>
      <c r="G1111" s="263"/>
      <c r="H1111" s="267"/>
      <c r="I1111" s="263"/>
      <c r="J1111" s="263"/>
      <c r="K1111" s="263"/>
      <c r="L1111" s="263"/>
      <c r="M1111" s="263"/>
      <c r="N1111" s="263"/>
      <c r="O1111" s="263"/>
      <c r="P1111" s="263"/>
      <c r="Q1111" s="263"/>
      <c r="R1111" s="263"/>
      <c r="S1111" s="263"/>
      <c r="T1111" s="263"/>
      <c r="U1111" s="246"/>
      <c r="V1111" s="246"/>
      <c r="W1111" s="246"/>
      <c r="X1111" s="246"/>
      <c r="Y1111" s="246"/>
      <c r="Z1111" s="246"/>
    </row>
    <row r="1112">
      <c r="A1112" s="263"/>
      <c r="B1112" s="267"/>
      <c r="C1112" s="263"/>
      <c r="D1112" s="263"/>
      <c r="E1112" s="263"/>
      <c r="F1112" s="268"/>
      <c r="G1112" s="263"/>
      <c r="H1112" s="267"/>
      <c r="I1112" s="263"/>
      <c r="J1112" s="263"/>
      <c r="K1112" s="263"/>
      <c r="L1112" s="263"/>
      <c r="M1112" s="263"/>
      <c r="N1112" s="263"/>
      <c r="O1112" s="263"/>
      <c r="P1112" s="263"/>
      <c r="Q1112" s="263"/>
      <c r="R1112" s="263"/>
      <c r="S1112" s="263"/>
      <c r="T1112" s="263"/>
      <c r="U1112" s="246"/>
      <c r="V1112" s="246"/>
      <c r="W1112" s="246"/>
      <c r="X1112" s="246"/>
      <c r="Y1112" s="246"/>
      <c r="Z1112" s="246"/>
    </row>
    <row r="1113">
      <c r="A1113" s="263"/>
      <c r="B1113" s="267"/>
      <c r="C1113" s="263"/>
      <c r="D1113" s="263"/>
      <c r="E1113" s="263"/>
      <c r="F1113" s="268"/>
      <c r="G1113" s="263"/>
      <c r="H1113" s="267"/>
      <c r="I1113" s="263"/>
      <c r="J1113" s="263"/>
      <c r="K1113" s="263"/>
      <c r="L1113" s="263"/>
      <c r="M1113" s="263"/>
      <c r="N1113" s="263"/>
      <c r="O1113" s="263"/>
      <c r="P1113" s="263"/>
      <c r="Q1113" s="263"/>
      <c r="R1113" s="263"/>
      <c r="S1113" s="263"/>
      <c r="T1113" s="263"/>
      <c r="U1113" s="246"/>
      <c r="V1113" s="246"/>
      <c r="W1113" s="246"/>
      <c r="X1113" s="246"/>
      <c r="Y1113" s="246"/>
      <c r="Z1113" s="246"/>
    </row>
    <row r="1114">
      <c r="A1114" s="263"/>
      <c r="B1114" s="267"/>
      <c r="C1114" s="263"/>
      <c r="D1114" s="263"/>
      <c r="E1114" s="263"/>
      <c r="F1114" s="268"/>
      <c r="G1114" s="263"/>
      <c r="H1114" s="267"/>
      <c r="I1114" s="263"/>
      <c r="J1114" s="263"/>
      <c r="K1114" s="263"/>
      <c r="L1114" s="263"/>
      <c r="M1114" s="263"/>
      <c r="N1114" s="263"/>
      <c r="O1114" s="263"/>
      <c r="P1114" s="263"/>
      <c r="Q1114" s="263"/>
      <c r="R1114" s="263"/>
      <c r="S1114" s="263"/>
      <c r="T1114" s="263"/>
      <c r="U1114" s="246"/>
      <c r="V1114" s="246"/>
      <c r="W1114" s="246"/>
      <c r="X1114" s="246"/>
      <c r="Y1114" s="246"/>
      <c r="Z1114" s="246"/>
    </row>
    <row r="1115">
      <c r="A1115" s="263"/>
      <c r="B1115" s="267"/>
      <c r="C1115" s="263"/>
      <c r="D1115" s="263"/>
      <c r="E1115" s="263"/>
      <c r="F1115" s="268"/>
      <c r="G1115" s="263"/>
      <c r="H1115" s="267"/>
      <c r="I1115" s="263"/>
      <c r="J1115" s="263"/>
      <c r="K1115" s="263"/>
      <c r="L1115" s="263"/>
      <c r="M1115" s="263"/>
      <c r="N1115" s="263"/>
      <c r="O1115" s="263"/>
      <c r="P1115" s="263"/>
      <c r="Q1115" s="263"/>
      <c r="R1115" s="263"/>
      <c r="S1115" s="263"/>
      <c r="T1115" s="263"/>
      <c r="U1115" s="246"/>
      <c r="V1115" s="246"/>
      <c r="W1115" s="246"/>
      <c r="X1115" s="246"/>
      <c r="Y1115" s="246"/>
      <c r="Z1115" s="246"/>
    </row>
    <row r="1116">
      <c r="A1116" s="263"/>
      <c r="B1116" s="267"/>
      <c r="C1116" s="263"/>
      <c r="D1116" s="263"/>
      <c r="E1116" s="263"/>
      <c r="F1116" s="268"/>
      <c r="G1116" s="263"/>
      <c r="H1116" s="267"/>
      <c r="I1116" s="263"/>
      <c r="J1116" s="263"/>
      <c r="K1116" s="263"/>
      <c r="L1116" s="263"/>
      <c r="M1116" s="263"/>
      <c r="N1116" s="263"/>
      <c r="O1116" s="263"/>
      <c r="P1116" s="263"/>
      <c r="Q1116" s="263"/>
      <c r="R1116" s="263"/>
      <c r="S1116" s="263"/>
      <c r="T1116" s="263"/>
      <c r="U1116" s="246"/>
      <c r="V1116" s="246"/>
      <c r="W1116" s="246"/>
      <c r="X1116" s="246"/>
      <c r="Y1116" s="246"/>
      <c r="Z1116" s="246"/>
    </row>
    <row r="1117">
      <c r="A1117" s="263"/>
      <c r="B1117" s="267"/>
      <c r="C1117" s="263"/>
      <c r="D1117" s="263"/>
      <c r="E1117" s="263"/>
      <c r="F1117" s="268"/>
      <c r="G1117" s="263"/>
      <c r="H1117" s="267"/>
      <c r="I1117" s="263"/>
      <c r="J1117" s="263"/>
      <c r="K1117" s="263"/>
      <c r="L1117" s="263"/>
      <c r="M1117" s="263"/>
      <c r="N1117" s="263"/>
      <c r="O1117" s="263"/>
      <c r="P1117" s="263"/>
      <c r="Q1117" s="263"/>
      <c r="R1117" s="263"/>
      <c r="S1117" s="263"/>
      <c r="T1117" s="263"/>
      <c r="U1117" s="246"/>
      <c r="V1117" s="246"/>
      <c r="W1117" s="246"/>
      <c r="X1117" s="246"/>
      <c r="Y1117" s="246"/>
      <c r="Z1117" s="246"/>
    </row>
    <row r="1118">
      <c r="A1118" s="263"/>
      <c r="B1118" s="267"/>
      <c r="C1118" s="263"/>
      <c r="D1118" s="263"/>
      <c r="E1118" s="263"/>
      <c r="F1118" s="268"/>
      <c r="G1118" s="263"/>
      <c r="H1118" s="267"/>
      <c r="I1118" s="263"/>
      <c r="J1118" s="263"/>
      <c r="K1118" s="263"/>
      <c r="L1118" s="263"/>
      <c r="M1118" s="263"/>
      <c r="N1118" s="263"/>
      <c r="O1118" s="263"/>
      <c r="P1118" s="263"/>
      <c r="Q1118" s="263"/>
      <c r="R1118" s="263"/>
      <c r="S1118" s="263"/>
      <c r="T1118" s="263"/>
      <c r="U1118" s="246"/>
      <c r="V1118" s="246"/>
      <c r="W1118" s="246"/>
      <c r="X1118" s="246"/>
      <c r="Y1118" s="246"/>
      <c r="Z1118" s="246"/>
    </row>
    <row r="1119">
      <c r="A1119" s="263"/>
      <c r="B1119" s="267"/>
      <c r="C1119" s="263"/>
      <c r="D1119" s="263"/>
      <c r="E1119" s="263"/>
      <c r="F1119" s="268"/>
      <c r="G1119" s="263"/>
      <c r="H1119" s="267"/>
      <c r="I1119" s="263"/>
      <c r="J1119" s="263"/>
      <c r="K1119" s="263"/>
      <c r="L1119" s="263"/>
      <c r="M1119" s="263"/>
      <c r="N1119" s="263"/>
      <c r="O1119" s="263"/>
      <c r="P1119" s="263"/>
      <c r="Q1119" s="263"/>
      <c r="R1119" s="263"/>
      <c r="S1119" s="263"/>
      <c r="T1119" s="263"/>
      <c r="U1119" s="246"/>
      <c r="V1119" s="246"/>
      <c r="W1119" s="246"/>
      <c r="X1119" s="246"/>
      <c r="Y1119" s="246"/>
      <c r="Z1119" s="246"/>
    </row>
    <row r="1120">
      <c r="A1120" s="263"/>
      <c r="B1120" s="267"/>
      <c r="C1120" s="263"/>
      <c r="D1120" s="263"/>
      <c r="E1120" s="263"/>
      <c r="F1120" s="268"/>
      <c r="G1120" s="263"/>
      <c r="H1120" s="267"/>
      <c r="I1120" s="263"/>
      <c r="J1120" s="263"/>
      <c r="K1120" s="263"/>
      <c r="L1120" s="263"/>
      <c r="M1120" s="263"/>
      <c r="N1120" s="263"/>
      <c r="O1120" s="263"/>
      <c r="P1120" s="263"/>
      <c r="Q1120" s="263"/>
      <c r="R1120" s="263"/>
      <c r="S1120" s="263"/>
      <c r="T1120" s="263"/>
      <c r="U1120" s="246"/>
      <c r="V1120" s="246"/>
      <c r="W1120" s="246"/>
      <c r="X1120" s="246"/>
      <c r="Y1120" s="246"/>
      <c r="Z1120" s="246"/>
    </row>
    <row r="1121">
      <c r="A1121" s="263"/>
      <c r="B1121" s="267"/>
      <c r="C1121" s="263"/>
      <c r="D1121" s="263"/>
      <c r="E1121" s="263"/>
      <c r="F1121" s="268"/>
      <c r="G1121" s="263"/>
      <c r="H1121" s="267"/>
      <c r="I1121" s="263"/>
      <c r="J1121" s="263"/>
      <c r="K1121" s="263"/>
      <c r="L1121" s="263"/>
      <c r="M1121" s="263"/>
      <c r="N1121" s="263"/>
      <c r="O1121" s="263"/>
      <c r="P1121" s="263"/>
      <c r="Q1121" s="263"/>
      <c r="R1121" s="263"/>
      <c r="S1121" s="263"/>
      <c r="T1121" s="263"/>
      <c r="U1121" s="246"/>
      <c r="V1121" s="246"/>
      <c r="W1121" s="246"/>
      <c r="X1121" s="246"/>
      <c r="Y1121" s="246"/>
      <c r="Z1121" s="246"/>
    </row>
    <row r="1122">
      <c r="A1122" s="263"/>
      <c r="B1122" s="267"/>
      <c r="C1122" s="263"/>
      <c r="D1122" s="263"/>
      <c r="E1122" s="263"/>
      <c r="F1122" s="268"/>
      <c r="G1122" s="263"/>
      <c r="H1122" s="267"/>
      <c r="I1122" s="263"/>
      <c r="J1122" s="263"/>
      <c r="K1122" s="263"/>
      <c r="L1122" s="263"/>
      <c r="M1122" s="263"/>
      <c r="N1122" s="263"/>
      <c r="O1122" s="263"/>
      <c r="P1122" s="263"/>
      <c r="Q1122" s="263"/>
      <c r="R1122" s="263"/>
      <c r="S1122" s="263"/>
      <c r="T1122" s="263"/>
      <c r="U1122" s="246"/>
      <c r="V1122" s="246"/>
      <c r="W1122" s="246"/>
      <c r="X1122" s="246"/>
      <c r="Y1122" s="246"/>
      <c r="Z1122" s="246"/>
    </row>
    <row r="1123">
      <c r="A1123" s="263"/>
      <c r="B1123" s="267"/>
      <c r="C1123" s="263"/>
      <c r="D1123" s="263"/>
      <c r="E1123" s="263"/>
      <c r="F1123" s="268"/>
      <c r="G1123" s="263"/>
      <c r="H1123" s="267"/>
      <c r="I1123" s="263"/>
      <c r="J1123" s="263"/>
      <c r="K1123" s="263"/>
      <c r="L1123" s="263"/>
      <c r="M1123" s="263"/>
      <c r="N1123" s="263"/>
      <c r="O1123" s="263"/>
      <c r="P1123" s="263"/>
      <c r="Q1123" s="263"/>
      <c r="R1123" s="263"/>
      <c r="S1123" s="263"/>
      <c r="T1123" s="263"/>
      <c r="U1123" s="246"/>
      <c r="V1123" s="246"/>
      <c r="W1123" s="246"/>
      <c r="X1123" s="246"/>
      <c r="Y1123" s="246"/>
      <c r="Z1123" s="246"/>
    </row>
    <row r="1124">
      <c r="A1124" s="263"/>
      <c r="B1124" s="267"/>
      <c r="C1124" s="263"/>
      <c r="D1124" s="263"/>
      <c r="E1124" s="263"/>
      <c r="F1124" s="268"/>
      <c r="G1124" s="263"/>
      <c r="H1124" s="267"/>
      <c r="I1124" s="263"/>
      <c r="J1124" s="263"/>
      <c r="K1124" s="263"/>
      <c r="L1124" s="263"/>
      <c r="M1124" s="263"/>
      <c r="N1124" s="263"/>
      <c r="O1124" s="263"/>
      <c r="P1124" s="263"/>
      <c r="Q1124" s="263"/>
      <c r="R1124" s="263"/>
      <c r="S1124" s="263"/>
      <c r="T1124" s="263"/>
      <c r="U1124" s="246"/>
      <c r="V1124" s="246"/>
      <c r="W1124" s="246"/>
      <c r="X1124" s="246"/>
      <c r="Y1124" s="246"/>
      <c r="Z1124" s="246"/>
    </row>
    <row r="1125">
      <c r="A1125" s="263"/>
      <c r="B1125" s="267"/>
      <c r="C1125" s="263"/>
      <c r="D1125" s="263"/>
      <c r="E1125" s="263"/>
      <c r="F1125" s="268"/>
      <c r="G1125" s="263"/>
      <c r="H1125" s="267"/>
      <c r="I1125" s="263"/>
      <c r="J1125" s="263"/>
      <c r="K1125" s="263"/>
      <c r="L1125" s="263"/>
      <c r="M1125" s="263"/>
      <c r="N1125" s="263"/>
      <c r="O1125" s="263"/>
      <c r="P1125" s="263"/>
      <c r="Q1125" s="263"/>
      <c r="R1125" s="263"/>
      <c r="S1125" s="263"/>
      <c r="T1125" s="263"/>
      <c r="U1125" s="246"/>
      <c r="V1125" s="246"/>
      <c r="W1125" s="246"/>
      <c r="X1125" s="246"/>
      <c r="Y1125" s="246"/>
      <c r="Z1125" s="246"/>
    </row>
    <row r="1126">
      <c r="A1126" s="263"/>
      <c r="B1126" s="267"/>
      <c r="C1126" s="263"/>
      <c r="D1126" s="263"/>
      <c r="E1126" s="263"/>
      <c r="F1126" s="268"/>
      <c r="G1126" s="263"/>
      <c r="H1126" s="267"/>
      <c r="I1126" s="263"/>
      <c r="J1126" s="263"/>
      <c r="K1126" s="263"/>
      <c r="L1126" s="263"/>
      <c r="M1126" s="263"/>
      <c r="N1126" s="263"/>
      <c r="O1126" s="263"/>
      <c r="P1126" s="263"/>
      <c r="Q1126" s="263"/>
      <c r="R1126" s="263"/>
      <c r="S1126" s="263"/>
      <c r="T1126" s="263"/>
      <c r="U1126" s="246"/>
      <c r="V1126" s="246"/>
      <c r="W1126" s="246"/>
      <c r="X1126" s="246"/>
      <c r="Y1126" s="246"/>
      <c r="Z1126" s="246"/>
    </row>
    <row r="1127">
      <c r="A1127" s="263"/>
      <c r="B1127" s="267"/>
      <c r="C1127" s="263"/>
      <c r="D1127" s="263"/>
      <c r="E1127" s="263"/>
      <c r="F1127" s="268"/>
      <c r="G1127" s="263"/>
      <c r="H1127" s="267"/>
      <c r="I1127" s="263"/>
      <c r="J1127" s="263"/>
      <c r="K1127" s="263"/>
      <c r="L1127" s="263"/>
      <c r="M1127" s="263"/>
      <c r="N1127" s="263"/>
      <c r="O1127" s="263"/>
      <c r="P1127" s="263"/>
      <c r="Q1127" s="263"/>
      <c r="R1127" s="263"/>
      <c r="S1127" s="263"/>
      <c r="T1127" s="263"/>
      <c r="U1127" s="246"/>
      <c r="V1127" s="246"/>
      <c r="W1127" s="246"/>
      <c r="X1127" s="246"/>
      <c r="Y1127" s="246"/>
      <c r="Z1127" s="246"/>
    </row>
    <row r="1128">
      <c r="A1128" s="263"/>
      <c r="B1128" s="267"/>
      <c r="C1128" s="263"/>
      <c r="D1128" s="263"/>
      <c r="E1128" s="263"/>
      <c r="F1128" s="268"/>
      <c r="G1128" s="263"/>
      <c r="H1128" s="267"/>
      <c r="I1128" s="263"/>
      <c r="J1128" s="263"/>
      <c r="K1128" s="263"/>
      <c r="L1128" s="263"/>
      <c r="M1128" s="263"/>
      <c r="N1128" s="263"/>
      <c r="O1128" s="263"/>
      <c r="P1128" s="263"/>
      <c r="Q1128" s="263"/>
      <c r="R1128" s="263"/>
      <c r="S1128" s="263"/>
      <c r="T1128" s="263"/>
      <c r="U1128" s="246"/>
      <c r="V1128" s="246"/>
      <c r="W1128" s="246"/>
      <c r="X1128" s="246"/>
      <c r="Y1128" s="246"/>
      <c r="Z1128" s="246"/>
    </row>
    <row r="1129">
      <c r="A1129" s="263"/>
      <c r="B1129" s="267"/>
      <c r="C1129" s="263"/>
      <c r="D1129" s="263"/>
      <c r="E1129" s="263"/>
      <c r="F1129" s="268"/>
      <c r="G1129" s="263"/>
      <c r="H1129" s="267"/>
      <c r="I1129" s="263"/>
      <c r="J1129" s="263"/>
      <c r="K1129" s="263"/>
      <c r="L1129" s="263"/>
      <c r="M1129" s="263"/>
      <c r="N1129" s="263"/>
      <c r="O1129" s="263"/>
      <c r="P1129" s="263"/>
      <c r="Q1129" s="263"/>
      <c r="R1129" s="263"/>
      <c r="S1129" s="263"/>
      <c r="T1129" s="263"/>
      <c r="U1129" s="246"/>
      <c r="V1129" s="246"/>
      <c r="W1129" s="246"/>
      <c r="X1129" s="246"/>
      <c r="Y1129" s="246"/>
      <c r="Z1129" s="246"/>
    </row>
    <row r="1130">
      <c r="A1130" s="263"/>
      <c r="B1130" s="267"/>
      <c r="C1130" s="263"/>
      <c r="D1130" s="263"/>
      <c r="E1130" s="263"/>
      <c r="F1130" s="268"/>
      <c r="G1130" s="263"/>
      <c r="H1130" s="267"/>
      <c r="I1130" s="263"/>
      <c r="J1130" s="263"/>
      <c r="K1130" s="263"/>
      <c r="L1130" s="263"/>
      <c r="M1130" s="263"/>
      <c r="N1130" s="263"/>
      <c r="O1130" s="263"/>
      <c r="P1130" s="263"/>
      <c r="Q1130" s="263"/>
      <c r="R1130" s="263"/>
      <c r="S1130" s="263"/>
      <c r="T1130" s="263"/>
      <c r="U1130" s="246"/>
      <c r="V1130" s="246"/>
      <c r="W1130" s="246"/>
      <c r="X1130" s="246"/>
      <c r="Y1130" s="246"/>
      <c r="Z1130" s="246"/>
    </row>
    <row r="1131">
      <c r="A1131" s="263"/>
      <c r="B1131" s="267"/>
      <c r="C1131" s="263"/>
      <c r="D1131" s="263"/>
      <c r="E1131" s="263"/>
      <c r="F1131" s="268"/>
      <c r="G1131" s="263"/>
      <c r="H1131" s="267"/>
      <c r="I1131" s="263"/>
      <c r="J1131" s="263"/>
      <c r="K1131" s="263"/>
      <c r="L1131" s="263"/>
      <c r="M1131" s="263"/>
      <c r="N1131" s="263"/>
      <c r="O1131" s="263"/>
      <c r="P1131" s="263"/>
      <c r="Q1131" s="263"/>
      <c r="R1131" s="263"/>
      <c r="S1131" s="263"/>
      <c r="T1131" s="263"/>
      <c r="U1131" s="246"/>
      <c r="V1131" s="246"/>
      <c r="W1131" s="246"/>
      <c r="X1131" s="246"/>
      <c r="Y1131" s="246"/>
      <c r="Z1131" s="246"/>
    </row>
    <row r="1132">
      <c r="A1132" s="263"/>
      <c r="B1132" s="267"/>
      <c r="C1132" s="263"/>
      <c r="D1132" s="263"/>
      <c r="E1132" s="263"/>
      <c r="F1132" s="268"/>
      <c r="G1132" s="263"/>
      <c r="H1132" s="267"/>
      <c r="I1132" s="263"/>
      <c r="J1132" s="263"/>
      <c r="K1132" s="263"/>
      <c r="L1132" s="263"/>
      <c r="M1132" s="263"/>
      <c r="N1132" s="263"/>
      <c r="O1132" s="263"/>
      <c r="P1132" s="263"/>
      <c r="Q1132" s="263"/>
      <c r="R1132" s="263"/>
      <c r="S1132" s="263"/>
      <c r="T1132" s="263"/>
      <c r="U1132" s="246"/>
      <c r="V1132" s="246"/>
      <c r="W1132" s="246"/>
      <c r="X1132" s="246"/>
      <c r="Y1132" s="246"/>
      <c r="Z1132" s="246"/>
    </row>
    <row r="1133">
      <c r="A1133" s="263"/>
      <c r="B1133" s="267"/>
      <c r="C1133" s="263"/>
      <c r="D1133" s="263"/>
      <c r="E1133" s="263"/>
      <c r="F1133" s="268"/>
      <c r="G1133" s="263"/>
      <c r="H1133" s="267"/>
      <c r="I1133" s="263"/>
      <c r="J1133" s="263"/>
      <c r="K1133" s="263"/>
      <c r="L1133" s="263"/>
      <c r="M1133" s="263"/>
      <c r="N1133" s="263"/>
      <c r="O1133" s="263"/>
      <c r="P1133" s="263"/>
      <c r="Q1133" s="263"/>
      <c r="R1133" s="263"/>
      <c r="S1133" s="263"/>
      <c r="T1133" s="263"/>
      <c r="U1133" s="246"/>
      <c r="V1133" s="246"/>
      <c r="W1133" s="246"/>
      <c r="X1133" s="246"/>
      <c r="Y1133" s="246"/>
      <c r="Z1133" s="246"/>
    </row>
    <row r="1134">
      <c r="A1134" s="263"/>
      <c r="B1134" s="267"/>
      <c r="C1134" s="263"/>
      <c r="D1134" s="263"/>
      <c r="E1134" s="263"/>
      <c r="F1134" s="268"/>
      <c r="G1134" s="263"/>
      <c r="H1134" s="267"/>
      <c r="I1134" s="263"/>
      <c r="J1134" s="263"/>
      <c r="K1134" s="263"/>
      <c r="L1134" s="263"/>
      <c r="M1134" s="263"/>
      <c r="N1134" s="263"/>
      <c r="O1134" s="263"/>
      <c r="P1134" s="263"/>
      <c r="Q1134" s="263"/>
      <c r="R1134" s="263"/>
      <c r="S1134" s="263"/>
      <c r="T1134" s="263"/>
      <c r="U1134" s="246"/>
      <c r="V1134" s="246"/>
      <c r="W1134" s="246"/>
      <c r="X1134" s="246"/>
      <c r="Y1134" s="246"/>
      <c r="Z1134" s="246"/>
    </row>
    <row r="1135">
      <c r="A1135" s="263"/>
      <c r="B1135" s="267"/>
      <c r="C1135" s="263"/>
      <c r="D1135" s="263"/>
      <c r="E1135" s="263"/>
      <c r="F1135" s="268"/>
      <c r="G1135" s="263"/>
      <c r="H1135" s="267"/>
      <c r="I1135" s="263"/>
      <c r="J1135" s="263"/>
      <c r="K1135" s="263"/>
      <c r="L1135" s="263"/>
      <c r="M1135" s="263"/>
      <c r="N1135" s="263"/>
      <c r="O1135" s="263"/>
      <c r="P1135" s="263"/>
      <c r="Q1135" s="263"/>
      <c r="R1135" s="263"/>
      <c r="S1135" s="263"/>
      <c r="T1135" s="263"/>
      <c r="U1135" s="246"/>
      <c r="V1135" s="246"/>
      <c r="W1135" s="246"/>
      <c r="X1135" s="246"/>
      <c r="Y1135" s="246"/>
      <c r="Z1135" s="246"/>
    </row>
    <row r="1136">
      <c r="A1136" s="263"/>
      <c r="B1136" s="267"/>
      <c r="C1136" s="263"/>
      <c r="D1136" s="263"/>
      <c r="E1136" s="263"/>
      <c r="F1136" s="268"/>
      <c r="G1136" s="263"/>
      <c r="H1136" s="267"/>
      <c r="I1136" s="263"/>
      <c r="J1136" s="263"/>
      <c r="K1136" s="263"/>
      <c r="L1136" s="263"/>
      <c r="M1136" s="263"/>
      <c r="N1136" s="263"/>
      <c r="O1136" s="263"/>
      <c r="P1136" s="263"/>
      <c r="Q1136" s="263"/>
      <c r="R1136" s="263"/>
      <c r="S1136" s="263"/>
      <c r="T1136" s="263"/>
      <c r="U1136" s="246"/>
      <c r="V1136" s="246"/>
      <c r="W1136" s="246"/>
      <c r="X1136" s="246"/>
      <c r="Y1136" s="246"/>
      <c r="Z1136" s="246"/>
    </row>
    <row r="1137">
      <c r="A1137" s="263"/>
      <c r="B1137" s="267"/>
      <c r="C1137" s="263"/>
      <c r="D1137" s="263"/>
      <c r="E1137" s="263"/>
      <c r="F1137" s="268"/>
      <c r="G1137" s="263"/>
      <c r="H1137" s="267"/>
      <c r="I1137" s="263"/>
      <c r="J1137" s="263"/>
      <c r="K1137" s="263"/>
      <c r="L1137" s="263"/>
      <c r="M1137" s="263"/>
      <c r="N1137" s="263"/>
      <c r="O1137" s="263"/>
      <c r="P1137" s="263"/>
      <c r="Q1137" s="263"/>
      <c r="R1137" s="263"/>
      <c r="S1137" s="263"/>
      <c r="T1137" s="263"/>
      <c r="U1137" s="246"/>
      <c r="V1137" s="246"/>
      <c r="W1137" s="246"/>
      <c r="X1137" s="246"/>
      <c r="Y1137" s="246"/>
      <c r="Z1137" s="246"/>
    </row>
    <row r="1138">
      <c r="A1138" s="263"/>
      <c r="B1138" s="267"/>
      <c r="C1138" s="263"/>
      <c r="D1138" s="263"/>
      <c r="E1138" s="263"/>
      <c r="F1138" s="268"/>
      <c r="G1138" s="263"/>
      <c r="H1138" s="267"/>
      <c r="I1138" s="263"/>
      <c r="J1138" s="263"/>
      <c r="K1138" s="263"/>
      <c r="L1138" s="263"/>
      <c r="M1138" s="263"/>
      <c r="N1138" s="263"/>
      <c r="O1138" s="263"/>
      <c r="P1138" s="263"/>
      <c r="Q1138" s="263"/>
      <c r="R1138" s="263"/>
      <c r="S1138" s="263"/>
      <c r="T1138" s="263"/>
      <c r="U1138" s="246"/>
      <c r="V1138" s="246"/>
      <c r="W1138" s="246"/>
      <c r="X1138" s="246"/>
      <c r="Y1138" s="246"/>
      <c r="Z1138" s="246"/>
    </row>
    <row r="1139">
      <c r="A1139" s="263"/>
      <c r="B1139" s="267"/>
      <c r="C1139" s="263"/>
      <c r="D1139" s="263"/>
      <c r="E1139" s="263"/>
      <c r="F1139" s="268"/>
      <c r="G1139" s="263"/>
      <c r="H1139" s="267"/>
      <c r="I1139" s="263"/>
      <c r="J1139" s="263"/>
      <c r="K1139" s="263"/>
      <c r="L1139" s="263"/>
      <c r="M1139" s="263"/>
      <c r="N1139" s="263"/>
      <c r="O1139" s="263"/>
      <c r="P1139" s="263"/>
      <c r="Q1139" s="263"/>
      <c r="R1139" s="263"/>
      <c r="S1139" s="263"/>
      <c r="T1139" s="263"/>
      <c r="U1139" s="246"/>
      <c r="V1139" s="246"/>
      <c r="W1139" s="246"/>
      <c r="X1139" s="246"/>
      <c r="Y1139" s="246"/>
      <c r="Z1139" s="246"/>
    </row>
    <row r="1140">
      <c r="A1140" s="263"/>
      <c r="B1140" s="267"/>
      <c r="C1140" s="263"/>
      <c r="D1140" s="263"/>
      <c r="E1140" s="263"/>
      <c r="F1140" s="268"/>
      <c r="G1140" s="263"/>
      <c r="H1140" s="267"/>
      <c r="I1140" s="263"/>
      <c r="J1140" s="263"/>
      <c r="K1140" s="263"/>
      <c r="L1140" s="263"/>
      <c r="M1140" s="263"/>
      <c r="N1140" s="263"/>
      <c r="O1140" s="263"/>
      <c r="P1140" s="263"/>
      <c r="Q1140" s="263"/>
      <c r="R1140" s="263"/>
      <c r="S1140" s="263"/>
      <c r="T1140" s="263"/>
      <c r="U1140" s="246"/>
      <c r="V1140" s="246"/>
      <c r="W1140" s="246"/>
      <c r="X1140" s="246"/>
      <c r="Y1140" s="246"/>
      <c r="Z1140" s="246"/>
    </row>
    <row r="1141">
      <c r="A1141" s="263"/>
      <c r="B1141" s="267"/>
      <c r="C1141" s="263"/>
      <c r="D1141" s="263"/>
      <c r="E1141" s="263"/>
      <c r="F1141" s="268"/>
      <c r="G1141" s="263"/>
      <c r="H1141" s="267"/>
      <c r="I1141" s="263"/>
      <c r="J1141" s="263"/>
      <c r="K1141" s="263"/>
      <c r="L1141" s="263"/>
      <c r="M1141" s="263"/>
      <c r="N1141" s="263"/>
      <c r="O1141" s="263"/>
      <c r="P1141" s="263"/>
      <c r="Q1141" s="263"/>
      <c r="R1141" s="263"/>
      <c r="S1141" s="263"/>
      <c r="T1141" s="263"/>
      <c r="U1141" s="246"/>
      <c r="V1141" s="246"/>
      <c r="W1141" s="246"/>
      <c r="X1141" s="246"/>
      <c r="Y1141" s="246"/>
      <c r="Z1141" s="246"/>
    </row>
    <row r="1142">
      <c r="A1142" s="263"/>
      <c r="B1142" s="267"/>
      <c r="C1142" s="263"/>
      <c r="D1142" s="263"/>
      <c r="E1142" s="263"/>
      <c r="F1142" s="268"/>
      <c r="G1142" s="263"/>
      <c r="H1142" s="267"/>
      <c r="I1142" s="263"/>
      <c r="J1142" s="263"/>
      <c r="K1142" s="263"/>
      <c r="L1142" s="263"/>
      <c r="M1142" s="263"/>
      <c r="N1142" s="263"/>
      <c r="O1142" s="263"/>
      <c r="P1142" s="263"/>
      <c r="Q1142" s="263"/>
      <c r="R1142" s="263"/>
      <c r="S1142" s="263"/>
      <c r="T1142" s="263"/>
      <c r="U1142" s="246"/>
      <c r="V1142" s="246"/>
      <c r="W1142" s="246"/>
      <c r="X1142" s="246"/>
      <c r="Y1142" s="246"/>
      <c r="Z1142" s="246"/>
    </row>
    <row r="1143">
      <c r="A1143" s="263"/>
      <c r="B1143" s="267"/>
      <c r="C1143" s="263"/>
      <c r="D1143" s="263"/>
      <c r="E1143" s="263"/>
      <c r="F1143" s="268"/>
      <c r="G1143" s="263"/>
      <c r="H1143" s="267"/>
      <c r="I1143" s="263"/>
      <c r="J1143" s="263"/>
      <c r="K1143" s="263"/>
      <c r="L1143" s="263"/>
      <c r="M1143" s="263"/>
      <c r="N1143" s="263"/>
      <c r="O1143" s="263"/>
      <c r="P1143" s="263"/>
      <c r="Q1143" s="263"/>
      <c r="R1143" s="263"/>
      <c r="S1143" s="263"/>
      <c r="T1143" s="263"/>
      <c r="U1143" s="246"/>
      <c r="V1143" s="246"/>
      <c r="W1143" s="246"/>
      <c r="X1143" s="246"/>
      <c r="Y1143" s="246"/>
      <c r="Z1143" s="246"/>
    </row>
    <row r="1144">
      <c r="A1144" s="263"/>
      <c r="B1144" s="267"/>
      <c r="C1144" s="263"/>
      <c r="D1144" s="263"/>
      <c r="E1144" s="263"/>
      <c r="F1144" s="268"/>
      <c r="G1144" s="263"/>
      <c r="H1144" s="267"/>
      <c r="I1144" s="263"/>
      <c r="J1144" s="263"/>
      <c r="K1144" s="263"/>
      <c r="L1144" s="263"/>
      <c r="M1144" s="263"/>
      <c r="N1144" s="263"/>
      <c r="O1144" s="263"/>
      <c r="P1144" s="263"/>
      <c r="Q1144" s="263"/>
      <c r="R1144" s="263"/>
      <c r="S1144" s="263"/>
      <c r="T1144" s="263"/>
      <c r="U1144" s="246"/>
      <c r="V1144" s="246"/>
      <c r="W1144" s="246"/>
      <c r="X1144" s="246"/>
      <c r="Y1144" s="246"/>
      <c r="Z1144" s="246"/>
    </row>
    <row r="1145">
      <c r="A1145" s="263"/>
      <c r="B1145" s="267"/>
      <c r="C1145" s="263"/>
      <c r="D1145" s="263"/>
      <c r="E1145" s="263"/>
      <c r="F1145" s="268"/>
      <c r="G1145" s="263"/>
      <c r="H1145" s="267"/>
      <c r="I1145" s="263"/>
      <c r="J1145" s="263"/>
      <c r="K1145" s="263"/>
      <c r="L1145" s="263"/>
      <c r="M1145" s="263"/>
      <c r="N1145" s="263"/>
      <c r="O1145" s="263"/>
      <c r="P1145" s="263"/>
      <c r="Q1145" s="263"/>
      <c r="R1145" s="263"/>
      <c r="S1145" s="263"/>
      <c r="T1145" s="263"/>
      <c r="U1145" s="246"/>
      <c r="V1145" s="246"/>
      <c r="W1145" s="246"/>
      <c r="X1145" s="246"/>
      <c r="Y1145" s="246"/>
      <c r="Z1145" s="246"/>
    </row>
    <row r="1146">
      <c r="A1146" s="263"/>
      <c r="B1146" s="267"/>
      <c r="C1146" s="263"/>
      <c r="D1146" s="263"/>
      <c r="E1146" s="263"/>
      <c r="F1146" s="268"/>
      <c r="G1146" s="263"/>
      <c r="H1146" s="267"/>
      <c r="I1146" s="263"/>
      <c r="J1146" s="263"/>
      <c r="K1146" s="263"/>
      <c r="L1146" s="263"/>
      <c r="M1146" s="263"/>
      <c r="N1146" s="263"/>
      <c r="O1146" s="263"/>
      <c r="P1146" s="263"/>
      <c r="Q1146" s="263"/>
      <c r="R1146" s="263"/>
      <c r="S1146" s="263"/>
      <c r="T1146" s="263"/>
      <c r="U1146" s="246"/>
      <c r="V1146" s="246"/>
      <c r="W1146" s="246"/>
      <c r="X1146" s="246"/>
      <c r="Y1146" s="246"/>
      <c r="Z1146" s="246"/>
    </row>
    <row r="1147">
      <c r="A1147" s="263"/>
      <c r="B1147" s="267"/>
      <c r="C1147" s="263"/>
      <c r="D1147" s="263"/>
      <c r="E1147" s="263"/>
      <c r="F1147" s="268"/>
      <c r="G1147" s="263"/>
      <c r="H1147" s="267"/>
      <c r="I1147" s="263"/>
      <c r="J1147" s="263"/>
      <c r="K1147" s="263"/>
      <c r="L1147" s="263"/>
      <c r="M1147" s="263"/>
      <c r="N1147" s="263"/>
      <c r="O1147" s="263"/>
      <c r="P1147" s="263"/>
      <c r="Q1147" s="263"/>
      <c r="R1147" s="263"/>
      <c r="S1147" s="263"/>
      <c r="T1147" s="263"/>
      <c r="U1147" s="246"/>
      <c r="V1147" s="246"/>
      <c r="W1147" s="246"/>
      <c r="X1147" s="246"/>
      <c r="Y1147" s="246"/>
      <c r="Z1147" s="246"/>
    </row>
    <row r="1148">
      <c r="A1148" s="263"/>
      <c r="B1148" s="267"/>
      <c r="C1148" s="263"/>
      <c r="D1148" s="263"/>
      <c r="E1148" s="263"/>
      <c r="F1148" s="268"/>
      <c r="G1148" s="263"/>
      <c r="H1148" s="267"/>
      <c r="I1148" s="263"/>
      <c r="J1148" s="263"/>
      <c r="K1148" s="263"/>
      <c r="L1148" s="263"/>
      <c r="M1148" s="263"/>
      <c r="N1148" s="263"/>
      <c r="O1148" s="263"/>
      <c r="P1148" s="263"/>
      <c r="Q1148" s="263"/>
      <c r="R1148" s="263"/>
      <c r="S1148" s="263"/>
      <c r="T1148" s="263"/>
      <c r="U1148" s="246"/>
      <c r="V1148" s="246"/>
      <c r="W1148" s="246"/>
      <c r="X1148" s="246"/>
      <c r="Y1148" s="246"/>
      <c r="Z1148" s="246"/>
    </row>
    <row r="1149">
      <c r="A1149" s="263"/>
      <c r="B1149" s="267"/>
      <c r="C1149" s="263"/>
      <c r="D1149" s="263"/>
      <c r="E1149" s="263"/>
      <c r="F1149" s="268"/>
      <c r="G1149" s="263"/>
      <c r="H1149" s="267"/>
      <c r="I1149" s="263"/>
      <c r="J1149" s="263"/>
      <c r="K1149" s="263"/>
      <c r="L1149" s="263"/>
      <c r="M1149" s="263"/>
      <c r="N1149" s="263"/>
      <c r="O1149" s="263"/>
      <c r="P1149" s="263"/>
      <c r="Q1149" s="263"/>
      <c r="R1149" s="263"/>
      <c r="S1149" s="263"/>
      <c r="T1149" s="263"/>
      <c r="U1149" s="246"/>
      <c r="V1149" s="246"/>
      <c r="W1149" s="246"/>
      <c r="X1149" s="246"/>
      <c r="Y1149" s="246"/>
      <c r="Z1149" s="246"/>
    </row>
    <row r="1150">
      <c r="A1150" s="263"/>
      <c r="B1150" s="267"/>
      <c r="C1150" s="263"/>
      <c r="D1150" s="263"/>
      <c r="E1150" s="263"/>
      <c r="F1150" s="268"/>
      <c r="G1150" s="263"/>
      <c r="H1150" s="267"/>
      <c r="I1150" s="263"/>
      <c r="J1150" s="263"/>
      <c r="K1150" s="263"/>
      <c r="L1150" s="263"/>
      <c r="M1150" s="263"/>
      <c r="N1150" s="263"/>
      <c r="O1150" s="263"/>
      <c r="P1150" s="263"/>
      <c r="Q1150" s="263"/>
      <c r="R1150" s="263"/>
      <c r="S1150" s="263"/>
      <c r="T1150" s="263"/>
      <c r="U1150" s="246"/>
      <c r="V1150" s="246"/>
      <c r="W1150" s="246"/>
      <c r="X1150" s="246"/>
      <c r="Y1150" s="246"/>
      <c r="Z1150" s="246"/>
    </row>
    <row r="1151">
      <c r="A1151" s="263"/>
      <c r="B1151" s="267"/>
      <c r="C1151" s="263"/>
      <c r="D1151" s="263"/>
      <c r="E1151" s="263"/>
      <c r="F1151" s="268"/>
      <c r="G1151" s="263"/>
      <c r="H1151" s="267"/>
      <c r="I1151" s="263"/>
      <c r="J1151" s="263"/>
      <c r="K1151" s="263"/>
      <c r="L1151" s="263"/>
      <c r="M1151" s="263"/>
      <c r="N1151" s="263"/>
      <c r="O1151" s="263"/>
      <c r="P1151" s="263"/>
      <c r="Q1151" s="263"/>
      <c r="R1151" s="263"/>
      <c r="S1151" s="263"/>
      <c r="T1151" s="263"/>
      <c r="U1151" s="246"/>
      <c r="V1151" s="246"/>
      <c r="W1151" s="246"/>
      <c r="X1151" s="246"/>
      <c r="Y1151" s="246"/>
      <c r="Z1151" s="246"/>
    </row>
    <row r="1152">
      <c r="A1152" s="263"/>
      <c r="B1152" s="267"/>
      <c r="C1152" s="263"/>
      <c r="D1152" s="263"/>
      <c r="E1152" s="263"/>
      <c r="F1152" s="268"/>
      <c r="G1152" s="263"/>
      <c r="H1152" s="267"/>
      <c r="I1152" s="263"/>
      <c r="J1152" s="263"/>
      <c r="K1152" s="263"/>
      <c r="L1152" s="263"/>
      <c r="M1152" s="263"/>
      <c r="N1152" s="263"/>
      <c r="O1152" s="263"/>
      <c r="P1152" s="263"/>
      <c r="Q1152" s="263"/>
      <c r="R1152" s="263"/>
      <c r="S1152" s="263"/>
      <c r="T1152" s="263"/>
      <c r="U1152" s="246"/>
      <c r="V1152" s="246"/>
      <c r="W1152" s="246"/>
      <c r="X1152" s="246"/>
      <c r="Y1152" s="246"/>
      <c r="Z1152" s="246"/>
    </row>
    <row r="1153">
      <c r="A1153" s="263"/>
      <c r="B1153" s="267"/>
      <c r="C1153" s="263"/>
      <c r="D1153" s="263"/>
      <c r="E1153" s="263"/>
      <c r="F1153" s="268"/>
      <c r="G1153" s="263"/>
      <c r="H1153" s="267"/>
      <c r="I1153" s="263"/>
      <c r="J1153" s="263"/>
      <c r="K1153" s="263"/>
      <c r="L1153" s="263"/>
      <c r="M1153" s="263"/>
      <c r="N1153" s="263"/>
      <c r="O1153" s="263"/>
      <c r="P1153" s="263"/>
      <c r="Q1153" s="263"/>
      <c r="R1153" s="263"/>
      <c r="S1153" s="263"/>
      <c r="T1153" s="263"/>
      <c r="U1153" s="246"/>
      <c r="V1153" s="246"/>
      <c r="W1153" s="246"/>
      <c r="X1153" s="246"/>
      <c r="Y1153" s="246"/>
      <c r="Z1153" s="246"/>
    </row>
    <row r="1154">
      <c r="A1154" s="263"/>
      <c r="B1154" s="267"/>
      <c r="C1154" s="263"/>
      <c r="D1154" s="263"/>
      <c r="E1154" s="263"/>
      <c r="F1154" s="268"/>
      <c r="G1154" s="263"/>
      <c r="H1154" s="267"/>
      <c r="I1154" s="263"/>
      <c r="J1154" s="263"/>
      <c r="K1154" s="263"/>
      <c r="L1154" s="263"/>
      <c r="M1154" s="263"/>
      <c r="N1154" s="263"/>
      <c r="O1154" s="263"/>
      <c r="P1154" s="263"/>
      <c r="Q1154" s="263"/>
      <c r="R1154" s="263"/>
      <c r="S1154" s="263"/>
      <c r="T1154" s="263"/>
      <c r="U1154" s="246"/>
      <c r="V1154" s="246"/>
      <c r="W1154" s="246"/>
      <c r="X1154" s="246"/>
      <c r="Y1154" s="246"/>
      <c r="Z1154" s="246"/>
    </row>
    <row r="1155">
      <c r="A1155" s="263"/>
      <c r="B1155" s="267"/>
      <c r="C1155" s="263"/>
      <c r="D1155" s="263"/>
      <c r="E1155" s="263"/>
      <c r="F1155" s="268"/>
      <c r="G1155" s="263"/>
      <c r="H1155" s="267"/>
      <c r="I1155" s="263"/>
      <c r="J1155" s="263"/>
      <c r="K1155" s="263"/>
      <c r="L1155" s="263"/>
      <c r="M1155" s="263"/>
      <c r="N1155" s="263"/>
      <c r="O1155" s="263"/>
      <c r="P1155" s="263"/>
      <c r="Q1155" s="263"/>
      <c r="R1155" s="263"/>
      <c r="S1155" s="263"/>
      <c r="T1155" s="263"/>
      <c r="U1155" s="246"/>
      <c r="V1155" s="246"/>
      <c r="W1155" s="246"/>
      <c r="X1155" s="246"/>
      <c r="Y1155" s="246"/>
      <c r="Z1155" s="246"/>
    </row>
    <row r="1156">
      <c r="A1156" s="263"/>
      <c r="B1156" s="267"/>
      <c r="C1156" s="263"/>
      <c r="D1156" s="263"/>
      <c r="E1156" s="263"/>
      <c r="F1156" s="268"/>
      <c r="G1156" s="263"/>
      <c r="H1156" s="267"/>
      <c r="I1156" s="263"/>
      <c r="J1156" s="263"/>
      <c r="K1156" s="263"/>
      <c r="L1156" s="263"/>
      <c r="M1156" s="263"/>
      <c r="N1156" s="263"/>
      <c r="O1156" s="263"/>
      <c r="P1156" s="263"/>
      <c r="Q1156" s="263"/>
      <c r="R1156" s="263"/>
      <c r="S1156" s="263"/>
      <c r="T1156" s="263"/>
      <c r="U1156" s="246"/>
      <c r="V1156" s="246"/>
      <c r="W1156" s="246"/>
      <c r="X1156" s="246"/>
      <c r="Y1156" s="246"/>
      <c r="Z1156" s="246"/>
    </row>
    <row r="1157">
      <c r="A1157" s="263"/>
      <c r="B1157" s="267"/>
      <c r="C1157" s="263"/>
      <c r="D1157" s="263"/>
      <c r="E1157" s="263"/>
      <c r="F1157" s="268"/>
      <c r="G1157" s="263"/>
      <c r="H1157" s="267"/>
      <c r="I1157" s="263"/>
      <c r="J1157" s="263"/>
      <c r="K1157" s="263"/>
      <c r="L1157" s="263"/>
      <c r="M1157" s="263"/>
      <c r="N1157" s="263"/>
      <c r="O1157" s="263"/>
      <c r="P1157" s="263"/>
      <c r="Q1157" s="263"/>
      <c r="R1157" s="263"/>
      <c r="S1157" s="263"/>
      <c r="T1157" s="263"/>
      <c r="U1157" s="246"/>
      <c r="V1157" s="246"/>
      <c r="W1157" s="246"/>
      <c r="X1157" s="246"/>
      <c r="Y1157" s="246"/>
      <c r="Z1157" s="246"/>
    </row>
    <row r="1158">
      <c r="A1158" s="263"/>
      <c r="B1158" s="267"/>
      <c r="C1158" s="263"/>
      <c r="D1158" s="263"/>
      <c r="E1158" s="263"/>
      <c r="F1158" s="268"/>
      <c r="G1158" s="263"/>
      <c r="H1158" s="267"/>
      <c r="I1158" s="263"/>
      <c r="J1158" s="263"/>
      <c r="K1158" s="263"/>
      <c r="L1158" s="263"/>
      <c r="M1158" s="263"/>
      <c r="N1158" s="263"/>
      <c r="O1158" s="263"/>
      <c r="P1158" s="263"/>
      <c r="Q1158" s="263"/>
      <c r="R1158" s="263"/>
      <c r="S1158" s="263"/>
      <c r="T1158" s="263"/>
      <c r="U1158" s="246"/>
      <c r="V1158" s="246"/>
      <c r="W1158" s="246"/>
      <c r="X1158" s="246"/>
      <c r="Y1158" s="246"/>
      <c r="Z1158" s="246"/>
    </row>
    <row r="1159">
      <c r="A1159" s="263"/>
      <c r="B1159" s="267"/>
      <c r="C1159" s="263"/>
      <c r="D1159" s="263"/>
      <c r="E1159" s="263"/>
      <c r="F1159" s="268"/>
      <c r="G1159" s="263"/>
      <c r="H1159" s="267"/>
      <c r="I1159" s="263"/>
      <c r="J1159" s="263"/>
      <c r="K1159" s="263"/>
      <c r="L1159" s="263"/>
      <c r="M1159" s="263"/>
      <c r="N1159" s="263"/>
      <c r="O1159" s="263"/>
      <c r="P1159" s="263"/>
      <c r="Q1159" s="263"/>
      <c r="R1159" s="263"/>
      <c r="S1159" s="263"/>
      <c r="T1159" s="263"/>
      <c r="U1159" s="246"/>
      <c r="V1159" s="246"/>
      <c r="W1159" s="246"/>
      <c r="X1159" s="246"/>
      <c r="Y1159" s="246"/>
      <c r="Z1159" s="246"/>
    </row>
    <row r="1160">
      <c r="A1160" s="263"/>
      <c r="B1160" s="267"/>
      <c r="C1160" s="263"/>
      <c r="D1160" s="263"/>
      <c r="E1160" s="263"/>
      <c r="F1160" s="268"/>
      <c r="G1160" s="263"/>
      <c r="H1160" s="267"/>
      <c r="I1160" s="263"/>
      <c r="J1160" s="263"/>
      <c r="K1160" s="263"/>
      <c r="L1160" s="263"/>
      <c r="M1160" s="263"/>
      <c r="N1160" s="263"/>
      <c r="O1160" s="263"/>
      <c r="P1160" s="263"/>
      <c r="Q1160" s="263"/>
      <c r="R1160" s="263"/>
      <c r="S1160" s="263"/>
      <c r="T1160" s="263"/>
      <c r="U1160" s="246"/>
      <c r="V1160" s="246"/>
      <c r="W1160" s="246"/>
      <c r="X1160" s="246"/>
      <c r="Y1160" s="246"/>
      <c r="Z1160" s="246"/>
    </row>
    <row r="1161">
      <c r="A1161" s="263"/>
      <c r="B1161" s="267"/>
      <c r="C1161" s="263"/>
      <c r="D1161" s="263"/>
      <c r="E1161" s="263"/>
      <c r="F1161" s="268"/>
      <c r="G1161" s="263"/>
      <c r="H1161" s="267"/>
      <c r="I1161" s="263"/>
      <c r="J1161" s="263"/>
      <c r="K1161" s="263"/>
      <c r="L1161" s="263"/>
      <c r="M1161" s="263"/>
      <c r="N1161" s="263"/>
      <c r="O1161" s="263"/>
      <c r="P1161" s="263"/>
      <c r="Q1161" s="263"/>
      <c r="R1161" s="263"/>
      <c r="S1161" s="263"/>
      <c r="T1161" s="263"/>
      <c r="U1161" s="246"/>
      <c r="V1161" s="246"/>
      <c r="W1161" s="246"/>
      <c r="X1161" s="246"/>
      <c r="Y1161" s="246"/>
      <c r="Z1161" s="246"/>
    </row>
    <row r="1162">
      <c r="A1162" s="263"/>
      <c r="B1162" s="267"/>
      <c r="C1162" s="263"/>
      <c r="D1162" s="263"/>
      <c r="E1162" s="263"/>
      <c r="F1162" s="268"/>
      <c r="G1162" s="263"/>
      <c r="H1162" s="267"/>
      <c r="I1162" s="263"/>
      <c r="J1162" s="263"/>
      <c r="K1162" s="263"/>
      <c r="L1162" s="263"/>
      <c r="M1162" s="263"/>
      <c r="N1162" s="263"/>
      <c r="O1162" s="263"/>
      <c r="P1162" s="263"/>
      <c r="Q1162" s="263"/>
      <c r="R1162" s="263"/>
      <c r="S1162" s="263"/>
      <c r="T1162" s="263"/>
      <c r="U1162" s="246"/>
      <c r="V1162" s="246"/>
      <c r="W1162" s="246"/>
      <c r="X1162" s="246"/>
      <c r="Y1162" s="246"/>
      <c r="Z1162" s="246"/>
    </row>
    <row r="1163">
      <c r="A1163" s="263"/>
      <c r="B1163" s="267"/>
      <c r="C1163" s="263"/>
      <c r="D1163" s="263"/>
      <c r="E1163" s="263"/>
      <c r="F1163" s="268"/>
      <c r="G1163" s="263"/>
      <c r="H1163" s="267"/>
      <c r="I1163" s="263"/>
      <c r="J1163" s="263"/>
      <c r="K1163" s="263"/>
      <c r="L1163" s="263"/>
      <c r="M1163" s="263"/>
      <c r="N1163" s="263"/>
      <c r="O1163" s="263"/>
      <c r="P1163" s="263"/>
      <c r="Q1163" s="263"/>
      <c r="R1163" s="263"/>
      <c r="S1163" s="263"/>
      <c r="T1163" s="263"/>
      <c r="U1163" s="246"/>
      <c r="V1163" s="246"/>
      <c r="W1163" s="246"/>
      <c r="X1163" s="246"/>
      <c r="Y1163" s="246"/>
      <c r="Z1163" s="246"/>
    </row>
    <row r="1164">
      <c r="A1164" s="263"/>
      <c r="B1164" s="267"/>
      <c r="C1164" s="263"/>
      <c r="D1164" s="263"/>
      <c r="E1164" s="263"/>
      <c r="F1164" s="268"/>
      <c r="G1164" s="263"/>
      <c r="H1164" s="267"/>
      <c r="I1164" s="263"/>
      <c r="J1164" s="263"/>
      <c r="K1164" s="263"/>
      <c r="L1164" s="263"/>
      <c r="M1164" s="263"/>
      <c r="N1164" s="263"/>
      <c r="O1164" s="263"/>
      <c r="P1164" s="263"/>
      <c r="Q1164" s="263"/>
      <c r="R1164" s="263"/>
      <c r="S1164" s="263"/>
      <c r="T1164" s="263"/>
      <c r="U1164" s="246"/>
      <c r="V1164" s="246"/>
      <c r="W1164" s="246"/>
      <c r="X1164" s="246"/>
      <c r="Y1164" s="246"/>
      <c r="Z1164" s="246"/>
    </row>
    <row r="1165">
      <c r="A1165" s="263"/>
      <c r="B1165" s="267"/>
      <c r="C1165" s="263"/>
      <c r="D1165" s="263"/>
      <c r="E1165" s="263"/>
      <c r="F1165" s="268"/>
      <c r="G1165" s="263"/>
      <c r="H1165" s="267"/>
      <c r="I1165" s="263"/>
      <c r="J1165" s="263"/>
      <c r="K1165" s="263"/>
      <c r="L1165" s="263"/>
      <c r="M1165" s="263"/>
      <c r="N1165" s="263"/>
      <c r="O1165" s="263"/>
      <c r="P1165" s="263"/>
      <c r="Q1165" s="263"/>
      <c r="R1165" s="263"/>
      <c r="S1165" s="263"/>
      <c r="T1165" s="263"/>
      <c r="U1165" s="246"/>
      <c r="V1165" s="246"/>
      <c r="W1165" s="246"/>
      <c r="X1165" s="246"/>
      <c r="Y1165" s="246"/>
      <c r="Z1165" s="246"/>
    </row>
    <row r="1166">
      <c r="A1166" s="263"/>
      <c r="B1166" s="267"/>
      <c r="C1166" s="263"/>
      <c r="D1166" s="263"/>
      <c r="E1166" s="263"/>
      <c r="F1166" s="268"/>
      <c r="G1166" s="263"/>
      <c r="H1166" s="267"/>
      <c r="I1166" s="263"/>
      <c r="J1166" s="263"/>
      <c r="K1166" s="263"/>
      <c r="L1166" s="263"/>
      <c r="M1166" s="263"/>
      <c r="N1166" s="263"/>
      <c r="O1166" s="263"/>
      <c r="P1166" s="263"/>
      <c r="Q1166" s="263"/>
      <c r="R1166" s="263"/>
      <c r="S1166" s="263"/>
      <c r="T1166" s="263"/>
      <c r="U1166" s="246"/>
      <c r="V1166" s="246"/>
      <c r="W1166" s="246"/>
      <c r="X1166" s="246"/>
      <c r="Y1166" s="246"/>
      <c r="Z1166" s="246"/>
    </row>
    <row r="1167">
      <c r="A1167" s="263"/>
      <c r="B1167" s="267"/>
      <c r="C1167" s="263"/>
      <c r="D1167" s="263"/>
      <c r="E1167" s="263"/>
      <c r="F1167" s="268"/>
      <c r="G1167" s="263"/>
      <c r="H1167" s="267"/>
      <c r="I1167" s="263"/>
      <c r="J1167" s="263"/>
      <c r="K1167" s="263"/>
      <c r="L1167" s="263"/>
      <c r="M1167" s="263"/>
      <c r="N1167" s="263"/>
      <c r="O1167" s="263"/>
      <c r="P1167" s="263"/>
      <c r="Q1167" s="263"/>
      <c r="R1167" s="263"/>
      <c r="S1167" s="263"/>
      <c r="T1167" s="263"/>
      <c r="U1167" s="246"/>
      <c r="V1167" s="246"/>
      <c r="W1167" s="246"/>
      <c r="X1167" s="246"/>
      <c r="Y1167" s="246"/>
      <c r="Z1167" s="246"/>
    </row>
    <row r="1168">
      <c r="A1168" s="263"/>
      <c r="B1168" s="267"/>
      <c r="C1168" s="263"/>
      <c r="D1168" s="263"/>
      <c r="E1168" s="263"/>
      <c r="F1168" s="268"/>
      <c r="G1168" s="263"/>
      <c r="H1168" s="267"/>
      <c r="I1168" s="263"/>
      <c r="J1168" s="263"/>
      <c r="K1168" s="263"/>
      <c r="L1168" s="263"/>
      <c r="M1168" s="263"/>
      <c r="N1168" s="263"/>
      <c r="O1168" s="263"/>
      <c r="P1168" s="263"/>
      <c r="Q1168" s="263"/>
      <c r="R1168" s="263"/>
      <c r="S1168" s="263"/>
      <c r="T1168" s="263"/>
      <c r="U1168" s="246"/>
      <c r="V1168" s="246"/>
      <c r="W1168" s="246"/>
      <c r="X1168" s="246"/>
      <c r="Y1168" s="246"/>
      <c r="Z1168" s="246"/>
    </row>
    <row r="1169">
      <c r="A1169" s="263"/>
      <c r="B1169" s="267"/>
      <c r="C1169" s="263"/>
      <c r="D1169" s="263"/>
      <c r="E1169" s="263"/>
      <c r="F1169" s="268"/>
      <c r="G1169" s="263"/>
      <c r="H1169" s="267"/>
      <c r="I1169" s="263"/>
      <c r="J1169" s="263"/>
      <c r="K1169" s="263"/>
      <c r="L1169" s="263"/>
      <c r="M1169" s="263"/>
      <c r="N1169" s="263"/>
      <c r="O1169" s="263"/>
      <c r="P1169" s="263"/>
      <c r="Q1169" s="263"/>
      <c r="R1169" s="263"/>
      <c r="S1169" s="263"/>
      <c r="T1169" s="263"/>
      <c r="U1169" s="246"/>
      <c r="V1169" s="246"/>
      <c r="W1169" s="246"/>
      <c r="X1169" s="246"/>
      <c r="Y1169" s="246"/>
      <c r="Z1169" s="246"/>
    </row>
    <row r="1170">
      <c r="A1170" s="263"/>
      <c r="B1170" s="267"/>
      <c r="C1170" s="263"/>
      <c r="D1170" s="263"/>
      <c r="E1170" s="263"/>
      <c r="F1170" s="268"/>
      <c r="G1170" s="263"/>
      <c r="H1170" s="267"/>
      <c r="I1170" s="263"/>
      <c r="J1170" s="263"/>
      <c r="K1170" s="263"/>
      <c r="L1170" s="263"/>
      <c r="M1170" s="263"/>
      <c r="N1170" s="263"/>
      <c r="O1170" s="263"/>
      <c r="P1170" s="263"/>
      <c r="Q1170" s="263"/>
      <c r="R1170" s="263"/>
      <c r="S1170" s="263"/>
      <c r="T1170" s="263"/>
      <c r="U1170" s="246"/>
      <c r="V1170" s="246"/>
      <c r="W1170" s="246"/>
      <c r="X1170" s="246"/>
      <c r="Y1170" s="246"/>
      <c r="Z1170" s="246"/>
    </row>
    <row r="1171">
      <c r="A1171" s="263"/>
      <c r="B1171" s="267"/>
      <c r="C1171" s="263"/>
      <c r="D1171" s="263"/>
      <c r="E1171" s="263"/>
      <c r="F1171" s="268"/>
      <c r="G1171" s="263"/>
      <c r="H1171" s="267"/>
      <c r="I1171" s="263"/>
      <c r="J1171" s="263"/>
      <c r="K1171" s="263"/>
      <c r="L1171" s="263"/>
      <c r="M1171" s="263"/>
      <c r="N1171" s="263"/>
      <c r="O1171" s="263"/>
      <c r="P1171" s="263"/>
      <c r="Q1171" s="263"/>
      <c r="R1171" s="263"/>
      <c r="S1171" s="263"/>
      <c r="T1171" s="263"/>
      <c r="U1171" s="246"/>
      <c r="V1171" s="246"/>
      <c r="W1171" s="246"/>
      <c r="X1171" s="246"/>
      <c r="Y1171" s="246"/>
      <c r="Z1171" s="246"/>
    </row>
    <row r="1172">
      <c r="A1172" s="263"/>
      <c r="B1172" s="267"/>
      <c r="C1172" s="263"/>
      <c r="D1172" s="263"/>
      <c r="E1172" s="263"/>
      <c r="F1172" s="268"/>
      <c r="G1172" s="263"/>
      <c r="H1172" s="267"/>
      <c r="I1172" s="263"/>
      <c r="J1172" s="263"/>
      <c r="K1172" s="263"/>
      <c r="L1172" s="263"/>
      <c r="M1172" s="263"/>
      <c r="N1172" s="263"/>
      <c r="O1172" s="263"/>
      <c r="P1172" s="263"/>
      <c r="Q1172" s="263"/>
      <c r="R1172" s="263"/>
      <c r="S1172" s="263"/>
      <c r="T1172" s="263"/>
      <c r="U1172" s="246"/>
      <c r="V1172" s="246"/>
      <c r="W1172" s="246"/>
      <c r="X1172" s="246"/>
      <c r="Y1172" s="246"/>
      <c r="Z1172" s="246"/>
    </row>
    <row r="1173">
      <c r="A1173" s="263"/>
      <c r="B1173" s="267"/>
      <c r="C1173" s="263"/>
      <c r="D1173" s="263"/>
      <c r="E1173" s="263"/>
      <c r="F1173" s="268"/>
      <c r="G1173" s="263"/>
      <c r="H1173" s="267"/>
      <c r="I1173" s="263"/>
      <c r="J1173" s="263"/>
      <c r="K1173" s="263"/>
      <c r="L1173" s="263"/>
      <c r="M1173" s="263"/>
      <c r="N1173" s="263"/>
      <c r="O1173" s="263"/>
      <c r="P1173" s="263"/>
      <c r="Q1173" s="263"/>
      <c r="R1173" s="263"/>
      <c r="S1173" s="263"/>
      <c r="T1173" s="263"/>
      <c r="U1173" s="246"/>
      <c r="V1173" s="246"/>
      <c r="W1173" s="246"/>
      <c r="X1173" s="246"/>
      <c r="Y1173" s="246"/>
      <c r="Z1173" s="246"/>
    </row>
    <row r="1174">
      <c r="A1174" s="263"/>
      <c r="B1174" s="267"/>
      <c r="C1174" s="263"/>
      <c r="D1174" s="263"/>
      <c r="E1174" s="263"/>
      <c r="F1174" s="268"/>
      <c r="G1174" s="263"/>
      <c r="H1174" s="267"/>
      <c r="I1174" s="263"/>
      <c r="J1174" s="263"/>
      <c r="K1174" s="263"/>
      <c r="L1174" s="263"/>
      <c r="M1174" s="263"/>
      <c r="N1174" s="263"/>
      <c r="O1174" s="263"/>
      <c r="P1174" s="263"/>
      <c r="Q1174" s="263"/>
      <c r="R1174" s="263"/>
      <c r="S1174" s="263"/>
      <c r="T1174" s="263"/>
      <c r="U1174" s="246"/>
      <c r="V1174" s="246"/>
      <c r="W1174" s="246"/>
      <c r="X1174" s="246"/>
      <c r="Y1174" s="246"/>
      <c r="Z1174" s="246"/>
    </row>
    <row r="1175">
      <c r="A1175" s="263"/>
      <c r="B1175" s="267"/>
      <c r="C1175" s="263"/>
      <c r="D1175" s="263"/>
      <c r="E1175" s="263"/>
      <c r="F1175" s="268"/>
      <c r="G1175" s="263"/>
      <c r="H1175" s="267"/>
      <c r="I1175" s="263"/>
      <c r="J1175" s="263"/>
      <c r="K1175" s="263"/>
      <c r="L1175" s="263"/>
      <c r="M1175" s="263"/>
      <c r="N1175" s="263"/>
      <c r="O1175" s="263"/>
      <c r="P1175" s="263"/>
      <c r="Q1175" s="263"/>
      <c r="R1175" s="263"/>
      <c r="S1175" s="263"/>
      <c r="T1175" s="263"/>
      <c r="U1175" s="246"/>
      <c r="V1175" s="246"/>
      <c r="W1175" s="246"/>
      <c r="X1175" s="246"/>
      <c r="Y1175" s="246"/>
      <c r="Z1175" s="246"/>
    </row>
    <row r="1176">
      <c r="A1176" s="263"/>
      <c r="B1176" s="267"/>
      <c r="C1176" s="263"/>
      <c r="D1176" s="263"/>
      <c r="E1176" s="263"/>
      <c r="F1176" s="268"/>
      <c r="G1176" s="263"/>
      <c r="H1176" s="267"/>
      <c r="I1176" s="263"/>
      <c r="J1176" s="263"/>
      <c r="K1176" s="263"/>
      <c r="L1176" s="263"/>
      <c r="M1176" s="263"/>
      <c r="N1176" s="263"/>
      <c r="O1176" s="263"/>
      <c r="P1176" s="263"/>
      <c r="Q1176" s="263"/>
      <c r="R1176" s="263"/>
      <c r="S1176" s="263"/>
      <c r="T1176" s="263"/>
      <c r="U1176" s="246"/>
      <c r="V1176" s="246"/>
      <c r="W1176" s="246"/>
      <c r="X1176" s="246"/>
      <c r="Y1176" s="246"/>
      <c r="Z1176" s="246"/>
    </row>
    <row r="1177">
      <c r="A1177" s="263"/>
      <c r="B1177" s="267"/>
      <c r="C1177" s="263"/>
      <c r="D1177" s="263"/>
      <c r="E1177" s="263"/>
      <c r="F1177" s="268"/>
      <c r="G1177" s="263"/>
      <c r="H1177" s="267"/>
      <c r="I1177" s="263"/>
      <c r="J1177" s="263"/>
      <c r="K1177" s="263"/>
      <c r="L1177" s="263"/>
      <c r="M1177" s="263"/>
      <c r="N1177" s="263"/>
      <c r="O1177" s="263"/>
      <c r="P1177" s="263"/>
      <c r="Q1177" s="263"/>
      <c r="R1177" s="263"/>
      <c r="S1177" s="263"/>
      <c r="T1177" s="263"/>
      <c r="U1177" s="246"/>
      <c r="V1177" s="246"/>
      <c r="W1177" s="246"/>
      <c r="X1177" s="246"/>
      <c r="Y1177" s="246"/>
      <c r="Z1177" s="246"/>
    </row>
    <row r="1178">
      <c r="A1178" s="263"/>
      <c r="B1178" s="267"/>
      <c r="C1178" s="263"/>
      <c r="D1178" s="263"/>
      <c r="E1178" s="263"/>
      <c r="F1178" s="268"/>
      <c r="G1178" s="263"/>
      <c r="H1178" s="267"/>
      <c r="I1178" s="263"/>
      <c r="J1178" s="263"/>
      <c r="K1178" s="263"/>
      <c r="L1178" s="263"/>
      <c r="M1178" s="263"/>
      <c r="N1178" s="263"/>
      <c r="O1178" s="263"/>
      <c r="P1178" s="263"/>
      <c r="Q1178" s="263"/>
      <c r="R1178" s="263"/>
      <c r="S1178" s="263"/>
      <c r="T1178" s="263"/>
      <c r="U1178" s="246"/>
      <c r="V1178" s="246"/>
      <c r="W1178" s="246"/>
      <c r="X1178" s="246"/>
      <c r="Y1178" s="246"/>
      <c r="Z1178" s="246"/>
    </row>
    <row r="1179">
      <c r="A1179" s="263"/>
      <c r="B1179" s="267"/>
      <c r="C1179" s="263"/>
      <c r="D1179" s="263"/>
      <c r="E1179" s="263"/>
      <c r="F1179" s="268"/>
      <c r="G1179" s="263"/>
      <c r="H1179" s="267"/>
      <c r="I1179" s="263"/>
      <c r="J1179" s="263"/>
      <c r="K1179" s="263"/>
      <c r="L1179" s="263"/>
      <c r="M1179" s="263"/>
      <c r="N1179" s="263"/>
      <c r="O1179" s="263"/>
      <c r="P1179" s="263"/>
      <c r="Q1179" s="263"/>
      <c r="R1179" s="263"/>
      <c r="S1179" s="263"/>
      <c r="T1179" s="263"/>
      <c r="U1179" s="246"/>
      <c r="V1179" s="246"/>
      <c r="W1179" s="246"/>
      <c r="X1179" s="246"/>
      <c r="Y1179" s="246"/>
      <c r="Z1179" s="246"/>
    </row>
    <row r="1180">
      <c r="A1180" s="263"/>
      <c r="B1180" s="267"/>
      <c r="C1180" s="263"/>
      <c r="D1180" s="263"/>
      <c r="E1180" s="263"/>
      <c r="F1180" s="268"/>
      <c r="G1180" s="263"/>
      <c r="H1180" s="267"/>
      <c r="I1180" s="263"/>
      <c r="J1180" s="263"/>
      <c r="K1180" s="263"/>
      <c r="L1180" s="263"/>
      <c r="M1180" s="263"/>
      <c r="N1180" s="263"/>
      <c r="O1180" s="263"/>
      <c r="P1180" s="263"/>
      <c r="Q1180" s="263"/>
      <c r="R1180" s="263"/>
      <c r="S1180" s="263"/>
      <c r="T1180" s="263"/>
      <c r="U1180" s="246"/>
      <c r="V1180" s="246"/>
      <c r="W1180" s="246"/>
      <c r="X1180" s="246"/>
      <c r="Y1180" s="246"/>
      <c r="Z1180" s="246"/>
    </row>
    <row r="1181">
      <c r="A1181" s="263"/>
      <c r="B1181" s="267"/>
      <c r="C1181" s="263"/>
      <c r="D1181" s="263"/>
      <c r="E1181" s="263"/>
      <c r="F1181" s="268"/>
      <c r="G1181" s="263"/>
      <c r="H1181" s="267"/>
      <c r="I1181" s="263"/>
      <c r="J1181" s="263"/>
      <c r="K1181" s="263"/>
      <c r="L1181" s="263"/>
      <c r="M1181" s="263"/>
      <c r="N1181" s="263"/>
      <c r="O1181" s="263"/>
      <c r="P1181" s="263"/>
      <c r="Q1181" s="263"/>
      <c r="R1181" s="263"/>
      <c r="S1181" s="263"/>
      <c r="T1181" s="263"/>
      <c r="U1181" s="246"/>
      <c r="V1181" s="246"/>
      <c r="W1181" s="246"/>
      <c r="X1181" s="246"/>
      <c r="Y1181" s="246"/>
      <c r="Z1181" s="246"/>
    </row>
    <row r="1182">
      <c r="A1182" s="263"/>
      <c r="B1182" s="267"/>
      <c r="C1182" s="263"/>
      <c r="D1182" s="263"/>
      <c r="E1182" s="263"/>
      <c r="F1182" s="268"/>
      <c r="G1182" s="263"/>
      <c r="H1182" s="267"/>
      <c r="I1182" s="263"/>
      <c r="J1182" s="263"/>
      <c r="K1182" s="263"/>
      <c r="L1182" s="263"/>
      <c r="M1182" s="263"/>
      <c r="N1182" s="263"/>
      <c r="O1182" s="263"/>
      <c r="P1182" s="263"/>
      <c r="Q1182" s="263"/>
      <c r="R1182" s="263"/>
      <c r="S1182" s="263"/>
      <c r="T1182" s="263"/>
      <c r="U1182" s="246"/>
      <c r="V1182" s="246"/>
      <c r="W1182" s="246"/>
      <c r="X1182" s="246"/>
      <c r="Y1182" s="246"/>
      <c r="Z1182" s="246"/>
    </row>
    <row r="1183">
      <c r="A1183" s="263"/>
      <c r="B1183" s="267"/>
      <c r="C1183" s="263"/>
      <c r="D1183" s="263"/>
      <c r="E1183" s="263"/>
      <c r="F1183" s="268"/>
      <c r="G1183" s="263"/>
      <c r="H1183" s="267"/>
      <c r="I1183" s="263"/>
      <c r="J1183" s="263"/>
      <c r="K1183" s="263"/>
      <c r="L1183" s="263"/>
      <c r="M1183" s="263"/>
      <c r="N1183" s="263"/>
      <c r="O1183" s="263"/>
      <c r="P1183" s="263"/>
      <c r="Q1183" s="263"/>
      <c r="R1183" s="263"/>
      <c r="S1183" s="263"/>
      <c r="T1183" s="263"/>
      <c r="U1183" s="246"/>
      <c r="V1183" s="246"/>
      <c r="W1183" s="246"/>
      <c r="X1183" s="246"/>
      <c r="Y1183" s="246"/>
      <c r="Z1183" s="246"/>
    </row>
    <row r="1184">
      <c r="A1184" s="263"/>
      <c r="B1184" s="267"/>
      <c r="C1184" s="263"/>
      <c r="D1184" s="263"/>
      <c r="E1184" s="263"/>
      <c r="F1184" s="268"/>
      <c r="G1184" s="263"/>
      <c r="H1184" s="267"/>
      <c r="I1184" s="263"/>
      <c r="J1184" s="263"/>
      <c r="K1184" s="263"/>
      <c r="L1184" s="263"/>
      <c r="M1184" s="263"/>
      <c r="N1184" s="263"/>
      <c r="O1184" s="263"/>
      <c r="P1184" s="263"/>
      <c r="Q1184" s="263"/>
      <c r="R1184" s="263"/>
      <c r="S1184" s="263"/>
      <c r="T1184" s="263"/>
      <c r="U1184" s="246"/>
      <c r="V1184" s="246"/>
      <c r="W1184" s="246"/>
      <c r="X1184" s="246"/>
      <c r="Y1184" s="246"/>
      <c r="Z1184" s="246"/>
    </row>
    <row r="1185">
      <c r="A1185" s="263"/>
      <c r="B1185" s="267"/>
      <c r="C1185" s="263"/>
      <c r="D1185" s="263"/>
      <c r="E1185" s="263"/>
      <c r="F1185" s="268"/>
      <c r="G1185" s="263"/>
      <c r="H1185" s="267"/>
      <c r="I1185" s="263"/>
      <c r="J1185" s="263"/>
      <c r="K1185" s="263"/>
      <c r="L1185" s="263"/>
      <c r="M1185" s="263"/>
      <c r="N1185" s="263"/>
      <c r="O1185" s="263"/>
      <c r="P1185" s="263"/>
      <c r="Q1185" s="263"/>
      <c r="R1185" s="263"/>
      <c r="S1185" s="263"/>
      <c r="T1185" s="263"/>
      <c r="U1185" s="246"/>
      <c r="V1185" s="246"/>
      <c r="W1185" s="246"/>
      <c r="X1185" s="246"/>
      <c r="Y1185" s="246"/>
      <c r="Z1185" s="246"/>
    </row>
    <row r="1186">
      <c r="A1186" s="263"/>
      <c r="B1186" s="267"/>
      <c r="C1186" s="263"/>
      <c r="D1186" s="263"/>
      <c r="E1186" s="263"/>
      <c r="F1186" s="268"/>
      <c r="G1186" s="263"/>
      <c r="H1186" s="267"/>
      <c r="I1186" s="263"/>
      <c r="J1186" s="263"/>
      <c r="K1186" s="263"/>
      <c r="L1186" s="263"/>
      <c r="M1186" s="263"/>
      <c r="N1186" s="263"/>
      <c r="O1186" s="263"/>
      <c r="P1186" s="263"/>
      <c r="Q1186" s="263"/>
      <c r="R1186" s="263"/>
      <c r="S1186" s="263"/>
      <c r="T1186" s="263"/>
      <c r="U1186" s="246"/>
      <c r="V1186" s="246"/>
      <c r="W1186" s="246"/>
      <c r="X1186" s="246"/>
      <c r="Y1186" s="246"/>
      <c r="Z1186" s="246"/>
    </row>
    <row r="1187">
      <c r="A1187" s="263"/>
      <c r="B1187" s="267"/>
      <c r="C1187" s="263"/>
      <c r="D1187" s="263"/>
      <c r="E1187" s="263"/>
      <c r="F1187" s="268"/>
      <c r="G1187" s="263"/>
      <c r="H1187" s="267"/>
      <c r="I1187" s="263"/>
      <c r="J1187" s="263"/>
      <c r="K1187" s="263"/>
      <c r="L1187" s="263"/>
      <c r="M1187" s="263"/>
      <c r="N1187" s="263"/>
      <c r="O1187" s="263"/>
      <c r="P1187" s="263"/>
      <c r="Q1187" s="263"/>
      <c r="R1187" s="263"/>
      <c r="S1187" s="263"/>
      <c r="T1187" s="263"/>
      <c r="U1187" s="246"/>
      <c r="V1187" s="246"/>
      <c r="W1187" s="246"/>
      <c r="X1187" s="246"/>
      <c r="Y1187" s="246"/>
      <c r="Z1187" s="246"/>
    </row>
    <row r="1188">
      <c r="A1188" s="263"/>
      <c r="B1188" s="267"/>
      <c r="C1188" s="263"/>
      <c r="D1188" s="263"/>
      <c r="E1188" s="263"/>
      <c r="F1188" s="268"/>
      <c r="G1188" s="263"/>
      <c r="H1188" s="267"/>
      <c r="I1188" s="263"/>
      <c r="J1188" s="263"/>
      <c r="K1188" s="263"/>
      <c r="L1188" s="263"/>
      <c r="M1188" s="263"/>
      <c r="N1188" s="263"/>
      <c r="O1188" s="263"/>
      <c r="P1188" s="263"/>
      <c r="Q1188" s="263"/>
      <c r="R1188" s="263"/>
      <c r="S1188" s="263"/>
      <c r="T1188" s="263"/>
      <c r="U1188" s="246"/>
      <c r="V1188" s="246"/>
      <c r="W1188" s="246"/>
      <c r="X1188" s="246"/>
      <c r="Y1188" s="246"/>
      <c r="Z1188" s="246"/>
    </row>
    <row r="1189">
      <c r="A1189" s="263"/>
      <c r="B1189" s="267"/>
      <c r="C1189" s="263"/>
      <c r="D1189" s="263"/>
      <c r="E1189" s="263"/>
      <c r="F1189" s="268"/>
      <c r="G1189" s="263"/>
      <c r="H1189" s="267"/>
      <c r="I1189" s="263"/>
      <c r="J1189" s="263"/>
      <c r="K1189" s="263"/>
      <c r="L1189" s="263"/>
      <c r="M1189" s="263"/>
      <c r="N1189" s="263"/>
      <c r="O1189" s="263"/>
      <c r="P1189" s="263"/>
      <c r="Q1189" s="263"/>
      <c r="R1189" s="263"/>
      <c r="S1189" s="263"/>
      <c r="T1189" s="263"/>
      <c r="U1189" s="246"/>
      <c r="V1189" s="246"/>
      <c r="W1189" s="246"/>
      <c r="X1189" s="246"/>
      <c r="Y1189" s="246"/>
      <c r="Z1189" s="246"/>
    </row>
    <row r="1190">
      <c r="A1190" s="263"/>
      <c r="B1190" s="267"/>
      <c r="C1190" s="263"/>
      <c r="D1190" s="263"/>
      <c r="E1190" s="263"/>
      <c r="F1190" s="268"/>
      <c r="G1190" s="263"/>
      <c r="H1190" s="267"/>
      <c r="I1190" s="263"/>
      <c r="J1190" s="263"/>
      <c r="K1190" s="263"/>
      <c r="L1190" s="263"/>
      <c r="M1190" s="263"/>
      <c r="N1190" s="263"/>
      <c r="O1190" s="263"/>
      <c r="P1190" s="263"/>
      <c r="Q1190" s="263"/>
      <c r="R1190" s="263"/>
      <c r="S1190" s="263"/>
      <c r="T1190" s="263"/>
      <c r="U1190" s="246"/>
      <c r="V1190" s="246"/>
      <c r="W1190" s="246"/>
      <c r="X1190" s="246"/>
      <c r="Y1190" s="246"/>
      <c r="Z1190" s="246"/>
    </row>
    <row r="1191">
      <c r="A1191" s="263"/>
      <c r="B1191" s="267"/>
      <c r="C1191" s="263"/>
      <c r="D1191" s="263"/>
      <c r="E1191" s="263"/>
      <c r="F1191" s="268"/>
      <c r="G1191" s="263"/>
      <c r="H1191" s="267"/>
      <c r="I1191" s="263"/>
      <c r="J1191" s="263"/>
      <c r="K1191" s="263"/>
      <c r="L1191" s="263"/>
      <c r="M1191" s="263"/>
      <c r="N1191" s="263"/>
      <c r="O1191" s="263"/>
      <c r="P1191" s="263"/>
      <c r="Q1191" s="263"/>
      <c r="R1191" s="263"/>
      <c r="S1191" s="263"/>
      <c r="T1191" s="263"/>
      <c r="U1191" s="246"/>
      <c r="V1191" s="246"/>
      <c r="W1191" s="246"/>
      <c r="X1191" s="246"/>
      <c r="Y1191" s="246"/>
      <c r="Z1191" s="246"/>
    </row>
    <row r="1192">
      <c r="A1192" s="263"/>
      <c r="B1192" s="267"/>
      <c r="C1192" s="263"/>
      <c r="D1192" s="263"/>
      <c r="E1192" s="263"/>
      <c r="F1192" s="268"/>
      <c r="G1192" s="263"/>
      <c r="H1192" s="267"/>
      <c r="I1192" s="263"/>
      <c r="J1192" s="263"/>
      <c r="K1192" s="263"/>
      <c r="L1192" s="263"/>
      <c r="M1192" s="263"/>
      <c r="N1192" s="263"/>
      <c r="O1192" s="263"/>
      <c r="P1192" s="263"/>
      <c r="Q1192" s="263"/>
      <c r="R1192" s="263"/>
      <c r="S1192" s="263"/>
      <c r="T1192" s="263"/>
      <c r="U1192" s="246"/>
      <c r="V1192" s="246"/>
      <c r="W1192" s="246"/>
      <c r="X1192" s="246"/>
      <c r="Y1192" s="246"/>
      <c r="Z1192" s="246"/>
    </row>
    <row r="1193">
      <c r="A1193" s="263"/>
      <c r="B1193" s="267"/>
      <c r="C1193" s="263"/>
      <c r="D1193" s="263"/>
      <c r="E1193" s="263"/>
      <c r="F1193" s="268"/>
      <c r="G1193" s="263"/>
      <c r="H1193" s="267"/>
      <c r="I1193" s="263"/>
      <c r="J1193" s="263"/>
      <c r="K1193" s="263"/>
      <c r="L1193" s="263"/>
      <c r="M1193" s="263"/>
      <c r="N1193" s="263"/>
      <c r="O1193" s="263"/>
      <c r="P1193" s="263"/>
      <c r="Q1193" s="263"/>
      <c r="R1193" s="263"/>
      <c r="S1193" s="263"/>
      <c r="T1193" s="263"/>
      <c r="U1193" s="246"/>
      <c r="V1193" s="246"/>
      <c r="W1193" s="246"/>
      <c r="X1193" s="246"/>
      <c r="Y1193" s="246"/>
      <c r="Z1193" s="246"/>
    </row>
    <row r="1194">
      <c r="A1194" s="263"/>
      <c r="B1194" s="267"/>
      <c r="C1194" s="263"/>
      <c r="D1194" s="263"/>
      <c r="E1194" s="263"/>
      <c r="F1194" s="268"/>
      <c r="G1194" s="263"/>
      <c r="H1194" s="267"/>
      <c r="I1194" s="263"/>
      <c r="J1194" s="263"/>
      <c r="K1194" s="263"/>
      <c r="L1194" s="263"/>
      <c r="M1194" s="263"/>
      <c r="N1194" s="263"/>
      <c r="O1194" s="263"/>
      <c r="P1194" s="263"/>
      <c r="Q1194" s="263"/>
      <c r="R1194" s="263"/>
      <c r="S1194" s="263"/>
      <c r="T1194" s="263"/>
      <c r="U1194" s="246"/>
      <c r="V1194" s="246"/>
      <c r="W1194" s="246"/>
      <c r="X1194" s="246"/>
      <c r="Y1194" s="246"/>
      <c r="Z1194" s="246"/>
    </row>
    <row r="1195">
      <c r="A1195" s="263"/>
      <c r="B1195" s="267"/>
      <c r="C1195" s="263"/>
      <c r="D1195" s="263"/>
      <c r="E1195" s="263"/>
      <c r="F1195" s="268"/>
      <c r="G1195" s="263"/>
      <c r="H1195" s="267"/>
      <c r="I1195" s="263"/>
      <c r="J1195" s="263"/>
      <c r="K1195" s="263"/>
      <c r="L1195" s="263"/>
      <c r="M1195" s="263"/>
      <c r="N1195" s="263"/>
      <c r="O1195" s="263"/>
      <c r="P1195" s="263"/>
      <c r="Q1195" s="263"/>
      <c r="R1195" s="263"/>
      <c r="S1195" s="263"/>
      <c r="T1195" s="263"/>
      <c r="U1195" s="246"/>
      <c r="V1195" s="246"/>
      <c r="W1195" s="246"/>
      <c r="X1195" s="246"/>
      <c r="Y1195" s="246"/>
      <c r="Z1195" s="246"/>
    </row>
    <row r="1196">
      <c r="A1196" s="263"/>
      <c r="B1196" s="267"/>
      <c r="C1196" s="263"/>
      <c r="D1196" s="263"/>
      <c r="E1196" s="263"/>
      <c r="F1196" s="268"/>
      <c r="G1196" s="263"/>
      <c r="H1196" s="267"/>
      <c r="I1196" s="263"/>
      <c r="J1196" s="263"/>
      <c r="K1196" s="263"/>
      <c r="L1196" s="263"/>
      <c r="M1196" s="263"/>
      <c r="N1196" s="263"/>
      <c r="O1196" s="263"/>
      <c r="P1196" s="263"/>
      <c r="Q1196" s="263"/>
      <c r="R1196" s="263"/>
      <c r="S1196" s="263"/>
      <c r="T1196" s="263"/>
      <c r="U1196" s="246"/>
      <c r="V1196" s="246"/>
      <c r="W1196" s="246"/>
      <c r="X1196" s="246"/>
      <c r="Y1196" s="246"/>
      <c r="Z1196" s="246"/>
    </row>
    <row r="1197">
      <c r="A1197" s="263"/>
      <c r="B1197" s="267"/>
      <c r="C1197" s="263"/>
      <c r="D1197" s="263"/>
      <c r="E1197" s="263"/>
      <c r="F1197" s="268"/>
      <c r="G1197" s="263"/>
      <c r="H1197" s="267"/>
      <c r="I1197" s="263"/>
      <c r="J1197" s="263"/>
      <c r="K1197" s="263"/>
      <c r="L1197" s="263"/>
      <c r="M1197" s="263"/>
      <c r="N1197" s="263"/>
      <c r="O1197" s="263"/>
      <c r="P1197" s="263"/>
      <c r="Q1197" s="263"/>
      <c r="R1197" s="263"/>
      <c r="S1197" s="263"/>
      <c r="T1197" s="263"/>
      <c r="U1197" s="246"/>
      <c r="V1197" s="246"/>
      <c r="W1197" s="246"/>
      <c r="X1197" s="246"/>
      <c r="Y1197" s="246"/>
      <c r="Z1197" s="246"/>
    </row>
    <row r="1198">
      <c r="A1198" s="263"/>
      <c r="B1198" s="267"/>
      <c r="C1198" s="263"/>
      <c r="D1198" s="263"/>
      <c r="E1198" s="263"/>
      <c r="F1198" s="268"/>
      <c r="G1198" s="263"/>
      <c r="H1198" s="267"/>
      <c r="I1198" s="263"/>
      <c r="J1198" s="263"/>
      <c r="K1198" s="263"/>
      <c r="L1198" s="263"/>
      <c r="M1198" s="263"/>
      <c r="N1198" s="263"/>
      <c r="O1198" s="263"/>
      <c r="P1198" s="263"/>
      <c r="Q1198" s="263"/>
      <c r="R1198" s="263"/>
      <c r="S1198" s="263"/>
      <c r="T1198" s="263"/>
      <c r="U1198" s="246"/>
      <c r="V1198" s="246"/>
      <c r="W1198" s="246"/>
      <c r="X1198" s="246"/>
      <c r="Y1198" s="246"/>
      <c r="Z1198" s="246"/>
    </row>
    <row r="1199">
      <c r="A1199" s="263"/>
      <c r="B1199" s="267"/>
      <c r="C1199" s="263"/>
      <c r="D1199" s="263"/>
      <c r="E1199" s="263"/>
      <c r="F1199" s="268"/>
      <c r="G1199" s="263"/>
      <c r="H1199" s="267"/>
      <c r="I1199" s="263"/>
      <c r="J1199" s="263"/>
      <c r="K1199" s="263"/>
      <c r="L1199" s="263"/>
      <c r="M1199" s="263"/>
      <c r="N1199" s="263"/>
      <c r="O1199" s="263"/>
      <c r="P1199" s="263"/>
      <c r="Q1199" s="263"/>
      <c r="R1199" s="263"/>
      <c r="S1199" s="263"/>
      <c r="T1199" s="263"/>
      <c r="U1199" s="246"/>
      <c r="V1199" s="246"/>
      <c r="W1199" s="246"/>
      <c r="X1199" s="246"/>
      <c r="Y1199" s="246"/>
      <c r="Z1199" s="246"/>
    </row>
    <row r="1200">
      <c r="A1200" s="263"/>
      <c r="B1200" s="267"/>
      <c r="C1200" s="263"/>
      <c r="D1200" s="263"/>
      <c r="E1200" s="263"/>
      <c r="F1200" s="268"/>
      <c r="G1200" s="263"/>
      <c r="H1200" s="267"/>
      <c r="I1200" s="263"/>
      <c r="J1200" s="263"/>
      <c r="K1200" s="263"/>
      <c r="L1200" s="263"/>
      <c r="M1200" s="263"/>
      <c r="N1200" s="263"/>
      <c r="O1200" s="263"/>
      <c r="P1200" s="263"/>
      <c r="Q1200" s="263"/>
      <c r="R1200" s="263"/>
      <c r="S1200" s="263"/>
      <c r="T1200" s="263"/>
      <c r="U1200" s="246"/>
      <c r="V1200" s="246"/>
      <c r="W1200" s="246"/>
      <c r="X1200" s="246"/>
      <c r="Y1200" s="246"/>
      <c r="Z1200" s="246"/>
    </row>
    <row r="1201">
      <c r="A1201" s="263"/>
      <c r="B1201" s="267"/>
      <c r="C1201" s="263"/>
      <c r="D1201" s="263"/>
      <c r="E1201" s="263"/>
      <c r="F1201" s="268"/>
      <c r="G1201" s="263"/>
      <c r="H1201" s="267"/>
      <c r="I1201" s="263"/>
      <c r="J1201" s="263"/>
      <c r="K1201" s="263"/>
      <c r="L1201" s="263"/>
      <c r="M1201" s="263"/>
      <c r="N1201" s="263"/>
      <c r="O1201" s="263"/>
      <c r="P1201" s="263"/>
      <c r="Q1201" s="263"/>
      <c r="R1201" s="263"/>
      <c r="S1201" s="263"/>
      <c r="T1201" s="263"/>
      <c r="U1201" s="246"/>
      <c r="V1201" s="246"/>
      <c r="W1201" s="246"/>
      <c r="X1201" s="246"/>
      <c r="Y1201" s="246"/>
      <c r="Z1201" s="246"/>
    </row>
    <row r="1202">
      <c r="A1202" s="263"/>
      <c r="B1202" s="267"/>
      <c r="C1202" s="263"/>
      <c r="D1202" s="263"/>
      <c r="E1202" s="263"/>
      <c r="F1202" s="268"/>
      <c r="G1202" s="263"/>
      <c r="H1202" s="267"/>
      <c r="I1202" s="263"/>
      <c r="J1202" s="263"/>
      <c r="K1202" s="263"/>
      <c r="L1202" s="263"/>
      <c r="M1202" s="263"/>
      <c r="N1202" s="263"/>
      <c r="O1202" s="263"/>
      <c r="P1202" s="263"/>
      <c r="Q1202" s="263"/>
      <c r="R1202" s="263"/>
      <c r="S1202" s="263"/>
      <c r="T1202" s="263"/>
      <c r="U1202" s="246"/>
      <c r="V1202" s="246"/>
      <c r="W1202" s="246"/>
      <c r="X1202" s="246"/>
      <c r="Y1202" s="246"/>
      <c r="Z1202" s="246"/>
    </row>
    <row r="1203">
      <c r="A1203" s="263"/>
      <c r="B1203" s="267"/>
      <c r="C1203" s="263"/>
      <c r="D1203" s="263"/>
      <c r="E1203" s="263"/>
      <c r="F1203" s="268"/>
      <c r="G1203" s="263"/>
      <c r="H1203" s="267"/>
      <c r="I1203" s="263"/>
      <c r="J1203" s="263"/>
      <c r="K1203" s="263"/>
      <c r="L1203" s="263"/>
      <c r="M1203" s="263"/>
      <c r="N1203" s="263"/>
      <c r="O1203" s="263"/>
      <c r="P1203" s="263"/>
      <c r="Q1203" s="263"/>
      <c r="R1203" s="263"/>
      <c r="S1203" s="263"/>
      <c r="T1203" s="263"/>
      <c r="U1203" s="246"/>
      <c r="V1203" s="246"/>
      <c r="W1203" s="246"/>
      <c r="X1203" s="246"/>
      <c r="Y1203" s="246"/>
      <c r="Z1203" s="246"/>
    </row>
    <row r="1204">
      <c r="A1204" s="263"/>
      <c r="B1204" s="267"/>
      <c r="C1204" s="263"/>
      <c r="D1204" s="263"/>
      <c r="E1204" s="263"/>
      <c r="F1204" s="268"/>
      <c r="G1204" s="263"/>
      <c r="H1204" s="267"/>
      <c r="I1204" s="263"/>
      <c r="J1204" s="263"/>
      <c r="K1204" s="263"/>
      <c r="L1204" s="263"/>
      <c r="M1204" s="263"/>
      <c r="N1204" s="263"/>
      <c r="O1204" s="263"/>
      <c r="P1204" s="263"/>
      <c r="Q1204" s="263"/>
      <c r="R1204" s="263"/>
      <c r="S1204" s="263"/>
      <c r="T1204" s="263"/>
      <c r="U1204" s="246"/>
      <c r="V1204" s="246"/>
      <c r="W1204" s="246"/>
      <c r="X1204" s="246"/>
      <c r="Y1204" s="246"/>
      <c r="Z1204" s="246"/>
    </row>
    <row r="1205">
      <c r="A1205" s="263"/>
      <c r="B1205" s="267"/>
      <c r="C1205" s="263"/>
      <c r="D1205" s="263"/>
      <c r="E1205" s="263"/>
      <c r="F1205" s="268"/>
      <c r="G1205" s="263"/>
      <c r="H1205" s="267"/>
      <c r="I1205" s="263"/>
      <c r="J1205" s="263"/>
      <c r="K1205" s="263"/>
      <c r="L1205" s="263"/>
      <c r="M1205" s="263"/>
      <c r="N1205" s="263"/>
      <c r="O1205" s="263"/>
      <c r="P1205" s="263"/>
      <c r="Q1205" s="263"/>
      <c r="R1205" s="263"/>
      <c r="S1205" s="263"/>
      <c r="T1205" s="263"/>
      <c r="U1205" s="246"/>
      <c r="V1205" s="246"/>
      <c r="W1205" s="246"/>
      <c r="X1205" s="246"/>
      <c r="Y1205" s="246"/>
      <c r="Z1205" s="246"/>
    </row>
    <row r="1206">
      <c r="A1206" s="263"/>
      <c r="B1206" s="267"/>
      <c r="C1206" s="263"/>
      <c r="D1206" s="263"/>
      <c r="E1206" s="263"/>
      <c r="F1206" s="268"/>
      <c r="G1206" s="263"/>
      <c r="H1206" s="267"/>
      <c r="I1206" s="263"/>
      <c r="J1206" s="263"/>
      <c r="K1206" s="263"/>
      <c r="L1206" s="263"/>
      <c r="M1206" s="263"/>
      <c r="N1206" s="263"/>
      <c r="O1206" s="263"/>
      <c r="P1206" s="263"/>
      <c r="Q1206" s="263"/>
      <c r="R1206" s="263"/>
      <c r="S1206" s="263"/>
      <c r="T1206" s="263"/>
      <c r="U1206" s="246"/>
      <c r="V1206" s="246"/>
      <c r="W1206" s="246"/>
      <c r="X1206" s="246"/>
      <c r="Y1206" s="246"/>
      <c r="Z1206" s="246"/>
    </row>
    <row r="1207">
      <c r="A1207" s="263"/>
      <c r="B1207" s="267"/>
      <c r="C1207" s="263"/>
      <c r="D1207" s="263"/>
      <c r="E1207" s="263"/>
      <c r="F1207" s="268"/>
      <c r="G1207" s="263"/>
      <c r="H1207" s="267"/>
      <c r="I1207" s="263"/>
      <c r="J1207" s="263"/>
      <c r="K1207" s="263"/>
      <c r="L1207" s="263"/>
      <c r="M1207" s="263"/>
      <c r="N1207" s="263"/>
      <c r="O1207" s="263"/>
      <c r="P1207" s="263"/>
      <c r="Q1207" s="263"/>
      <c r="R1207" s="263"/>
      <c r="S1207" s="263"/>
      <c r="T1207" s="263"/>
      <c r="U1207" s="246"/>
      <c r="V1207" s="246"/>
      <c r="W1207" s="246"/>
      <c r="X1207" s="246"/>
      <c r="Y1207" s="246"/>
      <c r="Z1207" s="246"/>
    </row>
    <row r="1208">
      <c r="A1208" s="263"/>
      <c r="B1208" s="267"/>
      <c r="C1208" s="263"/>
      <c r="D1208" s="263"/>
      <c r="E1208" s="263"/>
      <c r="F1208" s="268"/>
      <c r="G1208" s="263"/>
      <c r="H1208" s="267"/>
      <c r="I1208" s="263"/>
      <c r="J1208" s="263"/>
      <c r="K1208" s="263"/>
      <c r="L1208" s="263"/>
      <c r="M1208" s="263"/>
      <c r="N1208" s="263"/>
      <c r="O1208" s="263"/>
      <c r="P1208" s="263"/>
      <c r="Q1208" s="263"/>
      <c r="R1208" s="263"/>
      <c r="S1208" s="263"/>
      <c r="T1208" s="263"/>
      <c r="U1208" s="246"/>
      <c r="V1208" s="246"/>
      <c r="W1208" s="246"/>
      <c r="X1208" s="246"/>
      <c r="Y1208" s="246"/>
      <c r="Z1208" s="246"/>
    </row>
    <row r="1209">
      <c r="A1209" s="263"/>
      <c r="B1209" s="267"/>
      <c r="C1209" s="263"/>
      <c r="D1209" s="263"/>
      <c r="E1209" s="263"/>
      <c r="F1209" s="268"/>
      <c r="G1209" s="263"/>
      <c r="H1209" s="267"/>
      <c r="I1209" s="263"/>
      <c r="J1209" s="263"/>
      <c r="K1209" s="263"/>
      <c r="L1209" s="263"/>
      <c r="M1209" s="263"/>
      <c r="N1209" s="263"/>
      <c r="O1209" s="263"/>
      <c r="P1209" s="263"/>
      <c r="Q1209" s="263"/>
      <c r="R1209" s="263"/>
      <c r="S1209" s="263"/>
      <c r="T1209" s="263"/>
      <c r="U1209" s="246"/>
      <c r="V1209" s="246"/>
      <c r="W1209" s="246"/>
      <c r="X1209" s="246"/>
      <c r="Y1209" s="246"/>
      <c r="Z1209" s="246"/>
    </row>
    <row r="1210">
      <c r="A1210" s="263"/>
      <c r="B1210" s="267"/>
      <c r="C1210" s="263"/>
      <c r="D1210" s="263"/>
      <c r="E1210" s="263"/>
      <c r="F1210" s="268"/>
      <c r="G1210" s="263"/>
      <c r="H1210" s="267"/>
      <c r="I1210" s="263"/>
      <c r="J1210" s="263"/>
      <c r="K1210" s="263"/>
      <c r="L1210" s="263"/>
      <c r="M1210" s="263"/>
      <c r="N1210" s="263"/>
      <c r="O1210" s="263"/>
      <c r="P1210" s="263"/>
      <c r="Q1210" s="263"/>
      <c r="R1210" s="263"/>
      <c r="S1210" s="263"/>
      <c r="T1210" s="263"/>
      <c r="U1210" s="246"/>
      <c r="V1210" s="246"/>
      <c r="W1210" s="246"/>
      <c r="X1210" s="246"/>
      <c r="Y1210" s="246"/>
      <c r="Z1210" s="246"/>
    </row>
    <row r="1211">
      <c r="A1211" s="263"/>
      <c r="B1211" s="267"/>
      <c r="C1211" s="263"/>
      <c r="D1211" s="263"/>
      <c r="E1211" s="263"/>
      <c r="F1211" s="268"/>
      <c r="G1211" s="263"/>
      <c r="H1211" s="267"/>
      <c r="I1211" s="263"/>
      <c r="J1211" s="263"/>
      <c r="K1211" s="263"/>
      <c r="L1211" s="263"/>
      <c r="M1211" s="263"/>
      <c r="N1211" s="263"/>
      <c r="O1211" s="263"/>
      <c r="P1211" s="263"/>
      <c r="Q1211" s="263"/>
      <c r="R1211" s="263"/>
      <c r="S1211" s="263"/>
      <c r="T1211" s="263"/>
      <c r="U1211" s="246"/>
      <c r="V1211" s="246"/>
      <c r="W1211" s="246"/>
      <c r="X1211" s="246"/>
      <c r="Y1211" s="246"/>
      <c r="Z1211" s="246"/>
    </row>
    <row r="1212">
      <c r="A1212" s="263"/>
      <c r="B1212" s="267"/>
      <c r="C1212" s="263"/>
      <c r="D1212" s="263"/>
      <c r="E1212" s="263"/>
      <c r="F1212" s="268"/>
      <c r="G1212" s="263"/>
      <c r="H1212" s="267"/>
      <c r="I1212" s="263"/>
      <c r="J1212" s="263"/>
      <c r="K1212" s="263"/>
      <c r="L1212" s="263"/>
      <c r="M1212" s="263"/>
      <c r="N1212" s="263"/>
      <c r="O1212" s="263"/>
      <c r="P1212" s="263"/>
      <c r="Q1212" s="263"/>
      <c r="R1212" s="263"/>
      <c r="S1212" s="263"/>
      <c r="T1212" s="263"/>
      <c r="U1212" s="246"/>
      <c r="V1212" s="246"/>
      <c r="W1212" s="246"/>
      <c r="X1212" s="246"/>
      <c r="Y1212" s="246"/>
      <c r="Z1212" s="246"/>
    </row>
    <row r="1213">
      <c r="A1213" s="263"/>
      <c r="B1213" s="267"/>
      <c r="C1213" s="263"/>
      <c r="D1213" s="263"/>
      <c r="E1213" s="263"/>
      <c r="F1213" s="268"/>
      <c r="G1213" s="263"/>
      <c r="H1213" s="267"/>
      <c r="I1213" s="263"/>
      <c r="J1213" s="263"/>
      <c r="K1213" s="263"/>
      <c r="L1213" s="263"/>
      <c r="M1213" s="263"/>
      <c r="N1213" s="263"/>
      <c r="O1213" s="263"/>
      <c r="P1213" s="263"/>
      <c r="Q1213" s="263"/>
      <c r="R1213" s="263"/>
      <c r="S1213" s="263"/>
      <c r="T1213" s="263"/>
      <c r="U1213" s="246"/>
      <c r="V1213" s="246"/>
      <c r="W1213" s="246"/>
      <c r="X1213" s="246"/>
      <c r="Y1213" s="246"/>
      <c r="Z1213" s="246"/>
    </row>
    <row r="1214">
      <c r="A1214" s="263"/>
      <c r="B1214" s="267"/>
      <c r="C1214" s="263"/>
      <c r="D1214" s="263"/>
      <c r="E1214" s="263"/>
      <c r="F1214" s="268"/>
      <c r="G1214" s="263"/>
      <c r="H1214" s="267"/>
      <c r="I1214" s="263"/>
      <c r="J1214" s="263"/>
      <c r="K1214" s="263"/>
      <c r="L1214" s="263"/>
      <c r="M1214" s="263"/>
      <c r="N1214" s="263"/>
      <c r="O1214" s="263"/>
      <c r="P1214" s="263"/>
      <c r="Q1214" s="263"/>
      <c r="R1214" s="263"/>
      <c r="S1214" s="263"/>
      <c r="T1214" s="263"/>
      <c r="U1214" s="246"/>
      <c r="V1214" s="246"/>
      <c r="W1214" s="246"/>
      <c r="X1214" s="246"/>
      <c r="Y1214" s="246"/>
      <c r="Z1214" s="246"/>
    </row>
    <row r="1215">
      <c r="A1215" s="263"/>
      <c r="B1215" s="267"/>
      <c r="C1215" s="263"/>
      <c r="D1215" s="263"/>
      <c r="E1215" s="263"/>
      <c r="F1215" s="268"/>
      <c r="G1215" s="263"/>
      <c r="H1215" s="267"/>
      <c r="I1215" s="263"/>
      <c r="J1215" s="263"/>
      <c r="K1215" s="263"/>
      <c r="L1215" s="263"/>
      <c r="M1215" s="263"/>
      <c r="N1215" s="263"/>
      <c r="O1215" s="263"/>
      <c r="P1215" s="263"/>
      <c r="Q1215" s="263"/>
      <c r="R1215" s="263"/>
      <c r="S1215" s="263"/>
      <c r="T1215" s="263"/>
      <c r="U1215" s="246"/>
      <c r="V1215" s="246"/>
      <c r="W1215" s="246"/>
      <c r="X1215" s="246"/>
      <c r="Y1215" s="246"/>
      <c r="Z1215" s="246"/>
    </row>
    <row r="1216">
      <c r="A1216" s="263"/>
      <c r="B1216" s="267"/>
      <c r="C1216" s="263"/>
      <c r="D1216" s="263"/>
      <c r="E1216" s="263"/>
      <c r="F1216" s="268"/>
      <c r="G1216" s="263"/>
      <c r="H1216" s="267"/>
      <c r="I1216" s="263"/>
      <c r="J1216" s="263"/>
      <c r="K1216" s="263"/>
      <c r="L1216" s="263"/>
      <c r="M1216" s="263"/>
      <c r="N1216" s="263"/>
      <c r="O1216" s="263"/>
      <c r="P1216" s="263"/>
      <c r="Q1216" s="263"/>
      <c r="R1216" s="263"/>
      <c r="S1216" s="263"/>
      <c r="T1216" s="263"/>
      <c r="U1216" s="246"/>
      <c r="V1216" s="246"/>
      <c r="W1216" s="246"/>
      <c r="X1216" s="246"/>
      <c r="Y1216" s="246"/>
      <c r="Z1216" s="246"/>
    </row>
    <row r="1217">
      <c r="A1217" s="263"/>
      <c r="B1217" s="267"/>
      <c r="C1217" s="263"/>
      <c r="D1217" s="263"/>
      <c r="E1217" s="263"/>
      <c r="F1217" s="268"/>
      <c r="G1217" s="263"/>
      <c r="H1217" s="267"/>
      <c r="I1217" s="263"/>
      <c r="J1217" s="263"/>
      <c r="K1217" s="263"/>
      <c r="L1217" s="263"/>
      <c r="M1217" s="263"/>
      <c r="N1217" s="263"/>
      <c r="O1217" s="263"/>
      <c r="P1217" s="263"/>
      <c r="Q1217" s="263"/>
      <c r="R1217" s="263"/>
      <c r="S1217" s="263"/>
      <c r="T1217" s="263"/>
      <c r="U1217" s="246"/>
      <c r="V1217" s="246"/>
      <c r="W1217" s="246"/>
      <c r="X1217" s="246"/>
      <c r="Y1217" s="246"/>
      <c r="Z1217" s="246"/>
    </row>
    <row r="1218">
      <c r="A1218" s="263"/>
      <c r="B1218" s="267"/>
      <c r="C1218" s="263"/>
      <c r="D1218" s="263"/>
      <c r="E1218" s="263"/>
      <c r="F1218" s="268"/>
      <c r="G1218" s="263"/>
      <c r="H1218" s="267"/>
      <c r="I1218" s="263"/>
      <c r="J1218" s="263"/>
      <c r="K1218" s="263"/>
      <c r="L1218" s="263"/>
      <c r="M1218" s="263"/>
      <c r="N1218" s="263"/>
      <c r="O1218" s="263"/>
      <c r="P1218" s="263"/>
      <c r="Q1218" s="263"/>
      <c r="R1218" s="263"/>
      <c r="S1218" s="263"/>
      <c r="T1218" s="263"/>
      <c r="U1218" s="246"/>
      <c r="V1218" s="246"/>
      <c r="W1218" s="246"/>
      <c r="X1218" s="246"/>
      <c r="Y1218" s="246"/>
      <c r="Z1218" s="246"/>
    </row>
    <row r="1219">
      <c r="A1219" s="263"/>
      <c r="B1219" s="267"/>
      <c r="C1219" s="263"/>
      <c r="D1219" s="263"/>
      <c r="E1219" s="263"/>
      <c r="F1219" s="268"/>
      <c r="G1219" s="263"/>
      <c r="H1219" s="267"/>
      <c r="I1219" s="263"/>
      <c r="J1219" s="263"/>
      <c r="K1219" s="263"/>
      <c r="L1219" s="263"/>
      <c r="M1219" s="263"/>
      <c r="N1219" s="263"/>
      <c r="O1219" s="263"/>
      <c r="P1219" s="263"/>
      <c r="Q1219" s="263"/>
      <c r="R1219" s="263"/>
      <c r="S1219" s="263"/>
      <c r="T1219" s="263"/>
      <c r="U1219" s="246"/>
      <c r="V1219" s="246"/>
      <c r="W1219" s="246"/>
      <c r="X1219" s="246"/>
      <c r="Y1219" s="246"/>
      <c r="Z1219" s="246"/>
    </row>
    <row r="1220">
      <c r="A1220" s="263"/>
      <c r="B1220" s="267"/>
      <c r="C1220" s="263"/>
      <c r="D1220" s="263"/>
      <c r="E1220" s="263"/>
      <c r="F1220" s="268"/>
      <c r="G1220" s="263"/>
      <c r="H1220" s="267"/>
      <c r="I1220" s="263"/>
      <c r="J1220" s="263"/>
      <c r="K1220" s="263"/>
      <c r="L1220" s="263"/>
      <c r="M1220" s="263"/>
      <c r="N1220" s="263"/>
      <c r="O1220" s="263"/>
      <c r="P1220" s="263"/>
      <c r="Q1220" s="263"/>
      <c r="R1220" s="263"/>
      <c r="S1220" s="263"/>
      <c r="T1220" s="263"/>
      <c r="U1220" s="246"/>
      <c r="V1220" s="246"/>
      <c r="W1220" s="246"/>
      <c r="X1220" s="246"/>
      <c r="Y1220" s="246"/>
      <c r="Z1220" s="246"/>
    </row>
    <row r="1221">
      <c r="A1221" s="263"/>
      <c r="B1221" s="267"/>
      <c r="C1221" s="263"/>
      <c r="D1221" s="263"/>
      <c r="E1221" s="263"/>
      <c r="F1221" s="268"/>
      <c r="G1221" s="263"/>
      <c r="H1221" s="267"/>
      <c r="I1221" s="263"/>
      <c r="J1221" s="263"/>
      <c r="K1221" s="263"/>
      <c r="L1221" s="263"/>
      <c r="M1221" s="263"/>
      <c r="N1221" s="263"/>
      <c r="O1221" s="263"/>
      <c r="P1221" s="263"/>
      <c r="Q1221" s="263"/>
      <c r="R1221" s="263"/>
      <c r="S1221" s="263"/>
      <c r="T1221" s="263"/>
      <c r="U1221" s="246"/>
      <c r="V1221" s="246"/>
      <c r="W1221" s="246"/>
      <c r="X1221" s="246"/>
      <c r="Y1221" s="246"/>
      <c r="Z1221" s="246"/>
    </row>
    <row r="1222">
      <c r="A1222" s="263"/>
      <c r="B1222" s="267"/>
      <c r="C1222" s="263"/>
      <c r="D1222" s="263"/>
      <c r="E1222" s="263"/>
      <c r="F1222" s="268"/>
      <c r="G1222" s="263"/>
      <c r="H1222" s="267"/>
      <c r="I1222" s="263"/>
      <c r="J1222" s="263"/>
      <c r="K1222" s="263"/>
      <c r="L1222" s="263"/>
      <c r="M1222" s="263"/>
      <c r="N1222" s="263"/>
      <c r="O1222" s="263"/>
      <c r="P1222" s="263"/>
      <c r="Q1222" s="263"/>
      <c r="R1222" s="263"/>
      <c r="S1222" s="263"/>
      <c r="T1222" s="263"/>
      <c r="U1222" s="246"/>
      <c r="V1222" s="246"/>
      <c r="W1222" s="246"/>
      <c r="X1222" s="246"/>
      <c r="Y1222" s="246"/>
      <c r="Z1222" s="246"/>
    </row>
    <row r="1223">
      <c r="A1223" s="263"/>
      <c r="B1223" s="267"/>
      <c r="C1223" s="263"/>
      <c r="D1223" s="263"/>
      <c r="E1223" s="263"/>
      <c r="F1223" s="268"/>
      <c r="G1223" s="263"/>
      <c r="H1223" s="267"/>
      <c r="I1223" s="263"/>
      <c r="J1223" s="263"/>
      <c r="K1223" s="263"/>
      <c r="L1223" s="263"/>
      <c r="M1223" s="263"/>
      <c r="N1223" s="263"/>
      <c r="O1223" s="263"/>
      <c r="P1223" s="263"/>
      <c r="Q1223" s="263"/>
      <c r="R1223" s="263"/>
      <c r="S1223" s="263"/>
      <c r="T1223" s="263"/>
      <c r="U1223" s="246"/>
      <c r="V1223" s="246"/>
      <c r="W1223" s="246"/>
      <c r="X1223" s="246"/>
      <c r="Y1223" s="246"/>
      <c r="Z1223" s="246"/>
    </row>
    <row r="1224">
      <c r="A1224" s="263"/>
      <c r="B1224" s="267"/>
      <c r="C1224" s="263"/>
      <c r="D1224" s="263"/>
      <c r="E1224" s="263"/>
      <c r="F1224" s="268"/>
      <c r="G1224" s="263"/>
      <c r="H1224" s="267"/>
      <c r="I1224" s="263"/>
      <c r="J1224" s="263"/>
      <c r="K1224" s="263"/>
      <c r="L1224" s="263"/>
      <c r="M1224" s="263"/>
      <c r="N1224" s="263"/>
      <c r="O1224" s="263"/>
      <c r="P1224" s="263"/>
      <c r="Q1224" s="263"/>
      <c r="R1224" s="263"/>
      <c r="S1224" s="263"/>
      <c r="T1224" s="263"/>
      <c r="U1224" s="246"/>
      <c r="V1224" s="246"/>
      <c r="W1224" s="246"/>
      <c r="X1224" s="246"/>
      <c r="Y1224" s="246"/>
      <c r="Z1224" s="246"/>
    </row>
    <row r="1225">
      <c r="A1225" s="263"/>
      <c r="B1225" s="267"/>
      <c r="C1225" s="263"/>
      <c r="D1225" s="263"/>
      <c r="E1225" s="263"/>
      <c r="F1225" s="268"/>
      <c r="G1225" s="263"/>
      <c r="H1225" s="267"/>
      <c r="I1225" s="263"/>
      <c r="J1225" s="263"/>
      <c r="K1225" s="263"/>
      <c r="L1225" s="263"/>
      <c r="M1225" s="263"/>
      <c r="N1225" s="263"/>
      <c r="O1225" s="263"/>
      <c r="P1225" s="263"/>
      <c r="Q1225" s="263"/>
      <c r="R1225" s="263"/>
      <c r="S1225" s="263"/>
      <c r="T1225" s="263"/>
      <c r="U1225" s="246"/>
      <c r="V1225" s="246"/>
      <c r="W1225" s="246"/>
      <c r="X1225" s="246"/>
      <c r="Y1225" s="246"/>
      <c r="Z1225" s="246"/>
    </row>
    <row r="1226">
      <c r="A1226" s="263"/>
      <c r="B1226" s="267"/>
      <c r="C1226" s="263"/>
      <c r="D1226" s="263"/>
      <c r="E1226" s="263"/>
      <c r="F1226" s="268"/>
      <c r="G1226" s="263"/>
      <c r="H1226" s="267"/>
      <c r="I1226" s="263"/>
      <c r="J1226" s="263"/>
      <c r="K1226" s="263"/>
      <c r="L1226" s="263"/>
      <c r="M1226" s="263"/>
      <c r="N1226" s="263"/>
      <c r="O1226" s="263"/>
      <c r="P1226" s="263"/>
      <c r="Q1226" s="263"/>
      <c r="R1226" s="263"/>
      <c r="S1226" s="263"/>
      <c r="T1226" s="263"/>
      <c r="U1226" s="246"/>
      <c r="V1226" s="246"/>
      <c r="W1226" s="246"/>
      <c r="X1226" s="246"/>
      <c r="Y1226" s="246"/>
      <c r="Z1226" s="246"/>
    </row>
    <row r="1227">
      <c r="A1227" s="263"/>
      <c r="B1227" s="267"/>
      <c r="C1227" s="263"/>
      <c r="D1227" s="263"/>
      <c r="E1227" s="263"/>
      <c r="F1227" s="268"/>
      <c r="G1227" s="263"/>
      <c r="H1227" s="267"/>
      <c r="I1227" s="263"/>
      <c r="J1227" s="263"/>
      <c r="K1227" s="263"/>
      <c r="L1227" s="263"/>
      <c r="M1227" s="263"/>
      <c r="N1227" s="263"/>
      <c r="O1227" s="263"/>
      <c r="P1227" s="263"/>
      <c r="Q1227" s="263"/>
      <c r="R1227" s="263"/>
      <c r="S1227" s="263"/>
      <c r="T1227" s="263"/>
      <c r="U1227" s="246"/>
      <c r="V1227" s="246"/>
      <c r="W1227" s="246"/>
      <c r="X1227" s="246"/>
      <c r="Y1227" s="246"/>
      <c r="Z1227" s="246"/>
    </row>
    <row r="1228">
      <c r="A1228" s="263"/>
      <c r="B1228" s="267"/>
      <c r="C1228" s="263"/>
      <c r="D1228" s="263"/>
      <c r="E1228" s="263"/>
      <c r="F1228" s="268"/>
      <c r="G1228" s="263"/>
      <c r="H1228" s="267"/>
      <c r="I1228" s="263"/>
      <c r="J1228" s="263"/>
      <c r="K1228" s="263"/>
      <c r="L1228" s="263"/>
      <c r="M1228" s="263"/>
      <c r="N1228" s="263"/>
      <c r="O1228" s="263"/>
      <c r="P1228" s="263"/>
      <c r="Q1228" s="263"/>
      <c r="R1228" s="263"/>
      <c r="S1228" s="263"/>
      <c r="T1228" s="263"/>
      <c r="U1228" s="246"/>
      <c r="V1228" s="246"/>
      <c r="W1228" s="246"/>
      <c r="X1228" s="246"/>
      <c r="Y1228" s="246"/>
      <c r="Z1228" s="246"/>
    </row>
    <row r="1229">
      <c r="A1229" s="263"/>
      <c r="B1229" s="267"/>
      <c r="C1229" s="263"/>
      <c r="D1229" s="263"/>
      <c r="E1229" s="263"/>
      <c r="F1229" s="268"/>
      <c r="G1229" s="263"/>
      <c r="H1229" s="267"/>
      <c r="I1229" s="263"/>
      <c r="J1229" s="263"/>
      <c r="K1229" s="263"/>
      <c r="L1229" s="263"/>
      <c r="M1229" s="263"/>
      <c r="N1229" s="263"/>
      <c r="O1229" s="263"/>
      <c r="P1229" s="263"/>
      <c r="Q1229" s="263"/>
      <c r="R1229" s="263"/>
      <c r="S1229" s="263"/>
      <c r="T1229" s="263"/>
      <c r="U1229" s="246"/>
      <c r="V1229" s="246"/>
      <c r="W1229" s="246"/>
      <c r="X1229" s="246"/>
      <c r="Y1229" s="246"/>
      <c r="Z1229" s="246"/>
    </row>
    <row r="1230">
      <c r="A1230" s="263"/>
      <c r="B1230" s="267"/>
      <c r="C1230" s="263"/>
      <c r="D1230" s="263"/>
      <c r="E1230" s="263"/>
      <c r="F1230" s="268"/>
      <c r="G1230" s="263"/>
      <c r="H1230" s="267"/>
      <c r="I1230" s="263"/>
      <c r="J1230" s="263"/>
      <c r="K1230" s="263"/>
      <c r="L1230" s="263"/>
      <c r="M1230" s="263"/>
      <c r="N1230" s="263"/>
      <c r="O1230" s="263"/>
      <c r="P1230" s="263"/>
      <c r="Q1230" s="263"/>
      <c r="R1230" s="263"/>
      <c r="S1230" s="263"/>
      <c r="T1230" s="263"/>
      <c r="U1230" s="246"/>
      <c r="V1230" s="246"/>
      <c r="W1230" s="246"/>
      <c r="X1230" s="246"/>
      <c r="Y1230" s="246"/>
      <c r="Z1230" s="246"/>
    </row>
    <row r="1231">
      <c r="A1231" s="263"/>
      <c r="B1231" s="267"/>
      <c r="C1231" s="263"/>
      <c r="D1231" s="263"/>
      <c r="E1231" s="263"/>
      <c r="F1231" s="268"/>
      <c r="G1231" s="263"/>
      <c r="H1231" s="267"/>
      <c r="I1231" s="263"/>
      <c r="J1231" s="263"/>
      <c r="K1231" s="263"/>
      <c r="L1231" s="263"/>
      <c r="M1231" s="263"/>
      <c r="N1231" s="263"/>
      <c r="O1231" s="263"/>
      <c r="P1231" s="263"/>
      <c r="Q1231" s="263"/>
      <c r="R1231" s="263"/>
      <c r="S1231" s="263"/>
      <c r="T1231" s="263"/>
      <c r="U1231" s="246"/>
      <c r="V1231" s="246"/>
      <c r="W1231" s="246"/>
      <c r="X1231" s="246"/>
      <c r="Y1231" s="246"/>
      <c r="Z1231" s="246"/>
    </row>
    <row r="1232">
      <c r="A1232" s="263"/>
      <c r="B1232" s="267"/>
      <c r="C1232" s="263"/>
      <c r="D1232" s="263"/>
      <c r="E1232" s="263"/>
      <c r="F1232" s="268"/>
      <c r="G1232" s="263"/>
      <c r="H1232" s="267"/>
      <c r="I1232" s="263"/>
      <c r="J1232" s="263"/>
      <c r="K1232" s="263"/>
      <c r="L1232" s="263"/>
      <c r="M1232" s="263"/>
      <c r="N1232" s="263"/>
      <c r="O1232" s="263"/>
      <c r="P1232" s="263"/>
      <c r="Q1232" s="263"/>
      <c r="R1232" s="263"/>
      <c r="S1232" s="263"/>
      <c r="T1232" s="263"/>
      <c r="U1232" s="246"/>
      <c r="V1232" s="246"/>
      <c r="W1232" s="246"/>
      <c r="X1232" s="246"/>
      <c r="Y1232" s="246"/>
      <c r="Z1232" s="246"/>
    </row>
    <row r="1233">
      <c r="A1233" s="263"/>
      <c r="B1233" s="267"/>
      <c r="C1233" s="263"/>
      <c r="D1233" s="263"/>
      <c r="E1233" s="263"/>
      <c r="F1233" s="268"/>
      <c r="G1233" s="263"/>
      <c r="H1233" s="267"/>
      <c r="I1233" s="263"/>
      <c r="J1233" s="263"/>
      <c r="K1233" s="263"/>
      <c r="L1233" s="263"/>
      <c r="M1233" s="263"/>
      <c r="N1233" s="263"/>
      <c r="O1233" s="263"/>
      <c r="P1233" s="263"/>
      <c r="Q1233" s="263"/>
      <c r="R1233" s="263"/>
      <c r="S1233" s="263"/>
      <c r="T1233" s="263"/>
      <c r="U1233" s="246"/>
      <c r="V1233" s="246"/>
      <c r="W1233" s="246"/>
      <c r="X1233" s="246"/>
      <c r="Y1233" s="246"/>
      <c r="Z1233" s="246"/>
    </row>
    <row r="1234">
      <c r="A1234" s="263"/>
      <c r="B1234" s="267"/>
      <c r="C1234" s="263"/>
      <c r="D1234" s="263"/>
      <c r="E1234" s="263"/>
      <c r="F1234" s="268"/>
      <c r="G1234" s="263"/>
      <c r="H1234" s="267"/>
      <c r="I1234" s="263"/>
      <c r="J1234" s="263"/>
      <c r="K1234" s="263"/>
      <c r="L1234" s="263"/>
      <c r="M1234" s="263"/>
      <c r="N1234" s="263"/>
      <c r="O1234" s="263"/>
      <c r="P1234" s="263"/>
      <c r="Q1234" s="263"/>
      <c r="R1234" s="263"/>
      <c r="S1234" s="263"/>
      <c r="T1234" s="263"/>
      <c r="U1234" s="246"/>
      <c r="V1234" s="246"/>
      <c r="W1234" s="246"/>
      <c r="X1234" s="246"/>
      <c r="Y1234" s="246"/>
      <c r="Z1234" s="246"/>
    </row>
    <row r="1235">
      <c r="A1235" s="263"/>
      <c r="B1235" s="267"/>
      <c r="C1235" s="263"/>
      <c r="D1235" s="263"/>
      <c r="E1235" s="263"/>
      <c r="F1235" s="268"/>
      <c r="G1235" s="263"/>
      <c r="H1235" s="267"/>
      <c r="I1235" s="263"/>
      <c r="J1235" s="263"/>
      <c r="K1235" s="263"/>
      <c r="L1235" s="263"/>
      <c r="M1235" s="263"/>
      <c r="N1235" s="263"/>
      <c r="O1235" s="263"/>
      <c r="P1235" s="263"/>
      <c r="Q1235" s="263"/>
      <c r="R1235" s="263"/>
      <c r="S1235" s="263"/>
      <c r="T1235" s="263"/>
      <c r="U1235" s="246"/>
      <c r="V1235" s="246"/>
      <c r="W1235" s="246"/>
      <c r="X1235" s="246"/>
      <c r="Y1235" s="246"/>
      <c r="Z1235" s="246"/>
    </row>
    <row r="1236">
      <c r="A1236" s="263"/>
      <c r="B1236" s="267"/>
      <c r="C1236" s="263"/>
      <c r="D1236" s="263"/>
      <c r="E1236" s="263"/>
      <c r="F1236" s="268"/>
      <c r="G1236" s="263"/>
      <c r="H1236" s="267"/>
      <c r="I1236" s="263"/>
      <c r="J1236" s="263"/>
      <c r="K1236" s="263"/>
      <c r="L1236" s="263"/>
      <c r="M1236" s="263"/>
      <c r="N1236" s="263"/>
      <c r="O1236" s="263"/>
      <c r="P1236" s="263"/>
      <c r="Q1236" s="263"/>
      <c r="R1236" s="263"/>
      <c r="S1236" s="263"/>
      <c r="T1236" s="263"/>
      <c r="U1236" s="246"/>
      <c r="V1236" s="246"/>
      <c r="W1236" s="246"/>
      <c r="X1236" s="246"/>
      <c r="Y1236" s="246"/>
      <c r="Z1236" s="246"/>
    </row>
    <row r="1237">
      <c r="A1237" s="263"/>
      <c r="B1237" s="267"/>
      <c r="C1237" s="263"/>
      <c r="D1237" s="263"/>
      <c r="E1237" s="263"/>
      <c r="F1237" s="268"/>
      <c r="G1237" s="263"/>
      <c r="H1237" s="267"/>
      <c r="I1237" s="263"/>
      <c r="J1237" s="263"/>
      <c r="K1237" s="263"/>
      <c r="L1237" s="263"/>
      <c r="M1237" s="263"/>
      <c r="N1237" s="263"/>
      <c r="O1237" s="263"/>
      <c r="P1237" s="263"/>
      <c r="Q1237" s="263"/>
      <c r="R1237" s="263"/>
      <c r="S1237" s="263"/>
      <c r="T1237" s="263"/>
      <c r="U1237" s="246"/>
      <c r="V1237" s="246"/>
      <c r="W1237" s="246"/>
      <c r="X1237" s="246"/>
      <c r="Y1237" s="246"/>
      <c r="Z1237" s="246"/>
    </row>
    <row r="1238">
      <c r="A1238" s="263"/>
      <c r="B1238" s="267"/>
      <c r="C1238" s="263"/>
      <c r="D1238" s="263"/>
      <c r="E1238" s="263"/>
      <c r="F1238" s="268"/>
      <c r="G1238" s="263"/>
      <c r="H1238" s="267"/>
      <c r="I1238" s="263"/>
      <c r="J1238" s="263"/>
      <c r="K1238" s="263"/>
      <c r="L1238" s="263"/>
      <c r="M1238" s="263"/>
      <c r="N1238" s="263"/>
      <c r="O1238" s="263"/>
      <c r="P1238" s="263"/>
      <c r="Q1238" s="263"/>
      <c r="R1238" s="263"/>
      <c r="S1238" s="263"/>
      <c r="T1238" s="263"/>
      <c r="U1238" s="246"/>
      <c r="V1238" s="246"/>
      <c r="W1238" s="246"/>
      <c r="X1238" s="246"/>
      <c r="Y1238" s="246"/>
      <c r="Z1238" s="246"/>
    </row>
    <row r="1239">
      <c r="A1239" s="263"/>
      <c r="B1239" s="267"/>
      <c r="C1239" s="263"/>
      <c r="D1239" s="263"/>
      <c r="E1239" s="263"/>
      <c r="F1239" s="268"/>
      <c r="G1239" s="263"/>
      <c r="H1239" s="267"/>
      <c r="I1239" s="263"/>
      <c r="J1239" s="263"/>
      <c r="K1239" s="263"/>
      <c r="L1239" s="263"/>
      <c r="M1239" s="263"/>
      <c r="N1239" s="263"/>
      <c r="O1239" s="263"/>
      <c r="P1239" s="263"/>
      <c r="Q1239" s="263"/>
      <c r="R1239" s="263"/>
      <c r="S1239" s="263"/>
      <c r="T1239" s="263"/>
      <c r="U1239" s="246"/>
      <c r="V1239" s="246"/>
      <c r="W1239" s="246"/>
      <c r="X1239" s="246"/>
      <c r="Y1239" s="246"/>
      <c r="Z1239" s="246"/>
    </row>
    <row r="1240">
      <c r="A1240" s="263"/>
      <c r="B1240" s="267"/>
      <c r="C1240" s="263"/>
      <c r="D1240" s="263"/>
      <c r="E1240" s="263"/>
      <c r="F1240" s="268"/>
      <c r="G1240" s="263"/>
      <c r="H1240" s="267"/>
      <c r="I1240" s="263"/>
      <c r="J1240" s="263"/>
      <c r="K1240" s="263"/>
      <c r="L1240" s="263"/>
      <c r="M1240" s="263"/>
      <c r="N1240" s="263"/>
      <c r="O1240" s="263"/>
      <c r="P1240" s="263"/>
      <c r="Q1240" s="263"/>
      <c r="R1240" s="263"/>
      <c r="S1240" s="263"/>
      <c r="T1240" s="263"/>
      <c r="U1240" s="246"/>
      <c r="V1240" s="246"/>
      <c r="W1240" s="246"/>
      <c r="X1240" s="246"/>
      <c r="Y1240" s="246"/>
      <c r="Z1240" s="246"/>
    </row>
    <row r="1241">
      <c r="A1241" s="263"/>
      <c r="B1241" s="267"/>
      <c r="C1241" s="263"/>
      <c r="D1241" s="263"/>
      <c r="E1241" s="263"/>
      <c r="F1241" s="268"/>
      <c r="G1241" s="263"/>
      <c r="H1241" s="267"/>
      <c r="I1241" s="263"/>
      <c r="J1241" s="263"/>
      <c r="K1241" s="263"/>
      <c r="L1241" s="263"/>
      <c r="M1241" s="263"/>
      <c r="N1241" s="263"/>
      <c r="O1241" s="263"/>
      <c r="P1241" s="263"/>
      <c r="Q1241" s="263"/>
      <c r="R1241" s="263"/>
      <c r="S1241" s="263"/>
      <c r="T1241" s="263"/>
      <c r="U1241" s="246"/>
      <c r="V1241" s="246"/>
      <c r="W1241" s="246"/>
      <c r="X1241" s="246"/>
      <c r="Y1241" s="246"/>
      <c r="Z1241" s="246"/>
    </row>
    <row r="1242">
      <c r="A1242" s="263"/>
      <c r="B1242" s="267"/>
      <c r="C1242" s="263"/>
      <c r="D1242" s="263"/>
      <c r="E1242" s="263"/>
      <c r="F1242" s="268"/>
      <c r="G1242" s="263"/>
      <c r="H1242" s="267"/>
      <c r="I1242" s="263"/>
      <c r="J1242" s="263"/>
      <c r="K1242" s="263"/>
      <c r="L1242" s="263"/>
      <c r="M1242" s="263"/>
      <c r="N1242" s="263"/>
      <c r="O1242" s="263"/>
      <c r="P1242" s="263"/>
      <c r="Q1242" s="263"/>
      <c r="R1242" s="263"/>
      <c r="S1242" s="263"/>
      <c r="T1242" s="263"/>
      <c r="U1242" s="246"/>
      <c r="V1242" s="246"/>
      <c r="W1242" s="246"/>
      <c r="X1242" s="246"/>
      <c r="Y1242" s="246"/>
      <c r="Z1242" s="246"/>
    </row>
    <row r="1243">
      <c r="A1243" s="263"/>
      <c r="B1243" s="267"/>
      <c r="C1243" s="263"/>
      <c r="D1243" s="263"/>
      <c r="E1243" s="263"/>
      <c r="F1243" s="268"/>
      <c r="G1243" s="263"/>
      <c r="H1243" s="267"/>
      <c r="I1243" s="263"/>
      <c r="J1243" s="263"/>
      <c r="K1243" s="263"/>
      <c r="L1243" s="263"/>
      <c r="M1243" s="263"/>
      <c r="N1243" s="263"/>
      <c r="O1243" s="263"/>
      <c r="P1243" s="263"/>
      <c r="Q1243" s="263"/>
      <c r="R1243" s="263"/>
      <c r="S1243" s="263"/>
      <c r="T1243" s="263"/>
      <c r="U1243" s="246"/>
      <c r="V1243" s="246"/>
      <c r="W1243" s="246"/>
      <c r="X1243" s="246"/>
      <c r="Y1243" s="246"/>
      <c r="Z1243" s="246"/>
    </row>
    <row r="1244">
      <c r="A1244" s="263"/>
      <c r="B1244" s="267"/>
      <c r="C1244" s="263"/>
      <c r="D1244" s="263"/>
      <c r="E1244" s="263"/>
      <c r="F1244" s="268"/>
      <c r="G1244" s="263"/>
      <c r="H1244" s="267"/>
      <c r="I1244" s="263"/>
      <c r="J1244" s="263"/>
      <c r="K1244" s="263"/>
      <c r="L1244" s="263"/>
      <c r="M1244" s="263"/>
      <c r="N1244" s="263"/>
      <c r="O1244" s="263"/>
      <c r="P1244" s="263"/>
      <c r="Q1244" s="263"/>
      <c r="R1244" s="263"/>
      <c r="S1244" s="263"/>
      <c r="T1244" s="263"/>
      <c r="U1244" s="246"/>
      <c r="V1244" s="246"/>
      <c r="W1244" s="246"/>
      <c r="X1244" s="246"/>
      <c r="Y1244" s="246"/>
      <c r="Z1244" s="246"/>
    </row>
    <row r="1245">
      <c r="A1245" s="263"/>
      <c r="B1245" s="267"/>
      <c r="C1245" s="263"/>
      <c r="D1245" s="263"/>
      <c r="E1245" s="263"/>
      <c r="F1245" s="268"/>
      <c r="G1245" s="263"/>
      <c r="H1245" s="267"/>
      <c r="I1245" s="263"/>
      <c r="J1245" s="263"/>
      <c r="K1245" s="263"/>
      <c r="L1245" s="263"/>
      <c r="M1245" s="263"/>
      <c r="N1245" s="263"/>
      <c r="O1245" s="263"/>
      <c r="P1245" s="263"/>
      <c r="Q1245" s="263"/>
      <c r="R1245" s="263"/>
      <c r="S1245" s="263"/>
      <c r="T1245" s="263"/>
      <c r="U1245" s="246"/>
      <c r="V1245" s="246"/>
      <c r="W1245" s="246"/>
      <c r="X1245" s="246"/>
      <c r="Y1245" s="246"/>
      <c r="Z1245" s="246"/>
    </row>
    <row r="1246">
      <c r="A1246" s="263"/>
      <c r="B1246" s="267"/>
      <c r="C1246" s="263"/>
      <c r="D1246" s="263"/>
      <c r="E1246" s="263"/>
      <c r="F1246" s="268"/>
      <c r="G1246" s="263"/>
      <c r="H1246" s="267"/>
      <c r="I1246" s="263"/>
      <c r="J1246" s="263"/>
      <c r="K1246" s="263"/>
      <c r="L1246" s="263"/>
      <c r="M1246" s="263"/>
      <c r="N1246" s="263"/>
      <c r="O1246" s="263"/>
      <c r="P1246" s="263"/>
      <c r="Q1246" s="263"/>
      <c r="R1246" s="263"/>
      <c r="S1246" s="263"/>
      <c r="T1246" s="263"/>
      <c r="U1246" s="246"/>
      <c r="V1246" s="246"/>
      <c r="W1246" s="246"/>
      <c r="X1246" s="246"/>
      <c r="Y1246" s="246"/>
      <c r="Z1246" s="246"/>
    </row>
    <row r="1247">
      <c r="A1247" s="263"/>
      <c r="B1247" s="267"/>
      <c r="C1247" s="263"/>
      <c r="D1247" s="263"/>
      <c r="E1247" s="263"/>
      <c r="F1247" s="268"/>
      <c r="G1247" s="263"/>
      <c r="H1247" s="267"/>
      <c r="I1247" s="263"/>
      <c r="J1247" s="263"/>
      <c r="K1247" s="263"/>
      <c r="L1247" s="263"/>
      <c r="M1247" s="263"/>
      <c r="N1247" s="263"/>
      <c r="O1247" s="263"/>
      <c r="P1247" s="263"/>
      <c r="Q1247" s="263"/>
      <c r="R1247" s="263"/>
      <c r="S1247" s="263"/>
      <c r="T1247" s="263"/>
      <c r="U1247" s="246"/>
      <c r="V1247" s="246"/>
      <c r="W1247" s="246"/>
      <c r="X1247" s="246"/>
      <c r="Y1247" s="246"/>
      <c r="Z1247" s="246"/>
    </row>
    <row r="1248">
      <c r="A1248" s="263"/>
      <c r="B1248" s="267"/>
      <c r="C1248" s="263"/>
      <c r="D1248" s="263"/>
      <c r="E1248" s="263"/>
      <c r="F1248" s="268"/>
      <c r="G1248" s="263"/>
      <c r="H1248" s="267"/>
      <c r="I1248" s="263"/>
      <c r="J1248" s="263"/>
      <c r="K1248" s="263"/>
      <c r="L1248" s="263"/>
      <c r="M1248" s="263"/>
      <c r="N1248" s="263"/>
      <c r="O1248" s="263"/>
      <c r="P1248" s="263"/>
      <c r="Q1248" s="263"/>
      <c r="R1248" s="263"/>
      <c r="S1248" s="263"/>
      <c r="T1248" s="263"/>
      <c r="U1248" s="246"/>
      <c r="V1248" s="246"/>
      <c r="W1248" s="246"/>
      <c r="X1248" s="246"/>
      <c r="Y1248" s="246"/>
      <c r="Z1248" s="246"/>
    </row>
    <row r="1249">
      <c r="A1249" s="263"/>
      <c r="B1249" s="267"/>
      <c r="C1249" s="263"/>
      <c r="D1249" s="263"/>
      <c r="E1249" s="263"/>
      <c r="F1249" s="268"/>
      <c r="G1249" s="263"/>
      <c r="H1249" s="267"/>
      <c r="I1249" s="263"/>
      <c r="J1249" s="263"/>
      <c r="K1249" s="263"/>
      <c r="L1249" s="263"/>
      <c r="M1249" s="263"/>
      <c r="N1249" s="263"/>
      <c r="O1249" s="263"/>
      <c r="P1249" s="263"/>
      <c r="Q1249" s="263"/>
      <c r="R1249" s="263"/>
      <c r="S1249" s="263"/>
      <c r="T1249" s="263"/>
      <c r="U1249" s="246"/>
      <c r="V1249" s="246"/>
      <c r="W1249" s="246"/>
      <c r="X1249" s="246"/>
      <c r="Y1249" s="246"/>
      <c r="Z1249" s="246"/>
    </row>
    <row r="1250">
      <c r="A1250" s="263"/>
      <c r="B1250" s="267"/>
      <c r="C1250" s="263"/>
      <c r="D1250" s="263"/>
      <c r="E1250" s="263"/>
      <c r="F1250" s="268"/>
      <c r="G1250" s="263"/>
      <c r="H1250" s="267"/>
      <c r="I1250" s="263"/>
      <c r="J1250" s="263"/>
      <c r="K1250" s="263"/>
      <c r="L1250" s="263"/>
      <c r="M1250" s="263"/>
      <c r="N1250" s="263"/>
      <c r="O1250" s="263"/>
      <c r="P1250" s="263"/>
      <c r="Q1250" s="263"/>
      <c r="R1250" s="263"/>
      <c r="S1250" s="263"/>
      <c r="T1250" s="263"/>
      <c r="U1250" s="246"/>
      <c r="V1250" s="246"/>
      <c r="W1250" s="246"/>
      <c r="X1250" s="246"/>
      <c r="Y1250" s="246"/>
      <c r="Z1250" s="246"/>
    </row>
    <row r="1251">
      <c r="A1251" s="263"/>
      <c r="B1251" s="267"/>
      <c r="C1251" s="263"/>
      <c r="D1251" s="263"/>
      <c r="E1251" s="263"/>
      <c r="F1251" s="268"/>
      <c r="G1251" s="263"/>
      <c r="H1251" s="267"/>
      <c r="I1251" s="263"/>
      <c r="J1251" s="263"/>
      <c r="K1251" s="263"/>
      <c r="L1251" s="263"/>
      <c r="M1251" s="263"/>
      <c r="N1251" s="263"/>
      <c r="O1251" s="263"/>
      <c r="P1251" s="263"/>
      <c r="Q1251" s="263"/>
      <c r="R1251" s="263"/>
      <c r="S1251" s="263"/>
      <c r="T1251" s="263"/>
      <c r="U1251" s="246"/>
      <c r="V1251" s="246"/>
      <c r="W1251" s="246"/>
      <c r="X1251" s="246"/>
      <c r="Y1251" s="246"/>
      <c r="Z1251" s="246"/>
    </row>
    <row r="1252">
      <c r="A1252" s="263"/>
      <c r="B1252" s="267"/>
      <c r="C1252" s="263"/>
      <c r="D1252" s="263"/>
      <c r="E1252" s="263"/>
      <c r="F1252" s="268"/>
      <c r="G1252" s="263"/>
      <c r="H1252" s="267"/>
      <c r="I1252" s="263"/>
      <c r="J1252" s="263"/>
      <c r="K1252" s="263"/>
      <c r="L1252" s="263"/>
      <c r="M1252" s="263"/>
      <c r="N1252" s="263"/>
      <c r="O1252" s="263"/>
      <c r="P1252" s="263"/>
      <c r="Q1252" s="263"/>
      <c r="R1252" s="263"/>
      <c r="S1252" s="263"/>
      <c r="T1252" s="263"/>
      <c r="U1252" s="246"/>
      <c r="V1252" s="246"/>
      <c r="W1252" s="246"/>
      <c r="X1252" s="246"/>
      <c r="Y1252" s="246"/>
      <c r="Z1252" s="246"/>
    </row>
    <row r="1253">
      <c r="A1253" s="263"/>
      <c r="B1253" s="267"/>
      <c r="C1253" s="263"/>
      <c r="D1253" s="263"/>
      <c r="E1253" s="263"/>
      <c r="F1253" s="268"/>
      <c r="G1253" s="263"/>
      <c r="H1253" s="267"/>
      <c r="I1253" s="263"/>
      <c r="J1253" s="263"/>
      <c r="K1253" s="263"/>
      <c r="L1253" s="263"/>
      <c r="M1253" s="263"/>
      <c r="N1253" s="263"/>
      <c r="O1253" s="263"/>
      <c r="P1253" s="263"/>
      <c r="Q1253" s="263"/>
      <c r="R1253" s="263"/>
      <c r="S1253" s="263"/>
      <c r="T1253" s="263"/>
      <c r="U1253" s="246"/>
      <c r="V1253" s="246"/>
      <c r="W1253" s="246"/>
      <c r="X1253" s="246"/>
      <c r="Y1253" s="246"/>
      <c r="Z1253" s="246"/>
    </row>
    <row r="1254">
      <c r="A1254" s="263"/>
      <c r="B1254" s="267"/>
      <c r="C1254" s="263"/>
      <c r="D1254" s="263"/>
      <c r="E1254" s="263"/>
      <c r="F1254" s="268"/>
      <c r="G1254" s="263"/>
      <c r="H1254" s="267"/>
      <c r="I1254" s="263"/>
      <c r="J1254" s="263"/>
      <c r="K1254" s="263"/>
      <c r="L1254" s="263"/>
      <c r="M1254" s="263"/>
      <c r="N1254" s="263"/>
      <c r="O1254" s="263"/>
      <c r="P1254" s="263"/>
      <c r="Q1254" s="263"/>
      <c r="R1254" s="263"/>
      <c r="S1254" s="263"/>
      <c r="T1254" s="263"/>
      <c r="U1254" s="246"/>
      <c r="V1254" s="246"/>
      <c r="W1254" s="246"/>
      <c r="X1254" s="246"/>
      <c r="Y1254" s="246"/>
      <c r="Z1254" s="246"/>
    </row>
    <row r="1255">
      <c r="A1255" s="263"/>
      <c r="B1255" s="267"/>
      <c r="C1255" s="263"/>
      <c r="D1255" s="263"/>
      <c r="E1255" s="263"/>
      <c r="F1255" s="268"/>
      <c r="G1255" s="263"/>
      <c r="H1255" s="267"/>
      <c r="I1255" s="263"/>
      <c r="J1255" s="263"/>
      <c r="K1255" s="263"/>
      <c r="L1255" s="263"/>
      <c r="M1255" s="263"/>
      <c r="N1255" s="263"/>
      <c r="O1255" s="263"/>
      <c r="P1255" s="263"/>
      <c r="Q1255" s="263"/>
      <c r="R1255" s="263"/>
      <c r="S1255" s="263"/>
      <c r="T1255" s="263"/>
      <c r="U1255" s="246"/>
      <c r="V1255" s="246"/>
      <c r="W1255" s="246"/>
      <c r="X1255" s="246"/>
      <c r="Y1255" s="246"/>
      <c r="Z1255" s="246"/>
    </row>
    <row r="1256">
      <c r="A1256" s="263"/>
      <c r="B1256" s="267"/>
      <c r="C1256" s="263"/>
      <c r="D1256" s="263"/>
      <c r="E1256" s="263"/>
      <c r="F1256" s="268"/>
      <c r="G1256" s="263"/>
      <c r="H1256" s="267"/>
      <c r="I1256" s="263"/>
      <c r="J1256" s="263"/>
      <c r="K1256" s="263"/>
      <c r="L1256" s="263"/>
      <c r="M1256" s="263"/>
      <c r="N1256" s="263"/>
      <c r="O1256" s="263"/>
      <c r="P1256" s="263"/>
      <c r="Q1256" s="263"/>
      <c r="R1256" s="263"/>
      <c r="S1256" s="263"/>
      <c r="T1256" s="263"/>
      <c r="U1256" s="246"/>
      <c r="V1256" s="246"/>
      <c r="W1256" s="246"/>
      <c r="X1256" s="246"/>
      <c r="Y1256" s="246"/>
      <c r="Z1256" s="246"/>
    </row>
    <row r="1257">
      <c r="A1257" s="263"/>
      <c r="B1257" s="267"/>
      <c r="C1257" s="263"/>
      <c r="D1257" s="263"/>
      <c r="E1257" s="263"/>
      <c r="F1257" s="268"/>
      <c r="G1257" s="263"/>
      <c r="H1257" s="267"/>
      <c r="I1257" s="263"/>
      <c r="J1257" s="263"/>
      <c r="K1257" s="263"/>
      <c r="L1257" s="263"/>
      <c r="M1257" s="263"/>
      <c r="N1257" s="263"/>
      <c r="O1257" s="263"/>
      <c r="P1257" s="263"/>
      <c r="Q1257" s="263"/>
      <c r="R1257" s="263"/>
      <c r="S1257" s="263"/>
      <c r="T1257" s="263"/>
      <c r="U1257" s="246"/>
      <c r="V1257" s="246"/>
      <c r="W1257" s="246"/>
      <c r="X1257" s="246"/>
      <c r="Y1257" s="246"/>
      <c r="Z1257" s="246"/>
    </row>
    <row r="1258">
      <c r="A1258" s="263"/>
      <c r="B1258" s="267"/>
      <c r="C1258" s="263"/>
      <c r="D1258" s="263"/>
      <c r="E1258" s="263"/>
      <c r="F1258" s="268"/>
      <c r="G1258" s="263"/>
      <c r="H1258" s="267"/>
      <c r="I1258" s="263"/>
      <c r="J1258" s="263"/>
      <c r="K1258" s="263"/>
      <c r="L1258" s="263"/>
      <c r="M1258" s="263"/>
      <c r="N1258" s="263"/>
      <c r="O1258" s="263"/>
      <c r="P1258" s="263"/>
      <c r="Q1258" s="263"/>
      <c r="R1258" s="263"/>
      <c r="S1258" s="263"/>
      <c r="T1258" s="263"/>
      <c r="U1258" s="246"/>
      <c r="V1258" s="246"/>
      <c r="W1258" s="246"/>
      <c r="X1258" s="246"/>
      <c r="Y1258" s="246"/>
      <c r="Z1258" s="246"/>
    </row>
    <row r="1259">
      <c r="A1259" s="263"/>
      <c r="B1259" s="267"/>
      <c r="C1259" s="263"/>
      <c r="D1259" s="263"/>
      <c r="E1259" s="263"/>
      <c r="F1259" s="268"/>
      <c r="G1259" s="263"/>
      <c r="H1259" s="267"/>
      <c r="I1259" s="263"/>
      <c r="J1259" s="263"/>
      <c r="K1259" s="263"/>
      <c r="L1259" s="263"/>
      <c r="M1259" s="263"/>
      <c r="N1259" s="263"/>
      <c r="O1259" s="263"/>
      <c r="P1259" s="263"/>
      <c r="Q1259" s="263"/>
      <c r="R1259" s="263"/>
      <c r="S1259" s="263"/>
      <c r="T1259" s="263"/>
      <c r="U1259" s="246"/>
      <c r="V1259" s="246"/>
      <c r="W1259" s="246"/>
      <c r="X1259" s="246"/>
      <c r="Y1259" s="246"/>
      <c r="Z1259" s="246"/>
    </row>
    <row r="1260">
      <c r="A1260" s="263"/>
      <c r="B1260" s="267"/>
      <c r="C1260" s="263"/>
      <c r="D1260" s="263"/>
      <c r="E1260" s="263"/>
      <c r="F1260" s="268"/>
      <c r="G1260" s="263"/>
      <c r="H1260" s="267"/>
      <c r="I1260" s="263"/>
      <c r="J1260" s="263"/>
      <c r="K1260" s="263"/>
      <c r="L1260" s="263"/>
      <c r="M1260" s="263"/>
      <c r="N1260" s="263"/>
      <c r="O1260" s="263"/>
      <c r="P1260" s="263"/>
      <c r="Q1260" s="263"/>
      <c r="R1260" s="263"/>
      <c r="S1260" s="263"/>
      <c r="T1260" s="263"/>
      <c r="U1260" s="246"/>
      <c r="V1260" s="246"/>
      <c r="W1260" s="246"/>
      <c r="X1260" s="246"/>
      <c r="Y1260" s="246"/>
      <c r="Z1260" s="246"/>
    </row>
    <row r="1261">
      <c r="A1261" s="263"/>
      <c r="B1261" s="267"/>
      <c r="C1261" s="263"/>
      <c r="D1261" s="263"/>
      <c r="E1261" s="263"/>
      <c r="F1261" s="268"/>
      <c r="G1261" s="263"/>
      <c r="H1261" s="267"/>
      <c r="I1261" s="263"/>
      <c r="J1261" s="263"/>
      <c r="K1261" s="263"/>
      <c r="L1261" s="263"/>
      <c r="M1261" s="263"/>
      <c r="N1261" s="263"/>
      <c r="O1261" s="263"/>
      <c r="P1261" s="263"/>
      <c r="Q1261" s="263"/>
      <c r="R1261" s="263"/>
      <c r="S1261" s="263"/>
      <c r="T1261" s="263"/>
      <c r="U1261" s="246"/>
      <c r="V1261" s="246"/>
      <c r="W1261" s="246"/>
      <c r="X1261" s="246"/>
      <c r="Y1261" s="246"/>
      <c r="Z1261" s="246"/>
    </row>
    <row r="1262">
      <c r="A1262" s="263"/>
      <c r="B1262" s="267"/>
      <c r="C1262" s="263"/>
      <c r="D1262" s="263"/>
      <c r="E1262" s="263"/>
      <c r="F1262" s="268"/>
      <c r="G1262" s="263"/>
      <c r="H1262" s="267"/>
      <c r="I1262" s="263"/>
      <c r="J1262" s="263"/>
      <c r="K1262" s="263"/>
      <c r="L1262" s="263"/>
      <c r="M1262" s="263"/>
      <c r="N1262" s="263"/>
      <c r="O1262" s="263"/>
      <c r="P1262" s="263"/>
      <c r="Q1262" s="263"/>
      <c r="R1262" s="263"/>
      <c r="S1262" s="263"/>
      <c r="T1262" s="263"/>
      <c r="U1262" s="246"/>
      <c r="V1262" s="246"/>
      <c r="W1262" s="246"/>
      <c r="X1262" s="246"/>
      <c r="Y1262" s="246"/>
      <c r="Z1262" s="246"/>
    </row>
    <row r="1263">
      <c r="A1263" s="263"/>
      <c r="B1263" s="267"/>
      <c r="C1263" s="263"/>
      <c r="D1263" s="263"/>
      <c r="E1263" s="263"/>
      <c r="F1263" s="268"/>
      <c r="G1263" s="263"/>
      <c r="H1263" s="267"/>
      <c r="I1263" s="263"/>
      <c r="J1263" s="263"/>
      <c r="K1263" s="263"/>
      <c r="L1263" s="263"/>
      <c r="M1263" s="263"/>
      <c r="N1263" s="263"/>
      <c r="O1263" s="263"/>
      <c r="P1263" s="263"/>
      <c r="Q1263" s="263"/>
      <c r="R1263" s="263"/>
      <c r="S1263" s="263"/>
      <c r="T1263" s="263"/>
      <c r="U1263" s="246"/>
      <c r="V1263" s="246"/>
      <c r="W1263" s="246"/>
      <c r="X1263" s="246"/>
      <c r="Y1263" s="246"/>
      <c r="Z1263" s="246"/>
    </row>
    <row r="1264">
      <c r="A1264" s="263"/>
      <c r="B1264" s="267"/>
      <c r="C1264" s="263"/>
      <c r="D1264" s="263"/>
      <c r="E1264" s="263"/>
      <c r="F1264" s="268"/>
      <c r="G1264" s="263"/>
      <c r="H1264" s="267"/>
      <c r="I1264" s="263"/>
      <c r="J1264" s="263"/>
      <c r="K1264" s="263"/>
      <c r="L1264" s="263"/>
      <c r="M1264" s="263"/>
      <c r="N1264" s="263"/>
      <c r="O1264" s="263"/>
      <c r="P1264" s="263"/>
      <c r="Q1264" s="263"/>
      <c r="R1264" s="263"/>
      <c r="S1264" s="263"/>
      <c r="T1264" s="263"/>
      <c r="U1264" s="246"/>
      <c r="V1264" s="246"/>
      <c r="W1264" s="246"/>
      <c r="X1264" s="246"/>
      <c r="Y1264" s="246"/>
      <c r="Z1264" s="246"/>
    </row>
    <row r="1265">
      <c r="A1265" s="263"/>
      <c r="B1265" s="267"/>
      <c r="C1265" s="263"/>
      <c r="D1265" s="263"/>
      <c r="E1265" s="263"/>
      <c r="F1265" s="268"/>
      <c r="G1265" s="263"/>
      <c r="H1265" s="267"/>
      <c r="I1265" s="263"/>
      <c r="J1265" s="263"/>
      <c r="K1265" s="263"/>
      <c r="L1265" s="263"/>
      <c r="M1265" s="263"/>
      <c r="N1265" s="263"/>
      <c r="O1265" s="263"/>
      <c r="P1265" s="263"/>
      <c r="Q1265" s="263"/>
      <c r="R1265" s="263"/>
      <c r="S1265" s="263"/>
      <c r="T1265" s="263"/>
      <c r="U1265" s="246"/>
      <c r="V1265" s="246"/>
      <c r="W1265" s="246"/>
      <c r="X1265" s="246"/>
      <c r="Y1265" s="246"/>
      <c r="Z1265" s="246"/>
    </row>
    <row r="1266">
      <c r="A1266" s="263"/>
      <c r="B1266" s="267"/>
      <c r="C1266" s="263"/>
      <c r="D1266" s="263"/>
      <c r="E1266" s="263"/>
      <c r="F1266" s="268"/>
      <c r="G1266" s="263"/>
      <c r="H1266" s="267"/>
      <c r="I1266" s="263"/>
      <c r="J1266" s="263"/>
      <c r="K1266" s="263"/>
      <c r="L1266" s="263"/>
      <c r="M1266" s="263"/>
      <c r="N1266" s="263"/>
      <c r="O1266" s="263"/>
      <c r="P1266" s="263"/>
      <c r="Q1266" s="263"/>
      <c r="R1266" s="263"/>
      <c r="S1266" s="263"/>
      <c r="T1266" s="263"/>
      <c r="U1266" s="246"/>
      <c r="V1266" s="246"/>
      <c r="W1266" s="246"/>
      <c r="X1266" s="246"/>
      <c r="Y1266" s="246"/>
      <c r="Z1266" s="246"/>
    </row>
    <row r="1267">
      <c r="A1267" s="263"/>
      <c r="B1267" s="267"/>
      <c r="C1267" s="263"/>
      <c r="D1267" s="263"/>
      <c r="E1267" s="263"/>
      <c r="F1267" s="268"/>
      <c r="G1267" s="263"/>
      <c r="H1267" s="267"/>
      <c r="I1267" s="263"/>
      <c r="J1267" s="263"/>
      <c r="K1267" s="263"/>
      <c r="L1267" s="263"/>
      <c r="M1267" s="263"/>
      <c r="N1267" s="263"/>
      <c r="O1267" s="263"/>
      <c r="P1267" s="263"/>
      <c r="Q1267" s="263"/>
      <c r="R1267" s="263"/>
      <c r="S1267" s="263"/>
      <c r="T1267" s="263"/>
      <c r="U1267" s="246"/>
      <c r="V1267" s="246"/>
      <c r="W1267" s="246"/>
      <c r="X1267" s="246"/>
      <c r="Y1267" s="246"/>
      <c r="Z1267" s="246"/>
    </row>
    <row r="1268">
      <c r="A1268" s="263"/>
      <c r="B1268" s="267"/>
      <c r="C1268" s="263"/>
      <c r="D1268" s="263"/>
      <c r="E1268" s="263"/>
      <c r="F1268" s="268"/>
      <c r="G1268" s="263"/>
      <c r="H1268" s="267"/>
      <c r="I1268" s="263"/>
      <c r="J1268" s="263"/>
      <c r="K1268" s="263"/>
      <c r="L1268" s="263"/>
      <c r="M1268" s="263"/>
      <c r="N1268" s="263"/>
      <c r="O1268" s="263"/>
      <c r="P1268" s="263"/>
      <c r="Q1268" s="263"/>
      <c r="R1268" s="263"/>
      <c r="S1268" s="263"/>
      <c r="T1268" s="263"/>
      <c r="U1268" s="246"/>
      <c r="V1268" s="246"/>
      <c r="W1268" s="246"/>
      <c r="X1268" s="246"/>
      <c r="Y1268" s="246"/>
      <c r="Z1268" s="246"/>
    </row>
    <row r="1269">
      <c r="A1269" s="263"/>
      <c r="B1269" s="267"/>
      <c r="C1269" s="263"/>
      <c r="D1269" s="263"/>
      <c r="E1269" s="263"/>
      <c r="F1269" s="268"/>
      <c r="G1269" s="263"/>
      <c r="H1269" s="267"/>
      <c r="I1269" s="263"/>
      <c r="J1269" s="263"/>
      <c r="K1269" s="263"/>
      <c r="L1269" s="263"/>
      <c r="M1269" s="263"/>
      <c r="N1269" s="263"/>
      <c r="O1269" s="263"/>
      <c r="P1269" s="263"/>
      <c r="Q1269" s="263"/>
      <c r="R1269" s="263"/>
      <c r="S1269" s="263"/>
      <c r="T1269" s="263"/>
      <c r="U1269" s="246"/>
      <c r="V1269" s="246"/>
      <c r="W1269" s="246"/>
      <c r="X1269" s="246"/>
      <c r="Y1269" s="246"/>
      <c r="Z1269" s="246"/>
    </row>
    <row r="1270">
      <c r="A1270" s="263"/>
      <c r="B1270" s="267"/>
      <c r="C1270" s="263"/>
      <c r="D1270" s="263"/>
      <c r="E1270" s="263"/>
      <c r="F1270" s="268"/>
      <c r="G1270" s="263"/>
      <c r="H1270" s="267"/>
      <c r="I1270" s="263"/>
      <c r="J1270" s="263"/>
      <c r="K1270" s="263"/>
      <c r="L1270" s="263"/>
      <c r="M1270" s="263"/>
      <c r="N1270" s="263"/>
      <c r="O1270" s="263"/>
      <c r="P1270" s="263"/>
      <c r="Q1270" s="263"/>
      <c r="R1270" s="263"/>
      <c r="S1270" s="263"/>
      <c r="T1270" s="263"/>
      <c r="U1270" s="246"/>
      <c r="V1270" s="246"/>
      <c r="W1270" s="246"/>
      <c r="X1270" s="246"/>
      <c r="Y1270" s="246"/>
      <c r="Z1270" s="246"/>
    </row>
    <row r="1271">
      <c r="A1271" s="263"/>
      <c r="B1271" s="267"/>
      <c r="C1271" s="263"/>
      <c r="D1271" s="263"/>
      <c r="E1271" s="263"/>
      <c r="F1271" s="268"/>
      <c r="G1271" s="263"/>
      <c r="H1271" s="267"/>
      <c r="I1271" s="263"/>
      <c r="J1271" s="263"/>
      <c r="K1271" s="263"/>
      <c r="L1271" s="263"/>
      <c r="M1271" s="263"/>
      <c r="N1271" s="263"/>
      <c r="O1271" s="263"/>
      <c r="P1271" s="263"/>
      <c r="Q1271" s="263"/>
      <c r="R1271" s="263"/>
      <c r="S1271" s="263"/>
      <c r="T1271" s="263"/>
      <c r="U1271" s="246"/>
      <c r="V1271" s="246"/>
      <c r="W1271" s="246"/>
      <c r="X1271" s="246"/>
      <c r="Y1271" s="246"/>
      <c r="Z1271" s="246"/>
    </row>
    <row r="1272">
      <c r="A1272" s="263"/>
      <c r="B1272" s="267"/>
      <c r="C1272" s="263"/>
      <c r="D1272" s="263"/>
      <c r="E1272" s="263"/>
      <c r="F1272" s="268"/>
      <c r="G1272" s="263"/>
      <c r="H1272" s="267"/>
      <c r="I1272" s="263"/>
      <c r="J1272" s="263"/>
      <c r="K1272" s="263"/>
      <c r="L1272" s="263"/>
      <c r="M1272" s="263"/>
      <c r="N1272" s="263"/>
      <c r="O1272" s="263"/>
      <c r="P1272" s="263"/>
      <c r="Q1272" s="263"/>
      <c r="R1272" s="263"/>
      <c r="S1272" s="263"/>
      <c r="T1272" s="263"/>
      <c r="U1272" s="246"/>
      <c r="V1272" s="246"/>
      <c r="W1272" s="246"/>
      <c r="X1272" s="246"/>
      <c r="Y1272" s="246"/>
      <c r="Z1272" s="246"/>
    </row>
    <row r="1273">
      <c r="A1273" s="263"/>
      <c r="B1273" s="267"/>
      <c r="C1273" s="263"/>
      <c r="D1273" s="263"/>
      <c r="E1273" s="263"/>
      <c r="F1273" s="268"/>
      <c r="G1273" s="263"/>
      <c r="H1273" s="267"/>
      <c r="I1273" s="263"/>
      <c r="J1273" s="263"/>
      <c r="K1273" s="263"/>
      <c r="L1273" s="263"/>
      <c r="M1273" s="263"/>
      <c r="N1273" s="263"/>
      <c r="O1273" s="263"/>
      <c r="P1273" s="263"/>
      <c r="Q1273" s="263"/>
      <c r="R1273" s="263"/>
      <c r="S1273" s="263"/>
      <c r="T1273" s="263"/>
      <c r="U1273" s="246"/>
      <c r="V1273" s="246"/>
      <c r="W1273" s="246"/>
      <c r="X1273" s="246"/>
      <c r="Y1273" s="246"/>
      <c r="Z1273" s="246"/>
    </row>
    <row r="1274">
      <c r="A1274" s="263"/>
      <c r="B1274" s="267"/>
      <c r="C1274" s="263"/>
      <c r="D1274" s="263"/>
      <c r="E1274" s="263"/>
      <c r="F1274" s="268"/>
      <c r="G1274" s="263"/>
      <c r="H1274" s="267"/>
      <c r="I1274" s="263"/>
      <c r="J1274" s="263"/>
      <c r="K1274" s="263"/>
      <c r="L1274" s="263"/>
      <c r="M1274" s="263"/>
      <c r="N1274" s="263"/>
      <c r="O1274" s="263"/>
      <c r="P1274" s="263"/>
      <c r="Q1274" s="263"/>
      <c r="R1274" s="263"/>
      <c r="S1274" s="263"/>
      <c r="T1274" s="263"/>
      <c r="U1274" s="246"/>
      <c r="V1274" s="246"/>
      <c r="W1274" s="246"/>
      <c r="X1274" s="246"/>
      <c r="Y1274" s="246"/>
      <c r="Z1274" s="246"/>
    </row>
    <row r="1275">
      <c r="A1275" s="263"/>
      <c r="B1275" s="267"/>
      <c r="C1275" s="263"/>
      <c r="D1275" s="263"/>
      <c r="E1275" s="263"/>
      <c r="F1275" s="268"/>
      <c r="G1275" s="263"/>
      <c r="H1275" s="267"/>
      <c r="I1275" s="263"/>
      <c r="J1275" s="263"/>
      <c r="K1275" s="263"/>
      <c r="L1275" s="263"/>
      <c r="M1275" s="263"/>
      <c r="N1275" s="263"/>
      <c r="O1275" s="263"/>
      <c r="P1275" s="263"/>
      <c r="Q1275" s="263"/>
      <c r="R1275" s="263"/>
      <c r="S1275" s="263"/>
      <c r="T1275" s="263"/>
      <c r="U1275" s="246"/>
      <c r="V1275" s="246"/>
      <c r="W1275" s="246"/>
      <c r="X1275" s="246"/>
      <c r="Y1275" s="246"/>
      <c r="Z1275" s="246"/>
    </row>
    <row r="1276">
      <c r="A1276" s="263"/>
      <c r="B1276" s="267"/>
      <c r="C1276" s="263"/>
      <c r="D1276" s="263"/>
      <c r="E1276" s="263"/>
      <c r="F1276" s="268"/>
      <c r="G1276" s="263"/>
      <c r="H1276" s="267"/>
      <c r="I1276" s="263"/>
      <c r="J1276" s="263"/>
      <c r="K1276" s="263"/>
      <c r="L1276" s="263"/>
      <c r="M1276" s="263"/>
      <c r="N1276" s="263"/>
      <c r="O1276" s="263"/>
      <c r="P1276" s="263"/>
      <c r="Q1276" s="263"/>
      <c r="R1276" s="263"/>
      <c r="S1276" s="263"/>
      <c r="T1276" s="263"/>
      <c r="U1276" s="246"/>
      <c r="V1276" s="246"/>
      <c r="W1276" s="246"/>
      <c r="X1276" s="246"/>
      <c r="Y1276" s="246"/>
      <c r="Z1276" s="246"/>
    </row>
    <row r="1277">
      <c r="A1277" s="263"/>
      <c r="B1277" s="267"/>
      <c r="C1277" s="263"/>
      <c r="D1277" s="263"/>
      <c r="E1277" s="263"/>
      <c r="F1277" s="268"/>
      <c r="G1277" s="263"/>
      <c r="H1277" s="267"/>
      <c r="I1277" s="263"/>
      <c r="J1277" s="263"/>
      <c r="K1277" s="263"/>
      <c r="L1277" s="263"/>
      <c r="M1277" s="263"/>
      <c r="N1277" s="263"/>
      <c r="O1277" s="263"/>
      <c r="P1277" s="263"/>
      <c r="Q1277" s="263"/>
      <c r="R1277" s="263"/>
      <c r="S1277" s="263"/>
      <c r="T1277" s="263"/>
      <c r="U1277" s="246"/>
      <c r="V1277" s="246"/>
      <c r="W1277" s="246"/>
      <c r="X1277" s="246"/>
      <c r="Y1277" s="246"/>
      <c r="Z1277" s="246"/>
    </row>
    <row r="1278">
      <c r="A1278" s="263"/>
      <c r="B1278" s="267"/>
      <c r="C1278" s="263"/>
      <c r="D1278" s="263"/>
      <c r="E1278" s="263"/>
      <c r="F1278" s="268"/>
      <c r="G1278" s="263"/>
      <c r="H1278" s="267"/>
      <c r="I1278" s="263"/>
      <c r="J1278" s="263"/>
      <c r="K1278" s="263"/>
      <c r="L1278" s="263"/>
      <c r="M1278" s="263"/>
      <c r="N1278" s="263"/>
      <c r="O1278" s="263"/>
      <c r="P1278" s="263"/>
      <c r="Q1278" s="263"/>
      <c r="R1278" s="263"/>
      <c r="S1278" s="263"/>
      <c r="T1278" s="263"/>
      <c r="U1278" s="246"/>
      <c r="V1278" s="246"/>
      <c r="W1278" s="246"/>
      <c r="X1278" s="246"/>
      <c r="Y1278" s="246"/>
      <c r="Z1278" s="246"/>
    </row>
    <row r="1279">
      <c r="A1279" s="263"/>
      <c r="B1279" s="267"/>
      <c r="C1279" s="263"/>
      <c r="D1279" s="263"/>
      <c r="E1279" s="263"/>
      <c r="F1279" s="268"/>
      <c r="G1279" s="263"/>
      <c r="H1279" s="267"/>
      <c r="I1279" s="263"/>
      <c r="J1279" s="263"/>
      <c r="K1279" s="263"/>
      <c r="L1279" s="263"/>
      <c r="M1279" s="263"/>
      <c r="N1279" s="263"/>
      <c r="O1279" s="263"/>
      <c r="P1279" s="263"/>
      <c r="Q1279" s="263"/>
      <c r="R1279" s="263"/>
      <c r="S1279" s="263"/>
      <c r="T1279" s="263"/>
      <c r="U1279" s="246"/>
      <c r="V1279" s="246"/>
      <c r="W1279" s="246"/>
      <c r="X1279" s="246"/>
      <c r="Y1279" s="246"/>
      <c r="Z1279" s="246"/>
    </row>
    <row r="1280">
      <c r="A1280" s="263"/>
      <c r="B1280" s="267"/>
      <c r="C1280" s="263"/>
      <c r="D1280" s="263"/>
      <c r="E1280" s="263"/>
      <c r="F1280" s="268"/>
      <c r="G1280" s="263"/>
      <c r="H1280" s="267"/>
      <c r="I1280" s="263"/>
      <c r="J1280" s="263"/>
      <c r="K1280" s="263"/>
      <c r="L1280" s="263"/>
      <c r="M1280" s="263"/>
      <c r="N1280" s="263"/>
      <c r="O1280" s="263"/>
      <c r="P1280" s="263"/>
      <c r="Q1280" s="263"/>
      <c r="R1280" s="263"/>
      <c r="S1280" s="263"/>
      <c r="T1280" s="263"/>
      <c r="U1280" s="246"/>
      <c r="V1280" s="246"/>
      <c r="W1280" s="246"/>
      <c r="X1280" s="246"/>
      <c r="Y1280" s="246"/>
      <c r="Z1280" s="246"/>
    </row>
    <row r="1281">
      <c r="A1281" s="263"/>
      <c r="B1281" s="267"/>
      <c r="C1281" s="263"/>
      <c r="D1281" s="263"/>
      <c r="E1281" s="263"/>
      <c r="F1281" s="268"/>
      <c r="G1281" s="263"/>
      <c r="H1281" s="267"/>
      <c r="I1281" s="263"/>
      <c r="J1281" s="263"/>
      <c r="K1281" s="263"/>
      <c r="L1281" s="263"/>
      <c r="M1281" s="263"/>
      <c r="N1281" s="263"/>
      <c r="O1281" s="263"/>
      <c r="P1281" s="263"/>
      <c r="Q1281" s="263"/>
      <c r="R1281" s="263"/>
      <c r="S1281" s="263"/>
      <c r="T1281" s="263"/>
      <c r="U1281" s="246"/>
      <c r="V1281" s="246"/>
      <c r="W1281" s="246"/>
      <c r="X1281" s="246"/>
      <c r="Y1281" s="246"/>
      <c r="Z1281" s="246"/>
    </row>
    <row r="1282">
      <c r="A1282" s="263"/>
      <c r="B1282" s="267"/>
      <c r="C1282" s="263"/>
      <c r="D1282" s="263"/>
      <c r="E1282" s="263"/>
      <c r="F1282" s="268"/>
      <c r="G1282" s="263"/>
      <c r="H1282" s="267"/>
      <c r="I1282" s="263"/>
      <c r="J1282" s="263"/>
      <c r="K1282" s="263"/>
      <c r="L1282" s="263"/>
      <c r="M1282" s="263"/>
      <c r="N1282" s="263"/>
      <c r="O1282" s="263"/>
      <c r="P1282" s="263"/>
      <c r="Q1282" s="263"/>
      <c r="R1282" s="263"/>
      <c r="S1282" s="263"/>
      <c r="T1282" s="263"/>
      <c r="U1282" s="246"/>
      <c r="V1282" s="246"/>
      <c r="W1282" s="246"/>
      <c r="X1282" s="246"/>
      <c r="Y1282" s="246"/>
      <c r="Z1282" s="246"/>
    </row>
    <row r="1283">
      <c r="A1283" s="263"/>
      <c r="B1283" s="267"/>
      <c r="C1283" s="263"/>
      <c r="D1283" s="263"/>
      <c r="E1283" s="263"/>
      <c r="F1283" s="268"/>
      <c r="G1283" s="263"/>
      <c r="H1283" s="267"/>
      <c r="I1283" s="263"/>
      <c r="J1283" s="263"/>
      <c r="K1283" s="263"/>
      <c r="L1283" s="263"/>
      <c r="M1283" s="263"/>
      <c r="N1283" s="263"/>
      <c r="O1283" s="263"/>
      <c r="P1283" s="263"/>
      <c r="Q1283" s="263"/>
      <c r="R1283" s="263"/>
      <c r="S1283" s="263"/>
      <c r="T1283" s="263"/>
      <c r="U1283" s="246"/>
      <c r="V1283" s="246"/>
      <c r="W1283" s="246"/>
      <c r="X1283" s="246"/>
      <c r="Y1283" s="246"/>
      <c r="Z1283" s="246"/>
    </row>
    <row r="1284">
      <c r="A1284" s="263"/>
      <c r="B1284" s="267"/>
      <c r="C1284" s="263"/>
      <c r="D1284" s="263"/>
      <c r="E1284" s="263"/>
      <c r="F1284" s="268"/>
      <c r="G1284" s="263"/>
      <c r="H1284" s="267"/>
      <c r="I1284" s="263"/>
      <c r="J1284" s="263"/>
      <c r="K1284" s="263"/>
      <c r="L1284" s="263"/>
      <c r="M1284" s="263"/>
      <c r="N1284" s="263"/>
      <c r="O1284" s="263"/>
      <c r="P1284" s="263"/>
      <c r="Q1284" s="263"/>
      <c r="R1284" s="263"/>
      <c r="S1284" s="263"/>
      <c r="T1284" s="263"/>
      <c r="U1284" s="246"/>
      <c r="V1284" s="246"/>
      <c r="W1284" s="246"/>
      <c r="X1284" s="246"/>
      <c r="Y1284" s="246"/>
      <c r="Z1284" s="246"/>
    </row>
    <row r="1285">
      <c r="A1285" s="263"/>
      <c r="B1285" s="267"/>
      <c r="C1285" s="263"/>
      <c r="D1285" s="263"/>
      <c r="E1285" s="263"/>
      <c r="F1285" s="268"/>
      <c r="G1285" s="263"/>
      <c r="H1285" s="267"/>
      <c r="I1285" s="263"/>
      <c r="J1285" s="263"/>
      <c r="K1285" s="263"/>
      <c r="L1285" s="263"/>
      <c r="M1285" s="263"/>
      <c r="N1285" s="263"/>
      <c r="O1285" s="263"/>
      <c r="P1285" s="263"/>
      <c r="Q1285" s="263"/>
      <c r="R1285" s="263"/>
      <c r="S1285" s="263"/>
      <c r="T1285" s="263"/>
      <c r="U1285" s="246"/>
      <c r="V1285" s="246"/>
      <c r="W1285" s="246"/>
      <c r="X1285" s="246"/>
      <c r="Y1285" s="246"/>
      <c r="Z1285" s="246"/>
    </row>
    <row r="1286">
      <c r="A1286" s="263"/>
      <c r="B1286" s="267"/>
      <c r="C1286" s="263"/>
      <c r="D1286" s="263"/>
      <c r="E1286" s="263"/>
      <c r="F1286" s="268"/>
      <c r="G1286" s="263"/>
      <c r="H1286" s="267"/>
      <c r="I1286" s="263"/>
      <c r="J1286" s="263"/>
      <c r="K1286" s="263"/>
      <c r="L1286" s="263"/>
      <c r="M1286" s="263"/>
      <c r="N1286" s="263"/>
      <c r="O1286" s="263"/>
      <c r="P1286" s="263"/>
      <c r="Q1286" s="263"/>
      <c r="R1286" s="263"/>
      <c r="S1286" s="263"/>
      <c r="T1286" s="263"/>
      <c r="U1286" s="246"/>
      <c r="V1286" s="246"/>
      <c r="W1286" s="246"/>
      <c r="X1286" s="246"/>
      <c r="Y1286" s="246"/>
      <c r="Z1286" s="246"/>
    </row>
    <row r="1287">
      <c r="A1287" s="263"/>
      <c r="B1287" s="267"/>
      <c r="C1287" s="263"/>
      <c r="D1287" s="263"/>
      <c r="E1287" s="263"/>
      <c r="F1287" s="268"/>
      <c r="G1287" s="263"/>
      <c r="H1287" s="267"/>
      <c r="I1287" s="263"/>
      <c r="J1287" s="263"/>
      <c r="K1287" s="263"/>
      <c r="L1287" s="263"/>
      <c r="M1287" s="263"/>
      <c r="N1287" s="263"/>
      <c r="O1287" s="263"/>
      <c r="P1287" s="263"/>
      <c r="Q1287" s="263"/>
      <c r="R1287" s="263"/>
      <c r="S1287" s="263"/>
      <c r="T1287" s="263"/>
      <c r="U1287" s="246"/>
      <c r="V1287" s="246"/>
      <c r="W1287" s="246"/>
      <c r="X1287" s="246"/>
      <c r="Y1287" s="246"/>
      <c r="Z1287" s="246"/>
    </row>
    <row r="1288">
      <c r="A1288" s="263"/>
      <c r="B1288" s="267"/>
      <c r="C1288" s="263"/>
      <c r="D1288" s="263"/>
      <c r="E1288" s="263"/>
      <c r="F1288" s="268"/>
      <c r="G1288" s="263"/>
      <c r="H1288" s="267"/>
      <c r="I1288" s="263"/>
      <c r="J1288" s="263"/>
      <c r="K1288" s="263"/>
      <c r="L1288" s="263"/>
      <c r="M1288" s="263"/>
      <c r="N1288" s="263"/>
      <c r="O1288" s="263"/>
      <c r="P1288" s="263"/>
      <c r="Q1288" s="263"/>
      <c r="R1288" s="263"/>
      <c r="S1288" s="263"/>
      <c r="T1288" s="263"/>
      <c r="U1288" s="246"/>
      <c r="V1288" s="246"/>
      <c r="W1288" s="246"/>
      <c r="X1288" s="246"/>
      <c r="Y1288" s="246"/>
      <c r="Z1288" s="246"/>
    </row>
    <row r="1289">
      <c r="A1289" s="263"/>
      <c r="B1289" s="267"/>
      <c r="C1289" s="263"/>
      <c r="D1289" s="263"/>
      <c r="E1289" s="263"/>
      <c r="F1289" s="268"/>
      <c r="G1289" s="263"/>
      <c r="H1289" s="267"/>
      <c r="I1289" s="263"/>
      <c r="J1289" s="263"/>
      <c r="K1289" s="263"/>
      <c r="L1289" s="263"/>
      <c r="M1289" s="263"/>
      <c r="N1289" s="263"/>
      <c r="O1289" s="263"/>
      <c r="P1289" s="263"/>
      <c r="Q1289" s="263"/>
      <c r="R1289" s="263"/>
      <c r="S1289" s="263"/>
      <c r="T1289" s="263"/>
      <c r="U1289" s="246"/>
      <c r="V1289" s="246"/>
      <c r="W1289" s="246"/>
      <c r="X1289" s="246"/>
      <c r="Y1289" s="246"/>
      <c r="Z1289" s="246"/>
    </row>
    <row r="1290">
      <c r="A1290" s="263"/>
      <c r="B1290" s="267"/>
      <c r="C1290" s="263"/>
      <c r="D1290" s="263"/>
      <c r="E1290" s="263"/>
      <c r="F1290" s="268"/>
      <c r="G1290" s="263"/>
      <c r="H1290" s="267"/>
      <c r="I1290" s="263"/>
      <c r="J1290" s="263"/>
      <c r="K1290" s="263"/>
      <c r="L1290" s="263"/>
      <c r="M1290" s="263"/>
      <c r="N1290" s="263"/>
      <c r="O1290" s="263"/>
      <c r="P1290" s="263"/>
      <c r="Q1290" s="263"/>
      <c r="R1290" s="263"/>
      <c r="S1290" s="263"/>
      <c r="T1290" s="263"/>
      <c r="U1290" s="246"/>
      <c r="V1290" s="246"/>
      <c r="W1290" s="246"/>
      <c r="X1290" s="246"/>
      <c r="Y1290" s="246"/>
      <c r="Z1290" s="246"/>
    </row>
    <row r="1291">
      <c r="A1291" s="263"/>
      <c r="B1291" s="267"/>
      <c r="C1291" s="263"/>
      <c r="D1291" s="263"/>
      <c r="E1291" s="263"/>
      <c r="F1291" s="268"/>
      <c r="G1291" s="263"/>
      <c r="H1291" s="267"/>
      <c r="I1291" s="263"/>
      <c r="J1291" s="263"/>
      <c r="K1291" s="263"/>
      <c r="L1291" s="263"/>
      <c r="M1291" s="263"/>
      <c r="N1291" s="263"/>
      <c r="O1291" s="263"/>
      <c r="P1291" s="263"/>
      <c r="Q1291" s="263"/>
      <c r="R1291" s="263"/>
      <c r="S1291" s="263"/>
      <c r="T1291" s="263"/>
      <c r="U1291" s="246"/>
      <c r="V1291" s="246"/>
      <c r="W1291" s="246"/>
      <c r="X1291" s="246"/>
      <c r="Y1291" s="246"/>
      <c r="Z1291" s="246"/>
    </row>
    <row r="1292">
      <c r="A1292" s="263"/>
      <c r="B1292" s="267"/>
      <c r="C1292" s="263"/>
      <c r="D1292" s="263"/>
      <c r="E1292" s="263"/>
      <c r="F1292" s="268"/>
      <c r="G1292" s="263"/>
      <c r="H1292" s="267"/>
      <c r="I1292" s="263"/>
      <c r="J1292" s="263"/>
      <c r="K1292" s="263"/>
      <c r="L1292" s="263"/>
      <c r="M1292" s="263"/>
      <c r="N1292" s="263"/>
      <c r="O1292" s="263"/>
      <c r="P1292" s="263"/>
      <c r="Q1292" s="263"/>
      <c r="R1292" s="263"/>
      <c r="S1292" s="263"/>
      <c r="T1292" s="263"/>
      <c r="U1292" s="246"/>
      <c r="V1292" s="246"/>
      <c r="W1292" s="246"/>
      <c r="X1292" s="246"/>
      <c r="Y1292" s="246"/>
      <c r="Z1292" s="246"/>
    </row>
    <row r="1293">
      <c r="A1293" s="263"/>
      <c r="B1293" s="267"/>
      <c r="C1293" s="263"/>
      <c r="D1293" s="263"/>
      <c r="E1293" s="263"/>
      <c r="F1293" s="268"/>
      <c r="G1293" s="263"/>
      <c r="H1293" s="267"/>
      <c r="I1293" s="263"/>
      <c r="J1293" s="263"/>
      <c r="K1293" s="263"/>
      <c r="L1293" s="263"/>
      <c r="M1293" s="263"/>
      <c r="N1293" s="263"/>
      <c r="O1293" s="263"/>
      <c r="P1293" s="263"/>
      <c r="Q1293" s="263"/>
      <c r="R1293" s="263"/>
      <c r="S1293" s="263"/>
      <c r="T1293" s="263"/>
      <c r="U1293" s="246"/>
      <c r="V1293" s="246"/>
      <c r="W1293" s="246"/>
      <c r="X1293" s="246"/>
      <c r="Y1293" s="246"/>
      <c r="Z1293" s="246"/>
    </row>
    <row r="1294">
      <c r="A1294" s="263"/>
      <c r="B1294" s="267"/>
      <c r="C1294" s="263"/>
      <c r="D1294" s="263"/>
      <c r="E1294" s="263"/>
      <c r="F1294" s="268"/>
      <c r="G1294" s="263"/>
      <c r="H1294" s="267"/>
      <c r="I1294" s="263"/>
      <c r="J1294" s="263"/>
      <c r="K1294" s="263"/>
      <c r="L1294" s="263"/>
      <c r="M1294" s="263"/>
      <c r="N1294" s="263"/>
      <c r="O1294" s="263"/>
      <c r="P1294" s="263"/>
      <c r="Q1294" s="263"/>
      <c r="R1294" s="263"/>
      <c r="S1294" s="263"/>
      <c r="T1294" s="263"/>
      <c r="U1294" s="246"/>
      <c r="V1294" s="246"/>
      <c r="W1294" s="246"/>
      <c r="X1294" s="246"/>
      <c r="Y1294" s="246"/>
      <c r="Z1294" s="246"/>
    </row>
    <row r="1295">
      <c r="A1295" s="263"/>
      <c r="B1295" s="267"/>
      <c r="C1295" s="263"/>
      <c r="D1295" s="263"/>
      <c r="E1295" s="263"/>
      <c r="F1295" s="268"/>
      <c r="G1295" s="263"/>
      <c r="H1295" s="267"/>
      <c r="I1295" s="263"/>
      <c r="J1295" s="263"/>
      <c r="K1295" s="263"/>
      <c r="L1295" s="263"/>
      <c r="M1295" s="263"/>
      <c r="N1295" s="263"/>
      <c r="O1295" s="263"/>
      <c r="P1295" s="263"/>
      <c r="Q1295" s="263"/>
      <c r="R1295" s="263"/>
      <c r="S1295" s="263"/>
      <c r="T1295" s="263"/>
      <c r="U1295" s="246"/>
      <c r="V1295" s="246"/>
      <c r="W1295" s="246"/>
      <c r="X1295" s="246"/>
      <c r="Y1295" s="246"/>
      <c r="Z1295" s="246"/>
    </row>
    <row r="1296">
      <c r="A1296" s="263"/>
      <c r="B1296" s="267"/>
      <c r="C1296" s="263"/>
      <c r="D1296" s="263"/>
      <c r="E1296" s="263"/>
      <c r="F1296" s="268"/>
      <c r="G1296" s="263"/>
      <c r="H1296" s="267"/>
      <c r="I1296" s="263"/>
      <c r="J1296" s="263"/>
      <c r="K1296" s="263"/>
      <c r="L1296" s="263"/>
      <c r="M1296" s="263"/>
      <c r="N1296" s="263"/>
      <c r="O1296" s="263"/>
      <c r="P1296" s="263"/>
      <c r="Q1296" s="263"/>
      <c r="R1296" s="263"/>
      <c r="S1296" s="263"/>
      <c r="T1296" s="263"/>
      <c r="U1296" s="246"/>
      <c r="V1296" s="246"/>
      <c r="W1296" s="246"/>
      <c r="X1296" s="246"/>
      <c r="Y1296" s="246"/>
      <c r="Z1296" s="246"/>
    </row>
    <row r="1297">
      <c r="A1297" s="263"/>
      <c r="B1297" s="267"/>
      <c r="C1297" s="263"/>
      <c r="D1297" s="263"/>
      <c r="E1297" s="263"/>
      <c r="F1297" s="268"/>
      <c r="G1297" s="263"/>
      <c r="H1297" s="267"/>
      <c r="I1297" s="263"/>
      <c r="J1297" s="263"/>
      <c r="K1297" s="263"/>
      <c r="L1297" s="263"/>
      <c r="M1297" s="263"/>
      <c r="N1297" s="263"/>
      <c r="O1297" s="263"/>
      <c r="P1297" s="263"/>
      <c r="Q1297" s="263"/>
      <c r="R1297" s="263"/>
      <c r="S1297" s="263"/>
      <c r="T1297" s="263"/>
      <c r="U1297" s="246"/>
      <c r="V1297" s="246"/>
      <c r="W1297" s="246"/>
      <c r="X1297" s="246"/>
      <c r="Y1297" s="246"/>
      <c r="Z1297" s="246"/>
    </row>
    <row r="1298">
      <c r="A1298" s="263"/>
      <c r="B1298" s="267"/>
      <c r="C1298" s="263"/>
      <c r="D1298" s="263"/>
      <c r="E1298" s="263"/>
      <c r="F1298" s="268"/>
      <c r="G1298" s="263"/>
      <c r="H1298" s="267"/>
      <c r="I1298" s="263"/>
      <c r="J1298" s="263"/>
      <c r="K1298" s="263"/>
      <c r="L1298" s="263"/>
      <c r="M1298" s="263"/>
      <c r="N1298" s="263"/>
      <c r="O1298" s="263"/>
      <c r="P1298" s="263"/>
      <c r="Q1298" s="263"/>
      <c r="R1298" s="263"/>
      <c r="S1298" s="263"/>
      <c r="T1298" s="263"/>
      <c r="U1298" s="246"/>
      <c r="V1298" s="246"/>
      <c r="W1298" s="246"/>
      <c r="X1298" s="246"/>
      <c r="Y1298" s="246"/>
      <c r="Z1298" s="246"/>
    </row>
    <row r="1299">
      <c r="A1299" s="263"/>
      <c r="B1299" s="267"/>
      <c r="C1299" s="263"/>
      <c r="D1299" s="263"/>
      <c r="E1299" s="263"/>
      <c r="F1299" s="268"/>
      <c r="G1299" s="263"/>
      <c r="H1299" s="267"/>
      <c r="I1299" s="263"/>
      <c r="J1299" s="263"/>
      <c r="K1299" s="263"/>
      <c r="L1299" s="263"/>
      <c r="M1299" s="263"/>
      <c r="N1299" s="263"/>
      <c r="O1299" s="263"/>
      <c r="P1299" s="263"/>
      <c r="Q1299" s="263"/>
      <c r="R1299" s="263"/>
      <c r="S1299" s="263"/>
      <c r="T1299" s="263"/>
      <c r="U1299" s="246"/>
      <c r="V1299" s="246"/>
      <c r="W1299" s="246"/>
      <c r="X1299" s="246"/>
      <c r="Y1299" s="246"/>
      <c r="Z1299" s="246"/>
    </row>
    <row r="1300">
      <c r="A1300" s="263"/>
      <c r="B1300" s="267"/>
      <c r="C1300" s="263"/>
      <c r="D1300" s="263"/>
      <c r="E1300" s="263"/>
      <c r="F1300" s="268"/>
      <c r="G1300" s="263"/>
      <c r="H1300" s="267"/>
      <c r="I1300" s="263"/>
      <c r="J1300" s="263"/>
      <c r="K1300" s="263"/>
      <c r="L1300" s="263"/>
      <c r="M1300" s="263"/>
      <c r="N1300" s="263"/>
      <c r="O1300" s="263"/>
      <c r="P1300" s="263"/>
      <c r="Q1300" s="263"/>
      <c r="R1300" s="263"/>
      <c r="S1300" s="263"/>
      <c r="T1300" s="263"/>
      <c r="U1300" s="246"/>
      <c r="V1300" s="246"/>
      <c r="W1300" s="246"/>
      <c r="X1300" s="246"/>
      <c r="Y1300" s="246"/>
      <c r="Z1300" s="246"/>
    </row>
    <row r="1301">
      <c r="A1301" s="263"/>
      <c r="B1301" s="267"/>
      <c r="C1301" s="263"/>
      <c r="D1301" s="263"/>
      <c r="E1301" s="263"/>
      <c r="F1301" s="268"/>
      <c r="G1301" s="263"/>
      <c r="H1301" s="267"/>
      <c r="I1301" s="263"/>
      <c r="J1301" s="263"/>
      <c r="K1301" s="263"/>
      <c r="L1301" s="263"/>
      <c r="M1301" s="263"/>
      <c r="N1301" s="263"/>
      <c r="O1301" s="263"/>
      <c r="P1301" s="263"/>
      <c r="Q1301" s="263"/>
      <c r="R1301" s="263"/>
      <c r="S1301" s="263"/>
      <c r="T1301" s="263"/>
      <c r="U1301" s="246"/>
      <c r="V1301" s="246"/>
      <c r="W1301" s="246"/>
      <c r="X1301" s="246"/>
      <c r="Y1301" s="246"/>
      <c r="Z1301" s="246"/>
    </row>
    <row r="1302">
      <c r="A1302" s="263"/>
      <c r="B1302" s="267"/>
      <c r="C1302" s="263"/>
      <c r="D1302" s="263"/>
      <c r="E1302" s="263"/>
      <c r="F1302" s="268"/>
      <c r="G1302" s="263"/>
      <c r="H1302" s="267"/>
      <c r="I1302" s="263"/>
      <c r="J1302" s="263"/>
      <c r="K1302" s="263"/>
      <c r="L1302" s="263"/>
      <c r="M1302" s="263"/>
      <c r="N1302" s="263"/>
      <c r="O1302" s="263"/>
      <c r="P1302" s="263"/>
      <c r="Q1302" s="263"/>
      <c r="R1302" s="263"/>
      <c r="S1302" s="263"/>
      <c r="T1302" s="263"/>
      <c r="U1302" s="246"/>
      <c r="V1302" s="246"/>
      <c r="W1302" s="246"/>
      <c r="X1302" s="246"/>
      <c r="Y1302" s="246"/>
      <c r="Z1302" s="246"/>
    </row>
    <row r="1303">
      <c r="A1303" s="263"/>
      <c r="B1303" s="267"/>
      <c r="C1303" s="263"/>
      <c r="D1303" s="263"/>
      <c r="E1303" s="263"/>
      <c r="F1303" s="268"/>
      <c r="G1303" s="263"/>
      <c r="H1303" s="267"/>
      <c r="I1303" s="263"/>
      <c r="J1303" s="263"/>
      <c r="K1303" s="263"/>
      <c r="L1303" s="263"/>
      <c r="M1303" s="263"/>
      <c r="N1303" s="263"/>
      <c r="O1303" s="263"/>
      <c r="P1303" s="263"/>
      <c r="Q1303" s="263"/>
      <c r="R1303" s="263"/>
      <c r="S1303" s="263"/>
      <c r="T1303" s="263"/>
      <c r="U1303" s="246"/>
      <c r="V1303" s="246"/>
      <c r="W1303" s="246"/>
      <c r="X1303" s="246"/>
      <c r="Y1303" s="246"/>
      <c r="Z1303" s="246"/>
    </row>
    <row r="1304">
      <c r="A1304" s="263"/>
      <c r="B1304" s="267"/>
      <c r="C1304" s="263"/>
      <c r="D1304" s="263"/>
      <c r="E1304" s="263"/>
      <c r="F1304" s="268"/>
      <c r="G1304" s="263"/>
      <c r="H1304" s="267"/>
      <c r="I1304" s="263"/>
      <c r="J1304" s="263"/>
      <c r="K1304" s="263"/>
      <c r="L1304" s="263"/>
      <c r="M1304" s="263"/>
      <c r="N1304" s="263"/>
      <c r="O1304" s="263"/>
      <c r="P1304" s="263"/>
      <c r="Q1304" s="263"/>
      <c r="R1304" s="263"/>
      <c r="S1304" s="263"/>
      <c r="T1304" s="263"/>
      <c r="U1304" s="246"/>
      <c r="V1304" s="246"/>
      <c r="W1304" s="246"/>
      <c r="X1304" s="246"/>
      <c r="Y1304" s="246"/>
      <c r="Z1304" s="246"/>
    </row>
    <row r="1305">
      <c r="A1305" s="263"/>
      <c r="B1305" s="267"/>
      <c r="C1305" s="263"/>
      <c r="D1305" s="263"/>
      <c r="E1305" s="263"/>
      <c r="F1305" s="268"/>
      <c r="G1305" s="263"/>
      <c r="H1305" s="267"/>
      <c r="I1305" s="263"/>
      <c r="J1305" s="263"/>
      <c r="K1305" s="263"/>
      <c r="L1305" s="263"/>
      <c r="M1305" s="263"/>
      <c r="N1305" s="263"/>
      <c r="O1305" s="263"/>
      <c r="P1305" s="263"/>
      <c r="Q1305" s="263"/>
      <c r="R1305" s="263"/>
      <c r="S1305" s="263"/>
      <c r="T1305" s="263"/>
      <c r="U1305" s="246"/>
      <c r="V1305" s="246"/>
      <c r="W1305" s="246"/>
      <c r="X1305" s="246"/>
      <c r="Y1305" s="246"/>
      <c r="Z1305" s="246"/>
    </row>
    <row r="1306">
      <c r="A1306" s="263"/>
      <c r="B1306" s="267"/>
      <c r="C1306" s="263"/>
      <c r="D1306" s="263"/>
      <c r="E1306" s="263"/>
      <c r="F1306" s="268"/>
      <c r="G1306" s="263"/>
      <c r="H1306" s="267"/>
      <c r="I1306" s="263"/>
      <c r="J1306" s="263"/>
      <c r="K1306" s="263"/>
      <c r="L1306" s="263"/>
      <c r="M1306" s="263"/>
      <c r="N1306" s="263"/>
      <c r="O1306" s="263"/>
      <c r="P1306" s="263"/>
      <c r="Q1306" s="263"/>
      <c r="R1306" s="263"/>
      <c r="S1306" s="263"/>
      <c r="T1306" s="263"/>
      <c r="U1306" s="246"/>
      <c r="V1306" s="246"/>
      <c r="W1306" s="246"/>
      <c r="X1306" s="246"/>
      <c r="Y1306" s="246"/>
      <c r="Z1306" s="246"/>
    </row>
    <row r="1307">
      <c r="A1307" s="263"/>
      <c r="B1307" s="267"/>
      <c r="C1307" s="263"/>
      <c r="D1307" s="263"/>
      <c r="E1307" s="263"/>
      <c r="F1307" s="268"/>
      <c r="G1307" s="263"/>
      <c r="H1307" s="267"/>
      <c r="I1307" s="263"/>
      <c r="J1307" s="263"/>
      <c r="K1307" s="263"/>
      <c r="L1307" s="263"/>
      <c r="M1307" s="263"/>
      <c r="N1307" s="263"/>
      <c r="O1307" s="263"/>
      <c r="P1307" s="263"/>
      <c r="Q1307" s="263"/>
      <c r="R1307" s="263"/>
      <c r="S1307" s="263"/>
      <c r="T1307" s="263"/>
      <c r="U1307" s="246"/>
      <c r="V1307" s="246"/>
      <c r="W1307" s="246"/>
      <c r="X1307" s="246"/>
      <c r="Y1307" s="246"/>
      <c r="Z1307" s="246"/>
    </row>
    <row r="1308">
      <c r="A1308" s="263"/>
      <c r="B1308" s="267"/>
      <c r="C1308" s="263"/>
      <c r="D1308" s="263"/>
      <c r="E1308" s="263"/>
      <c r="F1308" s="268"/>
      <c r="G1308" s="263"/>
      <c r="H1308" s="267"/>
      <c r="I1308" s="263"/>
      <c r="J1308" s="263"/>
      <c r="K1308" s="263"/>
      <c r="L1308" s="263"/>
      <c r="M1308" s="263"/>
      <c r="N1308" s="263"/>
      <c r="O1308" s="263"/>
      <c r="P1308" s="263"/>
      <c r="Q1308" s="263"/>
      <c r="R1308" s="263"/>
      <c r="S1308" s="263"/>
      <c r="T1308" s="263"/>
      <c r="U1308" s="246"/>
      <c r="V1308" s="246"/>
      <c r="W1308" s="246"/>
      <c r="X1308" s="246"/>
      <c r="Y1308" s="246"/>
      <c r="Z1308" s="246"/>
    </row>
    <row r="1309">
      <c r="A1309" s="263"/>
      <c r="B1309" s="267"/>
      <c r="C1309" s="263"/>
      <c r="D1309" s="263"/>
      <c r="E1309" s="263"/>
      <c r="F1309" s="268"/>
      <c r="G1309" s="263"/>
      <c r="H1309" s="267"/>
      <c r="I1309" s="263"/>
      <c r="J1309" s="263"/>
      <c r="K1309" s="263"/>
      <c r="L1309" s="263"/>
      <c r="M1309" s="263"/>
      <c r="N1309" s="263"/>
      <c r="O1309" s="263"/>
      <c r="P1309" s="263"/>
      <c r="Q1309" s="263"/>
      <c r="R1309" s="263"/>
      <c r="S1309" s="263"/>
      <c r="T1309" s="263"/>
      <c r="U1309" s="246"/>
      <c r="V1309" s="246"/>
      <c r="W1309" s="246"/>
      <c r="X1309" s="246"/>
      <c r="Y1309" s="246"/>
      <c r="Z1309" s="246"/>
    </row>
    <row r="1310">
      <c r="A1310" s="263"/>
      <c r="B1310" s="267"/>
      <c r="C1310" s="263"/>
      <c r="D1310" s="263"/>
      <c r="E1310" s="263"/>
      <c r="F1310" s="268"/>
      <c r="G1310" s="263"/>
      <c r="H1310" s="267"/>
      <c r="I1310" s="263"/>
      <c r="J1310" s="263"/>
      <c r="K1310" s="263"/>
      <c r="L1310" s="263"/>
      <c r="M1310" s="263"/>
      <c r="N1310" s="263"/>
      <c r="O1310" s="263"/>
      <c r="P1310" s="263"/>
      <c r="Q1310" s="263"/>
      <c r="R1310" s="263"/>
      <c r="S1310" s="263"/>
      <c r="T1310" s="263"/>
      <c r="U1310" s="246"/>
      <c r="V1310" s="246"/>
      <c r="W1310" s="246"/>
      <c r="X1310" s="246"/>
      <c r="Y1310" s="246"/>
      <c r="Z1310" s="246"/>
    </row>
    <row r="1311">
      <c r="A1311" s="263"/>
      <c r="B1311" s="267"/>
      <c r="C1311" s="263"/>
      <c r="D1311" s="263"/>
      <c r="E1311" s="263"/>
      <c r="F1311" s="268"/>
      <c r="G1311" s="263"/>
      <c r="H1311" s="267"/>
      <c r="I1311" s="263"/>
      <c r="J1311" s="263"/>
      <c r="K1311" s="263"/>
      <c r="L1311" s="263"/>
      <c r="M1311" s="263"/>
      <c r="N1311" s="263"/>
      <c r="O1311" s="263"/>
      <c r="P1311" s="263"/>
      <c r="Q1311" s="263"/>
      <c r="R1311" s="263"/>
      <c r="S1311" s="263"/>
      <c r="T1311" s="263"/>
      <c r="U1311" s="246"/>
      <c r="V1311" s="246"/>
      <c r="W1311" s="246"/>
      <c r="X1311" s="246"/>
      <c r="Y1311" s="246"/>
      <c r="Z1311" s="246"/>
    </row>
    <row r="1312">
      <c r="A1312" s="263"/>
      <c r="B1312" s="267"/>
      <c r="C1312" s="263"/>
      <c r="D1312" s="263"/>
      <c r="E1312" s="263"/>
      <c r="F1312" s="268"/>
      <c r="G1312" s="263"/>
      <c r="H1312" s="267"/>
      <c r="I1312" s="263"/>
      <c r="J1312" s="263"/>
      <c r="K1312" s="263"/>
      <c r="L1312" s="263"/>
      <c r="M1312" s="263"/>
      <c r="N1312" s="263"/>
      <c r="O1312" s="263"/>
      <c r="P1312" s="263"/>
      <c r="Q1312" s="263"/>
      <c r="R1312" s="263"/>
      <c r="S1312" s="263"/>
      <c r="T1312" s="263"/>
      <c r="U1312" s="246"/>
      <c r="V1312" s="246"/>
      <c r="W1312" s="246"/>
      <c r="X1312" s="246"/>
      <c r="Y1312" s="246"/>
      <c r="Z1312" s="246"/>
    </row>
    <row r="1313">
      <c r="A1313" s="263"/>
      <c r="B1313" s="267"/>
      <c r="C1313" s="263"/>
      <c r="D1313" s="263"/>
      <c r="E1313" s="263"/>
      <c r="F1313" s="268"/>
      <c r="G1313" s="263"/>
      <c r="H1313" s="267"/>
      <c r="I1313" s="263"/>
      <c r="J1313" s="263"/>
      <c r="K1313" s="263"/>
      <c r="L1313" s="263"/>
      <c r="M1313" s="263"/>
      <c r="N1313" s="263"/>
      <c r="O1313" s="263"/>
      <c r="P1313" s="263"/>
      <c r="Q1313" s="263"/>
      <c r="R1313" s="263"/>
      <c r="S1313" s="263"/>
      <c r="T1313" s="263"/>
      <c r="U1313" s="246"/>
      <c r="V1313" s="246"/>
      <c r="W1313" s="246"/>
      <c r="X1313" s="246"/>
      <c r="Y1313" s="246"/>
      <c r="Z1313" s="246"/>
    </row>
    <row r="1314">
      <c r="A1314" s="263"/>
      <c r="B1314" s="267"/>
      <c r="C1314" s="263"/>
      <c r="D1314" s="263"/>
      <c r="E1314" s="263"/>
      <c r="F1314" s="268"/>
      <c r="G1314" s="263"/>
      <c r="H1314" s="267"/>
      <c r="I1314" s="263"/>
      <c r="J1314" s="263"/>
      <c r="K1314" s="263"/>
      <c r="L1314" s="263"/>
      <c r="M1314" s="263"/>
      <c r="N1314" s="263"/>
      <c r="O1314" s="263"/>
      <c r="P1314" s="263"/>
      <c r="Q1314" s="263"/>
      <c r="R1314" s="263"/>
      <c r="S1314" s="263"/>
      <c r="T1314" s="263"/>
      <c r="U1314" s="246"/>
      <c r="V1314" s="246"/>
      <c r="W1314" s="246"/>
      <c r="X1314" s="246"/>
      <c r="Y1314" s="246"/>
      <c r="Z1314" s="246"/>
    </row>
    <row r="1315">
      <c r="A1315" s="263"/>
      <c r="B1315" s="267"/>
      <c r="C1315" s="263"/>
      <c r="D1315" s="263"/>
      <c r="E1315" s="263"/>
      <c r="F1315" s="268"/>
      <c r="G1315" s="263"/>
      <c r="H1315" s="267"/>
      <c r="I1315" s="263"/>
      <c r="J1315" s="263"/>
      <c r="K1315" s="263"/>
      <c r="L1315" s="263"/>
      <c r="M1315" s="263"/>
      <c r="N1315" s="263"/>
      <c r="O1315" s="263"/>
      <c r="P1315" s="263"/>
      <c r="Q1315" s="263"/>
      <c r="R1315" s="263"/>
      <c r="S1315" s="263"/>
      <c r="T1315" s="263"/>
      <c r="U1315" s="246"/>
      <c r="V1315" s="246"/>
      <c r="W1315" s="246"/>
      <c r="X1315" s="246"/>
      <c r="Y1315" s="246"/>
      <c r="Z1315" s="246"/>
    </row>
    <row r="1316">
      <c r="A1316" s="263"/>
      <c r="B1316" s="267"/>
      <c r="C1316" s="263"/>
      <c r="D1316" s="263"/>
      <c r="E1316" s="263"/>
      <c r="F1316" s="268"/>
      <c r="G1316" s="263"/>
      <c r="H1316" s="267"/>
      <c r="I1316" s="263"/>
      <c r="J1316" s="263"/>
      <c r="K1316" s="263"/>
      <c r="L1316" s="263"/>
      <c r="M1316" s="263"/>
      <c r="N1316" s="263"/>
      <c r="O1316" s="263"/>
      <c r="P1316" s="263"/>
      <c r="Q1316" s="263"/>
      <c r="R1316" s="263"/>
      <c r="S1316" s="263"/>
      <c r="T1316" s="263"/>
      <c r="U1316" s="246"/>
      <c r="V1316" s="246"/>
      <c r="W1316" s="246"/>
      <c r="X1316" s="246"/>
      <c r="Y1316" s="246"/>
      <c r="Z1316" s="246"/>
    </row>
    <row r="1317">
      <c r="A1317" s="263"/>
      <c r="B1317" s="267"/>
      <c r="C1317" s="263"/>
      <c r="D1317" s="263"/>
      <c r="E1317" s="263"/>
      <c r="F1317" s="268"/>
      <c r="G1317" s="263"/>
      <c r="H1317" s="267"/>
      <c r="I1317" s="263"/>
      <c r="J1317" s="263"/>
      <c r="K1317" s="263"/>
      <c r="L1317" s="263"/>
      <c r="M1317" s="263"/>
      <c r="N1317" s="263"/>
      <c r="O1317" s="263"/>
      <c r="P1317" s="263"/>
      <c r="Q1317" s="263"/>
      <c r="R1317" s="263"/>
      <c r="S1317" s="263"/>
      <c r="T1317" s="263"/>
      <c r="U1317" s="246"/>
      <c r="V1317" s="246"/>
      <c r="W1317" s="246"/>
      <c r="X1317" s="246"/>
      <c r="Y1317" s="246"/>
      <c r="Z1317" s="246"/>
    </row>
    <row r="1318">
      <c r="A1318" s="263"/>
      <c r="B1318" s="267"/>
      <c r="C1318" s="263"/>
      <c r="D1318" s="263"/>
      <c r="E1318" s="263"/>
      <c r="F1318" s="268"/>
      <c r="G1318" s="263"/>
      <c r="H1318" s="267"/>
      <c r="I1318" s="263"/>
      <c r="J1318" s="263"/>
      <c r="K1318" s="263"/>
      <c r="L1318" s="263"/>
      <c r="M1318" s="263"/>
      <c r="N1318" s="263"/>
      <c r="O1318" s="263"/>
      <c r="P1318" s="263"/>
      <c r="Q1318" s="263"/>
      <c r="R1318" s="263"/>
      <c r="S1318" s="263"/>
      <c r="T1318" s="263"/>
      <c r="U1318" s="246"/>
      <c r="V1318" s="246"/>
      <c r="W1318" s="246"/>
      <c r="X1318" s="246"/>
      <c r="Y1318" s="246"/>
      <c r="Z1318" s="246"/>
    </row>
    <row r="1319">
      <c r="A1319" s="263"/>
      <c r="B1319" s="267"/>
      <c r="C1319" s="263"/>
      <c r="D1319" s="263"/>
      <c r="E1319" s="263"/>
      <c r="F1319" s="268"/>
      <c r="G1319" s="263"/>
      <c r="H1319" s="267"/>
      <c r="I1319" s="263"/>
      <c r="J1319" s="263"/>
      <c r="K1319" s="263"/>
      <c r="L1319" s="263"/>
      <c r="M1319" s="263"/>
      <c r="N1319" s="263"/>
      <c r="O1319" s="263"/>
      <c r="P1319" s="263"/>
      <c r="Q1319" s="263"/>
      <c r="R1319" s="263"/>
      <c r="S1319" s="263"/>
      <c r="T1319" s="263"/>
      <c r="U1319" s="246"/>
      <c r="V1319" s="246"/>
      <c r="W1319" s="246"/>
      <c r="X1319" s="246"/>
      <c r="Y1319" s="246"/>
      <c r="Z1319" s="246"/>
    </row>
    <row r="1320">
      <c r="A1320" s="263"/>
      <c r="B1320" s="267"/>
      <c r="C1320" s="263"/>
      <c r="D1320" s="263"/>
      <c r="E1320" s="263"/>
      <c r="F1320" s="268"/>
      <c r="G1320" s="263"/>
      <c r="H1320" s="267"/>
      <c r="I1320" s="263"/>
      <c r="J1320" s="263"/>
      <c r="K1320" s="263"/>
      <c r="L1320" s="263"/>
      <c r="M1320" s="263"/>
      <c r="N1320" s="263"/>
      <c r="O1320" s="263"/>
      <c r="P1320" s="263"/>
      <c r="Q1320" s="263"/>
      <c r="R1320" s="263"/>
      <c r="S1320" s="263"/>
      <c r="T1320" s="263"/>
      <c r="U1320" s="246"/>
      <c r="V1320" s="246"/>
      <c r="W1320" s="246"/>
      <c r="X1320" s="246"/>
      <c r="Y1320" s="246"/>
      <c r="Z1320" s="246"/>
    </row>
    <row r="1321">
      <c r="A1321" s="263"/>
      <c r="B1321" s="267"/>
      <c r="C1321" s="263"/>
      <c r="D1321" s="263"/>
      <c r="E1321" s="263"/>
      <c r="F1321" s="268"/>
      <c r="G1321" s="263"/>
      <c r="H1321" s="267"/>
      <c r="I1321" s="263"/>
      <c r="J1321" s="263"/>
      <c r="K1321" s="263"/>
      <c r="L1321" s="263"/>
      <c r="M1321" s="263"/>
      <c r="N1321" s="263"/>
      <c r="O1321" s="263"/>
      <c r="P1321" s="263"/>
      <c r="Q1321" s="263"/>
      <c r="R1321" s="263"/>
      <c r="S1321" s="263"/>
      <c r="T1321" s="263"/>
      <c r="U1321" s="246"/>
      <c r="V1321" s="246"/>
      <c r="W1321" s="246"/>
      <c r="X1321" s="246"/>
      <c r="Y1321" s="246"/>
      <c r="Z1321" s="246"/>
    </row>
    <row r="1322">
      <c r="A1322" s="263"/>
      <c r="B1322" s="267"/>
      <c r="C1322" s="263"/>
      <c r="D1322" s="263"/>
      <c r="E1322" s="263"/>
      <c r="F1322" s="268"/>
      <c r="G1322" s="263"/>
      <c r="H1322" s="267"/>
      <c r="I1322" s="263"/>
      <c r="J1322" s="263"/>
      <c r="K1322" s="263"/>
      <c r="L1322" s="263"/>
      <c r="M1322" s="263"/>
      <c r="N1322" s="263"/>
      <c r="O1322" s="263"/>
      <c r="P1322" s="263"/>
      <c r="Q1322" s="263"/>
      <c r="R1322" s="263"/>
      <c r="S1322" s="263"/>
      <c r="T1322" s="263"/>
      <c r="U1322" s="246"/>
      <c r="V1322" s="246"/>
      <c r="W1322" s="246"/>
      <c r="X1322" s="246"/>
      <c r="Y1322" s="246"/>
      <c r="Z1322" s="246"/>
    </row>
    <row r="1323">
      <c r="A1323" s="263"/>
      <c r="B1323" s="267"/>
      <c r="C1323" s="263"/>
      <c r="D1323" s="263"/>
      <c r="E1323" s="263"/>
      <c r="F1323" s="268"/>
      <c r="G1323" s="263"/>
      <c r="H1323" s="267"/>
      <c r="I1323" s="263"/>
      <c r="J1323" s="263"/>
      <c r="K1323" s="263"/>
      <c r="L1323" s="263"/>
      <c r="M1323" s="263"/>
      <c r="N1323" s="263"/>
      <c r="O1323" s="263"/>
      <c r="P1323" s="263"/>
      <c r="Q1323" s="263"/>
      <c r="R1323" s="263"/>
      <c r="S1323" s="263"/>
      <c r="T1323" s="263"/>
      <c r="U1323" s="246"/>
      <c r="V1323" s="246"/>
      <c r="W1323" s="246"/>
      <c r="X1323" s="246"/>
      <c r="Y1323" s="246"/>
      <c r="Z1323" s="246"/>
    </row>
    <row r="1324">
      <c r="A1324" s="263"/>
      <c r="B1324" s="267"/>
      <c r="C1324" s="263"/>
      <c r="D1324" s="263"/>
      <c r="E1324" s="263"/>
      <c r="F1324" s="268"/>
      <c r="G1324" s="263"/>
      <c r="H1324" s="267"/>
      <c r="I1324" s="263"/>
      <c r="J1324" s="263"/>
      <c r="K1324" s="263"/>
      <c r="L1324" s="263"/>
      <c r="M1324" s="263"/>
      <c r="N1324" s="263"/>
      <c r="O1324" s="263"/>
      <c r="P1324" s="263"/>
      <c r="Q1324" s="263"/>
      <c r="R1324" s="263"/>
      <c r="S1324" s="263"/>
      <c r="T1324" s="263"/>
      <c r="U1324" s="246"/>
      <c r="V1324" s="246"/>
      <c r="W1324" s="246"/>
      <c r="X1324" s="246"/>
      <c r="Y1324" s="246"/>
      <c r="Z1324" s="246"/>
    </row>
    <row r="1325">
      <c r="A1325" s="263"/>
      <c r="B1325" s="267"/>
      <c r="C1325" s="263"/>
      <c r="D1325" s="263"/>
      <c r="E1325" s="263"/>
      <c r="F1325" s="268"/>
      <c r="G1325" s="263"/>
      <c r="H1325" s="267"/>
      <c r="I1325" s="263"/>
      <c r="J1325" s="263"/>
      <c r="K1325" s="263"/>
      <c r="L1325" s="263"/>
      <c r="M1325" s="263"/>
      <c r="N1325" s="263"/>
      <c r="O1325" s="263"/>
      <c r="P1325" s="263"/>
      <c r="Q1325" s="263"/>
      <c r="R1325" s="263"/>
      <c r="S1325" s="263"/>
      <c r="T1325" s="263"/>
      <c r="U1325" s="246"/>
      <c r="V1325" s="246"/>
      <c r="W1325" s="246"/>
      <c r="X1325" s="246"/>
      <c r="Y1325" s="246"/>
      <c r="Z1325" s="246"/>
    </row>
    <row r="1326">
      <c r="A1326" s="263"/>
      <c r="B1326" s="267"/>
      <c r="C1326" s="263"/>
      <c r="D1326" s="263"/>
      <c r="E1326" s="263"/>
      <c r="F1326" s="268"/>
      <c r="G1326" s="263"/>
      <c r="H1326" s="267"/>
      <c r="I1326" s="263"/>
      <c r="J1326" s="263"/>
      <c r="K1326" s="263"/>
      <c r="L1326" s="263"/>
      <c r="M1326" s="263"/>
      <c r="N1326" s="263"/>
      <c r="O1326" s="263"/>
      <c r="P1326" s="263"/>
      <c r="Q1326" s="263"/>
      <c r="R1326" s="263"/>
      <c r="S1326" s="263"/>
      <c r="T1326" s="263"/>
      <c r="U1326" s="246"/>
      <c r="V1326" s="246"/>
      <c r="W1326" s="246"/>
      <c r="X1326" s="246"/>
      <c r="Y1326" s="246"/>
      <c r="Z1326" s="246"/>
    </row>
    <row r="1327">
      <c r="A1327" s="263"/>
      <c r="B1327" s="267"/>
      <c r="C1327" s="263"/>
      <c r="D1327" s="263"/>
      <c r="E1327" s="263"/>
      <c r="F1327" s="268"/>
      <c r="G1327" s="263"/>
      <c r="H1327" s="267"/>
      <c r="I1327" s="263"/>
      <c r="J1327" s="263"/>
      <c r="K1327" s="263"/>
      <c r="L1327" s="263"/>
      <c r="M1327" s="263"/>
      <c r="N1327" s="263"/>
      <c r="O1327" s="263"/>
      <c r="P1327" s="263"/>
      <c r="Q1327" s="263"/>
      <c r="R1327" s="263"/>
      <c r="S1327" s="263"/>
      <c r="T1327" s="263"/>
      <c r="U1327" s="246"/>
      <c r="V1327" s="246"/>
      <c r="W1327" s="246"/>
      <c r="X1327" s="246"/>
      <c r="Y1327" s="246"/>
      <c r="Z1327" s="246"/>
    </row>
    <row r="1328">
      <c r="A1328" s="263"/>
      <c r="B1328" s="267"/>
      <c r="C1328" s="263"/>
      <c r="D1328" s="263"/>
      <c r="E1328" s="263"/>
      <c r="F1328" s="268"/>
      <c r="G1328" s="263"/>
      <c r="H1328" s="267"/>
      <c r="I1328" s="263"/>
      <c r="J1328" s="263"/>
      <c r="K1328" s="263"/>
      <c r="L1328" s="263"/>
      <c r="M1328" s="263"/>
      <c r="N1328" s="263"/>
      <c r="O1328" s="263"/>
      <c r="P1328" s="263"/>
      <c r="Q1328" s="263"/>
      <c r="R1328" s="263"/>
      <c r="S1328" s="263"/>
      <c r="T1328" s="263"/>
      <c r="U1328" s="246"/>
      <c r="V1328" s="246"/>
      <c r="W1328" s="246"/>
      <c r="X1328" s="246"/>
      <c r="Y1328" s="246"/>
      <c r="Z1328" s="246"/>
    </row>
    <row r="1329">
      <c r="A1329" s="263"/>
      <c r="B1329" s="267"/>
      <c r="C1329" s="263"/>
      <c r="D1329" s="263"/>
      <c r="E1329" s="263"/>
      <c r="F1329" s="268"/>
      <c r="G1329" s="263"/>
      <c r="H1329" s="267"/>
      <c r="I1329" s="263"/>
      <c r="J1329" s="263"/>
      <c r="K1329" s="263"/>
      <c r="L1329" s="263"/>
      <c r="M1329" s="263"/>
      <c r="N1329" s="263"/>
      <c r="O1329" s="263"/>
      <c r="P1329" s="263"/>
      <c r="Q1329" s="263"/>
      <c r="R1329" s="263"/>
      <c r="S1329" s="263"/>
      <c r="T1329" s="263"/>
      <c r="U1329" s="246"/>
      <c r="V1329" s="246"/>
      <c r="W1329" s="246"/>
      <c r="X1329" s="246"/>
      <c r="Y1329" s="246"/>
      <c r="Z1329" s="246"/>
    </row>
    <row r="1330">
      <c r="A1330" s="263"/>
      <c r="B1330" s="267"/>
      <c r="C1330" s="263"/>
      <c r="D1330" s="263"/>
      <c r="E1330" s="263"/>
      <c r="F1330" s="268"/>
      <c r="G1330" s="263"/>
      <c r="H1330" s="267"/>
      <c r="I1330" s="263"/>
      <c r="J1330" s="263"/>
      <c r="K1330" s="263"/>
      <c r="L1330" s="263"/>
      <c r="M1330" s="263"/>
      <c r="N1330" s="263"/>
      <c r="O1330" s="263"/>
      <c r="P1330" s="263"/>
      <c r="Q1330" s="263"/>
      <c r="R1330" s="263"/>
      <c r="S1330" s="263"/>
      <c r="T1330" s="263"/>
      <c r="U1330" s="246"/>
      <c r="V1330" s="246"/>
      <c r="W1330" s="246"/>
      <c r="X1330" s="246"/>
      <c r="Y1330" s="246"/>
      <c r="Z1330" s="246"/>
    </row>
    <row r="1331">
      <c r="A1331" s="263"/>
      <c r="B1331" s="267"/>
      <c r="C1331" s="263"/>
      <c r="D1331" s="263"/>
      <c r="E1331" s="263"/>
      <c r="F1331" s="268"/>
      <c r="G1331" s="263"/>
      <c r="H1331" s="267"/>
      <c r="I1331" s="263"/>
      <c r="J1331" s="263"/>
      <c r="K1331" s="263"/>
      <c r="L1331" s="263"/>
      <c r="M1331" s="263"/>
      <c r="N1331" s="263"/>
      <c r="O1331" s="263"/>
      <c r="P1331" s="263"/>
      <c r="Q1331" s="263"/>
      <c r="R1331" s="263"/>
      <c r="S1331" s="263"/>
      <c r="T1331" s="263"/>
      <c r="U1331" s="246"/>
      <c r="V1331" s="246"/>
      <c r="W1331" s="246"/>
      <c r="X1331" s="246"/>
      <c r="Y1331" s="246"/>
      <c r="Z1331" s="246"/>
    </row>
    <row r="1332">
      <c r="A1332" s="263"/>
      <c r="B1332" s="267"/>
      <c r="C1332" s="263"/>
      <c r="D1332" s="263"/>
      <c r="E1332" s="263"/>
      <c r="F1332" s="268"/>
      <c r="G1332" s="263"/>
      <c r="H1332" s="267"/>
      <c r="I1332" s="263"/>
      <c r="J1332" s="263"/>
      <c r="K1332" s="263"/>
      <c r="L1332" s="263"/>
      <c r="M1332" s="263"/>
      <c r="N1332" s="263"/>
      <c r="O1332" s="263"/>
      <c r="P1332" s="263"/>
      <c r="Q1332" s="263"/>
      <c r="R1332" s="263"/>
      <c r="S1332" s="263"/>
      <c r="T1332" s="263"/>
      <c r="U1332" s="246"/>
      <c r="V1332" s="246"/>
      <c r="W1332" s="246"/>
      <c r="X1332" s="246"/>
      <c r="Y1332" s="246"/>
      <c r="Z1332" s="246"/>
    </row>
    <row r="1333">
      <c r="A1333" s="263"/>
      <c r="B1333" s="267"/>
      <c r="C1333" s="263"/>
      <c r="D1333" s="263"/>
      <c r="E1333" s="263"/>
      <c r="F1333" s="268"/>
      <c r="G1333" s="263"/>
      <c r="H1333" s="267"/>
      <c r="I1333" s="263"/>
      <c r="J1333" s="263"/>
      <c r="K1333" s="263"/>
      <c r="L1333" s="263"/>
      <c r="M1333" s="263"/>
      <c r="N1333" s="263"/>
      <c r="O1333" s="263"/>
      <c r="P1333" s="263"/>
      <c r="Q1333" s="263"/>
      <c r="R1333" s="263"/>
      <c r="S1333" s="263"/>
      <c r="T1333" s="263"/>
      <c r="U1333" s="246"/>
      <c r="V1333" s="246"/>
      <c r="W1333" s="246"/>
      <c r="X1333" s="246"/>
      <c r="Y1333" s="246"/>
      <c r="Z1333" s="246"/>
    </row>
    <row r="1334">
      <c r="A1334" s="263"/>
      <c r="B1334" s="267"/>
      <c r="C1334" s="263"/>
      <c r="D1334" s="263"/>
      <c r="E1334" s="263"/>
      <c r="F1334" s="268"/>
      <c r="G1334" s="263"/>
      <c r="H1334" s="267"/>
      <c r="I1334" s="263"/>
      <c r="J1334" s="263"/>
      <c r="K1334" s="263"/>
      <c r="L1334" s="263"/>
      <c r="M1334" s="263"/>
      <c r="N1334" s="263"/>
      <c r="O1334" s="263"/>
      <c r="P1334" s="263"/>
      <c r="Q1334" s="263"/>
      <c r="R1334" s="263"/>
      <c r="S1334" s="263"/>
      <c r="T1334" s="263"/>
      <c r="U1334" s="246"/>
      <c r="V1334" s="246"/>
      <c r="W1334" s="246"/>
      <c r="X1334" s="246"/>
      <c r="Y1334" s="246"/>
      <c r="Z1334" s="246"/>
    </row>
    <row r="1335">
      <c r="A1335" s="263"/>
      <c r="B1335" s="267"/>
      <c r="C1335" s="263"/>
      <c r="D1335" s="263"/>
      <c r="E1335" s="263"/>
      <c r="F1335" s="268"/>
      <c r="G1335" s="263"/>
      <c r="H1335" s="267"/>
      <c r="I1335" s="263"/>
      <c r="J1335" s="263"/>
      <c r="K1335" s="263"/>
      <c r="L1335" s="263"/>
      <c r="M1335" s="263"/>
      <c r="N1335" s="263"/>
      <c r="O1335" s="263"/>
      <c r="P1335" s="263"/>
      <c r="Q1335" s="263"/>
      <c r="R1335" s="263"/>
      <c r="S1335" s="263"/>
      <c r="T1335" s="263"/>
      <c r="U1335" s="246"/>
      <c r="V1335" s="246"/>
      <c r="W1335" s="246"/>
      <c r="X1335" s="246"/>
      <c r="Y1335" s="246"/>
      <c r="Z1335" s="246"/>
    </row>
    <row r="1336">
      <c r="A1336" s="263"/>
      <c r="B1336" s="267"/>
      <c r="C1336" s="263"/>
      <c r="D1336" s="263"/>
      <c r="E1336" s="263"/>
      <c r="F1336" s="268"/>
      <c r="G1336" s="263"/>
      <c r="H1336" s="267"/>
      <c r="I1336" s="263"/>
      <c r="J1336" s="263"/>
      <c r="K1336" s="263"/>
      <c r="L1336" s="263"/>
      <c r="M1336" s="263"/>
      <c r="N1336" s="263"/>
      <c r="O1336" s="263"/>
      <c r="P1336" s="263"/>
      <c r="Q1336" s="263"/>
      <c r="R1336" s="263"/>
      <c r="S1336" s="263"/>
      <c r="T1336" s="263"/>
      <c r="U1336" s="246"/>
      <c r="V1336" s="246"/>
      <c r="W1336" s="246"/>
      <c r="X1336" s="246"/>
      <c r="Y1336" s="246"/>
      <c r="Z1336" s="246"/>
    </row>
    <row r="1337">
      <c r="A1337" s="263"/>
      <c r="B1337" s="267"/>
      <c r="C1337" s="263"/>
      <c r="D1337" s="263"/>
      <c r="E1337" s="263"/>
      <c r="F1337" s="268"/>
      <c r="G1337" s="263"/>
      <c r="H1337" s="267"/>
      <c r="I1337" s="263"/>
      <c r="J1337" s="263"/>
      <c r="K1337" s="263"/>
      <c r="L1337" s="263"/>
      <c r="M1337" s="263"/>
      <c r="N1337" s="263"/>
      <c r="O1337" s="263"/>
      <c r="P1337" s="263"/>
      <c r="Q1337" s="263"/>
      <c r="R1337" s="263"/>
      <c r="S1337" s="263"/>
      <c r="T1337" s="263"/>
      <c r="U1337" s="246"/>
      <c r="V1337" s="246"/>
      <c r="W1337" s="246"/>
      <c r="X1337" s="246"/>
      <c r="Y1337" s="246"/>
      <c r="Z1337" s="246"/>
    </row>
    <row r="1338">
      <c r="A1338" s="263"/>
      <c r="B1338" s="267"/>
      <c r="C1338" s="263"/>
      <c r="D1338" s="263"/>
      <c r="E1338" s="263"/>
      <c r="F1338" s="268"/>
      <c r="G1338" s="263"/>
      <c r="H1338" s="267"/>
      <c r="I1338" s="263"/>
      <c r="J1338" s="263"/>
      <c r="K1338" s="263"/>
      <c r="L1338" s="263"/>
      <c r="M1338" s="263"/>
      <c r="N1338" s="263"/>
      <c r="O1338" s="263"/>
      <c r="P1338" s="263"/>
      <c r="Q1338" s="263"/>
      <c r="R1338" s="263"/>
      <c r="S1338" s="263"/>
      <c r="T1338" s="263"/>
      <c r="U1338" s="246"/>
      <c r="V1338" s="246"/>
      <c r="W1338" s="246"/>
      <c r="X1338" s="246"/>
      <c r="Y1338" s="246"/>
      <c r="Z1338" s="246"/>
    </row>
    <row r="1339">
      <c r="A1339" s="263"/>
      <c r="B1339" s="267"/>
      <c r="C1339" s="263"/>
      <c r="D1339" s="263"/>
      <c r="E1339" s="263"/>
      <c r="F1339" s="268"/>
      <c r="G1339" s="263"/>
      <c r="H1339" s="267"/>
      <c r="I1339" s="263"/>
      <c r="J1339" s="263"/>
      <c r="K1339" s="263"/>
      <c r="L1339" s="263"/>
      <c r="M1339" s="263"/>
      <c r="N1339" s="263"/>
      <c r="O1339" s="263"/>
      <c r="P1339" s="263"/>
      <c r="Q1339" s="263"/>
      <c r="R1339" s="263"/>
      <c r="S1339" s="263"/>
      <c r="T1339" s="263"/>
      <c r="U1339" s="246"/>
      <c r="V1339" s="246"/>
      <c r="W1339" s="246"/>
      <c r="X1339" s="246"/>
      <c r="Y1339" s="246"/>
      <c r="Z1339" s="246"/>
    </row>
    <row r="1340">
      <c r="A1340" s="263"/>
      <c r="B1340" s="267"/>
      <c r="C1340" s="263"/>
      <c r="D1340" s="263"/>
      <c r="E1340" s="263"/>
      <c r="F1340" s="268"/>
      <c r="G1340" s="263"/>
      <c r="H1340" s="267"/>
      <c r="I1340" s="263"/>
      <c r="J1340" s="263"/>
      <c r="K1340" s="263"/>
      <c r="L1340" s="263"/>
      <c r="M1340" s="263"/>
      <c r="N1340" s="263"/>
      <c r="O1340" s="263"/>
      <c r="P1340" s="263"/>
      <c r="Q1340" s="263"/>
      <c r="R1340" s="263"/>
      <c r="S1340" s="263"/>
      <c r="T1340" s="263"/>
      <c r="U1340" s="246"/>
      <c r="V1340" s="246"/>
      <c r="W1340" s="246"/>
      <c r="X1340" s="246"/>
      <c r="Y1340" s="246"/>
      <c r="Z1340" s="246"/>
    </row>
    <row r="1341">
      <c r="A1341" s="263"/>
      <c r="B1341" s="267"/>
      <c r="C1341" s="263"/>
      <c r="D1341" s="263"/>
      <c r="E1341" s="263"/>
      <c r="F1341" s="268"/>
      <c r="G1341" s="263"/>
      <c r="H1341" s="267"/>
      <c r="I1341" s="263"/>
      <c r="J1341" s="263"/>
      <c r="K1341" s="263"/>
      <c r="L1341" s="263"/>
      <c r="M1341" s="263"/>
      <c r="N1341" s="263"/>
      <c r="O1341" s="263"/>
      <c r="P1341" s="263"/>
      <c r="Q1341" s="263"/>
      <c r="R1341" s="263"/>
      <c r="S1341" s="263"/>
      <c r="T1341" s="263"/>
      <c r="U1341" s="246"/>
      <c r="V1341" s="246"/>
      <c r="W1341" s="246"/>
      <c r="X1341" s="246"/>
      <c r="Y1341" s="246"/>
      <c r="Z1341" s="246"/>
    </row>
    <row r="1342">
      <c r="A1342" s="263"/>
      <c r="B1342" s="267"/>
      <c r="C1342" s="263"/>
      <c r="D1342" s="263"/>
      <c r="E1342" s="263"/>
      <c r="F1342" s="268"/>
      <c r="G1342" s="263"/>
      <c r="H1342" s="267"/>
      <c r="I1342" s="263"/>
      <c r="J1342" s="263"/>
      <c r="K1342" s="263"/>
      <c r="L1342" s="263"/>
      <c r="M1342" s="263"/>
      <c r="N1342" s="263"/>
      <c r="O1342" s="263"/>
      <c r="P1342" s="263"/>
      <c r="Q1342" s="263"/>
      <c r="R1342" s="263"/>
      <c r="S1342" s="263"/>
      <c r="T1342" s="263"/>
      <c r="U1342" s="246"/>
      <c r="V1342" s="246"/>
      <c r="W1342" s="246"/>
      <c r="X1342" s="246"/>
      <c r="Y1342" s="246"/>
      <c r="Z1342" s="246"/>
    </row>
    <row r="1343">
      <c r="A1343" s="263"/>
      <c r="B1343" s="267"/>
      <c r="C1343" s="263"/>
      <c r="D1343" s="263"/>
      <c r="E1343" s="263"/>
      <c r="F1343" s="268"/>
      <c r="G1343" s="263"/>
      <c r="H1343" s="267"/>
      <c r="I1343" s="263"/>
      <c r="J1343" s="263"/>
      <c r="K1343" s="263"/>
      <c r="L1343" s="263"/>
      <c r="M1343" s="263"/>
      <c r="N1343" s="263"/>
      <c r="O1343" s="263"/>
      <c r="P1343" s="263"/>
      <c r="Q1343" s="263"/>
      <c r="R1343" s="263"/>
      <c r="S1343" s="263"/>
      <c r="T1343" s="263"/>
      <c r="U1343" s="246"/>
      <c r="V1343" s="246"/>
      <c r="W1343" s="246"/>
      <c r="X1343" s="246"/>
      <c r="Y1343" s="246"/>
      <c r="Z1343" s="246"/>
    </row>
    <row r="1344">
      <c r="A1344" s="263"/>
      <c r="B1344" s="267"/>
      <c r="C1344" s="263"/>
      <c r="D1344" s="263"/>
      <c r="E1344" s="263"/>
      <c r="F1344" s="268"/>
      <c r="G1344" s="263"/>
      <c r="H1344" s="267"/>
      <c r="I1344" s="263"/>
      <c r="J1344" s="263"/>
      <c r="K1344" s="263"/>
      <c r="L1344" s="263"/>
      <c r="M1344" s="263"/>
      <c r="N1344" s="263"/>
      <c r="O1344" s="263"/>
      <c r="P1344" s="263"/>
      <c r="Q1344" s="263"/>
      <c r="R1344" s="263"/>
      <c r="S1344" s="263"/>
      <c r="T1344" s="263"/>
      <c r="U1344" s="246"/>
      <c r="V1344" s="246"/>
      <c r="W1344" s="246"/>
      <c r="X1344" s="246"/>
      <c r="Y1344" s="246"/>
      <c r="Z1344" s="246"/>
    </row>
    <row r="1345">
      <c r="A1345" s="263"/>
      <c r="B1345" s="267"/>
      <c r="C1345" s="263"/>
      <c r="D1345" s="263"/>
      <c r="E1345" s="263"/>
      <c r="F1345" s="268"/>
      <c r="G1345" s="263"/>
      <c r="H1345" s="267"/>
      <c r="I1345" s="263"/>
      <c r="J1345" s="263"/>
      <c r="K1345" s="263"/>
      <c r="L1345" s="263"/>
      <c r="M1345" s="263"/>
      <c r="N1345" s="263"/>
      <c r="O1345" s="263"/>
      <c r="P1345" s="263"/>
      <c r="Q1345" s="263"/>
      <c r="R1345" s="263"/>
      <c r="S1345" s="263"/>
      <c r="T1345" s="263"/>
      <c r="U1345" s="246"/>
      <c r="V1345" s="246"/>
      <c r="W1345" s="246"/>
      <c r="X1345" s="246"/>
      <c r="Y1345" s="246"/>
      <c r="Z1345" s="246"/>
    </row>
    <row r="1346">
      <c r="A1346" s="263"/>
      <c r="B1346" s="267"/>
      <c r="C1346" s="263"/>
      <c r="D1346" s="263"/>
      <c r="E1346" s="263"/>
      <c r="F1346" s="268"/>
      <c r="G1346" s="263"/>
      <c r="H1346" s="267"/>
      <c r="I1346" s="263"/>
      <c r="J1346" s="263"/>
      <c r="K1346" s="263"/>
      <c r="L1346" s="263"/>
      <c r="M1346" s="263"/>
      <c r="N1346" s="263"/>
      <c r="O1346" s="263"/>
      <c r="P1346" s="263"/>
      <c r="Q1346" s="263"/>
      <c r="R1346" s="263"/>
      <c r="S1346" s="263"/>
      <c r="T1346" s="263"/>
      <c r="U1346" s="246"/>
      <c r="V1346" s="246"/>
      <c r="W1346" s="246"/>
      <c r="X1346" s="246"/>
      <c r="Y1346" s="246"/>
      <c r="Z1346" s="246"/>
    </row>
    <row r="1347">
      <c r="A1347" s="263"/>
      <c r="B1347" s="267"/>
      <c r="C1347" s="263"/>
      <c r="D1347" s="263"/>
      <c r="E1347" s="263"/>
      <c r="F1347" s="268"/>
      <c r="G1347" s="263"/>
      <c r="H1347" s="267"/>
      <c r="I1347" s="263"/>
      <c r="J1347" s="263"/>
      <c r="K1347" s="263"/>
      <c r="L1347" s="263"/>
      <c r="M1347" s="263"/>
      <c r="N1347" s="263"/>
      <c r="O1347" s="263"/>
      <c r="P1347" s="263"/>
      <c r="Q1347" s="263"/>
      <c r="R1347" s="263"/>
      <c r="S1347" s="263"/>
      <c r="T1347" s="263"/>
      <c r="U1347" s="246"/>
      <c r="V1347" s="246"/>
      <c r="W1347" s="246"/>
      <c r="X1347" s="246"/>
      <c r="Y1347" s="246"/>
      <c r="Z1347" s="246"/>
    </row>
    <row r="1348">
      <c r="A1348" s="263"/>
      <c r="B1348" s="267"/>
      <c r="C1348" s="263"/>
      <c r="D1348" s="263"/>
      <c r="E1348" s="263"/>
      <c r="F1348" s="268"/>
      <c r="G1348" s="263"/>
      <c r="H1348" s="267"/>
      <c r="I1348" s="263"/>
      <c r="J1348" s="263"/>
      <c r="K1348" s="263"/>
      <c r="L1348" s="263"/>
      <c r="M1348" s="263"/>
      <c r="N1348" s="263"/>
      <c r="O1348" s="263"/>
      <c r="P1348" s="263"/>
      <c r="Q1348" s="263"/>
      <c r="R1348" s="263"/>
      <c r="S1348" s="263"/>
      <c r="T1348" s="263"/>
      <c r="U1348" s="246"/>
      <c r="V1348" s="246"/>
      <c r="W1348" s="246"/>
      <c r="X1348" s="246"/>
      <c r="Y1348" s="246"/>
      <c r="Z1348" s="246"/>
    </row>
    <row r="1349">
      <c r="A1349" s="263"/>
      <c r="B1349" s="267"/>
      <c r="C1349" s="263"/>
      <c r="D1349" s="263"/>
      <c r="E1349" s="263"/>
      <c r="F1349" s="268"/>
      <c r="G1349" s="263"/>
      <c r="H1349" s="267"/>
      <c r="I1349" s="263"/>
      <c r="J1349" s="263"/>
      <c r="K1349" s="263"/>
      <c r="L1349" s="263"/>
      <c r="M1349" s="263"/>
      <c r="N1349" s="263"/>
      <c r="O1349" s="263"/>
      <c r="P1349" s="263"/>
      <c r="Q1349" s="263"/>
      <c r="R1349" s="263"/>
      <c r="S1349" s="263"/>
      <c r="T1349" s="263"/>
      <c r="U1349" s="246"/>
      <c r="V1349" s="246"/>
      <c r="W1349" s="246"/>
      <c r="X1349" s="246"/>
      <c r="Y1349" s="246"/>
      <c r="Z1349" s="246"/>
    </row>
    <row r="1350">
      <c r="A1350" s="263"/>
      <c r="B1350" s="267"/>
      <c r="C1350" s="263"/>
      <c r="D1350" s="263"/>
      <c r="E1350" s="263"/>
      <c r="F1350" s="268"/>
      <c r="G1350" s="263"/>
      <c r="H1350" s="267"/>
      <c r="I1350" s="263"/>
      <c r="J1350" s="263"/>
      <c r="K1350" s="263"/>
      <c r="L1350" s="263"/>
      <c r="M1350" s="263"/>
      <c r="N1350" s="263"/>
      <c r="O1350" s="263"/>
      <c r="P1350" s="263"/>
      <c r="Q1350" s="263"/>
      <c r="R1350" s="263"/>
      <c r="S1350" s="263"/>
      <c r="T1350" s="263"/>
      <c r="U1350" s="246"/>
      <c r="V1350" s="246"/>
      <c r="W1350" s="246"/>
      <c r="X1350" s="246"/>
      <c r="Y1350" s="246"/>
      <c r="Z1350" s="246"/>
    </row>
    <row r="1351">
      <c r="A1351" s="263"/>
      <c r="B1351" s="267"/>
      <c r="C1351" s="263"/>
      <c r="D1351" s="263"/>
      <c r="E1351" s="263"/>
      <c r="F1351" s="268"/>
      <c r="G1351" s="263"/>
      <c r="H1351" s="267"/>
      <c r="I1351" s="263"/>
      <c r="J1351" s="263"/>
      <c r="K1351" s="263"/>
      <c r="L1351" s="263"/>
      <c r="M1351" s="263"/>
      <c r="N1351" s="263"/>
      <c r="O1351" s="263"/>
      <c r="P1351" s="263"/>
      <c r="Q1351" s="263"/>
      <c r="R1351" s="263"/>
      <c r="S1351" s="263"/>
      <c r="T1351" s="263"/>
      <c r="U1351" s="246"/>
      <c r="V1351" s="246"/>
      <c r="W1351" s="246"/>
      <c r="X1351" s="246"/>
      <c r="Y1351" s="246"/>
      <c r="Z1351" s="246"/>
    </row>
    <row r="1352">
      <c r="A1352" s="263"/>
      <c r="B1352" s="267"/>
      <c r="C1352" s="263"/>
      <c r="D1352" s="263"/>
      <c r="E1352" s="263"/>
      <c r="F1352" s="268"/>
      <c r="G1352" s="263"/>
      <c r="H1352" s="267"/>
      <c r="I1352" s="263"/>
      <c r="J1352" s="263"/>
      <c r="K1352" s="263"/>
      <c r="L1352" s="263"/>
      <c r="M1352" s="263"/>
      <c r="N1352" s="263"/>
      <c r="O1352" s="263"/>
      <c r="P1352" s="263"/>
      <c r="Q1352" s="263"/>
      <c r="R1352" s="263"/>
      <c r="S1352" s="263"/>
      <c r="T1352" s="263"/>
      <c r="U1352" s="246"/>
      <c r="V1352" s="246"/>
      <c r="W1352" s="246"/>
      <c r="X1352" s="246"/>
      <c r="Y1352" s="246"/>
      <c r="Z1352" s="246"/>
    </row>
    <row r="1353">
      <c r="A1353" s="263"/>
      <c r="B1353" s="267"/>
      <c r="C1353" s="263"/>
      <c r="D1353" s="263"/>
      <c r="E1353" s="263"/>
      <c r="F1353" s="268"/>
      <c r="G1353" s="263"/>
      <c r="H1353" s="267"/>
      <c r="I1353" s="263"/>
      <c r="J1353" s="263"/>
      <c r="K1353" s="263"/>
      <c r="L1353" s="263"/>
      <c r="M1353" s="263"/>
      <c r="N1353" s="263"/>
      <c r="O1353" s="263"/>
      <c r="P1353" s="263"/>
      <c r="Q1353" s="263"/>
      <c r="R1353" s="263"/>
      <c r="S1353" s="263"/>
      <c r="T1353" s="263"/>
      <c r="U1353" s="246"/>
      <c r="V1353" s="246"/>
      <c r="W1353" s="246"/>
      <c r="X1353" s="246"/>
      <c r="Y1353" s="246"/>
      <c r="Z1353" s="246"/>
    </row>
    <row r="1354">
      <c r="A1354" s="263"/>
      <c r="B1354" s="267"/>
      <c r="C1354" s="263"/>
      <c r="D1354" s="263"/>
      <c r="E1354" s="263"/>
      <c r="F1354" s="268"/>
      <c r="G1354" s="263"/>
      <c r="H1354" s="267"/>
      <c r="I1354" s="263"/>
      <c r="J1354" s="263"/>
      <c r="K1354" s="263"/>
      <c r="L1354" s="263"/>
      <c r="M1354" s="263"/>
      <c r="N1354" s="263"/>
      <c r="O1354" s="263"/>
      <c r="P1354" s="263"/>
      <c r="Q1354" s="263"/>
      <c r="R1354" s="263"/>
      <c r="S1354" s="263"/>
      <c r="T1354" s="263"/>
      <c r="U1354" s="246"/>
      <c r="V1354" s="246"/>
      <c r="W1354" s="246"/>
      <c r="X1354" s="246"/>
      <c r="Y1354" s="246"/>
      <c r="Z1354" s="246"/>
    </row>
    <row r="1355">
      <c r="A1355" s="263"/>
      <c r="B1355" s="267"/>
      <c r="C1355" s="263"/>
      <c r="D1355" s="263"/>
      <c r="E1355" s="263"/>
      <c r="F1355" s="268"/>
      <c r="G1355" s="263"/>
      <c r="H1355" s="267"/>
      <c r="I1355" s="263"/>
      <c r="J1355" s="263"/>
      <c r="K1355" s="263"/>
      <c r="L1355" s="263"/>
      <c r="M1355" s="263"/>
      <c r="N1355" s="263"/>
      <c r="O1355" s="263"/>
      <c r="P1355" s="263"/>
      <c r="Q1355" s="263"/>
      <c r="R1355" s="263"/>
      <c r="S1355" s="263"/>
      <c r="T1355" s="263"/>
      <c r="U1355" s="246"/>
      <c r="V1355" s="246"/>
      <c r="W1355" s="246"/>
      <c r="X1355" s="246"/>
      <c r="Y1355" s="246"/>
      <c r="Z1355" s="246"/>
    </row>
    <row r="1356">
      <c r="A1356" s="263"/>
      <c r="B1356" s="267"/>
      <c r="C1356" s="263"/>
      <c r="D1356" s="263"/>
      <c r="E1356" s="263"/>
      <c r="F1356" s="268"/>
      <c r="G1356" s="263"/>
      <c r="H1356" s="267"/>
      <c r="I1356" s="263"/>
      <c r="J1356" s="263"/>
      <c r="K1356" s="263"/>
      <c r="L1356" s="263"/>
      <c r="M1356" s="263"/>
      <c r="N1356" s="263"/>
      <c r="O1356" s="263"/>
      <c r="P1356" s="263"/>
      <c r="Q1356" s="263"/>
      <c r="R1356" s="263"/>
      <c r="S1356" s="263"/>
      <c r="T1356" s="263"/>
      <c r="U1356" s="246"/>
      <c r="V1356" s="246"/>
      <c r="W1356" s="246"/>
      <c r="X1356" s="246"/>
      <c r="Y1356" s="246"/>
      <c r="Z1356" s="246"/>
    </row>
    <row r="1357">
      <c r="A1357" s="263"/>
      <c r="B1357" s="267"/>
      <c r="C1357" s="263"/>
      <c r="D1357" s="263"/>
      <c r="E1357" s="263"/>
      <c r="F1357" s="268"/>
      <c r="G1357" s="263"/>
      <c r="H1357" s="267"/>
      <c r="I1357" s="263"/>
      <c r="J1357" s="263"/>
      <c r="K1357" s="263"/>
      <c r="L1357" s="263"/>
      <c r="M1357" s="263"/>
      <c r="N1357" s="263"/>
      <c r="O1357" s="263"/>
      <c r="P1357" s="263"/>
      <c r="Q1357" s="263"/>
      <c r="R1357" s="263"/>
      <c r="S1357" s="263"/>
      <c r="T1357" s="263"/>
      <c r="U1357" s="246"/>
      <c r="V1357" s="246"/>
      <c r="W1357" s="246"/>
      <c r="X1357" s="246"/>
      <c r="Y1357" s="246"/>
      <c r="Z1357" s="246"/>
    </row>
    <row r="1358">
      <c r="A1358" s="263"/>
      <c r="B1358" s="267"/>
      <c r="C1358" s="263"/>
      <c r="D1358" s="263"/>
      <c r="E1358" s="263"/>
      <c r="F1358" s="268"/>
      <c r="G1358" s="263"/>
      <c r="H1358" s="267"/>
      <c r="I1358" s="263"/>
      <c r="J1358" s="263"/>
      <c r="K1358" s="263"/>
      <c r="L1358" s="263"/>
      <c r="M1358" s="263"/>
      <c r="N1358" s="263"/>
      <c r="O1358" s="263"/>
      <c r="P1358" s="263"/>
      <c r="Q1358" s="263"/>
      <c r="R1358" s="263"/>
      <c r="S1358" s="263"/>
      <c r="T1358" s="263"/>
      <c r="U1358" s="246"/>
      <c r="V1358" s="246"/>
      <c r="W1358" s="246"/>
      <c r="X1358" s="246"/>
      <c r="Y1358" s="246"/>
      <c r="Z1358" s="246"/>
    </row>
    <row r="1359">
      <c r="A1359" s="263"/>
      <c r="B1359" s="267"/>
      <c r="C1359" s="263"/>
      <c r="D1359" s="263"/>
      <c r="E1359" s="263"/>
      <c r="F1359" s="268"/>
      <c r="G1359" s="263"/>
      <c r="H1359" s="267"/>
      <c r="I1359" s="263"/>
      <c r="J1359" s="263"/>
      <c r="K1359" s="263"/>
      <c r="L1359" s="263"/>
      <c r="M1359" s="263"/>
      <c r="N1359" s="263"/>
      <c r="O1359" s="263"/>
      <c r="P1359" s="263"/>
      <c r="Q1359" s="263"/>
      <c r="R1359" s="263"/>
      <c r="S1359" s="263"/>
      <c r="T1359" s="263"/>
      <c r="U1359" s="246"/>
      <c r="V1359" s="246"/>
      <c r="W1359" s="246"/>
      <c r="X1359" s="246"/>
      <c r="Y1359" s="246"/>
      <c r="Z1359" s="246"/>
    </row>
    <row r="1360">
      <c r="A1360" s="263"/>
      <c r="B1360" s="267"/>
      <c r="C1360" s="263"/>
      <c r="D1360" s="263"/>
      <c r="E1360" s="263"/>
      <c r="F1360" s="268"/>
      <c r="G1360" s="263"/>
      <c r="H1360" s="267"/>
      <c r="I1360" s="263"/>
      <c r="J1360" s="263"/>
      <c r="K1360" s="263"/>
      <c r="L1360" s="263"/>
      <c r="M1360" s="263"/>
      <c r="N1360" s="263"/>
      <c r="O1360" s="263"/>
      <c r="P1360" s="263"/>
      <c r="Q1360" s="263"/>
      <c r="R1360" s="263"/>
      <c r="S1360" s="263"/>
      <c r="T1360" s="263"/>
      <c r="U1360" s="246"/>
      <c r="V1360" s="246"/>
      <c r="W1360" s="246"/>
      <c r="X1360" s="246"/>
      <c r="Y1360" s="246"/>
      <c r="Z1360" s="246"/>
    </row>
    <row r="1361">
      <c r="A1361" s="263"/>
      <c r="B1361" s="267"/>
      <c r="C1361" s="263"/>
      <c r="D1361" s="263"/>
      <c r="E1361" s="263"/>
      <c r="F1361" s="268"/>
      <c r="G1361" s="263"/>
      <c r="H1361" s="267"/>
      <c r="I1361" s="263"/>
      <c r="J1361" s="263"/>
      <c r="K1361" s="263"/>
      <c r="L1361" s="263"/>
      <c r="M1361" s="263"/>
      <c r="N1361" s="263"/>
      <c r="O1361" s="263"/>
      <c r="P1361" s="263"/>
      <c r="Q1361" s="263"/>
      <c r="R1361" s="263"/>
      <c r="S1361" s="263"/>
      <c r="T1361" s="263"/>
      <c r="U1361" s="246"/>
      <c r="V1361" s="246"/>
      <c r="W1361" s="246"/>
      <c r="X1361" s="246"/>
      <c r="Y1361" s="246"/>
      <c r="Z1361" s="246"/>
    </row>
    <row r="1362">
      <c r="A1362" s="263"/>
      <c r="B1362" s="267"/>
      <c r="C1362" s="263"/>
      <c r="D1362" s="263"/>
      <c r="E1362" s="263"/>
      <c r="F1362" s="268"/>
      <c r="G1362" s="263"/>
      <c r="H1362" s="267"/>
      <c r="I1362" s="263"/>
      <c r="J1362" s="263"/>
      <c r="K1362" s="263"/>
      <c r="L1362" s="263"/>
      <c r="M1362" s="263"/>
      <c r="N1362" s="263"/>
      <c r="O1362" s="263"/>
      <c r="P1362" s="263"/>
      <c r="Q1362" s="263"/>
      <c r="R1362" s="263"/>
      <c r="S1362" s="263"/>
      <c r="T1362" s="263"/>
      <c r="U1362" s="246"/>
      <c r="V1362" s="246"/>
      <c r="W1362" s="246"/>
      <c r="X1362" s="246"/>
      <c r="Y1362" s="246"/>
      <c r="Z1362" s="246"/>
    </row>
    <row r="1363">
      <c r="A1363" s="263"/>
      <c r="B1363" s="267"/>
      <c r="C1363" s="263"/>
      <c r="D1363" s="263"/>
      <c r="E1363" s="263"/>
      <c r="F1363" s="268"/>
      <c r="G1363" s="263"/>
      <c r="H1363" s="267"/>
      <c r="I1363" s="263"/>
      <c r="J1363" s="263"/>
      <c r="K1363" s="263"/>
      <c r="L1363" s="263"/>
      <c r="M1363" s="263"/>
      <c r="N1363" s="263"/>
      <c r="O1363" s="263"/>
      <c r="P1363" s="263"/>
      <c r="Q1363" s="263"/>
      <c r="R1363" s="263"/>
      <c r="S1363" s="263"/>
      <c r="T1363" s="263"/>
      <c r="U1363" s="246"/>
      <c r="V1363" s="246"/>
      <c r="W1363" s="246"/>
      <c r="X1363" s="246"/>
      <c r="Y1363" s="246"/>
      <c r="Z1363" s="246"/>
    </row>
    <row r="1364">
      <c r="A1364" s="263"/>
      <c r="B1364" s="267"/>
      <c r="C1364" s="263"/>
      <c r="D1364" s="263"/>
      <c r="E1364" s="263"/>
      <c r="F1364" s="268"/>
      <c r="G1364" s="263"/>
      <c r="H1364" s="267"/>
      <c r="I1364" s="263"/>
      <c r="J1364" s="263"/>
      <c r="K1364" s="263"/>
      <c r="L1364" s="263"/>
      <c r="M1364" s="263"/>
      <c r="N1364" s="263"/>
      <c r="O1364" s="263"/>
      <c r="P1364" s="263"/>
      <c r="Q1364" s="263"/>
      <c r="R1364" s="263"/>
      <c r="S1364" s="263"/>
      <c r="T1364" s="263"/>
      <c r="U1364" s="246"/>
      <c r="V1364" s="246"/>
      <c r="W1364" s="246"/>
      <c r="X1364" s="246"/>
      <c r="Y1364" s="246"/>
      <c r="Z1364" s="246"/>
    </row>
    <row r="1365">
      <c r="A1365" s="263"/>
      <c r="B1365" s="267"/>
      <c r="C1365" s="263"/>
      <c r="D1365" s="263"/>
      <c r="E1365" s="263"/>
      <c r="F1365" s="268"/>
      <c r="G1365" s="263"/>
      <c r="H1365" s="267"/>
      <c r="I1365" s="263"/>
      <c r="J1365" s="263"/>
      <c r="K1365" s="263"/>
      <c r="L1365" s="263"/>
      <c r="M1365" s="263"/>
      <c r="N1365" s="263"/>
      <c r="O1365" s="263"/>
      <c r="P1365" s="263"/>
      <c r="Q1365" s="263"/>
      <c r="R1365" s="263"/>
      <c r="S1365" s="263"/>
      <c r="T1365" s="263"/>
      <c r="U1365" s="246"/>
      <c r="V1365" s="246"/>
      <c r="W1365" s="246"/>
      <c r="X1365" s="246"/>
      <c r="Y1365" s="246"/>
      <c r="Z1365" s="246"/>
    </row>
    <row r="1366">
      <c r="A1366" s="263"/>
      <c r="B1366" s="267"/>
      <c r="C1366" s="263"/>
      <c r="D1366" s="263"/>
      <c r="E1366" s="263"/>
      <c r="F1366" s="268"/>
      <c r="G1366" s="263"/>
      <c r="H1366" s="267"/>
      <c r="I1366" s="263"/>
      <c r="J1366" s="263"/>
      <c r="K1366" s="263"/>
      <c r="L1366" s="263"/>
      <c r="M1366" s="263"/>
      <c r="N1366" s="263"/>
      <c r="O1366" s="263"/>
      <c r="P1366" s="263"/>
      <c r="Q1366" s="263"/>
      <c r="R1366" s="263"/>
      <c r="S1366" s="263"/>
      <c r="T1366" s="263"/>
      <c r="U1366" s="246"/>
      <c r="V1366" s="246"/>
      <c r="W1366" s="246"/>
      <c r="X1366" s="246"/>
      <c r="Y1366" s="246"/>
      <c r="Z1366" s="246"/>
    </row>
    <row r="1367">
      <c r="A1367" s="263"/>
      <c r="B1367" s="267"/>
      <c r="C1367" s="263"/>
      <c r="D1367" s="263"/>
      <c r="E1367" s="263"/>
      <c r="F1367" s="268"/>
      <c r="G1367" s="263"/>
      <c r="H1367" s="267"/>
      <c r="I1367" s="263"/>
      <c r="J1367" s="263"/>
      <c r="K1367" s="263"/>
      <c r="L1367" s="263"/>
      <c r="M1367" s="263"/>
      <c r="N1367" s="263"/>
      <c r="O1367" s="263"/>
      <c r="P1367" s="263"/>
      <c r="Q1367" s="263"/>
      <c r="R1367" s="263"/>
      <c r="S1367" s="263"/>
      <c r="T1367" s="263"/>
      <c r="U1367" s="246"/>
      <c r="V1367" s="246"/>
      <c r="W1367" s="246"/>
      <c r="X1367" s="246"/>
      <c r="Y1367" s="246"/>
      <c r="Z1367" s="246"/>
    </row>
    <row r="1368">
      <c r="A1368" s="263"/>
      <c r="B1368" s="267"/>
      <c r="C1368" s="263"/>
      <c r="D1368" s="263"/>
      <c r="E1368" s="263"/>
      <c r="F1368" s="268"/>
      <c r="G1368" s="263"/>
      <c r="H1368" s="267"/>
      <c r="I1368" s="263"/>
      <c r="J1368" s="263"/>
      <c r="K1368" s="263"/>
      <c r="L1368" s="263"/>
      <c r="M1368" s="263"/>
      <c r="N1368" s="263"/>
      <c r="O1368" s="263"/>
      <c r="P1368" s="263"/>
      <c r="Q1368" s="263"/>
      <c r="R1368" s="263"/>
      <c r="S1368" s="263"/>
      <c r="T1368" s="263"/>
      <c r="U1368" s="246"/>
      <c r="V1368" s="246"/>
      <c r="W1368" s="246"/>
      <c r="X1368" s="246"/>
      <c r="Y1368" s="246"/>
      <c r="Z1368" s="246"/>
    </row>
    <row r="1369">
      <c r="A1369" s="263"/>
      <c r="B1369" s="267"/>
      <c r="C1369" s="263"/>
      <c r="D1369" s="263"/>
      <c r="E1369" s="263"/>
      <c r="F1369" s="268"/>
      <c r="G1369" s="263"/>
      <c r="H1369" s="267"/>
      <c r="I1369" s="263"/>
      <c r="J1369" s="263"/>
      <c r="K1369" s="263"/>
      <c r="L1369" s="263"/>
      <c r="M1369" s="263"/>
      <c r="N1369" s="263"/>
      <c r="O1369" s="263"/>
      <c r="P1369" s="263"/>
      <c r="Q1369" s="263"/>
      <c r="R1369" s="263"/>
      <c r="S1369" s="263"/>
      <c r="T1369" s="263"/>
      <c r="U1369" s="246"/>
      <c r="V1369" s="246"/>
      <c r="W1369" s="246"/>
      <c r="X1369" s="246"/>
      <c r="Y1369" s="246"/>
      <c r="Z1369" s="246"/>
    </row>
    <row r="1370">
      <c r="A1370" s="263"/>
      <c r="B1370" s="267"/>
      <c r="C1370" s="263"/>
      <c r="D1370" s="263"/>
      <c r="E1370" s="263"/>
      <c r="F1370" s="268"/>
      <c r="G1370" s="263"/>
      <c r="H1370" s="267"/>
      <c r="I1370" s="263"/>
      <c r="J1370" s="263"/>
      <c r="K1370" s="263"/>
      <c r="L1370" s="263"/>
      <c r="M1370" s="263"/>
      <c r="N1370" s="263"/>
      <c r="O1370" s="263"/>
      <c r="P1370" s="263"/>
      <c r="Q1370" s="263"/>
      <c r="R1370" s="263"/>
      <c r="S1370" s="263"/>
      <c r="T1370" s="263"/>
      <c r="U1370" s="246"/>
      <c r="V1370" s="246"/>
      <c r="W1370" s="246"/>
      <c r="X1370" s="246"/>
      <c r="Y1370" s="246"/>
      <c r="Z1370" s="246"/>
    </row>
    <row r="1371">
      <c r="A1371" s="263"/>
      <c r="B1371" s="267"/>
      <c r="C1371" s="263"/>
      <c r="D1371" s="263"/>
      <c r="E1371" s="263"/>
      <c r="F1371" s="268"/>
      <c r="G1371" s="263"/>
      <c r="H1371" s="267"/>
      <c r="I1371" s="263"/>
      <c r="J1371" s="263"/>
      <c r="K1371" s="263"/>
      <c r="L1371" s="263"/>
      <c r="M1371" s="263"/>
      <c r="N1371" s="263"/>
      <c r="O1371" s="263"/>
      <c r="P1371" s="263"/>
      <c r="Q1371" s="263"/>
      <c r="R1371" s="263"/>
      <c r="S1371" s="263"/>
      <c r="T1371" s="263"/>
      <c r="U1371" s="246"/>
      <c r="V1371" s="246"/>
      <c r="W1371" s="246"/>
      <c r="X1371" s="246"/>
      <c r="Y1371" s="246"/>
      <c r="Z1371" s="246"/>
    </row>
    <row r="1372">
      <c r="A1372" s="263"/>
      <c r="B1372" s="267"/>
      <c r="C1372" s="263"/>
      <c r="D1372" s="263"/>
      <c r="E1372" s="263"/>
      <c r="F1372" s="268"/>
      <c r="G1372" s="263"/>
      <c r="H1372" s="267"/>
      <c r="I1372" s="263"/>
      <c r="J1372" s="263"/>
      <c r="K1372" s="263"/>
      <c r="L1372" s="263"/>
      <c r="M1372" s="263"/>
      <c r="N1372" s="263"/>
      <c r="O1372" s="263"/>
      <c r="P1372" s="263"/>
      <c r="Q1372" s="263"/>
      <c r="R1372" s="263"/>
      <c r="S1372" s="263"/>
      <c r="T1372" s="263"/>
      <c r="U1372" s="246"/>
      <c r="V1372" s="246"/>
      <c r="W1372" s="246"/>
      <c r="X1372" s="246"/>
      <c r="Y1372" s="246"/>
      <c r="Z1372" s="246"/>
    </row>
    <row r="1373">
      <c r="A1373" s="263"/>
      <c r="B1373" s="267"/>
      <c r="C1373" s="263"/>
      <c r="D1373" s="263"/>
      <c r="E1373" s="263"/>
      <c r="F1373" s="268"/>
      <c r="G1373" s="263"/>
      <c r="H1373" s="267"/>
      <c r="I1373" s="263"/>
      <c r="J1373" s="263"/>
      <c r="K1373" s="263"/>
      <c r="L1373" s="263"/>
      <c r="M1373" s="263"/>
      <c r="N1373" s="263"/>
      <c r="O1373" s="263"/>
      <c r="P1373" s="263"/>
      <c r="Q1373" s="263"/>
      <c r="R1373" s="263"/>
      <c r="S1373" s="263"/>
      <c r="T1373" s="263"/>
      <c r="U1373" s="246"/>
      <c r="V1373" s="246"/>
      <c r="W1373" s="246"/>
      <c r="X1373" s="246"/>
      <c r="Y1373" s="246"/>
      <c r="Z1373" s="246"/>
    </row>
    <row r="1374">
      <c r="A1374" s="263"/>
      <c r="B1374" s="267"/>
      <c r="C1374" s="263"/>
      <c r="D1374" s="263"/>
      <c r="E1374" s="263"/>
      <c r="F1374" s="268"/>
      <c r="G1374" s="263"/>
      <c r="H1374" s="267"/>
      <c r="I1374" s="263"/>
      <c r="J1374" s="263"/>
      <c r="K1374" s="263"/>
      <c r="L1374" s="263"/>
      <c r="M1374" s="263"/>
      <c r="N1374" s="263"/>
      <c r="O1374" s="263"/>
      <c r="P1374" s="263"/>
      <c r="Q1374" s="263"/>
      <c r="R1374" s="263"/>
      <c r="S1374" s="263"/>
      <c r="T1374" s="263"/>
      <c r="U1374" s="246"/>
      <c r="V1374" s="246"/>
      <c r="W1374" s="246"/>
      <c r="X1374" s="246"/>
      <c r="Y1374" s="246"/>
      <c r="Z1374" s="246"/>
    </row>
    <row r="1375">
      <c r="A1375" s="263"/>
      <c r="B1375" s="267"/>
      <c r="C1375" s="263"/>
      <c r="D1375" s="263"/>
      <c r="E1375" s="263"/>
      <c r="F1375" s="268"/>
      <c r="G1375" s="263"/>
      <c r="H1375" s="267"/>
      <c r="I1375" s="263"/>
      <c r="J1375" s="263"/>
      <c r="K1375" s="263"/>
      <c r="L1375" s="263"/>
      <c r="M1375" s="263"/>
      <c r="N1375" s="263"/>
      <c r="O1375" s="263"/>
      <c r="P1375" s="263"/>
      <c r="Q1375" s="263"/>
      <c r="R1375" s="263"/>
      <c r="S1375" s="263"/>
      <c r="T1375" s="263"/>
      <c r="U1375" s="246"/>
      <c r="V1375" s="246"/>
      <c r="W1375" s="246"/>
      <c r="X1375" s="246"/>
      <c r="Y1375" s="246"/>
      <c r="Z1375" s="246"/>
    </row>
    <row r="1376">
      <c r="A1376" s="263"/>
      <c r="B1376" s="267"/>
      <c r="C1376" s="263"/>
      <c r="D1376" s="263"/>
      <c r="E1376" s="263"/>
      <c r="F1376" s="268"/>
      <c r="G1376" s="263"/>
      <c r="H1376" s="267"/>
      <c r="I1376" s="263"/>
      <c r="J1376" s="263"/>
      <c r="K1376" s="263"/>
      <c r="L1376" s="263"/>
      <c r="M1376" s="263"/>
      <c r="N1376" s="263"/>
      <c r="O1376" s="263"/>
      <c r="P1376" s="263"/>
      <c r="Q1376" s="263"/>
      <c r="R1376" s="263"/>
      <c r="S1376" s="263"/>
      <c r="T1376" s="263"/>
      <c r="U1376" s="246"/>
      <c r="V1376" s="246"/>
      <c r="W1376" s="246"/>
      <c r="X1376" s="246"/>
      <c r="Y1376" s="246"/>
      <c r="Z1376" s="246"/>
    </row>
    <row r="1377">
      <c r="A1377" s="263"/>
      <c r="B1377" s="267"/>
      <c r="C1377" s="263"/>
      <c r="D1377" s="263"/>
      <c r="E1377" s="263"/>
      <c r="F1377" s="268"/>
      <c r="G1377" s="263"/>
      <c r="H1377" s="267"/>
      <c r="I1377" s="263"/>
      <c r="J1377" s="263"/>
      <c r="K1377" s="263"/>
      <c r="L1377" s="263"/>
      <c r="M1377" s="263"/>
      <c r="N1377" s="263"/>
      <c r="O1377" s="263"/>
      <c r="P1377" s="263"/>
      <c r="Q1377" s="263"/>
      <c r="R1377" s="263"/>
      <c r="S1377" s="263"/>
      <c r="T1377" s="263"/>
      <c r="U1377" s="246"/>
      <c r="V1377" s="246"/>
      <c r="W1377" s="246"/>
      <c r="X1377" s="246"/>
      <c r="Y1377" s="246"/>
      <c r="Z1377" s="246"/>
    </row>
    <row r="1378">
      <c r="A1378" s="263"/>
      <c r="B1378" s="267"/>
      <c r="C1378" s="263"/>
      <c r="D1378" s="263"/>
      <c r="E1378" s="263"/>
      <c r="F1378" s="268"/>
      <c r="G1378" s="263"/>
      <c r="H1378" s="267"/>
      <c r="I1378" s="263"/>
      <c r="J1378" s="263"/>
      <c r="K1378" s="263"/>
      <c r="L1378" s="263"/>
      <c r="M1378" s="263"/>
      <c r="N1378" s="263"/>
      <c r="O1378" s="263"/>
      <c r="P1378" s="263"/>
      <c r="Q1378" s="263"/>
      <c r="R1378" s="263"/>
      <c r="S1378" s="263"/>
      <c r="T1378" s="263"/>
      <c r="U1378" s="246"/>
      <c r="V1378" s="246"/>
      <c r="W1378" s="246"/>
      <c r="X1378" s="246"/>
      <c r="Y1378" s="246"/>
      <c r="Z1378" s="246"/>
    </row>
    <row r="1379">
      <c r="A1379" s="263"/>
      <c r="B1379" s="267"/>
      <c r="C1379" s="263"/>
      <c r="D1379" s="263"/>
      <c r="E1379" s="263"/>
      <c r="F1379" s="268"/>
      <c r="G1379" s="263"/>
      <c r="H1379" s="267"/>
      <c r="I1379" s="263"/>
      <c r="J1379" s="263"/>
      <c r="K1379" s="263"/>
      <c r="L1379" s="263"/>
      <c r="M1379" s="263"/>
      <c r="N1379" s="263"/>
      <c r="O1379" s="263"/>
      <c r="P1379" s="263"/>
      <c r="Q1379" s="263"/>
      <c r="R1379" s="263"/>
      <c r="S1379" s="263"/>
      <c r="T1379" s="263"/>
      <c r="U1379" s="246"/>
      <c r="V1379" s="246"/>
      <c r="W1379" s="246"/>
      <c r="X1379" s="246"/>
      <c r="Y1379" s="246"/>
      <c r="Z1379" s="246"/>
    </row>
    <row r="1380">
      <c r="A1380" s="263"/>
      <c r="B1380" s="267"/>
      <c r="C1380" s="263"/>
      <c r="D1380" s="263"/>
      <c r="E1380" s="263"/>
      <c r="F1380" s="268"/>
      <c r="G1380" s="263"/>
      <c r="H1380" s="267"/>
      <c r="I1380" s="263"/>
      <c r="J1380" s="263"/>
      <c r="K1380" s="263"/>
      <c r="L1380" s="263"/>
      <c r="M1380" s="263"/>
      <c r="N1380" s="263"/>
      <c r="O1380" s="263"/>
      <c r="P1380" s="263"/>
      <c r="Q1380" s="263"/>
      <c r="R1380" s="263"/>
      <c r="S1380" s="263"/>
      <c r="T1380" s="263"/>
      <c r="U1380" s="246"/>
      <c r="V1380" s="246"/>
      <c r="W1380" s="246"/>
      <c r="X1380" s="246"/>
      <c r="Y1380" s="246"/>
      <c r="Z1380" s="246"/>
    </row>
    <row r="1381">
      <c r="A1381" s="263"/>
      <c r="B1381" s="267"/>
      <c r="C1381" s="263"/>
      <c r="D1381" s="263"/>
      <c r="E1381" s="263"/>
      <c r="F1381" s="268"/>
      <c r="G1381" s="263"/>
      <c r="H1381" s="267"/>
      <c r="I1381" s="263"/>
      <c r="J1381" s="263"/>
      <c r="K1381" s="263"/>
      <c r="L1381" s="263"/>
      <c r="M1381" s="263"/>
      <c r="N1381" s="263"/>
      <c r="O1381" s="263"/>
      <c r="P1381" s="263"/>
      <c r="Q1381" s="263"/>
      <c r="R1381" s="263"/>
      <c r="S1381" s="263"/>
      <c r="T1381" s="263"/>
      <c r="U1381" s="246"/>
      <c r="V1381" s="246"/>
      <c r="W1381" s="246"/>
      <c r="X1381" s="246"/>
      <c r="Y1381" s="246"/>
      <c r="Z1381" s="246"/>
    </row>
    <row r="1382">
      <c r="A1382" s="263"/>
      <c r="B1382" s="267"/>
      <c r="C1382" s="263"/>
      <c r="D1382" s="263"/>
      <c r="E1382" s="263"/>
      <c r="F1382" s="268"/>
      <c r="G1382" s="263"/>
      <c r="H1382" s="267"/>
      <c r="I1382" s="263"/>
      <c r="J1382" s="263"/>
      <c r="K1382" s="263"/>
      <c r="L1382" s="263"/>
      <c r="M1382" s="263"/>
      <c r="N1382" s="263"/>
      <c r="O1382" s="263"/>
      <c r="P1382" s="263"/>
      <c r="Q1382" s="263"/>
      <c r="R1382" s="263"/>
      <c r="S1382" s="263"/>
      <c r="T1382" s="263"/>
      <c r="U1382" s="246"/>
      <c r="V1382" s="246"/>
      <c r="W1382" s="246"/>
      <c r="X1382" s="246"/>
      <c r="Y1382" s="246"/>
      <c r="Z1382" s="246"/>
    </row>
    <row r="1383">
      <c r="A1383" s="263"/>
      <c r="B1383" s="267"/>
      <c r="C1383" s="263"/>
      <c r="D1383" s="263"/>
      <c r="E1383" s="263"/>
      <c r="F1383" s="268"/>
      <c r="G1383" s="263"/>
      <c r="H1383" s="267"/>
      <c r="I1383" s="263"/>
      <c r="J1383" s="263"/>
      <c r="K1383" s="263"/>
      <c r="L1383" s="263"/>
      <c r="M1383" s="263"/>
      <c r="N1383" s="263"/>
      <c r="O1383" s="263"/>
      <c r="P1383" s="263"/>
      <c r="Q1383" s="263"/>
      <c r="R1383" s="263"/>
      <c r="S1383" s="263"/>
      <c r="T1383" s="263"/>
      <c r="U1383" s="246"/>
      <c r="V1383" s="246"/>
      <c r="W1383" s="246"/>
      <c r="X1383" s="246"/>
      <c r="Y1383" s="246"/>
      <c r="Z1383" s="246"/>
    </row>
    <row r="1384">
      <c r="A1384" s="263"/>
      <c r="B1384" s="267"/>
      <c r="C1384" s="263"/>
      <c r="D1384" s="263"/>
      <c r="E1384" s="263"/>
      <c r="F1384" s="268"/>
      <c r="G1384" s="263"/>
      <c r="H1384" s="267"/>
      <c r="I1384" s="263"/>
      <c r="J1384" s="263"/>
      <c r="K1384" s="263"/>
      <c r="L1384" s="263"/>
      <c r="M1384" s="263"/>
      <c r="N1384" s="263"/>
      <c r="O1384" s="263"/>
      <c r="P1384" s="263"/>
      <c r="Q1384" s="263"/>
      <c r="R1384" s="263"/>
      <c r="S1384" s="263"/>
      <c r="T1384" s="263"/>
      <c r="U1384" s="246"/>
      <c r="V1384" s="246"/>
      <c r="W1384" s="246"/>
      <c r="X1384" s="246"/>
      <c r="Y1384" s="246"/>
      <c r="Z1384" s="246"/>
    </row>
    <row r="1385">
      <c r="A1385" s="263"/>
      <c r="B1385" s="267"/>
      <c r="C1385" s="263"/>
      <c r="D1385" s="263"/>
      <c r="E1385" s="263"/>
      <c r="F1385" s="268"/>
      <c r="G1385" s="263"/>
      <c r="H1385" s="267"/>
      <c r="I1385" s="263"/>
      <c r="J1385" s="263"/>
      <c r="K1385" s="263"/>
      <c r="L1385" s="263"/>
      <c r="M1385" s="263"/>
      <c r="N1385" s="263"/>
      <c r="O1385" s="263"/>
      <c r="P1385" s="263"/>
      <c r="Q1385" s="263"/>
      <c r="R1385" s="263"/>
      <c r="S1385" s="263"/>
      <c r="T1385" s="263"/>
      <c r="U1385" s="246"/>
      <c r="V1385" s="246"/>
      <c r="W1385" s="246"/>
      <c r="X1385" s="246"/>
      <c r="Y1385" s="246"/>
      <c r="Z1385" s="246"/>
    </row>
    <row r="1386">
      <c r="A1386" s="263"/>
      <c r="B1386" s="267"/>
      <c r="C1386" s="263"/>
      <c r="D1386" s="263"/>
      <c r="E1386" s="263"/>
      <c r="F1386" s="268"/>
      <c r="G1386" s="263"/>
      <c r="H1386" s="267"/>
      <c r="I1386" s="263"/>
      <c r="J1386" s="263"/>
      <c r="K1386" s="263"/>
      <c r="L1386" s="263"/>
      <c r="M1386" s="263"/>
      <c r="N1386" s="263"/>
      <c r="O1386" s="263"/>
      <c r="P1386" s="263"/>
      <c r="Q1386" s="263"/>
      <c r="R1386" s="263"/>
      <c r="S1386" s="263"/>
      <c r="T1386" s="263"/>
      <c r="U1386" s="246"/>
      <c r="V1386" s="246"/>
      <c r="W1386" s="246"/>
      <c r="X1386" s="246"/>
      <c r="Y1386" s="246"/>
      <c r="Z1386" s="246"/>
    </row>
    <row r="1387">
      <c r="A1387" s="263"/>
      <c r="B1387" s="267"/>
      <c r="C1387" s="263"/>
      <c r="D1387" s="263"/>
      <c r="E1387" s="263"/>
      <c r="F1387" s="268"/>
      <c r="G1387" s="263"/>
      <c r="H1387" s="267"/>
      <c r="I1387" s="263"/>
      <c r="J1387" s="263"/>
      <c r="K1387" s="263"/>
      <c r="L1387" s="263"/>
      <c r="M1387" s="263"/>
      <c r="N1387" s="263"/>
      <c r="O1387" s="263"/>
      <c r="P1387" s="263"/>
      <c r="Q1387" s="263"/>
      <c r="R1387" s="263"/>
      <c r="S1387" s="263"/>
      <c r="T1387" s="263"/>
      <c r="U1387" s="246"/>
      <c r="V1387" s="246"/>
      <c r="W1387" s="246"/>
      <c r="X1387" s="246"/>
      <c r="Y1387" s="246"/>
      <c r="Z1387" s="246"/>
    </row>
    <row r="1388">
      <c r="A1388" s="263"/>
      <c r="B1388" s="267"/>
      <c r="C1388" s="263"/>
      <c r="D1388" s="263"/>
      <c r="E1388" s="263"/>
      <c r="F1388" s="268"/>
      <c r="G1388" s="263"/>
      <c r="H1388" s="267"/>
      <c r="I1388" s="263"/>
      <c r="J1388" s="263"/>
      <c r="K1388" s="263"/>
      <c r="L1388" s="263"/>
      <c r="M1388" s="263"/>
      <c r="N1388" s="263"/>
      <c r="O1388" s="263"/>
      <c r="P1388" s="263"/>
      <c r="Q1388" s="263"/>
      <c r="R1388" s="263"/>
      <c r="S1388" s="263"/>
      <c r="T1388" s="263"/>
      <c r="U1388" s="246"/>
      <c r="V1388" s="246"/>
      <c r="W1388" s="246"/>
      <c r="X1388" s="246"/>
      <c r="Y1388" s="246"/>
      <c r="Z1388" s="246"/>
    </row>
    <row r="1389">
      <c r="A1389" s="263"/>
      <c r="B1389" s="267"/>
      <c r="C1389" s="263"/>
      <c r="D1389" s="263"/>
      <c r="E1389" s="263"/>
      <c r="F1389" s="268"/>
      <c r="G1389" s="263"/>
      <c r="H1389" s="267"/>
      <c r="I1389" s="263"/>
      <c r="J1389" s="263"/>
      <c r="K1389" s="263"/>
      <c r="L1389" s="263"/>
      <c r="M1389" s="263"/>
      <c r="N1389" s="263"/>
      <c r="O1389" s="263"/>
      <c r="P1389" s="263"/>
      <c r="Q1389" s="263"/>
      <c r="R1389" s="263"/>
      <c r="S1389" s="263"/>
      <c r="T1389" s="263"/>
      <c r="U1389" s="246"/>
      <c r="V1389" s="246"/>
      <c r="W1389" s="246"/>
      <c r="X1389" s="246"/>
      <c r="Y1389" s="246"/>
      <c r="Z1389" s="246"/>
    </row>
    <row r="1390">
      <c r="A1390" s="263"/>
      <c r="B1390" s="267"/>
      <c r="C1390" s="263"/>
      <c r="D1390" s="263"/>
      <c r="E1390" s="263"/>
      <c r="F1390" s="268"/>
      <c r="G1390" s="263"/>
      <c r="H1390" s="267"/>
      <c r="I1390" s="263"/>
      <c r="J1390" s="263"/>
      <c r="K1390" s="263"/>
      <c r="L1390" s="263"/>
      <c r="M1390" s="263"/>
      <c r="N1390" s="263"/>
      <c r="O1390" s="263"/>
      <c r="P1390" s="263"/>
      <c r="Q1390" s="263"/>
      <c r="R1390" s="263"/>
      <c r="S1390" s="263"/>
      <c r="T1390" s="263"/>
      <c r="U1390" s="246"/>
      <c r="V1390" s="246"/>
      <c r="W1390" s="246"/>
      <c r="X1390" s="246"/>
      <c r="Y1390" s="246"/>
      <c r="Z1390" s="246"/>
    </row>
    <row r="1391">
      <c r="A1391" s="263"/>
      <c r="B1391" s="267"/>
      <c r="C1391" s="263"/>
      <c r="D1391" s="263"/>
      <c r="E1391" s="263"/>
      <c r="F1391" s="268"/>
      <c r="G1391" s="263"/>
      <c r="H1391" s="267"/>
      <c r="I1391" s="263"/>
      <c r="J1391" s="263"/>
      <c r="K1391" s="263"/>
      <c r="L1391" s="263"/>
      <c r="M1391" s="263"/>
      <c r="N1391" s="263"/>
      <c r="O1391" s="263"/>
      <c r="P1391" s="263"/>
      <c r="Q1391" s="263"/>
      <c r="R1391" s="263"/>
      <c r="S1391" s="263"/>
      <c r="T1391" s="263"/>
      <c r="U1391" s="246"/>
      <c r="V1391" s="246"/>
      <c r="W1391" s="246"/>
      <c r="X1391" s="246"/>
      <c r="Y1391" s="246"/>
      <c r="Z1391" s="246"/>
    </row>
    <row r="1392">
      <c r="A1392" s="263"/>
      <c r="B1392" s="267"/>
      <c r="C1392" s="263"/>
      <c r="D1392" s="263"/>
      <c r="E1392" s="263"/>
      <c r="F1392" s="268"/>
      <c r="G1392" s="263"/>
      <c r="H1392" s="267"/>
      <c r="I1392" s="263"/>
      <c r="J1392" s="263"/>
      <c r="K1392" s="263"/>
      <c r="L1392" s="263"/>
      <c r="M1392" s="263"/>
      <c r="N1392" s="263"/>
      <c r="O1392" s="263"/>
      <c r="P1392" s="263"/>
      <c r="Q1392" s="263"/>
      <c r="R1392" s="263"/>
      <c r="S1392" s="263"/>
      <c r="T1392" s="263"/>
      <c r="U1392" s="246"/>
      <c r="V1392" s="246"/>
      <c r="W1392" s="246"/>
      <c r="X1392" s="246"/>
      <c r="Y1392" s="246"/>
      <c r="Z1392" s="246"/>
    </row>
    <row r="1393">
      <c r="A1393" s="263"/>
      <c r="B1393" s="267"/>
      <c r="C1393" s="263"/>
      <c r="D1393" s="263"/>
      <c r="E1393" s="263"/>
      <c r="F1393" s="268"/>
      <c r="G1393" s="263"/>
      <c r="H1393" s="267"/>
      <c r="I1393" s="263"/>
      <c r="J1393" s="263"/>
      <c r="K1393" s="263"/>
      <c r="L1393" s="263"/>
      <c r="M1393" s="263"/>
      <c r="N1393" s="263"/>
      <c r="O1393" s="263"/>
      <c r="P1393" s="263"/>
      <c r="Q1393" s="263"/>
      <c r="R1393" s="263"/>
      <c r="S1393" s="263"/>
      <c r="T1393" s="263"/>
      <c r="U1393" s="246"/>
      <c r="V1393" s="246"/>
      <c r="W1393" s="246"/>
      <c r="X1393" s="246"/>
      <c r="Y1393" s="246"/>
      <c r="Z1393" s="246"/>
    </row>
    <row r="1394">
      <c r="A1394" s="263"/>
      <c r="B1394" s="267"/>
      <c r="C1394" s="263"/>
      <c r="D1394" s="263"/>
      <c r="E1394" s="263"/>
      <c r="F1394" s="268"/>
      <c r="G1394" s="263"/>
      <c r="H1394" s="267"/>
      <c r="I1394" s="263"/>
      <c r="J1394" s="263"/>
      <c r="K1394" s="263"/>
      <c r="L1394" s="263"/>
      <c r="M1394" s="263"/>
      <c r="N1394" s="263"/>
      <c r="O1394" s="263"/>
      <c r="P1394" s="263"/>
      <c r="Q1394" s="263"/>
      <c r="R1394" s="263"/>
      <c r="S1394" s="263"/>
      <c r="T1394" s="263"/>
      <c r="U1394" s="246"/>
      <c r="V1394" s="246"/>
      <c r="W1394" s="246"/>
      <c r="X1394" s="246"/>
      <c r="Y1394" s="246"/>
      <c r="Z1394" s="246"/>
    </row>
    <row r="1395">
      <c r="A1395" s="263"/>
      <c r="B1395" s="267"/>
      <c r="C1395" s="263"/>
      <c r="D1395" s="263"/>
      <c r="E1395" s="263"/>
      <c r="F1395" s="268"/>
      <c r="G1395" s="263"/>
      <c r="H1395" s="267"/>
      <c r="I1395" s="263"/>
      <c r="J1395" s="263"/>
      <c r="K1395" s="263"/>
      <c r="L1395" s="263"/>
      <c r="M1395" s="263"/>
      <c r="N1395" s="263"/>
      <c r="O1395" s="263"/>
      <c r="P1395" s="263"/>
      <c r="Q1395" s="263"/>
      <c r="R1395" s="263"/>
      <c r="S1395" s="263"/>
      <c r="T1395" s="263"/>
      <c r="U1395" s="246"/>
      <c r="V1395" s="246"/>
      <c r="W1395" s="246"/>
      <c r="X1395" s="246"/>
      <c r="Y1395" s="246"/>
      <c r="Z1395" s="246"/>
    </row>
    <row r="1396">
      <c r="A1396" s="263"/>
      <c r="B1396" s="267"/>
      <c r="C1396" s="263"/>
      <c r="D1396" s="263"/>
      <c r="E1396" s="263"/>
      <c r="F1396" s="268"/>
      <c r="G1396" s="263"/>
      <c r="H1396" s="267"/>
      <c r="I1396" s="263"/>
      <c r="J1396" s="263"/>
      <c r="K1396" s="263"/>
      <c r="L1396" s="263"/>
      <c r="M1396" s="263"/>
      <c r="N1396" s="263"/>
      <c r="O1396" s="263"/>
      <c r="P1396" s="263"/>
      <c r="Q1396" s="263"/>
      <c r="R1396" s="263"/>
      <c r="S1396" s="263"/>
      <c r="T1396" s="263"/>
      <c r="U1396" s="246"/>
      <c r="V1396" s="246"/>
      <c r="W1396" s="246"/>
      <c r="X1396" s="246"/>
      <c r="Y1396" s="246"/>
      <c r="Z1396" s="246"/>
    </row>
    <row r="1397">
      <c r="A1397" s="263"/>
      <c r="B1397" s="267"/>
      <c r="C1397" s="263"/>
      <c r="D1397" s="263"/>
      <c r="E1397" s="263"/>
      <c r="F1397" s="268"/>
      <c r="G1397" s="263"/>
      <c r="H1397" s="267"/>
      <c r="I1397" s="263"/>
      <c r="J1397" s="263"/>
      <c r="K1397" s="263"/>
      <c r="L1397" s="263"/>
      <c r="M1397" s="263"/>
      <c r="N1397" s="263"/>
      <c r="O1397" s="263"/>
      <c r="P1397" s="263"/>
      <c r="Q1397" s="263"/>
      <c r="R1397" s="263"/>
      <c r="S1397" s="263"/>
      <c r="T1397" s="263"/>
      <c r="U1397" s="246"/>
      <c r="V1397" s="246"/>
      <c r="W1397" s="246"/>
      <c r="X1397" s="246"/>
      <c r="Y1397" s="246"/>
      <c r="Z1397" s="246"/>
    </row>
    <row r="1398">
      <c r="A1398" s="263"/>
      <c r="B1398" s="267"/>
      <c r="C1398" s="263"/>
      <c r="D1398" s="263"/>
      <c r="E1398" s="263"/>
      <c r="F1398" s="268"/>
      <c r="G1398" s="263"/>
      <c r="H1398" s="267"/>
      <c r="I1398" s="263"/>
      <c r="J1398" s="263"/>
      <c r="K1398" s="263"/>
      <c r="L1398" s="263"/>
      <c r="M1398" s="263"/>
      <c r="N1398" s="263"/>
      <c r="O1398" s="263"/>
      <c r="P1398" s="263"/>
      <c r="Q1398" s="263"/>
      <c r="R1398" s="263"/>
      <c r="S1398" s="263"/>
      <c r="T1398" s="263"/>
      <c r="U1398" s="246"/>
      <c r="V1398" s="246"/>
      <c r="W1398" s="246"/>
      <c r="X1398" s="246"/>
      <c r="Y1398" s="246"/>
      <c r="Z1398" s="246"/>
    </row>
    <row r="1399">
      <c r="A1399" s="263"/>
      <c r="B1399" s="267"/>
      <c r="C1399" s="263"/>
      <c r="D1399" s="263"/>
      <c r="E1399" s="263"/>
      <c r="F1399" s="268"/>
      <c r="G1399" s="263"/>
      <c r="H1399" s="267"/>
      <c r="I1399" s="263"/>
      <c r="J1399" s="263"/>
      <c r="K1399" s="263"/>
      <c r="L1399" s="263"/>
      <c r="M1399" s="263"/>
      <c r="N1399" s="263"/>
      <c r="O1399" s="263"/>
      <c r="P1399" s="263"/>
      <c r="Q1399" s="263"/>
      <c r="R1399" s="263"/>
      <c r="S1399" s="263"/>
      <c r="T1399" s="263"/>
      <c r="U1399" s="246"/>
      <c r="V1399" s="246"/>
      <c r="W1399" s="246"/>
      <c r="X1399" s="246"/>
      <c r="Y1399" s="246"/>
      <c r="Z1399" s="246"/>
    </row>
    <row r="1400">
      <c r="A1400" s="263"/>
      <c r="B1400" s="267"/>
      <c r="C1400" s="263"/>
      <c r="D1400" s="263"/>
      <c r="E1400" s="263"/>
      <c r="F1400" s="268"/>
      <c r="G1400" s="263"/>
      <c r="H1400" s="267"/>
      <c r="I1400" s="263"/>
      <c r="J1400" s="263"/>
      <c r="K1400" s="263"/>
      <c r="L1400" s="263"/>
      <c r="M1400" s="263"/>
      <c r="N1400" s="263"/>
      <c r="O1400" s="263"/>
      <c r="P1400" s="263"/>
      <c r="Q1400" s="263"/>
      <c r="R1400" s="263"/>
      <c r="S1400" s="263"/>
      <c r="T1400" s="263"/>
      <c r="U1400" s="246"/>
      <c r="V1400" s="246"/>
      <c r="W1400" s="246"/>
      <c r="X1400" s="246"/>
      <c r="Y1400" s="246"/>
      <c r="Z1400" s="246"/>
    </row>
    <row r="1401">
      <c r="A1401" s="263"/>
      <c r="B1401" s="267"/>
      <c r="C1401" s="263"/>
      <c r="D1401" s="263"/>
      <c r="E1401" s="263"/>
      <c r="F1401" s="268"/>
      <c r="G1401" s="263"/>
      <c r="H1401" s="267"/>
      <c r="I1401" s="263"/>
      <c r="J1401" s="263"/>
      <c r="K1401" s="263"/>
      <c r="L1401" s="263"/>
      <c r="M1401" s="263"/>
      <c r="N1401" s="263"/>
      <c r="O1401" s="263"/>
      <c r="P1401" s="263"/>
      <c r="Q1401" s="263"/>
      <c r="R1401" s="263"/>
      <c r="S1401" s="263"/>
      <c r="T1401" s="263"/>
      <c r="U1401" s="246"/>
      <c r="V1401" s="246"/>
      <c r="W1401" s="246"/>
      <c r="X1401" s="246"/>
      <c r="Y1401" s="246"/>
      <c r="Z1401" s="246"/>
    </row>
    <row r="1402">
      <c r="A1402" s="263"/>
      <c r="B1402" s="267"/>
      <c r="C1402" s="263"/>
      <c r="D1402" s="263"/>
      <c r="E1402" s="263"/>
      <c r="F1402" s="268"/>
      <c r="G1402" s="263"/>
      <c r="H1402" s="267"/>
      <c r="I1402" s="263"/>
      <c r="J1402" s="263"/>
      <c r="K1402" s="263"/>
      <c r="L1402" s="263"/>
      <c r="M1402" s="263"/>
      <c r="N1402" s="263"/>
      <c r="O1402" s="263"/>
      <c r="P1402" s="263"/>
      <c r="Q1402" s="263"/>
      <c r="R1402" s="263"/>
      <c r="S1402" s="263"/>
      <c r="T1402" s="263"/>
      <c r="U1402" s="246"/>
      <c r="V1402" s="246"/>
      <c r="W1402" s="246"/>
      <c r="X1402" s="246"/>
      <c r="Y1402" s="246"/>
      <c r="Z1402" s="246"/>
    </row>
    <row r="1403">
      <c r="A1403" s="263"/>
      <c r="B1403" s="267"/>
      <c r="C1403" s="263"/>
      <c r="D1403" s="263"/>
      <c r="E1403" s="263"/>
      <c r="F1403" s="268"/>
      <c r="G1403" s="263"/>
      <c r="H1403" s="267"/>
      <c r="I1403" s="263"/>
      <c r="J1403" s="263"/>
      <c r="K1403" s="263"/>
      <c r="L1403" s="263"/>
      <c r="M1403" s="263"/>
      <c r="N1403" s="263"/>
      <c r="O1403" s="263"/>
      <c r="P1403" s="263"/>
      <c r="Q1403" s="263"/>
      <c r="R1403" s="263"/>
      <c r="S1403" s="263"/>
      <c r="T1403" s="263"/>
      <c r="U1403" s="246"/>
      <c r="V1403" s="246"/>
      <c r="W1403" s="246"/>
      <c r="X1403" s="246"/>
      <c r="Y1403" s="246"/>
      <c r="Z1403" s="246"/>
    </row>
    <row r="1404">
      <c r="A1404" s="263"/>
      <c r="B1404" s="267"/>
      <c r="C1404" s="263"/>
      <c r="D1404" s="263"/>
      <c r="E1404" s="263"/>
      <c r="F1404" s="268"/>
      <c r="G1404" s="263"/>
      <c r="H1404" s="267"/>
      <c r="I1404" s="263"/>
      <c r="J1404" s="263"/>
      <c r="K1404" s="263"/>
      <c r="L1404" s="263"/>
      <c r="M1404" s="263"/>
      <c r="N1404" s="263"/>
      <c r="O1404" s="263"/>
      <c r="P1404" s="263"/>
      <c r="Q1404" s="263"/>
      <c r="R1404" s="263"/>
      <c r="S1404" s="263"/>
      <c r="T1404" s="263"/>
      <c r="U1404" s="246"/>
      <c r="V1404" s="246"/>
      <c r="W1404" s="246"/>
      <c r="X1404" s="246"/>
      <c r="Y1404" s="246"/>
      <c r="Z1404" s="246"/>
    </row>
    <row r="1405">
      <c r="A1405" s="263"/>
      <c r="B1405" s="267"/>
      <c r="C1405" s="263"/>
      <c r="D1405" s="263"/>
      <c r="E1405" s="263"/>
      <c r="F1405" s="268"/>
      <c r="G1405" s="263"/>
      <c r="H1405" s="267"/>
      <c r="I1405" s="263"/>
      <c r="J1405" s="263"/>
      <c r="K1405" s="263"/>
      <c r="L1405" s="263"/>
      <c r="M1405" s="263"/>
      <c r="N1405" s="263"/>
      <c r="O1405" s="263"/>
      <c r="P1405" s="263"/>
      <c r="Q1405" s="263"/>
      <c r="R1405" s="263"/>
      <c r="S1405" s="263"/>
      <c r="T1405" s="263"/>
      <c r="U1405" s="246"/>
      <c r="V1405" s="246"/>
      <c r="W1405" s="246"/>
      <c r="X1405" s="246"/>
      <c r="Y1405" s="246"/>
      <c r="Z1405" s="246"/>
    </row>
    <row r="1406">
      <c r="A1406" s="263"/>
      <c r="B1406" s="267"/>
      <c r="C1406" s="263"/>
      <c r="D1406" s="263"/>
      <c r="E1406" s="263"/>
      <c r="F1406" s="268"/>
      <c r="G1406" s="263"/>
      <c r="H1406" s="267"/>
      <c r="I1406" s="263"/>
      <c r="J1406" s="263"/>
      <c r="K1406" s="263"/>
      <c r="L1406" s="263"/>
      <c r="M1406" s="263"/>
      <c r="N1406" s="263"/>
      <c r="O1406" s="263"/>
      <c r="P1406" s="263"/>
      <c r="Q1406" s="263"/>
      <c r="R1406" s="263"/>
      <c r="S1406" s="263"/>
      <c r="T1406" s="263"/>
      <c r="U1406" s="246"/>
      <c r="V1406" s="246"/>
      <c r="W1406" s="246"/>
      <c r="X1406" s="246"/>
      <c r="Y1406" s="246"/>
      <c r="Z1406" s="246"/>
    </row>
    <row r="1407">
      <c r="A1407" s="263"/>
      <c r="B1407" s="267"/>
      <c r="C1407" s="263"/>
      <c r="D1407" s="263"/>
      <c r="E1407" s="263"/>
      <c r="F1407" s="268"/>
      <c r="G1407" s="263"/>
      <c r="H1407" s="267"/>
      <c r="I1407" s="263"/>
      <c r="J1407" s="263"/>
      <c r="K1407" s="263"/>
      <c r="L1407" s="263"/>
      <c r="M1407" s="263"/>
      <c r="N1407" s="263"/>
      <c r="O1407" s="263"/>
      <c r="P1407" s="263"/>
      <c r="Q1407" s="263"/>
      <c r="R1407" s="263"/>
      <c r="S1407" s="263"/>
      <c r="T1407" s="263"/>
      <c r="U1407" s="246"/>
      <c r="V1407" s="246"/>
      <c r="W1407" s="246"/>
      <c r="X1407" s="246"/>
      <c r="Y1407" s="246"/>
      <c r="Z1407" s="246"/>
    </row>
    <row r="1408">
      <c r="A1408" s="263"/>
      <c r="B1408" s="267"/>
      <c r="C1408" s="263"/>
      <c r="D1408" s="263"/>
      <c r="E1408" s="263"/>
      <c r="F1408" s="268"/>
      <c r="G1408" s="263"/>
      <c r="H1408" s="267"/>
      <c r="I1408" s="263"/>
      <c r="J1408" s="263"/>
      <c r="K1408" s="263"/>
      <c r="L1408" s="263"/>
      <c r="M1408" s="263"/>
      <c r="N1408" s="263"/>
      <c r="O1408" s="263"/>
      <c r="P1408" s="263"/>
      <c r="Q1408" s="263"/>
      <c r="R1408" s="263"/>
      <c r="S1408" s="263"/>
      <c r="T1408" s="263"/>
      <c r="U1408" s="246"/>
      <c r="V1408" s="246"/>
      <c r="W1408" s="246"/>
      <c r="X1408" s="246"/>
      <c r="Y1408" s="246"/>
      <c r="Z1408" s="246"/>
    </row>
    <row r="1409">
      <c r="A1409" s="263"/>
      <c r="B1409" s="267"/>
      <c r="C1409" s="263"/>
      <c r="D1409" s="263"/>
      <c r="E1409" s="263"/>
      <c r="F1409" s="268"/>
      <c r="G1409" s="263"/>
      <c r="H1409" s="267"/>
      <c r="I1409" s="263"/>
      <c r="J1409" s="263"/>
      <c r="K1409" s="263"/>
      <c r="L1409" s="263"/>
      <c r="M1409" s="263"/>
      <c r="N1409" s="263"/>
      <c r="O1409" s="263"/>
      <c r="P1409" s="263"/>
      <c r="Q1409" s="263"/>
      <c r="R1409" s="263"/>
      <c r="S1409" s="263"/>
      <c r="T1409" s="263"/>
      <c r="U1409" s="246"/>
      <c r="V1409" s="246"/>
      <c r="W1409" s="246"/>
      <c r="X1409" s="246"/>
      <c r="Y1409" s="246"/>
      <c r="Z1409" s="246"/>
    </row>
    <row r="1410">
      <c r="A1410" s="263"/>
      <c r="B1410" s="267"/>
      <c r="C1410" s="263"/>
      <c r="D1410" s="263"/>
      <c r="E1410" s="263"/>
      <c r="F1410" s="268"/>
      <c r="G1410" s="263"/>
      <c r="H1410" s="267"/>
      <c r="I1410" s="263"/>
      <c r="J1410" s="263"/>
      <c r="K1410" s="263"/>
      <c r="L1410" s="263"/>
      <c r="M1410" s="263"/>
      <c r="N1410" s="263"/>
      <c r="O1410" s="263"/>
      <c r="P1410" s="263"/>
      <c r="Q1410" s="263"/>
      <c r="R1410" s="263"/>
      <c r="S1410" s="263"/>
      <c r="T1410" s="263"/>
      <c r="U1410" s="246"/>
      <c r="V1410" s="246"/>
      <c r="W1410" s="246"/>
      <c r="X1410" s="246"/>
      <c r="Y1410" s="246"/>
      <c r="Z1410" s="246"/>
    </row>
    <row r="1411">
      <c r="A1411" s="263"/>
      <c r="B1411" s="267"/>
      <c r="C1411" s="263"/>
      <c r="D1411" s="263"/>
      <c r="E1411" s="263"/>
      <c r="F1411" s="268"/>
      <c r="G1411" s="263"/>
      <c r="H1411" s="267"/>
      <c r="I1411" s="263"/>
      <c r="J1411" s="263"/>
      <c r="K1411" s="263"/>
      <c r="L1411" s="263"/>
      <c r="M1411" s="263"/>
      <c r="N1411" s="263"/>
      <c r="O1411" s="263"/>
      <c r="P1411" s="263"/>
      <c r="Q1411" s="263"/>
      <c r="R1411" s="263"/>
      <c r="S1411" s="263"/>
      <c r="T1411" s="263"/>
      <c r="U1411" s="246"/>
      <c r="V1411" s="246"/>
      <c r="W1411" s="246"/>
      <c r="X1411" s="246"/>
      <c r="Y1411" s="246"/>
      <c r="Z1411" s="246"/>
    </row>
    <row r="1412">
      <c r="A1412" s="263"/>
      <c r="B1412" s="267"/>
      <c r="C1412" s="263"/>
      <c r="D1412" s="263"/>
      <c r="E1412" s="263"/>
      <c r="F1412" s="268"/>
      <c r="G1412" s="263"/>
      <c r="H1412" s="267"/>
      <c r="I1412" s="263"/>
      <c r="J1412" s="263"/>
      <c r="K1412" s="263"/>
      <c r="L1412" s="263"/>
      <c r="M1412" s="263"/>
      <c r="N1412" s="263"/>
      <c r="O1412" s="263"/>
      <c r="P1412" s="263"/>
      <c r="Q1412" s="263"/>
      <c r="R1412" s="263"/>
      <c r="S1412" s="263"/>
      <c r="T1412" s="263"/>
      <c r="U1412" s="246"/>
      <c r="V1412" s="246"/>
      <c r="W1412" s="246"/>
      <c r="X1412" s="246"/>
      <c r="Y1412" s="246"/>
      <c r="Z1412" s="246"/>
    </row>
    <row r="1413">
      <c r="A1413" s="263"/>
      <c r="B1413" s="267"/>
      <c r="C1413" s="263"/>
      <c r="D1413" s="263"/>
      <c r="E1413" s="263"/>
      <c r="F1413" s="268"/>
      <c r="G1413" s="263"/>
      <c r="H1413" s="267"/>
      <c r="I1413" s="263"/>
      <c r="J1413" s="263"/>
      <c r="K1413" s="263"/>
      <c r="L1413" s="263"/>
      <c r="M1413" s="263"/>
      <c r="N1413" s="263"/>
      <c r="O1413" s="263"/>
      <c r="P1413" s="263"/>
      <c r="Q1413" s="263"/>
      <c r="R1413" s="263"/>
      <c r="S1413" s="263"/>
      <c r="T1413" s="263"/>
      <c r="U1413" s="246"/>
      <c r="V1413" s="246"/>
      <c r="W1413" s="246"/>
      <c r="X1413" s="246"/>
      <c r="Y1413" s="246"/>
      <c r="Z1413" s="246"/>
    </row>
    <row r="1414">
      <c r="A1414" s="263"/>
      <c r="B1414" s="267"/>
      <c r="C1414" s="263"/>
      <c r="D1414" s="263"/>
      <c r="E1414" s="263"/>
      <c r="F1414" s="268"/>
      <c r="G1414" s="263"/>
      <c r="H1414" s="267"/>
      <c r="I1414" s="263"/>
      <c r="J1414" s="263"/>
      <c r="K1414" s="263"/>
      <c r="L1414" s="263"/>
      <c r="M1414" s="263"/>
      <c r="N1414" s="263"/>
      <c r="O1414" s="263"/>
      <c r="P1414" s="263"/>
      <c r="Q1414" s="263"/>
      <c r="R1414" s="263"/>
      <c r="S1414" s="263"/>
      <c r="T1414" s="263"/>
      <c r="U1414" s="246"/>
      <c r="V1414" s="246"/>
      <c r="W1414" s="246"/>
      <c r="X1414" s="246"/>
      <c r="Y1414" s="246"/>
      <c r="Z1414" s="246"/>
    </row>
    <row r="1415">
      <c r="A1415" s="263"/>
      <c r="B1415" s="267"/>
      <c r="C1415" s="263"/>
      <c r="D1415" s="263"/>
      <c r="E1415" s="263"/>
      <c r="F1415" s="268"/>
      <c r="G1415" s="263"/>
      <c r="H1415" s="267"/>
      <c r="I1415" s="263"/>
      <c r="J1415" s="263"/>
      <c r="K1415" s="263"/>
      <c r="L1415" s="263"/>
      <c r="M1415" s="263"/>
      <c r="N1415" s="263"/>
      <c r="O1415" s="263"/>
      <c r="P1415" s="263"/>
      <c r="Q1415" s="263"/>
      <c r="R1415" s="263"/>
      <c r="S1415" s="263"/>
      <c r="T1415" s="263"/>
      <c r="U1415" s="246"/>
      <c r="V1415" s="246"/>
      <c r="W1415" s="246"/>
      <c r="X1415" s="246"/>
      <c r="Y1415" s="246"/>
      <c r="Z1415" s="246"/>
    </row>
    <row r="1416">
      <c r="A1416" s="263"/>
      <c r="B1416" s="267"/>
      <c r="C1416" s="263"/>
      <c r="D1416" s="263"/>
      <c r="E1416" s="263"/>
      <c r="F1416" s="268"/>
      <c r="G1416" s="263"/>
      <c r="H1416" s="267"/>
      <c r="I1416" s="263"/>
      <c r="J1416" s="263"/>
      <c r="K1416" s="263"/>
      <c r="L1416" s="263"/>
      <c r="M1416" s="263"/>
      <c r="N1416" s="263"/>
      <c r="O1416" s="263"/>
      <c r="P1416" s="263"/>
      <c r="Q1416" s="263"/>
      <c r="R1416" s="263"/>
      <c r="S1416" s="263"/>
      <c r="T1416" s="263"/>
      <c r="U1416" s="246"/>
      <c r="V1416" s="246"/>
      <c r="W1416" s="246"/>
      <c r="X1416" s="246"/>
      <c r="Y1416" s="246"/>
      <c r="Z1416" s="246"/>
    </row>
    <row r="1417">
      <c r="A1417" s="263"/>
      <c r="B1417" s="267"/>
      <c r="C1417" s="263"/>
      <c r="D1417" s="263"/>
      <c r="E1417" s="263"/>
      <c r="F1417" s="268"/>
      <c r="G1417" s="263"/>
      <c r="H1417" s="267"/>
      <c r="I1417" s="263"/>
      <c r="J1417" s="263"/>
      <c r="K1417" s="263"/>
      <c r="L1417" s="263"/>
      <c r="M1417" s="263"/>
      <c r="N1417" s="263"/>
      <c r="O1417" s="263"/>
      <c r="P1417" s="263"/>
      <c r="Q1417" s="263"/>
      <c r="R1417" s="263"/>
      <c r="S1417" s="263"/>
      <c r="T1417" s="263"/>
      <c r="U1417" s="246"/>
      <c r="V1417" s="246"/>
      <c r="W1417" s="246"/>
      <c r="X1417" s="246"/>
      <c r="Y1417" s="246"/>
      <c r="Z1417" s="246"/>
    </row>
    <row r="1418">
      <c r="A1418" s="263"/>
      <c r="B1418" s="267"/>
      <c r="C1418" s="263"/>
      <c r="D1418" s="263"/>
      <c r="E1418" s="263"/>
      <c r="F1418" s="268"/>
      <c r="G1418" s="263"/>
      <c r="H1418" s="267"/>
      <c r="I1418" s="263"/>
      <c r="J1418" s="263"/>
      <c r="K1418" s="263"/>
      <c r="L1418" s="263"/>
      <c r="M1418" s="263"/>
      <c r="N1418" s="263"/>
      <c r="O1418" s="263"/>
      <c r="P1418" s="263"/>
      <c r="Q1418" s="263"/>
      <c r="R1418" s="263"/>
      <c r="S1418" s="263"/>
      <c r="T1418" s="263"/>
      <c r="U1418" s="246"/>
      <c r="V1418" s="246"/>
      <c r="W1418" s="246"/>
      <c r="X1418" s="246"/>
      <c r="Y1418" s="246"/>
      <c r="Z1418" s="246"/>
    </row>
    <row r="1419">
      <c r="A1419" s="263"/>
      <c r="B1419" s="267"/>
      <c r="C1419" s="263"/>
      <c r="D1419" s="263"/>
      <c r="E1419" s="263"/>
      <c r="F1419" s="268"/>
      <c r="G1419" s="263"/>
      <c r="H1419" s="267"/>
      <c r="I1419" s="263"/>
      <c r="J1419" s="263"/>
      <c r="K1419" s="263"/>
      <c r="L1419" s="263"/>
      <c r="M1419" s="263"/>
      <c r="N1419" s="263"/>
      <c r="O1419" s="263"/>
      <c r="P1419" s="263"/>
      <c r="Q1419" s="263"/>
      <c r="R1419" s="263"/>
      <c r="S1419" s="263"/>
      <c r="T1419" s="263"/>
      <c r="U1419" s="246"/>
      <c r="V1419" s="246"/>
      <c r="W1419" s="246"/>
      <c r="X1419" s="246"/>
      <c r="Y1419" s="246"/>
      <c r="Z1419" s="246"/>
    </row>
    <row r="1420">
      <c r="A1420" s="263"/>
      <c r="B1420" s="267"/>
      <c r="C1420" s="263"/>
      <c r="D1420" s="263"/>
      <c r="E1420" s="263"/>
      <c r="F1420" s="268"/>
      <c r="G1420" s="263"/>
      <c r="H1420" s="267"/>
      <c r="I1420" s="263"/>
      <c r="J1420" s="263"/>
      <c r="K1420" s="263"/>
      <c r="L1420" s="263"/>
      <c r="M1420" s="263"/>
      <c r="N1420" s="263"/>
      <c r="O1420" s="263"/>
      <c r="P1420" s="263"/>
      <c r="Q1420" s="263"/>
      <c r="R1420" s="263"/>
      <c r="S1420" s="263"/>
      <c r="T1420" s="263"/>
      <c r="U1420" s="246"/>
      <c r="V1420" s="246"/>
      <c r="W1420" s="246"/>
      <c r="X1420" s="246"/>
      <c r="Y1420" s="246"/>
      <c r="Z1420" s="246"/>
    </row>
    <row r="1421">
      <c r="A1421" s="263"/>
      <c r="B1421" s="267"/>
      <c r="C1421" s="263"/>
      <c r="D1421" s="263"/>
      <c r="E1421" s="263"/>
      <c r="F1421" s="268"/>
      <c r="G1421" s="263"/>
      <c r="H1421" s="267"/>
      <c r="I1421" s="263"/>
      <c r="J1421" s="263"/>
      <c r="K1421" s="263"/>
      <c r="L1421" s="263"/>
      <c r="M1421" s="263"/>
      <c r="N1421" s="263"/>
      <c r="O1421" s="263"/>
      <c r="P1421" s="263"/>
      <c r="Q1421" s="263"/>
      <c r="R1421" s="263"/>
      <c r="S1421" s="263"/>
      <c r="T1421" s="263"/>
      <c r="U1421" s="246"/>
      <c r="V1421" s="246"/>
      <c r="W1421" s="246"/>
      <c r="X1421" s="246"/>
      <c r="Y1421" s="246"/>
      <c r="Z1421" s="246"/>
    </row>
    <row r="1422">
      <c r="A1422" s="263"/>
      <c r="B1422" s="267"/>
      <c r="C1422" s="263"/>
      <c r="D1422" s="263"/>
      <c r="E1422" s="263"/>
      <c r="F1422" s="268"/>
      <c r="G1422" s="263"/>
      <c r="H1422" s="267"/>
      <c r="I1422" s="263"/>
      <c r="J1422" s="263"/>
      <c r="K1422" s="263"/>
      <c r="L1422" s="263"/>
      <c r="M1422" s="263"/>
      <c r="N1422" s="263"/>
      <c r="O1422" s="263"/>
      <c r="P1422" s="263"/>
      <c r="Q1422" s="263"/>
      <c r="R1422" s="263"/>
      <c r="S1422" s="263"/>
      <c r="T1422" s="263"/>
      <c r="U1422" s="246"/>
      <c r="V1422" s="246"/>
      <c r="W1422" s="246"/>
      <c r="X1422" s="246"/>
      <c r="Y1422" s="246"/>
      <c r="Z1422" s="246"/>
    </row>
    <row r="1423">
      <c r="A1423" s="263"/>
      <c r="B1423" s="267"/>
      <c r="C1423" s="263"/>
      <c r="D1423" s="263"/>
      <c r="E1423" s="263"/>
      <c r="F1423" s="268"/>
      <c r="G1423" s="263"/>
      <c r="H1423" s="267"/>
      <c r="I1423" s="263"/>
      <c r="J1423" s="263"/>
      <c r="K1423" s="263"/>
      <c r="L1423" s="263"/>
      <c r="M1423" s="263"/>
      <c r="N1423" s="263"/>
      <c r="O1423" s="263"/>
      <c r="P1423" s="263"/>
      <c r="Q1423" s="263"/>
      <c r="R1423" s="263"/>
      <c r="S1423" s="263"/>
      <c r="T1423" s="263"/>
      <c r="U1423" s="246"/>
      <c r="V1423" s="246"/>
      <c r="W1423" s="246"/>
      <c r="X1423" s="246"/>
      <c r="Y1423" s="246"/>
      <c r="Z1423" s="246"/>
    </row>
    <row r="1424">
      <c r="A1424" s="263"/>
      <c r="B1424" s="267"/>
      <c r="C1424" s="263"/>
      <c r="D1424" s="263"/>
      <c r="E1424" s="263"/>
      <c r="F1424" s="268"/>
      <c r="G1424" s="263"/>
      <c r="H1424" s="267"/>
      <c r="I1424" s="263"/>
      <c r="J1424" s="263"/>
      <c r="K1424" s="263"/>
      <c r="L1424" s="263"/>
      <c r="M1424" s="263"/>
      <c r="N1424" s="263"/>
      <c r="O1424" s="263"/>
      <c r="P1424" s="263"/>
      <c r="Q1424" s="263"/>
      <c r="R1424" s="263"/>
      <c r="S1424" s="263"/>
      <c r="T1424" s="263"/>
      <c r="U1424" s="246"/>
      <c r="V1424" s="246"/>
      <c r="W1424" s="246"/>
      <c r="X1424" s="246"/>
      <c r="Y1424" s="246"/>
      <c r="Z1424" s="246"/>
    </row>
    <row r="1425">
      <c r="A1425" s="263"/>
      <c r="B1425" s="267"/>
      <c r="C1425" s="263"/>
      <c r="D1425" s="263"/>
      <c r="E1425" s="263"/>
      <c r="F1425" s="268"/>
      <c r="G1425" s="263"/>
      <c r="H1425" s="267"/>
      <c r="I1425" s="263"/>
      <c r="J1425" s="263"/>
      <c r="K1425" s="263"/>
      <c r="L1425" s="263"/>
      <c r="M1425" s="263"/>
      <c r="N1425" s="263"/>
      <c r="O1425" s="263"/>
      <c r="P1425" s="263"/>
      <c r="Q1425" s="263"/>
      <c r="R1425" s="263"/>
      <c r="S1425" s="263"/>
      <c r="T1425" s="263"/>
      <c r="U1425" s="246"/>
      <c r="V1425" s="246"/>
      <c r="W1425" s="246"/>
      <c r="X1425" s="246"/>
      <c r="Y1425" s="246"/>
      <c r="Z1425" s="246"/>
    </row>
    <row r="1426">
      <c r="A1426" s="263"/>
      <c r="B1426" s="267"/>
      <c r="C1426" s="263"/>
      <c r="D1426" s="263"/>
      <c r="E1426" s="263"/>
      <c r="F1426" s="268"/>
      <c r="G1426" s="263"/>
      <c r="H1426" s="267"/>
      <c r="I1426" s="263"/>
      <c r="J1426" s="263"/>
      <c r="K1426" s="263"/>
      <c r="L1426" s="263"/>
      <c r="M1426" s="263"/>
      <c r="N1426" s="263"/>
      <c r="O1426" s="263"/>
      <c r="P1426" s="263"/>
      <c r="Q1426" s="263"/>
      <c r="R1426" s="263"/>
      <c r="S1426" s="263"/>
      <c r="T1426" s="263"/>
      <c r="U1426" s="246"/>
      <c r="V1426" s="246"/>
      <c r="W1426" s="246"/>
      <c r="X1426" s="246"/>
      <c r="Y1426" s="246"/>
      <c r="Z1426" s="246"/>
    </row>
    <row r="1427">
      <c r="A1427" s="263"/>
      <c r="B1427" s="267"/>
      <c r="C1427" s="263"/>
      <c r="D1427" s="263"/>
      <c r="E1427" s="263"/>
      <c r="F1427" s="268"/>
      <c r="G1427" s="263"/>
      <c r="H1427" s="267"/>
      <c r="I1427" s="263"/>
      <c r="J1427" s="263"/>
      <c r="K1427" s="263"/>
      <c r="L1427" s="263"/>
      <c r="M1427" s="263"/>
      <c r="N1427" s="263"/>
      <c r="O1427" s="263"/>
      <c r="P1427" s="263"/>
      <c r="Q1427" s="263"/>
      <c r="R1427" s="263"/>
      <c r="S1427" s="263"/>
      <c r="T1427" s="263"/>
      <c r="U1427" s="246"/>
      <c r="V1427" s="246"/>
      <c r="W1427" s="246"/>
      <c r="X1427" s="246"/>
      <c r="Y1427" s="246"/>
      <c r="Z1427" s="246"/>
    </row>
    <row r="1428">
      <c r="A1428" s="263"/>
      <c r="B1428" s="267"/>
      <c r="C1428" s="263"/>
      <c r="D1428" s="263"/>
      <c r="E1428" s="263"/>
      <c r="F1428" s="268"/>
      <c r="G1428" s="263"/>
      <c r="H1428" s="267"/>
      <c r="I1428" s="263"/>
      <c r="J1428" s="263"/>
      <c r="K1428" s="263"/>
      <c r="L1428" s="263"/>
      <c r="M1428" s="263"/>
      <c r="N1428" s="263"/>
      <c r="O1428" s="263"/>
      <c r="P1428" s="263"/>
      <c r="Q1428" s="263"/>
      <c r="R1428" s="263"/>
      <c r="S1428" s="263"/>
      <c r="T1428" s="263"/>
      <c r="U1428" s="246"/>
      <c r="V1428" s="246"/>
      <c r="W1428" s="246"/>
      <c r="X1428" s="246"/>
      <c r="Y1428" s="246"/>
      <c r="Z1428" s="246"/>
    </row>
    <row r="1429">
      <c r="A1429" s="263"/>
      <c r="B1429" s="267"/>
      <c r="C1429" s="263"/>
      <c r="D1429" s="263"/>
      <c r="E1429" s="263"/>
      <c r="F1429" s="268"/>
      <c r="G1429" s="263"/>
      <c r="H1429" s="267"/>
      <c r="I1429" s="263"/>
      <c r="J1429" s="263"/>
      <c r="K1429" s="263"/>
      <c r="L1429" s="263"/>
      <c r="M1429" s="263"/>
      <c r="N1429" s="263"/>
      <c r="O1429" s="263"/>
      <c r="P1429" s="263"/>
      <c r="Q1429" s="263"/>
      <c r="R1429" s="263"/>
      <c r="S1429" s="263"/>
      <c r="T1429" s="263"/>
      <c r="U1429" s="246"/>
      <c r="V1429" s="246"/>
      <c r="W1429" s="246"/>
      <c r="X1429" s="246"/>
      <c r="Y1429" s="246"/>
      <c r="Z1429" s="246"/>
    </row>
    <row r="1430">
      <c r="A1430" s="263"/>
      <c r="B1430" s="267"/>
      <c r="C1430" s="263"/>
      <c r="D1430" s="263"/>
      <c r="E1430" s="263"/>
      <c r="F1430" s="268"/>
      <c r="G1430" s="263"/>
      <c r="H1430" s="267"/>
      <c r="I1430" s="263"/>
      <c r="J1430" s="263"/>
      <c r="K1430" s="263"/>
      <c r="L1430" s="263"/>
      <c r="M1430" s="263"/>
      <c r="N1430" s="263"/>
      <c r="O1430" s="263"/>
      <c r="P1430" s="263"/>
      <c r="Q1430" s="263"/>
      <c r="R1430" s="263"/>
      <c r="S1430" s="263"/>
      <c r="T1430" s="263"/>
      <c r="U1430" s="246"/>
      <c r="V1430" s="246"/>
      <c r="W1430" s="246"/>
      <c r="X1430" s="246"/>
      <c r="Y1430" s="246"/>
      <c r="Z1430" s="246"/>
    </row>
    <row r="1431">
      <c r="A1431" s="263"/>
      <c r="B1431" s="267"/>
      <c r="C1431" s="263"/>
      <c r="D1431" s="263"/>
      <c r="E1431" s="263"/>
      <c r="F1431" s="268"/>
      <c r="G1431" s="263"/>
      <c r="H1431" s="267"/>
      <c r="I1431" s="263"/>
      <c r="J1431" s="263"/>
      <c r="K1431" s="263"/>
      <c r="L1431" s="263"/>
      <c r="M1431" s="263"/>
      <c r="N1431" s="263"/>
      <c r="O1431" s="263"/>
      <c r="P1431" s="263"/>
      <c r="Q1431" s="263"/>
      <c r="R1431" s="263"/>
      <c r="S1431" s="263"/>
      <c r="T1431" s="263"/>
      <c r="U1431" s="246"/>
      <c r="V1431" s="246"/>
      <c r="W1431" s="246"/>
      <c r="X1431" s="246"/>
      <c r="Y1431" s="246"/>
      <c r="Z1431" s="246"/>
    </row>
    <row r="1432">
      <c r="A1432" s="263"/>
      <c r="B1432" s="267"/>
      <c r="C1432" s="263"/>
      <c r="D1432" s="263"/>
      <c r="E1432" s="263"/>
      <c r="F1432" s="268"/>
      <c r="G1432" s="263"/>
      <c r="H1432" s="267"/>
      <c r="I1432" s="263"/>
      <c r="J1432" s="263"/>
      <c r="K1432" s="263"/>
      <c r="L1432" s="263"/>
      <c r="M1432" s="263"/>
      <c r="N1432" s="263"/>
      <c r="O1432" s="263"/>
      <c r="P1432" s="263"/>
      <c r="Q1432" s="263"/>
      <c r="R1432" s="263"/>
      <c r="S1432" s="263"/>
      <c r="T1432" s="263"/>
      <c r="U1432" s="246"/>
      <c r="V1432" s="246"/>
      <c r="W1432" s="246"/>
      <c r="X1432" s="246"/>
      <c r="Y1432" s="246"/>
      <c r="Z1432" s="246"/>
    </row>
    <row r="1433">
      <c r="A1433" s="263"/>
      <c r="B1433" s="267"/>
      <c r="C1433" s="263"/>
      <c r="D1433" s="263"/>
      <c r="E1433" s="263"/>
      <c r="F1433" s="268"/>
      <c r="G1433" s="263"/>
      <c r="H1433" s="267"/>
      <c r="I1433" s="263"/>
      <c r="J1433" s="263"/>
      <c r="K1433" s="263"/>
      <c r="L1433" s="263"/>
      <c r="M1433" s="263"/>
      <c r="N1433" s="263"/>
      <c r="O1433" s="263"/>
      <c r="P1433" s="263"/>
      <c r="Q1433" s="263"/>
      <c r="R1433" s="263"/>
      <c r="S1433" s="263"/>
      <c r="T1433" s="263"/>
      <c r="U1433" s="246"/>
      <c r="V1433" s="246"/>
      <c r="W1433" s="246"/>
      <c r="X1433" s="246"/>
      <c r="Y1433" s="246"/>
      <c r="Z1433" s="246"/>
    </row>
    <row r="1434">
      <c r="A1434" s="263"/>
      <c r="B1434" s="267"/>
      <c r="C1434" s="263"/>
      <c r="D1434" s="263"/>
      <c r="E1434" s="263"/>
      <c r="F1434" s="268"/>
      <c r="G1434" s="263"/>
      <c r="H1434" s="267"/>
      <c r="I1434" s="263"/>
      <c r="J1434" s="263"/>
      <c r="K1434" s="263"/>
      <c r="L1434" s="263"/>
      <c r="M1434" s="263"/>
      <c r="N1434" s="263"/>
      <c r="O1434" s="263"/>
      <c r="P1434" s="263"/>
      <c r="Q1434" s="263"/>
      <c r="R1434" s="263"/>
      <c r="S1434" s="263"/>
      <c r="T1434" s="263"/>
      <c r="U1434" s="246"/>
      <c r="V1434" s="246"/>
      <c r="W1434" s="246"/>
      <c r="X1434" s="246"/>
      <c r="Y1434" s="246"/>
      <c r="Z1434" s="246"/>
    </row>
    <row r="1435">
      <c r="A1435" s="263"/>
      <c r="B1435" s="267"/>
      <c r="C1435" s="263"/>
      <c r="D1435" s="263"/>
      <c r="E1435" s="263"/>
      <c r="F1435" s="268"/>
      <c r="G1435" s="263"/>
      <c r="H1435" s="267"/>
      <c r="I1435" s="263"/>
      <c r="J1435" s="263"/>
      <c r="K1435" s="263"/>
      <c r="L1435" s="263"/>
      <c r="M1435" s="263"/>
      <c r="N1435" s="263"/>
      <c r="O1435" s="263"/>
      <c r="P1435" s="263"/>
      <c r="Q1435" s="263"/>
      <c r="R1435" s="263"/>
      <c r="S1435" s="263"/>
      <c r="T1435" s="263"/>
      <c r="U1435" s="246"/>
      <c r="V1435" s="246"/>
      <c r="W1435" s="246"/>
      <c r="X1435" s="246"/>
      <c r="Y1435" s="246"/>
      <c r="Z1435" s="246"/>
    </row>
    <row r="1436">
      <c r="A1436" s="263"/>
      <c r="B1436" s="267"/>
      <c r="C1436" s="263"/>
      <c r="D1436" s="263"/>
      <c r="E1436" s="263"/>
      <c r="F1436" s="268"/>
      <c r="G1436" s="263"/>
      <c r="H1436" s="267"/>
      <c r="I1436" s="263"/>
      <c r="J1436" s="263"/>
      <c r="K1436" s="263"/>
      <c r="L1436" s="263"/>
      <c r="M1436" s="263"/>
      <c r="N1436" s="263"/>
      <c r="O1436" s="263"/>
      <c r="P1436" s="263"/>
      <c r="Q1436" s="263"/>
      <c r="R1436" s="263"/>
      <c r="S1436" s="263"/>
      <c r="T1436" s="263"/>
      <c r="U1436" s="246"/>
      <c r="V1436" s="246"/>
      <c r="W1436" s="246"/>
      <c r="X1436" s="246"/>
      <c r="Y1436" s="246"/>
      <c r="Z1436" s="246"/>
    </row>
    <row r="1437">
      <c r="A1437" s="263"/>
      <c r="B1437" s="267"/>
      <c r="C1437" s="263"/>
      <c r="D1437" s="263"/>
      <c r="E1437" s="263"/>
      <c r="F1437" s="268"/>
      <c r="G1437" s="263"/>
      <c r="H1437" s="267"/>
      <c r="I1437" s="263"/>
      <c r="J1437" s="263"/>
      <c r="K1437" s="263"/>
      <c r="L1437" s="263"/>
      <c r="M1437" s="263"/>
      <c r="N1437" s="263"/>
      <c r="O1437" s="263"/>
      <c r="P1437" s="263"/>
      <c r="Q1437" s="263"/>
      <c r="R1437" s="263"/>
      <c r="S1437" s="263"/>
      <c r="T1437" s="263"/>
      <c r="U1437" s="246"/>
      <c r="V1437" s="246"/>
      <c r="W1437" s="246"/>
      <c r="X1437" s="246"/>
      <c r="Y1437" s="246"/>
      <c r="Z1437" s="246"/>
    </row>
    <row r="1438">
      <c r="A1438" s="263"/>
      <c r="B1438" s="267"/>
      <c r="C1438" s="263"/>
      <c r="D1438" s="263"/>
      <c r="E1438" s="263"/>
      <c r="F1438" s="268"/>
      <c r="G1438" s="263"/>
      <c r="H1438" s="267"/>
      <c r="I1438" s="263"/>
      <c r="J1438" s="263"/>
      <c r="K1438" s="263"/>
      <c r="L1438" s="263"/>
      <c r="M1438" s="263"/>
      <c r="N1438" s="263"/>
      <c r="O1438" s="263"/>
      <c r="P1438" s="263"/>
      <c r="Q1438" s="263"/>
      <c r="R1438" s="263"/>
      <c r="S1438" s="263"/>
      <c r="T1438" s="263"/>
      <c r="U1438" s="246"/>
      <c r="V1438" s="246"/>
      <c r="W1438" s="246"/>
      <c r="X1438" s="246"/>
      <c r="Y1438" s="246"/>
      <c r="Z1438" s="246"/>
    </row>
    <row r="1439">
      <c r="A1439" s="263"/>
      <c r="B1439" s="267"/>
      <c r="C1439" s="263"/>
      <c r="D1439" s="263"/>
      <c r="E1439" s="263"/>
      <c r="F1439" s="268"/>
      <c r="G1439" s="263"/>
      <c r="H1439" s="267"/>
      <c r="I1439" s="263"/>
      <c r="J1439" s="263"/>
      <c r="K1439" s="263"/>
      <c r="L1439" s="263"/>
      <c r="M1439" s="263"/>
      <c r="N1439" s="263"/>
      <c r="O1439" s="263"/>
      <c r="P1439" s="263"/>
      <c r="Q1439" s="263"/>
      <c r="R1439" s="263"/>
      <c r="S1439" s="263"/>
      <c r="T1439" s="263"/>
      <c r="U1439" s="246"/>
      <c r="V1439" s="246"/>
      <c r="W1439" s="246"/>
      <c r="X1439" s="246"/>
      <c r="Y1439" s="246"/>
      <c r="Z1439" s="246"/>
    </row>
    <row r="1440">
      <c r="A1440" s="263"/>
      <c r="B1440" s="267"/>
      <c r="C1440" s="263"/>
      <c r="D1440" s="263"/>
      <c r="E1440" s="263"/>
      <c r="F1440" s="268"/>
      <c r="G1440" s="263"/>
      <c r="H1440" s="267"/>
      <c r="I1440" s="263"/>
      <c r="J1440" s="263"/>
      <c r="K1440" s="263"/>
      <c r="L1440" s="263"/>
      <c r="M1440" s="263"/>
      <c r="N1440" s="263"/>
      <c r="O1440" s="263"/>
      <c r="P1440" s="263"/>
      <c r="Q1440" s="263"/>
      <c r="R1440" s="263"/>
      <c r="S1440" s="263"/>
      <c r="T1440" s="263"/>
      <c r="U1440" s="246"/>
      <c r="V1440" s="246"/>
      <c r="W1440" s="246"/>
      <c r="X1440" s="246"/>
      <c r="Y1440" s="246"/>
      <c r="Z1440" s="246"/>
    </row>
    <row r="1441">
      <c r="A1441" s="263"/>
      <c r="B1441" s="267"/>
      <c r="C1441" s="263"/>
      <c r="D1441" s="263"/>
      <c r="E1441" s="263"/>
      <c r="F1441" s="268"/>
      <c r="G1441" s="263"/>
      <c r="H1441" s="267"/>
      <c r="I1441" s="263"/>
      <c r="J1441" s="263"/>
      <c r="K1441" s="263"/>
      <c r="L1441" s="263"/>
      <c r="M1441" s="263"/>
      <c r="N1441" s="263"/>
      <c r="O1441" s="263"/>
      <c r="P1441" s="263"/>
      <c r="Q1441" s="263"/>
      <c r="R1441" s="263"/>
      <c r="S1441" s="263"/>
      <c r="T1441" s="263"/>
      <c r="U1441" s="246"/>
      <c r="V1441" s="246"/>
      <c r="W1441" s="246"/>
      <c r="X1441" s="246"/>
      <c r="Y1441" s="246"/>
      <c r="Z1441" s="246"/>
    </row>
    <row r="1442">
      <c r="A1442" s="263"/>
      <c r="B1442" s="267"/>
      <c r="C1442" s="263"/>
      <c r="D1442" s="263"/>
      <c r="E1442" s="263"/>
      <c r="F1442" s="268"/>
      <c r="G1442" s="263"/>
      <c r="H1442" s="267"/>
      <c r="I1442" s="263"/>
      <c r="J1442" s="263"/>
      <c r="K1442" s="263"/>
      <c r="L1442" s="263"/>
      <c r="M1442" s="263"/>
      <c r="N1442" s="263"/>
      <c r="O1442" s="263"/>
      <c r="P1442" s="263"/>
      <c r="Q1442" s="263"/>
      <c r="R1442" s="263"/>
      <c r="S1442" s="263"/>
      <c r="T1442" s="263"/>
      <c r="U1442" s="246"/>
      <c r="V1442" s="246"/>
      <c r="W1442" s="246"/>
      <c r="X1442" s="246"/>
      <c r="Y1442" s="246"/>
      <c r="Z1442" s="246"/>
    </row>
    <row r="1443">
      <c r="A1443" s="263"/>
      <c r="B1443" s="267"/>
      <c r="C1443" s="263"/>
      <c r="D1443" s="263"/>
      <c r="E1443" s="263"/>
      <c r="F1443" s="268"/>
      <c r="G1443" s="263"/>
      <c r="H1443" s="267"/>
      <c r="I1443" s="263"/>
      <c r="J1443" s="263"/>
      <c r="K1443" s="263"/>
      <c r="L1443" s="263"/>
      <c r="M1443" s="263"/>
      <c r="N1443" s="263"/>
      <c r="O1443" s="263"/>
      <c r="P1443" s="263"/>
      <c r="Q1443" s="263"/>
      <c r="R1443" s="263"/>
      <c r="S1443" s="263"/>
      <c r="T1443" s="263"/>
      <c r="U1443" s="246"/>
      <c r="V1443" s="246"/>
      <c r="W1443" s="246"/>
      <c r="X1443" s="246"/>
      <c r="Y1443" s="246"/>
      <c r="Z1443" s="246"/>
    </row>
    <row r="1444">
      <c r="A1444" s="263"/>
      <c r="B1444" s="267"/>
      <c r="C1444" s="263"/>
      <c r="D1444" s="263"/>
      <c r="E1444" s="263"/>
      <c r="F1444" s="268"/>
      <c r="G1444" s="263"/>
      <c r="H1444" s="267"/>
      <c r="I1444" s="263"/>
      <c r="J1444" s="263"/>
      <c r="K1444" s="263"/>
      <c r="L1444" s="263"/>
      <c r="M1444" s="263"/>
      <c r="N1444" s="263"/>
      <c r="O1444" s="263"/>
      <c r="P1444" s="263"/>
      <c r="Q1444" s="263"/>
      <c r="R1444" s="263"/>
      <c r="S1444" s="263"/>
      <c r="T1444" s="263"/>
      <c r="U1444" s="246"/>
      <c r="V1444" s="246"/>
      <c r="W1444" s="246"/>
      <c r="X1444" s="246"/>
      <c r="Y1444" s="246"/>
      <c r="Z1444" s="246"/>
    </row>
    <row r="1445">
      <c r="A1445" s="263"/>
      <c r="B1445" s="267"/>
      <c r="C1445" s="263"/>
      <c r="D1445" s="263"/>
      <c r="E1445" s="263"/>
      <c r="F1445" s="268"/>
      <c r="G1445" s="263"/>
      <c r="H1445" s="267"/>
      <c r="I1445" s="263"/>
      <c r="J1445" s="263"/>
      <c r="K1445" s="263"/>
      <c r="L1445" s="263"/>
      <c r="M1445" s="263"/>
      <c r="N1445" s="263"/>
      <c r="O1445" s="263"/>
      <c r="P1445" s="263"/>
      <c r="Q1445" s="263"/>
      <c r="R1445" s="263"/>
      <c r="S1445" s="263"/>
      <c r="T1445" s="263"/>
      <c r="U1445" s="246"/>
      <c r="V1445" s="246"/>
      <c r="W1445" s="246"/>
      <c r="X1445" s="246"/>
      <c r="Y1445" s="246"/>
      <c r="Z1445" s="246"/>
    </row>
    <row r="1446">
      <c r="A1446" s="263"/>
      <c r="B1446" s="267"/>
      <c r="C1446" s="263"/>
      <c r="D1446" s="263"/>
      <c r="E1446" s="263"/>
      <c r="F1446" s="268"/>
      <c r="G1446" s="263"/>
      <c r="H1446" s="267"/>
      <c r="I1446" s="263"/>
      <c r="J1446" s="263"/>
      <c r="K1446" s="263"/>
      <c r="L1446" s="263"/>
      <c r="M1446" s="263"/>
      <c r="N1446" s="263"/>
      <c r="O1446" s="263"/>
      <c r="P1446" s="263"/>
      <c r="Q1446" s="263"/>
      <c r="R1446" s="263"/>
      <c r="S1446" s="263"/>
      <c r="T1446" s="263"/>
      <c r="U1446" s="246"/>
      <c r="V1446" s="246"/>
      <c r="W1446" s="246"/>
      <c r="X1446" s="246"/>
      <c r="Y1446" s="246"/>
      <c r="Z1446" s="246"/>
    </row>
    <row r="1447">
      <c r="A1447" s="263"/>
      <c r="B1447" s="267"/>
      <c r="C1447" s="263"/>
      <c r="D1447" s="263"/>
      <c r="E1447" s="263"/>
      <c r="F1447" s="268"/>
      <c r="G1447" s="263"/>
      <c r="H1447" s="267"/>
      <c r="I1447" s="263"/>
      <c r="J1447" s="263"/>
      <c r="K1447" s="263"/>
      <c r="L1447" s="263"/>
      <c r="M1447" s="263"/>
      <c r="N1447" s="263"/>
      <c r="O1447" s="263"/>
      <c r="P1447" s="263"/>
      <c r="Q1447" s="263"/>
      <c r="R1447" s="263"/>
      <c r="S1447" s="263"/>
      <c r="T1447" s="263"/>
      <c r="U1447" s="246"/>
      <c r="V1447" s="246"/>
      <c r="W1447" s="246"/>
      <c r="X1447" s="246"/>
      <c r="Y1447" s="246"/>
      <c r="Z1447" s="246"/>
    </row>
    <row r="1448">
      <c r="A1448" s="263"/>
      <c r="B1448" s="267"/>
      <c r="C1448" s="263"/>
      <c r="D1448" s="263"/>
      <c r="E1448" s="263"/>
      <c r="F1448" s="268"/>
      <c r="G1448" s="263"/>
      <c r="H1448" s="267"/>
      <c r="I1448" s="263"/>
      <c r="J1448" s="263"/>
      <c r="K1448" s="263"/>
      <c r="L1448" s="263"/>
      <c r="M1448" s="263"/>
      <c r="N1448" s="263"/>
      <c r="O1448" s="263"/>
      <c r="P1448" s="263"/>
      <c r="Q1448" s="263"/>
      <c r="R1448" s="263"/>
      <c r="S1448" s="263"/>
      <c r="T1448" s="263"/>
      <c r="U1448" s="246"/>
      <c r="V1448" s="246"/>
      <c r="W1448" s="246"/>
      <c r="X1448" s="246"/>
      <c r="Y1448" s="246"/>
      <c r="Z1448" s="246"/>
    </row>
    <row r="1449">
      <c r="A1449" s="263"/>
      <c r="B1449" s="267"/>
      <c r="C1449" s="263"/>
      <c r="D1449" s="263"/>
      <c r="E1449" s="263"/>
      <c r="F1449" s="268"/>
      <c r="G1449" s="263"/>
      <c r="H1449" s="267"/>
      <c r="I1449" s="263"/>
      <c r="J1449" s="263"/>
      <c r="K1449" s="263"/>
      <c r="L1449" s="263"/>
      <c r="M1449" s="263"/>
      <c r="N1449" s="263"/>
      <c r="O1449" s="263"/>
      <c r="P1449" s="263"/>
      <c r="Q1449" s="263"/>
      <c r="R1449" s="263"/>
      <c r="S1449" s="263"/>
      <c r="T1449" s="263"/>
      <c r="U1449" s="246"/>
      <c r="V1449" s="246"/>
      <c r="W1449" s="246"/>
      <c r="X1449" s="246"/>
      <c r="Y1449" s="246"/>
      <c r="Z1449" s="246"/>
    </row>
    <row r="1450">
      <c r="A1450" s="263"/>
      <c r="B1450" s="267"/>
      <c r="C1450" s="263"/>
      <c r="D1450" s="263"/>
      <c r="E1450" s="263"/>
      <c r="F1450" s="268"/>
      <c r="G1450" s="263"/>
      <c r="H1450" s="267"/>
      <c r="I1450" s="263"/>
      <c r="J1450" s="263"/>
      <c r="K1450" s="263"/>
      <c r="L1450" s="263"/>
      <c r="M1450" s="263"/>
      <c r="N1450" s="263"/>
      <c r="O1450" s="263"/>
      <c r="P1450" s="263"/>
      <c r="Q1450" s="263"/>
      <c r="R1450" s="263"/>
      <c r="S1450" s="263"/>
      <c r="T1450" s="263"/>
      <c r="U1450" s="246"/>
      <c r="V1450" s="246"/>
      <c r="W1450" s="246"/>
      <c r="X1450" s="246"/>
      <c r="Y1450" s="246"/>
      <c r="Z1450" s="246"/>
    </row>
    <row r="1451">
      <c r="A1451" s="263"/>
      <c r="B1451" s="267"/>
      <c r="C1451" s="263"/>
      <c r="D1451" s="263"/>
      <c r="E1451" s="263"/>
      <c r="F1451" s="268"/>
      <c r="G1451" s="263"/>
      <c r="H1451" s="267"/>
      <c r="I1451" s="263"/>
      <c r="J1451" s="263"/>
      <c r="K1451" s="263"/>
      <c r="L1451" s="263"/>
      <c r="M1451" s="263"/>
      <c r="N1451" s="263"/>
      <c r="O1451" s="263"/>
      <c r="P1451" s="263"/>
      <c r="Q1451" s="263"/>
      <c r="R1451" s="263"/>
      <c r="S1451" s="263"/>
      <c r="T1451" s="263"/>
      <c r="U1451" s="246"/>
      <c r="V1451" s="246"/>
      <c r="W1451" s="246"/>
      <c r="X1451" s="246"/>
      <c r="Y1451" s="246"/>
      <c r="Z1451" s="246"/>
    </row>
    <row r="1452">
      <c r="A1452" s="263"/>
      <c r="B1452" s="267"/>
      <c r="C1452" s="263"/>
      <c r="D1452" s="263"/>
      <c r="E1452" s="263"/>
      <c r="F1452" s="268"/>
      <c r="G1452" s="263"/>
      <c r="H1452" s="267"/>
      <c r="I1452" s="263"/>
      <c r="J1452" s="263"/>
      <c r="K1452" s="263"/>
      <c r="L1452" s="263"/>
      <c r="M1452" s="263"/>
      <c r="N1452" s="263"/>
      <c r="O1452" s="263"/>
      <c r="P1452" s="263"/>
      <c r="Q1452" s="263"/>
      <c r="R1452" s="263"/>
      <c r="S1452" s="263"/>
      <c r="T1452" s="263"/>
      <c r="U1452" s="246"/>
      <c r="V1452" s="246"/>
      <c r="W1452" s="246"/>
      <c r="X1452" s="246"/>
      <c r="Y1452" s="246"/>
      <c r="Z1452" s="246"/>
    </row>
    <row r="1453">
      <c r="A1453" s="263"/>
      <c r="B1453" s="267"/>
      <c r="C1453" s="263"/>
      <c r="D1453" s="263"/>
      <c r="E1453" s="263"/>
      <c r="F1453" s="268"/>
      <c r="G1453" s="263"/>
      <c r="H1453" s="267"/>
      <c r="I1453" s="263"/>
      <c r="J1453" s="263"/>
      <c r="K1453" s="263"/>
      <c r="L1453" s="263"/>
      <c r="M1453" s="263"/>
      <c r="N1453" s="263"/>
      <c r="O1453" s="263"/>
      <c r="P1453" s="263"/>
      <c r="Q1453" s="263"/>
      <c r="R1453" s="263"/>
      <c r="S1453" s="263"/>
      <c r="T1453" s="263"/>
      <c r="U1453" s="246"/>
      <c r="V1453" s="246"/>
      <c r="W1453" s="246"/>
      <c r="X1453" s="246"/>
      <c r="Y1453" s="246"/>
      <c r="Z1453" s="246"/>
    </row>
    <row r="1454">
      <c r="A1454" s="263"/>
      <c r="B1454" s="267"/>
      <c r="C1454" s="263"/>
      <c r="D1454" s="263"/>
      <c r="E1454" s="263"/>
      <c r="F1454" s="268"/>
      <c r="G1454" s="263"/>
      <c r="H1454" s="267"/>
      <c r="I1454" s="263"/>
      <c r="J1454" s="263"/>
      <c r="K1454" s="263"/>
      <c r="L1454" s="263"/>
      <c r="M1454" s="263"/>
      <c r="N1454" s="263"/>
      <c r="O1454" s="263"/>
      <c r="P1454" s="263"/>
      <c r="Q1454" s="263"/>
      <c r="R1454" s="263"/>
      <c r="S1454" s="263"/>
      <c r="T1454" s="263"/>
      <c r="U1454" s="246"/>
      <c r="V1454" s="246"/>
      <c r="W1454" s="246"/>
      <c r="X1454" s="246"/>
      <c r="Y1454" s="246"/>
      <c r="Z1454" s="246"/>
    </row>
    <row r="1455">
      <c r="A1455" s="263"/>
      <c r="B1455" s="267"/>
      <c r="C1455" s="263"/>
      <c r="D1455" s="263"/>
      <c r="E1455" s="263"/>
      <c r="F1455" s="268"/>
      <c r="G1455" s="263"/>
      <c r="H1455" s="267"/>
      <c r="I1455" s="263"/>
      <c r="J1455" s="263"/>
      <c r="K1455" s="263"/>
      <c r="L1455" s="263"/>
      <c r="M1455" s="263"/>
      <c r="N1455" s="263"/>
      <c r="O1455" s="263"/>
      <c r="P1455" s="263"/>
      <c r="Q1455" s="263"/>
      <c r="R1455" s="263"/>
      <c r="S1455" s="263"/>
      <c r="T1455" s="263"/>
      <c r="U1455" s="246"/>
      <c r="V1455" s="246"/>
      <c r="W1455" s="246"/>
      <c r="X1455" s="246"/>
      <c r="Y1455" s="246"/>
      <c r="Z1455" s="246"/>
    </row>
    <row r="1456">
      <c r="A1456" s="263"/>
      <c r="B1456" s="267"/>
      <c r="C1456" s="263"/>
      <c r="D1456" s="263"/>
      <c r="E1456" s="263"/>
      <c r="F1456" s="268"/>
      <c r="G1456" s="263"/>
      <c r="H1456" s="267"/>
      <c r="I1456" s="263"/>
      <c r="J1456" s="263"/>
      <c r="K1456" s="263"/>
      <c r="L1456" s="263"/>
      <c r="M1456" s="263"/>
      <c r="N1456" s="263"/>
      <c r="O1456" s="263"/>
      <c r="P1456" s="263"/>
      <c r="Q1456" s="263"/>
      <c r="R1456" s="263"/>
      <c r="S1456" s="263"/>
      <c r="T1456" s="263"/>
      <c r="U1456" s="246"/>
      <c r="V1456" s="246"/>
      <c r="W1456" s="246"/>
      <c r="X1456" s="246"/>
      <c r="Y1456" s="246"/>
      <c r="Z1456" s="246"/>
    </row>
    <row r="1457">
      <c r="A1457" s="263"/>
      <c r="B1457" s="267"/>
      <c r="C1457" s="263"/>
      <c r="D1457" s="263"/>
      <c r="E1457" s="263"/>
      <c r="F1457" s="268"/>
      <c r="G1457" s="263"/>
      <c r="H1457" s="267"/>
      <c r="I1457" s="263"/>
      <c r="J1457" s="263"/>
      <c r="K1457" s="263"/>
      <c r="L1457" s="263"/>
      <c r="M1457" s="263"/>
      <c r="N1457" s="263"/>
      <c r="O1457" s="263"/>
      <c r="P1457" s="263"/>
      <c r="Q1457" s="263"/>
      <c r="R1457" s="263"/>
      <c r="S1457" s="263"/>
      <c r="T1457" s="263"/>
      <c r="U1457" s="246"/>
      <c r="V1457" s="246"/>
      <c r="W1457" s="246"/>
      <c r="X1457" s="246"/>
      <c r="Y1457" s="246"/>
      <c r="Z1457" s="246"/>
    </row>
    <row r="1458">
      <c r="A1458" s="263"/>
      <c r="B1458" s="267"/>
      <c r="C1458" s="263"/>
      <c r="D1458" s="263"/>
      <c r="E1458" s="263"/>
      <c r="F1458" s="268"/>
      <c r="G1458" s="263"/>
      <c r="H1458" s="267"/>
      <c r="I1458" s="263"/>
      <c r="J1458" s="263"/>
      <c r="K1458" s="263"/>
      <c r="L1458" s="263"/>
      <c r="M1458" s="263"/>
      <c r="N1458" s="263"/>
      <c r="O1458" s="263"/>
      <c r="P1458" s="263"/>
      <c r="Q1458" s="263"/>
      <c r="R1458" s="263"/>
      <c r="S1458" s="263"/>
      <c r="T1458" s="263"/>
      <c r="U1458" s="246"/>
      <c r="V1458" s="246"/>
      <c r="W1458" s="246"/>
      <c r="X1458" s="246"/>
      <c r="Y1458" s="246"/>
      <c r="Z1458" s="246"/>
    </row>
    <row r="1459">
      <c r="A1459" s="263"/>
      <c r="B1459" s="267"/>
      <c r="C1459" s="263"/>
      <c r="D1459" s="263"/>
      <c r="E1459" s="263"/>
      <c r="F1459" s="268"/>
      <c r="G1459" s="263"/>
      <c r="H1459" s="267"/>
      <c r="I1459" s="263"/>
      <c r="J1459" s="263"/>
      <c r="K1459" s="263"/>
      <c r="L1459" s="263"/>
      <c r="M1459" s="263"/>
      <c r="N1459" s="263"/>
      <c r="O1459" s="263"/>
      <c r="P1459" s="263"/>
      <c r="Q1459" s="263"/>
      <c r="R1459" s="263"/>
      <c r="S1459" s="263"/>
      <c r="T1459" s="263"/>
      <c r="U1459" s="246"/>
      <c r="V1459" s="246"/>
      <c r="W1459" s="246"/>
      <c r="X1459" s="246"/>
      <c r="Y1459" s="246"/>
      <c r="Z1459" s="246"/>
    </row>
    <row r="1460">
      <c r="A1460" s="263"/>
      <c r="B1460" s="267"/>
      <c r="C1460" s="263"/>
      <c r="D1460" s="263"/>
      <c r="E1460" s="263"/>
      <c r="F1460" s="268"/>
      <c r="G1460" s="263"/>
      <c r="H1460" s="267"/>
      <c r="I1460" s="263"/>
      <c r="J1460" s="263"/>
      <c r="K1460" s="263"/>
      <c r="L1460" s="263"/>
      <c r="M1460" s="263"/>
      <c r="N1460" s="263"/>
      <c r="O1460" s="263"/>
      <c r="P1460" s="263"/>
      <c r="Q1460" s="263"/>
      <c r="R1460" s="263"/>
      <c r="S1460" s="263"/>
      <c r="T1460" s="263"/>
      <c r="U1460" s="246"/>
      <c r="V1460" s="246"/>
      <c r="W1460" s="246"/>
      <c r="X1460" s="246"/>
      <c r="Y1460" s="246"/>
      <c r="Z1460" s="246"/>
    </row>
    <row r="1461">
      <c r="A1461" s="263"/>
      <c r="B1461" s="267"/>
      <c r="C1461" s="263"/>
      <c r="D1461" s="263"/>
      <c r="E1461" s="263"/>
      <c r="F1461" s="268"/>
      <c r="G1461" s="263"/>
      <c r="H1461" s="267"/>
      <c r="I1461" s="263"/>
      <c r="J1461" s="263"/>
      <c r="K1461" s="263"/>
      <c r="L1461" s="263"/>
      <c r="M1461" s="263"/>
      <c r="N1461" s="263"/>
      <c r="O1461" s="263"/>
      <c r="P1461" s="263"/>
      <c r="Q1461" s="263"/>
      <c r="R1461" s="263"/>
      <c r="S1461" s="263"/>
      <c r="T1461" s="263"/>
      <c r="U1461" s="246"/>
      <c r="V1461" s="246"/>
      <c r="W1461" s="246"/>
      <c r="X1461" s="246"/>
      <c r="Y1461" s="246"/>
      <c r="Z1461" s="246"/>
    </row>
    <row r="1462">
      <c r="A1462" s="263"/>
      <c r="B1462" s="267"/>
      <c r="C1462" s="263"/>
      <c r="D1462" s="263"/>
      <c r="E1462" s="263"/>
      <c r="F1462" s="268"/>
      <c r="G1462" s="263"/>
      <c r="H1462" s="267"/>
      <c r="I1462" s="263"/>
      <c r="J1462" s="263"/>
      <c r="K1462" s="263"/>
      <c r="L1462" s="263"/>
      <c r="M1462" s="263"/>
      <c r="N1462" s="263"/>
      <c r="O1462" s="263"/>
      <c r="P1462" s="263"/>
      <c r="Q1462" s="263"/>
      <c r="R1462" s="263"/>
      <c r="S1462" s="263"/>
      <c r="T1462" s="263"/>
      <c r="U1462" s="246"/>
      <c r="V1462" s="246"/>
      <c r="W1462" s="246"/>
      <c r="X1462" s="246"/>
      <c r="Y1462" s="246"/>
      <c r="Z1462" s="246"/>
    </row>
    <row r="1463">
      <c r="A1463" s="263"/>
      <c r="B1463" s="267"/>
      <c r="C1463" s="263"/>
      <c r="D1463" s="263"/>
      <c r="E1463" s="263"/>
      <c r="F1463" s="268"/>
      <c r="G1463" s="263"/>
      <c r="H1463" s="267"/>
      <c r="I1463" s="263"/>
      <c r="J1463" s="263"/>
      <c r="K1463" s="263"/>
      <c r="L1463" s="263"/>
      <c r="M1463" s="263"/>
      <c r="N1463" s="263"/>
      <c r="O1463" s="263"/>
      <c r="P1463" s="263"/>
      <c r="Q1463" s="263"/>
      <c r="R1463" s="263"/>
      <c r="S1463" s="263"/>
      <c r="T1463" s="263"/>
      <c r="U1463" s="246"/>
      <c r="V1463" s="246"/>
      <c r="W1463" s="246"/>
      <c r="X1463" s="246"/>
      <c r="Y1463" s="246"/>
      <c r="Z1463" s="246"/>
    </row>
    <row r="1464">
      <c r="A1464" s="263"/>
      <c r="B1464" s="267"/>
      <c r="C1464" s="263"/>
      <c r="D1464" s="263"/>
      <c r="E1464" s="263"/>
      <c r="F1464" s="268"/>
      <c r="G1464" s="263"/>
      <c r="H1464" s="267"/>
      <c r="I1464" s="263"/>
      <c r="J1464" s="263"/>
      <c r="K1464" s="263"/>
      <c r="L1464" s="263"/>
      <c r="M1464" s="263"/>
      <c r="N1464" s="263"/>
      <c r="O1464" s="263"/>
      <c r="P1464" s="263"/>
      <c r="Q1464" s="263"/>
      <c r="R1464" s="263"/>
      <c r="S1464" s="263"/>
      <c r="T1464" s="263"/>
      <c r="U1464" s="246"/>
      <c r="V1464" s="246"/>
      <c r="W1464" s="246"/>
      <c r="X1464" s="246"/>
      <c r="Y1464" s="246"/>
      <c r="Z1464" s="246"/>
    </row>
    <row r="1465">
      <c r="A1465" s="263"/>
      <c r="B1465" s="267"/>
      <c r="C1465" s="263"/>
      <c r="D1465" s="263"/>
      <c r="E1465" s="263"/>
      <c r="F1465" s="268"/>
      <c r="G1465" s="263"/>
      <c r="H1465" s="267"/>
      <c r="I1465" s="263"/>
      <c r="J1465" s="263"/>
      <c r="K1465" s="263"/>
      <c r="L1465" s="263"/>
      <c r="M1465" s="263"/>
      <c r="N1465" s="263"/>
      <c r="O1465" s="263"/>
      <c r="P1465" s="263"/>
      <c r="Q1465" s="263"/>
      <c r="R1465" s="263"/>
      <c r="S1465" s="263"/>
      <c r="T1465" s="263"/>
      <c r="U1465" s="246"/>
      <c r="V1465" s="246"/>
      <c r="W1465" s="246"/>
      <c r="X1465" s="246"/>
      <c r="Y1465" s="246"/>
      <c r="Z1465" s="246"/>
    </row>
    <row r="1466">
      <c r="A1466" s="263"/>
      <c r="B1466" s="267"/>
      <c r="C1466" s="263"/>
      <c r="D1466" s="263"/>
      <c r="E1466" s="263"/>
      <c r="F1466" s="268"/>
      <c r="G1466" s="263"/>
      <c r="H1466" s="267"/>
      <c r="I1466" s="263"/>
      <c r="J1466" s="263"/>
      <c r="K1466" s="263"/>
      <c r="L1466" s="263"/>
      <c r="M1466" s="263"/>
      <c r="N1466" s="263"/>
      <c r="O1466" s="263"/>
      <c r="P1466" s="263"/>
      <c r="Q1466" s="263"/>
      <c r="R1466" s="263"/>
      <c r="S1466" s="263"/>
      <c r="T1466" s="263"/>
      <c r="U1466" s="246"/>
      <c r="V1466" s="246"/>
      <c r="W1466" s="246"/>
      <c r="X1466" s="246"/>
      <c r="Y1466" s="246"/>
      <c r="Z1466" s="246"/>
    </row>
    <row r="1467">
      <c r="A1467" s="263"/>
      <c r="B1467" s="267"/>
      <c r="C1467" s="263"/>
      <c r="D1467" s="263"/>
      <c r="E1467" s="263"/>
      <c r="F1467" s="268"/>
      <c r="G1467" s="263"/>
      <c r="H1467" s="267"/>
      <c r="I1467" s="263"/>
      <c r="J1467" s="263"/>
      <c r="K1467" s="263"/>
      <c r="L1467" s="263"/>
      <c r="M1467" s="263"/>
      <c r="N1467" s="263"/>
      <c r="O1467" s="263"/>
      <c r="P1467" s="263"/>
      <c r="Q1467" s="263"/>
      <c r="R1467" s="263"/>
      <c r="S1467" s="263"/>
      <c r="T1467" s="263"/>
      <c r="U1467" s="246"/>
      <c r="V1467" s="246"/>
      <c r="W1467" s="246"/>
      <c r="X1467" s="246"/>
      <c r="Y1467" s="246"/>
      <c r="Z1467" s="246"/>
    </row>
    <row r="1468">
      <c r="A1468" s="263"/>
      <c r="B1468" s="267"/>
      <c r="C1468" s="263"/>
      <c r="D1468" s="263"/>
      <c r="E1468" s="263"/>
      <c r="F1468" s="268"/>
      <c r="G1468" s="263"/>
      <c r="H1468" s="267"/>
      <c r="I1468" s="263"/>
      <c r="J1468" s="263"/>
      <c r="K1468" s="263"/>
      <c r="L1468" s="263"/>
      <c r="M1468" s="263"/>
      <c r="N1468" s="263"/>
      <c r="O1468" s="263"/>
      <c r="P1468" s="263"/>
      <c r="Q1468" s="263"/>
      <c r="R1468" s="263"/>
      <c r="S1468" s="263"/>
      <c r="T1468" s="263"/>
      <c r="U1468" s="246"/>
      <c r="V1468" s="246"/>
      <c r="W1468" s="246"/>
      <c r="X1468" s="246"/>
      <c r="Y1468" s="246"/>
      <c r="Z1468" s="246"/>
    </row>
    <row r="1469">
      <c r="A1469" s="263"/>
      <c r="B1469" s="267"/>
      <c r="C1469" s="263"/>
      <c r="D1469" s="263"/>
      <c r="E1469" s="263"/>
      <c r="F1469" s="268"/>
      <c r="G1469" s="263"/>
      <c r="H1469" s="267"/>
      <c r="I1469" s="263"/>
      <c r="J1469" s="263"/>
      <c r="K1469" s="263"/>
      <c r="L1469" s="263"/>
      <c r="M1469" s="263"/>
      <c r="N1469" s="263"/>
      <c r="O1469" s="263"/>
      <c r="P1469" s="263"/>
      <c r="Q1469" s="263"/>
      <c r="R1469" s="263"/>
      <c r="S1469" s="263"/>
      <c r="T1469" s="263"/>
      <c r="U1469" s="246"/>
      <c r="V1469" s="246"/>
      <c r="W1469" s="246"/>
      <c r="X1469" s="246"/>
      <c r="Y1469" s="246"/>
      <c r="Z1469" s="246"/>
    </row>
    <row r="1470">
      <c r="A1470" s="263"/>
      <c r="B1470" s="267"/>
      <c r="C1470" s="263"/>
      <c r="D1470" s="263"/>
      <c r="E1470" s="263"/>
      <c r="F1470" s="268"/>
      <c r="G1470" s="263"/>
      <c r="H1470" s="267"/>
      <c r="I1470" s="263"/>
      <c r="J1470" s="263"/>
      <c r="K1470" s="263"/>
      <c r="L1470" s="263"/>
      <c r="M1470" s="263"/>
      <c r="N1470" s="263"/>
      <c r="O1470" s="263"/>
      <c r="P1470" s="263"/>
      <c r="Q1470" s="263"/>
      <c r="R1470" s="263"/>
      <c r="S1470" s="263"/>
      <c r="T1470" s="263"/>
      <c r="U1470" s="246"/>
      <c r="V1470" s="246"/>
      <c r="W1470" s="246"/>
      <c r="X1470" s="246"/>
      <c r="Y1470" s="246"/>
      <c r="Z1470" s="246"/>
    </row>
    <row r="1471">
      <c r="A1471" s="263"/>
      <c r="B1471" s="267"/>
      <c r="C1471" s="263"/>
      <c r="D1471" s="263"/>
      <c r="E1471" s="263"/>
      <c r="F1471" s="268"/>
      <c r="G1471" s="263"/>
      <c r="H1471" s="267"/>
      <c r="I1471" s="263"/>
      <c r="J1471" s="263"/>
      <c r="K1471" s="263"/>
      <c r="L1471" s="263"/>
      <c r="M1471" s="263"/>
      <c r="N1471" s="263"/>
      <c r="O1471" s="263"/>
      <c r="P1471" s="263"/>
      <c r="Q1471" s="263"/>
      <c r="R1471" s="263"/>
      <c r="S1471" s="263"/>
      <c r="T1471" s="263"/>
      <c r="U1471" s="246"/>
      <c r="V1471" s="246"/>
      <c r="W1471" s="246"/>
      <c r="X1471" s="246"/>
      <c r="Y1471" s="246"/>
      <c r="Z1471" s="246"/>
    </row>
    <row r="1472">
      <c r="A1472" s="263"/>
      <c r="B1472" s="267"/>
      <c r="C1472" s="263"/>
      <c r="D1472" s="263"/>
      <c r="E1472" s="263"/>
      <c r="F1472" s="268"/>
      <c r="G1472" s="263"/>
      <c r="H1472" s="267"/>
      <c r="I1472" s="263"/>
      <c r="J1472" s="263"/>
      <c r="K1472" s="263"/>
      <c r="L1472" s="263"/>
      <c r="M1472" s="263"/>
      <c r="N1472" s="263"/>
      <c r="O1472" s="263"/>
      <c r="P1472" s="263"/>
      <c r="Q1472" s="263"/>
      <c r="R1472" s="263"/>
      <c r="S1472" s="263"/>
      <c r="T1472" s="263"/>
      <c r="U1472" s="246"/>
      <c r="V1472" s="246"/>
      <c r="W1472" s="246"/>
      <c r="X1472" s="246"/>
      <c r="Y1472" s="246"/>
      <c r="Z1472" s="246"/>
    </row>
    <row r="1473">
      <c r="A1473" s="263"/>
      <c r="B1473" s="267"/>
      <c r="C1473" s="263"/>
      <c r="D1473" s="263"/>
      <c r="E1473" s="263"/>
      <c r="F1473" s="268"/>
      <c r="G1473" s="263"/>
      <c r="H1473" s="267"/>
      <c r="I1473" s="263"/>
      <c r="J1473" s="263"/>
      <c r="K1473" s="263"/>
      <c r="L1473" s="263"/>
      <c r="M1473" s="263"/>
      <c r="N1473" s="263"/>
      <c r="O1473" s="263"/>
      <c r="P1473" s="263"/>
      <c r="Q1473" s="263"/>
      <c r="R1473" s="263"/>
      <c r="S1473" s="263"/>
      <c r="T1473" s="263"/>
      <c r="U1473" s="246"/>
      <c r="V1473" s="246"/>
      <c r="W1473" s="246"/>
      <c r="X1473" s="246"/>
      <c r="Y1473" s="246"/>
      <c r="Z1473" s="246"/>
    </row>
    <row r="1474">
      <c r="A1474" s="263"/>
      <c r="B1474" s="267"/>
      <c r="C1474" s="263"/>
      <c r="D1474" s="263"/>
      <c r="E1474" s="263"/>
      <c r="F1474" s="268"/>
      <c r="G1474" s="263"/>
      <c r="H1474" s="267"/>
      <c r="I1474" s="263"/>
      <c r="J1474" s="263"/>
      <c r="K1474" s="263"/>
      <c r="L1474" s="263"/>
      <c r="M1474" s="263"/>
      <c r="N1474" s="263"/>
      <c r="O1474" s="263"/>
      <c r="P1474" s="263"/>
      <c r="Q1474" s="263"/>
      <c r="R1474" s="263"/>
      <c r="S1474" s="263"/>
      <c r="T1474" s="263"/>
      <c r="U1474" s="246"/>
      <c r="V1474" s="246"/>
      <c r="W1474" s="246"/>
      <c r="X1474" s="246"/>
      <c r="Y1474" s="246"/>
      <c r="Z1474" s="246"/>
    </row>
    <row r="1475">
      <c r="A1475" s="263"/>
      <c r="B1475" s="267"/>
      <c r="C1475" s="263"/>
      <c r="D1475" s="263"/>
      <c r="E1475" s="263"/>
      <c r="F1475" s="268"/>
      <c r="G1475" s="263"/>
      <c r="H1475" s="267"/>
      <c r="I1475" s="263"/>
      <c r="J1475" s="263"/>
      <c r="K1475" s="263"/>
      <c r="L1475" s="263"/>
      <c r="M1475" s="263"/>
      <c r="N1475" s="263"/>
      <c r="O1475" s="263"/>
      <c r="P1475" s="263"/>
      <c r="Q1475" s="263"/>
      <c r="R1475" s="263"/>
      <c r="S1475" s="263"/>
      <c r="T1475" s="263"/>
      <c r="U1475" s="246"/>
      <c r="V1475" s="246"/>
      <c r="W1475" s="246"/>
      <c r="X1475" s="246"/>
      <c r="Y1475" s="246"/>
      <c r="Z1475" s="246"/>
    </row>
    <row r="1476">
      <c r="A1476" s="263"/>
      <c r="B1476" s="267"/>
      <c r="C1476" s="263"/>
      <c r="D1476" s="263"/>
      <c r="E1476" s="263"/>
      <c r="F1476" s="268"/>
      <c r="G1476" s="263"/>
      <c r="H1476" s="267"/>
      <c r="I1476" s="263"/>
      <c r="J1476" s="263"/>
      <c r="K1476" s="263"/>
      <c r="L1476" s="263"/>
      <c r="M1476" s="263"/>
      <c r="N1476" s="263"/>
      <c r="O1476" s="263"/>
      <c r="P1476" s="263"/>
      <c r="Q1476" s="263"/>
      <c r="R1476" s="263"/>
      <c r="S1476" s="263"/>
      <c r="T1476" s="263"/>
      <c r="U1476" s="246"/>
      <c r="V1476" s="246"/>
      <c r="W1476" s="246"/>
      <c r="X1476" s="246"/>
      <c r="Y1476" s="246"/>
      <c r="Z1476" s="246"/>
    </row>
    <row r="1477">
      <c r="A1477" s="263"/>
      <c r="B1477" s="267"/>
      <c r="C1477" s="263"/>
      <c r="D1477" s="263"/>
      <c r="E1477" s="263"/>
      <c r="F1477" s="268"/>
      <c r="G1477" s="263"/>
      <c r="H1477" s="267"/>
      <c r="I1477" s="263"/>
      <c r="J1477" s="263"/>
      <c r="K1477" s="263"/>
      <c r="L1477" s="263"/>
      <c r="M1477" s="263"/>
      <c r="N1477" s="263"/>
      <c r="O1477" s="263"/>
      <c r="P1477" s="263"/>
      <c r="Q1477" s="263"/>
      <c r="R1477" s="263"/>
      <c r="S1477" s="263"/>
      <c r="T1477" s="263"/>
      <c r="U1477" s="246"/>
      <c r="V1477" s="246"/>
      <c r="W1477" s="246"/>
      <c r="X1477" s="246"/>
      <c r="Y1477" s="246"/>
      <c r="Z1477" s="246"/>
    </row>
    <row r="1478">
      <c r="A1478" s="263"/>
      <c r="B1478" s="267"/>
      <c r="C1478" s="263"/>
      <c r="D1478" s="263"/>
      <c r="E1478" s="263"/>
      <c r="F1478" s="268"/>
      <c r="G1478" s="263"/>
      <c r="H1478" s="267"/>
      <c r="I1478" s="263"/>
      <c r="J1478" s="263"/>
      <c r="K1478" s="263"/>
      <c r="L1478" s="263"/>
      <c r="M1478" s="263"/>
      <c r="N1478" s="263"/>
      <c r="O1478" s="263"/>
      <c r="P1478" s="263"/>
      <c r="Q1478" s="263"/>
      <c r="R1478" s="263"/>
      <c r="S1478" s="263"/>
      <c r="T1478" s="263"/>
      <c r="U1478" s="246"/>
      <c r="V1478" s="246"/>
      <c r="W1478" s="246"/>
      <c r="X1478" s="246"/>
      <c r="Y1478" s="246"/>
      <c r="Z1478" s="246"/>
    </row>
    <row r="1479">
      <c r="A1479" s="263"/>
      <c r="B1479" s="267"/>
      <c r="C1479" s="263"/>
      <c r="D1479" s="263"/>
      <c r="E1479" s="263"/>
      <c r="F1479" s="268"/>
      <c r="G1479" s="263"/>
      <c r="H1479" s="267"/>
      <c r="I1479" s="263"/>
      <c r="J1479" s="263"/>
      <c r="K1479" s="263"/>
      <c r="L1479" s="263"/>
      <c r="M1479" s="263"/>
      <c r="N1479" s="263"/>
      <c r="O1479" s="263"/>
      <c r="P1479" s="263"/>
      <c r="Q1479" s="263"/>
      <c r="R1479" s="263"/>
      <c r="S1479" s="263"/>
      <c r="T1479" s="263"/>
      <c r="U1479" s="246"/>
      <c r="V1479" s="246"/>
      <c r="W1479" s="246"/>
      <c r="X1479" s="246"/>
      <c r="Y1479" s="246"/>
      <c r="Z1479" s="246"/>
    </row>
    <row r="1480">
      <c r="A1480" s="263"/>
      <c r="B1480" s="267"/>
      <c r="C1480" s="263"/>
      <c r="D1480" s="263"/>
      <c r="E1480" s="263"/>
      <c r="F1480" s="268"/>
      <c r="G1480" s="263"/>
      <c r="H1480" s="267"/>
      <c r="I1480" s="263"/>
      <c r="J1480" s="263"/>
      <c r="K1480" s="263"/>
      <c r="L1480" s="263"/>
      <c r="M1480" s="263"/>
      <c r="N1480" s="263"/>
      <c r="O1480" s="263"/>
      <c r="P1480" s="263"/>
      <c r="Q1480" s="263"/>
      <c r="R1480" s="263"/>
      <c r="S1480" s="263"/>
      <c r="T1480" s="263"/>
      <c r="U1480" s="246"/>
      <c r="V1480" s="246"/>
      <c r="W1480" s="246"/>
      <c r="X1480" s="246"/>
      <c r="Y1480" s="246"/>
      <c r="Z1480" s="246"/>
    </row>
    <row r="1481">
      <c r="A1481" s="263"/>
      <c r="B1481" s="267"/>
      <c r="C1481" s="263"/>
      <c r="D1481" s="263"/>
      <c r="E1481" s="263"/>
      <c r="F1481" s="268"/>
      <c r="G1481" s="263"/>
      <c r="H1481" s="267"/>
      <c r="I1481" s="263"/>
      <c r="J1481" s="263"/>
      <c r="K1481" s="263"/>
      <c r="L1481" s="263"/>
      <c r="M1481" s="263"/>
      <c r="N1481" s="263"/>
      <c r="O1481" s="263"/>
      <c r="P1481" s="263"/>
      <c r="Q1481" s="263"/>
      <c r="R1481" s="263"/>
      <c r="S1481" s="263"/>
      <c r="T1481" s="263"/>
      <c r="U1481" s="246"/>
      <c r="V1481" s="246"/>
      <c r="W1481" s="246"/>
      <c r="X1481" s="246"/>
      <c r="Y1481" s="246"/>
      <c r="Z1481" s="246"/>
    </row>
    <row r="1482">
      <c r="A1482" s="263"/>
      <c r="B1482" s="267"/>
      <c r="C1482" s="263"/>
      <c r="D1482" s="263"/>
      <c r="E1482" s="263"/>
      <c r="F1482" s="268"/>
      <c r="G1482" s="263"/>
      <c r="H1482" s="267"/>
      <c r="I1482" s="263"/>
      <c r="J1482" s="263"/>
      <c r="K1482" s="263"/>
      <c r="L1482" s="263"/>
      <c r="M1482" s="263"/>
      <c r="N1482" s="263"/>
      <c r="O1482" s="263"/>
      <c r="P1482" s="263"/>
      <c r="Q1482" s="263"/>
      <c r="R1482" s="263"/>
      <c r="S1482" s="263"/>
      <c r="T1482" s="263"/>
      <c r="U1482" s="246"/>
      <c r="V1482" s="246"/>
      <c r="W1482" s="246"/>
      <c r="X1482" s="246"/>
      <c r="Y1482" s="246"/>
      <c r="Z1482" s="246"/>
    </row>
    <row r="1483">
      <c r="A1483" s="263"/>
      <c r="B1483" s="267"/>
      <c r="C1483" s="263"/>
      <c r="D1483" s="263"/>
      <c r="E1483" s="263"/>
      <c r="F1483" s="268"/>
      <c r="G1483" s="263"/>
      <c r="H1483" s="267"/>
      <c r="I1483" s="263"/>
      <c r="J1483" s="263"/>
      <c r="K1483" s="263"/>
      <c r="L1483" s="263"/>
      <c r="M1483" s="263"/>
      <c r="N1483" s="263"/>
      <c r="O1483" s="263"/>
      <c r="P1483" s="263"/>
      <c r="Q1483" s="263"/>
      <c r="R1483" s="263"/>
      <c r="S1483" s="263"/>
      <c r="T1483" s="263"/>
      <c r="U1483" s="246"/>
      <c r="V1483" s="246"/>
      <c r="W1483" s="246"/>
      <c r="X1483" s="246"/>
      <c r="Y1483" s="246"/>
      <c r="Z1483" s="246"/>
    </row>
    <row r="1484">
      <c r="A1484" s="263"/>
      <c r="B1484" s="267"/>
      <c r="C1484" s="263"/>
      <c r="D1484" s="263"/>
      <c r="E1484" s="263"/>
      <c r="F1484" s="268"/>
      <c r="G1484" s="263"/>
      <c r="H1484" s="267"/>
      <c r="I1484" s="263"/>
      <c r="J1484" s="263"/>
      <c r="K1484" s="263"/>
      <c r="L1484" s="263"/>
      <c r="M1484" s="263"/>
      <c r="N1484" s="263"/>
      <c r="O1484" s="263"/>
      <c r="P1484" s="263"/>
      <c r="Q1484" s="263"/>
      <c r="R1484" s="263"/>
      <c r="S1484" s="263"/>
      <c r="T1484" s="263"/>
      <c r="U1484" s="246"/>
      <c r="V1484" s="246"/>
      <c r="W1484" s="246"/>
      <c r="X1484" s="246"/>
      <c r="Y1484" s="246"/>
      <c r="Z1484" s="246"/>
    </row>
    <row r="1485">
      <c r="A1485" s="263"/>
      <c r="B1485" s="267"/>
      <c r="C1485" s="263"/>
      <c r="D1485" s="263"/>
      <c r="E1485" s="263"/>
      <c r="F1485" s="268"/>
      <c r="G1485" s="263"/>
      <c r="H1485" s="267"/>
      <c r="I1485" s="263"/>
      <c r="J1485" s="263"/>
      <c r="K1485" s="263"/>
      <c r="L1485" s="263"/>
      <c r="M1485" s="263"/>
      <c r="N1485" s="263"/>
      <c r="O1485" s="263"/>
      <c r="P1485" s="263"/>
      <c r="Q1485" s="263"/>
      <c r="R1485" s="263"/>
      <c r="S1485" s="263"/>
      <c r="T1485" s="263"/>
      <c r="U1485" s="246"/>
      <c r="V1485" s="246"/>
      <c r="W1485" s="246"/>
      <c r="X1485" s="246"/>
      <c r="Y1485" s="246"/>
      <c r="Z1485" s="246"/>
    </row>
    <row r="1486">
      <c r="A1486" s="263"/>
      <c r="B1486" s="267"/>
      <c r="C1486" s="263"/>
      <c r="D1486" s="263"/>
      <c r="E1486" s="263"/>
      <c r="F1486" s="268"/>
      <c r="G1486" s="263"/>
      <c r="H1486" s="267"/>
      <c r="I1486" s="263"/>
      <c r="J1486" s="263"/>
      <c r="K1486" s="263"/>
      <c r="L1486" s="263"/>
      <c r="M1486" s="263"/>
      <c r="N1486" s="263"/>
      <c r="O1486" s="263"/>
      <c r="P1486" s="263"/>
      <c r="Q1486" s="263"/>
      <c r="R1486" s="263"/>
      <c r="S1486" s="263"/>
      <c r="T1486" s="263"/>
      <c r="U1486" s="246"/>
      <c r="V1486" s="246"/>
      <c r="W1486" s="246"/>
      <c r="X1486" s="246"/>
      <c r="Y1486" s="246"/>
      <c r="Z1486" s="246"/>
    </row>
    <row r="1487">
      <c r="A1487" s="263"/>
      <c r="B1487" s="267"/>
      <c r="C1487" s="263"/>
      <c r="D1487" s="263"/>
      <c r="E1487" s="263"/>
      <c r="F1487" s="268"/>
      <c r="G1487" s="263"/>
      <c r="H1487" s="267"/>
      <c r="I1487" s="263"/>
      <c r="J1487" s="263"/>
      <c r="K1487" s="263"/>
      <c r="L1487" s="263"/>
      <c r="M1487" s="263"/>
      <c r="N1487" s="263"/>
      <c r="O1487" s="263"/>
      <c r="P1487" s="263"/>
      <c r="Q1487" s="263"/>
      <c r="R1487" s="263"/>
      <c r="S1487" s="263"/>
      <c r="T1487" s="263"/>
      <c r="U1487" s="246"/>
      <c r="V1487" s="246"/>
      <c r="W1487" s="246"/>
      <c r="X1487" s="246"/>
      <c r="Y1487" s="246"/>
      <c r="Z1487" s="246"/>
    </row>
    <row r="1488">
      <c r="A1488" s="263"/>
      <c r="B1488" s="267"/>
      <c r="C1488" s="263"/>
      <c r="D1488" s="263"/>
      <c r="E1488" s="263"/>
      <c r="F1488" s="268"/>
      <c r="G1488" s="263"/>
      <c r="H1488" s="267"/>
      <c r="I1488" s="263"/>
      <c r="J1488" s="263"/>
      <c r="K1488" s="263"/>
      <c r="L1488" s="263"/>
      <c r="M1488" s="263"/>
      <c r="N1488" s="263"/>
      <c r="O1488" s="263"/>
      <c r="P1488" s="263"/>
      <c r="Q1488" s="263"/>
      <c r="R1488" s="263"/>
      <c r="S1488" s="263"/>
      <c r="T1488" s="263"/>
      <c r="U1488" s="246"/>
      <c r="V1488" s="246"/>
      <c r="W1488" s="246"/>
      <c r="X1488" s="246"/>
      <c r="Y1488" s="246"/>
      <c r="Z1488" s="246"/>
    </row>
    <row r="1489">
      <c r="A1489" s="263"/>
      <c r="B1489" s="267"/>
      <c r="C1489" s="263"/>
      <c r="D1489" s="263"/>
      <c r="E1489" s="263"/>
      <c r="F1489" s="268"/>
      <c r="G1489" s="263"/>
      <c r="H1489" s="267"/>
      <c r="I1489" s="263"/>
      <c r="J1489" s="263"/>
      <c r="K1489" s="263"/>
      <c r="L1489" s="263"/>
      <c r="M1489" s="263"/>
      <c r="N1489" s="263"/>
      <c r="O1489" s="263"/>
      <c r="P1489" s="263"/>
      <c r="Q1489" s="263"/>
      <c r="R1489" s="263"/>
      <c r="S1489" s="263"/>
      <c r="T1489" s="263"/>
      <c r="U1489" s="246"/>
      <c r="V1489" s="246"/>
      <c r="W1489" s="246"/>
      <c r="X1489" s="246"/>
      <c r="Y1489" s="246"/>
      <c r="Z1489" s="246"/>
    </row>
    <row r="1490">
      <c r="A1490" s="263"/>
      <c r="B1490" s="267"/>
      <c r="C1490" s="263"/>
      <c r="D1490" s="263"/>
      <c r="E1490" s="263"/>
      <c r="F1490" s="268"/>
      <c r="G1490" s="263"/>
      <c r="H1490" s="267"/>
      <c r="I1490" s="263"/>
      <c r="J1490" s="263"/>
      <c r="K1490" s="263"/>
      <c r="L1490" s="263"/>
      <c r="M1490" s="263"/>
      <c r="N1490" s="263"/>
      <c r="O1490" s="263"/>
      <c r="P1490" s="263"/>
      <c r="Q1490" s="263"/>
      <c r="R1490" s="263"/>
      <c r="S1490" s="263"/>
      <c r="T1490" s="263"/>
      <c r="U1490" s="246"/>
      <c r="V1490" s="246"/>
      <c r="W1490" s="246"/>
      <c r="X1490" s="246"/>
      <c r="Y1490" s="246"/>
      <c r="Z1490" s="246"/>
    </row>
    <row r="1491">
      <c r="A1491" s="263"/>
      <c r="B1491" s="267"/>
      <c r="C1491" s="263"/>
      <c r="D1491" s="263"/>
      <c r="E1491" s="263"/>
      <c r="F1491" s="268"/>
      <c r="G1491" s="263"/>
      <c r="H1491" s="267"/>
      <c r="I1491" s="263"/>
      <c r="J1491" s="263"/>
      <c r="K1491" s="263"/>
      <c r="L1491" s="263"/>
      <c r="M1491" s="263"/>
      <c r="N1491" s="263"/>
      <c r="O1491" s="263"/>
      <c r="P1491" s="263"/>
      <c r="Q1491" s="263"/>
      <c r="R1491" s="263"/>
      <c r="S1491" s="263"/>
      <c r="T1491" s="263"/>
      <c r="U1491" s="246"/>
      <c r="V1491" s="246"/>
      <c r="W1491" s="246"/>
      <c r="X1491" s="246"/>
      <c r="Y1491" s="246"/>
      <c r="Z1491" s="246"/>
    </row>
    <row r="1492">
      <c r="A1492" s="263"/>
      <c r="B1492" s="267"/>
      <c r="C1492" s="263"/>
      <c r="D1492" s="263"/>
      <c r="E1492" s="263"/>
      <c r="F1492" s="268"/>
      <c r="G1492" s="263"/>
      <c r="H1492" s="267"/>
      <c r="I1492" s="263"/>
      <c r="J1492" s="263"/>
      <c r="K1492" s="263"/>
      <c r="L1492" s="263"/>
      <c r="M1492" s="263"/>
      <c r="N1492" s="263"/>
      <c r="O1492" s="263"/>
      <c r="P1492" s="263"/>
      <c r="Q1492" s="263"/>
      <c r="R1492" s="263"/>
      <c r="S1492" s="263"/>
      <c r="T1492" s="263"/>
      <c r="U1492" s="246"/>
      <c r="V1492" s="246"/>
      <c r="W1492" s="246"/>
      <c r="X1492" s="246"/>
      <c r="Y1492" s="246"/>
      <c r="Z1492" s="246"/>
    </row>
    <row r="1493">
      <c r="A1493" s="263"/>
      <c r="B1493" s="267"/>
      <c r="C1493" s="263"/>
      <c r="D1493" s="263"/>
      <c r="E1493" s="263"/>
      <c r="F1493" s="268"/>
      <c r="G1493" s="263"/>
      <c r="H1493" s="267"/>
      <c r="I1493" s="263"/>
      <c r="J1493" s="263"/>
      <c r="K1493" s="263"/>
      <c r="L1493" s="263"/>
      <c r="M1493" s="263"/>
      <c r="N1493" s="263"/>
      <c r="O1493" s="263"/>
      <c r="P1493" s="263"/>
      <c r="Q1493" s="263"/>
      <c r="R1493" s="263"/>
      <c r="S1493" s="263"/>
      <c r="T1493" s="263"/>
      <c r="U1493" s="246"/>
      <c r="V1493" s="246"/>
      <c r="W1493" s="246"/>
      <c r="X1493" s="246"/>
      <c r="Y1493" s="246"/>
      <c r="Z1493" s="246"/>
    </row>
    <row r="1494">
      <c r="A1494" s="263"/>
      <c r="B1494" s="267"/>
      <c r="C1494" s="263"/>
      <c r="D1494" s="263"/>
      <c r="E1494" s="263"/>
      <c r="F1494" s="268"/>
      <c r="G1494" s="263"/>
      <c r="H1494" s="267"/>
      <c r="I1494" s="263"/>
      <c r="J1494" s="263"/>
      <c r="K1494" s="263"/>
      <c r="L1494" s="263"/>
      <c r="M1494" s="263"/>
      <c r="N1494" s="263"/>
      <c r="O1494" s="263"/>
      <c r="P1494" s="263"/>
      <c r="Q1494" s="263"/>
      <c r="R1494" s="263"/>
      <c r="S1494" s="263"/>
      <c r="T1494" s="263"/>
      <c r="U1494" s="246"/>
      <c r="V1494" s="246"/>
      <c r="W1494" s="246"/>
      <c r="X1494" s="246"/>
      <c r="Y1494" s="246"/>
      <c r="Z1494" s="246"/>
    </row>
    <row r="1495">
      <c r="A1495" s="263"/>
      <c r="B1495" s="267"/>
      <c r="C1495" s="263"/>
      <c r="D1495" s="263"/>
      <c r="E1495" s="263"/>
      <c r="F1495" s="268"/>
      <c r="G1495" s="263"/>
      <c r="H1495" s="267"/>
      <c r="I1495" s="263"/>
      <c r="J1495" s="263"/>
      <c r="K1495" s="263"/>
      <c r="L1495" s="263"/>
      <c r="M1495" s="263"/>
      <c r="N1495" s="263"/>
      <c r="O1495" s="263"/>
      <c r="P1495" s="263"/>
      <c r="Q1495" s="263"/>
      <c r="R1495" s="263"/>
      <c r="S1495" s="263"/>
      <c r="T1495" s="263"/>
      <c r="U1495" s="246"/>
      <c r="V1495" s="246"/>
      <c r="W1495" s="246"/>
      <c r="X1495" s="246"/>
      <c r="Y1495" s="246"/>
      <c r="Z1495" s="246"/>
    </row>
    <row r="1496">
      <c r="A1496" s="263"/>
      <c r="B1496" s="267"/>
      <c r="C1496" s="263"/>
      <c r="D1496" s="263"/>
      <c r="E1496" s="263"/>
      <c r="F1496" s="268"/>
      <c r="G1496" s="263"/>
      <c r="H1496" s="267"/>
      <c r="I1496" s="263"/>
      <c r="J1496" s="263"/>
      <c r="K1496" s="263"/>
      <c r="L1496" s="263"/>
      <c r="M1496" s="263"/>
      <c r="N1496" s="263"/>
      <c r="O1496" s="263"/>
      <c r="P1496" s="263"/>
      <c r="Q1496" s="263"/>
      <c r="R1496" s="263"/>
      <c r="S1496" s="263"/>
      <c r="T1496" s="263"/>
      <c r="U1496" s="246"/>
      <c r="V1496" s="246"/>
      <c r="W1496" s="246"/>
      <c r="X1496" s="246"/>
      <c r="Y1496" s="246"/>
      <c r="Z1496" s="246"/>
    </row>
    <row r="1497">
      <c r="A1497" s="263"/>
      <c r="B1497" s="267"/>
      <c r="C1497" s="263"/>
      <c r="D1497" s="263"/>
      <c r="E1497" s="263"/>
      <c r="F1497" s="268"/>
      <c r="G1497" s="263"/>
      <c r="H1497" s="267"/>
      <c r="I1497" s="263"/>
      <c r="J1497" s="263"/>
      <c r="K1497" s="263"/>
      <c r="L1497" s="263"/>
      <c r="M1497" s="263"/>
      <c r="N1497" s="263"/>
      <c r="O1497" s="263"/>
      <c r="P1497" s="263"/>
      <c r="Q1497" s="263"/>
      <c r="R1497" s="263"/>
      <c r="S1497" s="263"/>
      <c r="T1497" s="263"/>
      <c r="U1497" s="246"/>
      <c r="V1497" s="246"/>
      <c r="W1497" s="246"/>
      <c r="X1497" s="246"/>
      <c r="Y1497" s="246"/>
      <c r="Z1497" s="246"/>
    </row>
    <row r="1498">
      <c r="A1498" s="263"/>
      <c r="B1498" s="267"/>
      <c r="C1498" s="263"/>
      <c r="D1498" s="263"/>
      <c r="E1498" s="263"/>
      <c r="F1498" s="268"/>
      <c r="G1498" s="263"/>
      <c r="H1498" s="267"/>
      <c r="I1498" s="263"/>
      <c r="J1498" s="263"/>
      <c r="K1498" s="263"/>
      <c r="L1498" s="263"/>
      <c r="M1498" s="263"/>
      <c r="N1498" s="263"/>
      <c r="O1498" s="263"/>
      <c r="P1498" s="263"/>
      <c r="Q1498" s="263"/>
      <c r="R1498" s="263"/>
      <c r="S1498" s="263"/>
      <c r="T1498" s="263"/>
      <c r="U1498" s="246"/>
      <c r="V1498" s="246"/>
      <c r="W1498" s="246"/>
      <c r="X1498" s="246"/>
      <c r="Y1498" s="246"/>
      <c r="Z1498" s="246"/>
    </row>
    <row r="1499">
      <c r="A1499" s="263"/>
      <c r="B1499" s="267"/>
      <c r="C1499" s="263"/>
      <c r="D1499" s="263"/>
      <c r="E1499" s="263"/>
      <c r="F1499" s="268"/>
      <c r="G1499" s="263"/>
      <c r="H1499" s="267"/>
      <c r="I1499" s="263"/>
      <c r="J1499" s="263"/>
      <c r="K1499" s="263"/>
      <c r="L1499" s="263"/>
      <c r="M1499" s="263"/>
      <c r="N1499" s="263"/>
      <c r="O1499" s="263"/>
      <c r="P1499" s="263"/>
      <c r="Q1499" s="263"/>
      <c r="R1499" s="263"/>
      <c r="S1499" s="263"/>
      <c r="T1499" s="263"/>
      <c r="U1499" s="246"/>
      <c r="V1499" s="246"/>
      <c r="W1499" s="246"/>
      <c r="X1499" s="246"/>
      <c r="Y1499" s="246"/>
      <c r="Z1499" s="246"/>
    </row>
    <row r="1500">
      <c r="A1500" s="263"/>
      <c r="B1500" s="267"/>
      <c r="C1500" s="263"/>
      <c r="D1500" s="263"/>
      <c r="E1500" s="263"/>
      <c r="F1500" s="268"/>
      <c r="G1500" s="263"/>
      <c r="H1500" s="267"/>
      <c r="I1500" s="263"/>
      <c r="J1500" s="263"/>
      <c r="K1500" s="263"/>
      <c r="L1500" s="263"/>
      <c r="M1500" s="263"/>
      <c r="N1500" s="263"/>
      <c r="O1500" s="263"/>
      <c r="P1500" s="263"/>
      <c r="Q1500" s="263"/>
      <c r="R1500" s="263"/>
      <c r="S1500" s="263"/>
      <c r="T1500" s="263"/>
      <c r="U1500" s="246"/>
      <c r="V1500" s="246"/>
      <c r="W1500" s="246"/>
      <c r="X1500" s="246"/>
      <c r="Y1500" s="246"/>
      <c r="Z1500" s="246"/>
    </row>
    <row r="1501">
      <c r="A1501" s="269"/>
      <c r="B1501" s="265" t="str">
        <f>IFERROR(__xludf.DUMMYFUNCTION("IMPORTRANGE(""https://docs.google.com/spreadsheets/d/1xgDM68xiM34Lb7pPa9X0VaOqdhswjHKkl6KIk-vu_2Q/edit?gid=404700120#gid=404700120"", ""Key Abilities!B1:B"")"),"Name")</f>
        <v>Name</v>
      </c>
      <c r="C1501" s="263"/>
      <c r="D1501" s="263"/>
      <c r="E1501" s="263"/>
      <c r="F1501" s="268"/>
      <c r="G1501" s="263"/>
      <c r="H1501" s="267"/>
      <c r="I1501" s="263"/>
      <c r="J1501" s="263"/>
      <c r="K1501" s="263"/>
      <c r="L1501" s="264" t="str">
        <f>IFERROR(__xludf.DUMMYFUNCTION("IMPORTRANGE(""https://docs.google.com/spreadsheets/d/1xgDM68xiM34Lb7pPa9X0VaOqdhswjHKkl6KIk-vu_2Q/edit?gid=404700120#gid=404700120"", ""Key Abilities!J1:J"")"),"Benefits")</f>
        <v>Benefits</v>
      </c>
      <c r="M1501" s="263"/>
      <c r="N1501" s="263"/>
      <c r="O1501" s="263"/>
      <c r="P1501" s="263"/>
      <c r="Q1501" s="263"/>
      <c r="R1501" s="263"/>
      <c r="S1501" s="263"/>
      <c r="T1501" s="263"/>
      <c r="U1501" s="246"/>
      <c r="V1501" s="246"/>
      <c r="W1501" s="246"/>
      <c r="X1501" s="246"/>
      <c r="Y1501" s="246"/>
      <c r="Z1501" s="246"/>
    </row>
    <row r="1502">
      <c r="A1502" s="263"/>
      <c r="B1502" s="265" t="str">
        <f>IFERROR(__xludf.DUMMYFUNCTION("""COMPUTED_VALUE"""),"Acolyte's Journey")</f>
        <v>Acolyte's Journey</v>
      </c>
      <c r="C1502" s="263"/>
      <c r="D1502" s="263"/>
      <c r="E1502" s="263"/>
      <c r="F1502" s="268"/>
      <c r="G1502" s="263"/>
      <c r="H1502" s="267"/>
      <c r="I1502" s="263"/>
      <c r="J1502" s="263"/>
      <c r="K1502" s="263"/>
      <c r="L1502" s="264" t="str">
        <f>IFERROR(__xludf.DUMMYFUNCTION("""COMPUTED_VALUE"""),"You gain proficiency in light armor, shields and a single common group of weapons. This group may include Channeling Weapons, even though they aren't consider common weapons. (But you only get 1 of the possible channeling weapons). | You gain +5 skill poi"&amp;"nts in the Religion skill. | You are welcome at establishments for your religion and they are obligated to help you with lodging, advice, food and sometimes equipment.")</f>
        <v>You gain proficiency in light armor, shields and a single common group of weapons. This group may include Channeling Weapons, even though they aren't consider common weapons. (But you only get 1 of the possible channeling weapons). | You gain +5 skill points in the Religion skill. | You are welcome at establishments for your religion and they are obligated to help you with lodging, advice, food and sometimes equipment.</v>
      </c>
      <c r="M1502" s="263"/>
      <c r="N1502" s="263"/>
      <c r="O1502" s="263"/>
      <c r="P1502" s="263"/>
      <c r="Q1502" s="263"/>
      <c r="R1502" s="263"/>
      <c r="S1502" s="263"/>
      <c r="T1502" s="263"/>
      <c r="U1502" s="246"/>
      <c r="V1502" s="246"/>
      <c r="W1502" s="246"/>
      <c r="X1502" s="246"/>
      <c r="Y1502" s="246"/>
      <c r="Z1502" s="246"/>
    </row>
    <row r="1503">
      <c r="A1503" s="263"/>
      <c r="B1503" s="265" t="str">
        <f>IFERROR(__xludf.DUMMYFUNCTION("""COMPUTED_VALUE"""),"Advanced Artificing")</f>
        <v>Advanced Artificing</v>
      </c>
      <c r="C1503" s="263"/>
      <c r="D1503" s="263"/>
      <c r="E1503" s="263"/>
      <c r="F1503" s="268"/>
      <c r="G1503" s="263"/>
      <c r="H1503" s="267"/>
      <c r="I1503" s="263"/>
      <c r="J1503" s="263"/>
      <c r="K1503" s="263"/>
      <c r="L1503" s="264" t="str">
        <f>IFERROR(__xludf.DUMMYFUNCTION("""COMPUTED_VALUE"""),"You gain Artificer Advanced Crafting Abilities | You are able to craft artificers that cost 10000 clim or less. | You gain +1 Burden that must be spent on an artifice.")</f>
        <v>You gain Artificer Advanced Crafting Abilities | You are able to craft artificers that cost 10000 clim or less. | You gain +1 Burden that must be spent on an artifice.</v>
      </c>
      <c r="M1503" s="263"/>
      <c r="N1503" s="263"/>
      <c r="O1503" s="263"/>
      <c r="P1503" s="263"/>
      <c r="Q1503" s="263"/>
      <c r="R1503" s="263"/>
      <c r="S1503" s="263"/>
      <c r="T1503" s="263"/>
      <c r="U1503" s="246"/>
      <c r="V1503" s="246"/>
      <c r="W1503" s="246"/>
      <c r="X1503" s="246"/>
      <c r="Y1503" s="246"/>
      <c r="Z1503" s="246"/>
    </row>
    <row r="1504">
      <c r="A1504" s="263"/>
      <c r="B1504" s="265" t="str">
        <f>IFERROR(__xludf.DUMMYFUNCTION("""COMPUTED_VALUE"""),"Adventurer Essentials")</f>
        <v>Adventurer Essentials</v>
      </c>
      <c r="C1504" s="263"/>
      <c r="D1504" s="263"/>
      <c r="E1504" s="263"/>
      <c r="F1504" s="268"/>
      <c r="G1504" s="263"/>
      <c r="H1504" s="267"/>
      <c r="I1504" s="263"/>
      <c r="J1504" s="263"/>
      <c r="K1504" s="263"/>
      <c r="L1504" s="264" t="str">
        <f>IFERROR(__xludf.DUMMYFUNCTION("""COMPUTED_VALUE"""),"You gain proficiency in 1 common weapon group. In addition, you gain proficiency in 1 common or specialized weapon groups. | You gain proficiency in 1 armor category of your choosing. Alternatively, you may pick the shield or greatshield. | You may use Pr"&amp;"esence Concealment.")</f>
        <v>You gain proficiency in 1 common weapon group. In addition, you gain proficiency in 1 common or specialized weapon groups. | You gain proficiency in 1 armor category of your choosing. Alternatively, you may pick the shield or greatshield. | You may use Presence Concealment.</v>
      </c>
      <c r="M1504" s="263"/>
      <c r="N1504" s="263"/>
      <c r="O1504" s="263"/>
      <c r="P1504" s="263"/>
      <c r="Q1504" s="263"/>
      <c r="R1504" s="263"/>
      <c r="S1504" s="263"/>
      <c r="T1504" s="263"/>
      <c r="U1504" s="246"/>
      <c r="V1504" s="246"/>
      <c r="W1504" s="246"/>
      <c r="X1504" s="246"/>
      <c r="Y1504" s="246"/>
      <c r="Z1504" s="246"/>
    </row>
    <row r="1505">
      <c r="A1505" s="263"/>
      <c r="B1505" s="265" t="str">
        <f>IFERROR(__xludf.DUMMYFUNCTION("""COMPUTED_VALUE"""),"Aerial Mage")</f>
        <v>Aerial Mage</v>
      </c>
      <c r="C1505" s="263"/>
      <c r="D1505" s="263"/>
      <c r="E1505" s="263"/>
      <c r="F1505" s="268"/>
      <c r="G1505" s="263"/>
      <c r="H1505" s="267"/>
      <c r="I1505" s="263"/>
      <c r="J1505" s="263"/>
      <c r="K1505" s="263"/>
      <c r="L1505" s="264" t="str">
        <f>IFERROR(__xludf.DUMMYFUNCTION("""COMPUTED_VALUE"""),"You may use Aerial Mode Switch. | While grounded and riding an Aerial Stave, you may reload 2 shells instead of 1 when taking the Reload Artifice basic action on your staff. You may do this even if your hands would normally be full and can draw both shell"&amp;"s with 1 action.")</f>
        <v>You may use Aerial Mode Switch. | While grounded and riding an Aerial Stave, you may reload 2 shells instead of 1 when taking the Reload Artifice basic action on your staff. You may do this even if your hands would normally be full and can draw both shells with 1 action.</v>
      </c>
      <c r="M1505" s="263"/>
      <c r="N1505" s="263"/>
      <c r="O1505" s="263"/>
      <c r="P1505" s="263"/>
      <c r="Q1505" s="263"/>
      <c r="R1505" s="263"/>
      <c r="S1505" s="263"/>
      <c r="T1505" s="263"/>
      <c r="U1505" s="246"/>
      <c r="V1505" s="246"/>
      <c r="W1505" s="246"/>
      <c r="X1505" s="246"/>
      <c r="Y1505" s="246"/>
      <c r="Z1505" s="246"/>
    </row>
    <row r="1506">
      <c r="A1506" s="263"/>
      <c r="B1506" s="265" t="str">
        <f>IFERROR(__xludf.DUMMYFUNCTION("""COMPUTED_VALUE"""),"Aftershocks")</f>
        <v>Aftershocks</v>
      </c>
      <c r="C1506" s="263"/>
      <c r="D1506" s="263"/>
      <c r="E1506" s="263"/>
      <c r="F1506" s="268"/>
      <c r="G1506" s="263"/>
      <c r="H1506" s="267"/>
      <c r="I1506" s="263"/>
      <c r="J1506" s="263"/>
      <c r="K1506" s="263"/>
      <c r="L1506" s="264" t="str">
        <f>IFERROR(__xludf.DUMMYFUNCTION("""COMPUTED_VALUE"""),"You may use Aftershock. | When using a Fighter, Highlander or Reaver ability that compares Power against a Boss type enemy, you may treat your Power as 2 higher for that purpose. (Does not affect the dmg roll etc)")</f>
        <v>You may use Aftershock. | When using a Fighter, Highlander or Reaver ability that compares Power against a Boss type enemy, you may treat your Power as 2 higher for that purpose. (Does not affect the dmg roll etc)</v>
      </c>
      <c r="M1506" s="263"/>
      <c r="N1506" s="263"/>
      <c r="O1506" s="263"/>
      <c r="P1506" s="263"/>
      <c r="Q1506" s="263"/>
      <c r="R1506" s="263"/>
      <c r="S1506" s="263"/>
      <c r="T1506" s="263"/>
      <c r="U1506" s="246"/>
      <c r="V1506" s="246"/>
      <c r="W1506" s="246"/>
      <c r="X1506" s="246"/>
      <c r="Y1506" s="246"/>
      <c r="Z1506" s="246"/>
    </row>
    <row r="1507">
      <c r="A1507" s="263"/>
      <c r="B1507" s="265" t="str">
        <f>IFERROR(__xludf.DUMMYFUNCTION("""COMPUTED_VALUE"""),"Air Stability")</f>
        <v>Air Stability</v>
      </c>
      <c r="C1507" s="263"/>
      <c r="D1507" s="263"/>
      <c r="E1507" s="263"/>
      <c r="F1507" s="268"/>
      <c r="G1507" s="263"/>
      <c r="H1507" s="267"/>
      <c r="I1507" s="263"/>
      <c r="J1507" s="263"/>
      <c r="K1507" s="263"/>
      <c r="L1507" s="264" t="str">
        <f>IFERROR(__xludf.DUMMYFUNCTION("""COMPUTED_VALUE"""),"The cavalier’s Rider &amp; Mount As One ability applies even while flying. Any damage you take while flying on a flying mount will cause you to lose altitude as if your mount took damage.")</f>
        <v>The cavalier’s Rider &amp; Mount As One ability applies even while flying. Any damage you take while flying on a flying mount will cause you to lose altitude as if your mount took damage.</v>
      </c>
      <c r="M1507" s="263"/>
      <c r="N1507" s="263"/>
      <c r="O1507" s="263"/>
      <c r="P1507" s="263"/>
      <c r="Q1507" s="263"/>
      <c r="R1507" s="263"/>
      <c r="S1507" s="263"/>
      <c r="T1507" s="263"/>
      <c r="U1507" s="246"/>
      <c r="V1507" s="246"/>
      <c r="W1507" s="246"/>
      <c r="X1507" s="246"/>
      <c r="Y1507" s="246"/>
      <c r="Z1507" s="246"/>
    </row>
    <row r="1508">
      <c r="A1508" s="263"/>
      <c r="B1508" s="265" t="str">
        <f>IFERROR(__xludf.DUMMYFUNCTION("""COMPUTED_VALUE"""),"Angelic Presence")</f>
        <v>Angelic Presence</v>
      </c>
      <c r="C1508" s="263"/>
      <c r="D1508" s="263"/>
      <c r="E1508" s="263"/>
      <c r="F1508" s="268"/>
      <c r="G1508" s="263"/>
      <c r="H1508" s="267"/>
      <c r="I1508" s="263"/>
      <c r="J1508" s="263"/>
      <c r="K1508" s="263"/>
      <c r="L1508" s="264" t="str">
        <f>IFERROR(__xludf.DUMMYFUNCTION("""COMPUTED_VALUE"""),"You gain Angelic Presence, which gives a +1 to Presence.")</f>
        <v>You gain Angelic Presence, which gives a +1 to Presence.</v>
      </c>
      <c r="M1508" s="263"/>
      <c r="N1508" s="263"/>
      <c r="O1508" s="263"/>
      <c r="P1508" s="263"/>
      <c r="Q1508" s="263"/>
      <c r="R1508" s="263"/>
      <c r="S1508" s="263"/>
      <c r="T1508" s="263"/>
      <c r="U1508" s="246"/>
      <c r="V1508" s="246"/>
      <c r="W1508" s="246"/>
      <c r="X1508" s="246"/>
      <c r="Y1508" s="246"/>
      <c r="Z1508" s="246"/>
    </row>
    <row r="1509">
      <c r="A1509" s="263"/>
      <c r="B1509" s="265" t="str">
        <f>IFERROR(__xludf.DUMMYFUNCTION("""COMPUTED_VALUE"""),"Armorsmith Basics")</f>
        <v>Armorsmith Basics</v>
      </c>
      <c r="C1509" s="263"/>
      <c r="D1509" s="263"/>
      <c r="E1509" s="263"/>
      <c r="F1509" s="268"/>
      <c r="G1509" s="263"/>
      <c r="H1509" s="267"/>
      <c r="I1509" s="263"/>
      <c r="J1509" s="263"/>
      <c r="K1509" s="263"/>
      <c r="L1509" s="264" t="str">
        <f>IFERROR(__xludf.DUMMYFUNCTION("""COMPUTED_VALUE"""),"You gain proficiency in light armor, medium armor and shields. | You gain proficiency in 1 basic melee weapon and can use a smith's hammer as a bludgeoning weapon in which you are proficient. | You can craft armors, shields and cloaks using Iron, Tamahaga"&amp;"ne, Animal Hide and Direhide, as well as alloys. You may use an IP to perform an EP action tied to this key ability 4 times. | You gain Armorsmith Core Crafting abilities.")</f>
        <v>You gain proficiency in light armor, medium armor and shields. | You gain proficiency in 1 basic melee weapon and can use a smith's hammer as a bludgeoning weapon in which you are proficient. | You can craft armors, shields and cloaks using Iron, Tamahagane, Animal Hide and Direhide, as well as alloys. You may use an IP to perform an EP action tied to this key ability 4 times. | You gain Armorsmith Core Crafting abilities.</v>
      </c>
      <c r="M1509" s="263"/>
      <c r="N1509" s="263"/>
      <c r="O1509" s="263"/>
      <c r="P1509" s="263"/>
      <c r="Q1509" s="263"/>
      <c r="R1509" s="263"/>
      <c r="S1509" s="263"/>
      <c r="T1509" s="263"/>
      <c r="U1509" s="246"/>
      <c r="V1509" s="246"/>
      <c r="W1509" s="246"/>
      <c r="X1509" s="246"/>
      <c r="Y1509" s="246"/>
      <c r="Z1509" s="246"/>
    </row>
    <row r="1510">
      <c r="A1510" s="263"/>
      <c r="B1510" s="265" t="str">
        <f>IFERROR(__xludf.DUMMYFUNCTION("""COMPUTED_VALUE"""),"Armorsmithing Expert")</f>
        <v>Armorsmithing Expert</v>
      </c>
      <c r="C1510" s="263"/>
      <c r="D1510" s="263"/>
      <c r="E1510" s="263"/>
      <c r="F1510" s="268"/>
      <c r="G1510" s="263"/>
      <c r="H1510" s="267"/>
      <c r="I1510" s="263"/>
      <c r="J1510" s="263"/>
      <c r="K1510" s="263"/>
      <c r="L1510" s="264" t="str">
        <f>IFERROR(__xludf.DUMMYFUNCTION("""COMPUTED_VALUE"""),"You gain the Master Armorer's core crafting abilities | You may craft using Mithril, Orihalcum, Primehide and Dragonscale materials.")</f>
        <v>You gain the Master Armorer's core crafting abilities | You may craft using Mithril, Orihalcum, Primehide and Dragonscale materials.</v>
      </c>
      <c r="M1510" s="263"/>
      <c r="N1510" s="263"/>
      <c r="O1510" s="263"/>
      <c r="P1510" s="263"/>
      <c r="Q1510" s="263"/>
      <c r="R1510" s="263"/>
      <c r="S1510" s="263"/>
      <c r="T1510" s="263"/>
      <c r="U1510" s="246"/>
      <c r="V1510" s="246"/>
      <c r="W1510" s="246"/>
      <c r="X1510" s="246"/>
      <c r="Y1510" s="246"/>
      <c r="Z1510" s="246"/>
    </row>
    <row r="1511">
      <c r="A1511" s="263"/>
      <c r="B1511" s="265" t="str">
        <f>IFERROR(__xludf.DUMMYFUNCTION("""COMPUTED_VALUE"""),"Arms Mastery")</f>
        <v>Arms Mastery</v>
      </c>
      <c r="C1511" s="263"/>
      <c r="D1511" s="263"/>
      <c r="E1511" s="263"/>
      <c r="F1511" s="268"/>
      <c r="G1511" s="263"/>
      <c r="H1511" s="267"/>
      <c r="I1511" s="263"/>
      <c r="J1511" s="263"/>
      <c r="K1511" s="263"/>
      <c r="L1511" s="264" t="str">
        <f>IFERROR(__xludf.DUMMYFUNCTION("""COMPUTED_VALUE"""),"You are considered proficient with every melee weapon you wield (This does not count as being proficient for class requirements).")</f>
        <v>You are considered proficient with every melee weapon you wield (This does not count as being proficient for class requirements).</v>
      </c>
      <c r="M1511" s="263"/>
      <c r="N1511" s="263"/>
      <c r="O1511" s="263"/>
      <c r="P1511" s="263"/>
      <c r="Q1511" s="263"/>
      <c r="R1511" s="263"/>
      <c r="S1511" s="263"/>
      <c r="T1511" s="263"/>
      <c r="U1511" s="246"/>
      <c r="V1511" s="246"/>
      <c r="W1511" s="246"/>
      <c r="X1511" s="246"/>
      <c r="Y1511" s="246"/>
      <c r="Z1511" s="246"/>
    </row>
    <row r="1512">
      <c r="A1512" s="263"/>
      <c r="B1512" s="265" t="str">
        <f>IFERROR(__xludf.DUMMYFUNCTION("""COMPUTED_VALUE"""),"Artificer Basics")</f>
        <v>Artificer Basics</v>
      </c>
      <c r="C1512" s="263"/>
      <c r="D1512" s="263"/>
      <c r="E1512" s="263"/>
      <c r="F1512" s="268"/>
      <c r="G1512" s="263"/>
      <c r="H1512" s="267"/>
      <c r="I1512" s="263"/>
      <c r="J1512" s="263"/>
      <c r="K1512" s="263"/>
      <c r="L1512" s="264" t="str">
        <f>IFERROR(__xludf.DUMMYFUNCTION("""COMPUTED_VALUE"""),"You gain Artificer Core Crafting Abilities | You can craft using non-advanced materials and base materials. You may use an IP to perform an EP action tied to this key ability 4 times. | You can now craft Artifices and Firearms. You are able to craft artif"&amp;"ices that cost 2500 clim or less. | You gain proficiency in the musket and the Artificer's Multitool.")</f>
        <v>You gain Artificer Core Crafting Abilities | You can craft using non-advanced materials and base materials. You may use an IP to perform an EP action tied to this key ability 4 times. | You can now craft Artifices and Firearms. You are able to craft artifices that cost 2500 clim or less. | You gain proficiency in the musket and the Artificer's Multitool.</v>
      </c>
      <c r="M1512" s="263"/>
      <c r="N1512" s="263"/>
      <c r="O1512" s="263"/>
      <c r="P1512" s="263"/>
      <c r="Q1512" s="263"/>
      <c r="R1512" s="263"/>
      <c r="S1512" s="263"/>
      <c r="T1512" s="263"/>
      <c r="U1512" s="246"/>
      <c r="V1512" s="246"/>
      <c r="W1512" s="246"/>
      <c r="X1512" s="246"/>
      <c r="Y1512" s="246"/>
      <c r="Z1512" s="246"/>
    </row>
    <row r="1513">
      <c r="A1513" s="263"/>
      <c r="B1513" s="265" t="str">
        <f>IFERROR(__xludf.DUMMYFUNCTION("""COMPUTED_VALUE"""),"Augmented Casting - Increased Reach")</f>
        <v>Augmented Casting - Increased Reach</v>
      </c>
      <c r="C1513" s="263"/>
      <c r="D1513" s="263"/>
      <c r="E1513" s="263"/>
      <c r="F1513" s="268"/>
      <c r="G1513" s="263"/>
      <c r="H1513" s="267"/>
      <c r="I1513" s="263"/>
      <c r="J1513" s="263"/>
      <c r="K1513" s="263"/>
      <c r="L1513" s="264" t="str">
        <f>IFERROR(__xludf.DUMMYFUNCTION("""COMPUTED_VALUE"""),"You may use Increased Reach.")</f>
        <v>You may use Increased Reach.</v>
      </c>
      <c r="M1513" s="263"/>
      <c r="N1513" s="263"/>
      <c r="O1513" s="263"/>
      <c r="P1513" s="263"/>
      <c r="Q1513" s="263"/>
      <c r="R1513" s="263"/>
      <c r="S1513" s="263"/>
      <c r="T1513" s="263"/>
      <c r="U1513" s="246"/>
      <c r="V1513" s="246"/>
      <c r="W1513" s="246"/>
      <c r="X1513" s="246"/>
      <c r="Y1513" s="246"/>
      <c r="Z1513" s="246"/>
    </row>
    <row r="1514">
      <c r="A1514" s="263"/>
      <c r="B1514" s="265" t="str">
        <f>IFERROR(__xludf.DUMMYFUNCTION("""COMPUTED_VALUE"""),"Augmented Casting - Persistent Spell")</f>
        <v>Augmented Casting - Persistent Spell</v>
      </c>
      <c r="C1514" s="263"/>
      <c r="D1514" s="263"/>
      <c r="E1514" s="263"/>
      <c r="F1514" s="268"/>
      <c r="G1514" s="263"/>
      <c r="H1514" s="267"/>
      <c r="I1514" s="263"/>
      <c r="J1514" s="263"/>
      <c r="K1514" s="263"/>
      <c r="L1514" s="264" t="str">
        <f>IFERROR(__xludf.DUMMYFUNCTION("""COMPUTED_VALUE"""),"You may use Persistent Spell.")</f>
        <v>You may use Persistent Spell.</v>
      </c>
      <c r="M1514" s="263"/>
      <c r="N1514" s="263"/>
      <c r="O1514" s="263"/>
      <c r="P1514" s="263"/>
      <c r="Q1514" s="263"/>
      <c r="R1514" s="263"/>
      <c r="S1514" s="263"/>
      <c r="T1514" s="263"/>
      <c r="U1514" s="246"/>
      <c r="V1514" s="246"/>
      <c r="W1514" s="246"/>
      <c r="X1514" s="246"/>
      <c r="Y1514" s="246"/>
      <c r="Z1514" s="246"/>
    </row>
    <row r="1515">
      <c r="A1515" s="263"/>
      <c r="B1515" s="265" t="str">
        <f>IFERROR(__xludf.DUMMYFUNCTION("""COMPUTED_VALUE"""),"Authority")</f>
        <v>Authority</v>
      </c>
      <c r="C1515" s="263"/>
      <c r="D1515" s="263"/>
      <c r="E1515" s="263"/>
      <c r="F1515" s="268"/>
      <c r="G1515" s="263"/>
      <c r="H1515" s="267"/>
      <c r="I1515" s="263"/>
      <c r="J1515" s="263"/>
      <c r="K1515" s="263"/>
      <c r="L1515" s="264" t="str">
        <f>IFERROR(__xludf.DUMMYFUNCTION("""COMPUTED_VALUE"""),"You may treat any roll on Negotiation and Intimidation checks that are below 10 as being a 10 and may spend 2 mana before rolling to treat the roll as a 20 instead. | One of your eyes becomes an Domination Eye. It may be used to make Mystic Eye type abili"&amp;"ties of the appropriate type. An eye can only be a single mystic eye type.")</f>
        <v>You may treat any roll on Negotiation and Intimidation checks that are below 10 as being a 10 and may spend 2 mana before rolling to treat the roll as a 20 instead. | One of your eyes becomes an Domination Eye. It may be used to make Mystic Eye type abilities of the appropriate type. An eye can only be a single mystic eye type.</v>
      </c>
      <c r="M1515" s="263"/>
      <c r="N1515" s="263"/>
      <c r="O1515" s="263"/>
      <c r="P1515" s="263"/>
      <c r="Q1515" s="263"/>
      <c r="R1515" s="263"/>
      <c r="S1515" s="263"/>
      <c r="T1515" s="263"/>
      <c r="U1515" s="246"/>
      <c r="V1515" s="246"/>
      <c r="W1515" s="246"/>
      <c r="X1515" s="246"/>
      <c r="Y1515" s="246"/>
      <c r="Z1515" s="246"/>
    </row>
    <row r="1516">
      <c r="A1516" s="263"/>
      <c r="B1516" s="265" t="str">
        <f>IFERROR(__xludf.DUMMYFUNCTION("""COMPUTED_VALUE"""),"Benevolence")</f>
        <v>Benevolence</v>
      </c>
      <c r="C1516" s="263"/>
      <c r="D1516" s="263"/>
      <c r="E1516" s="263"/>
      <c r="F1516" s="268"/>
      <c r="G1516" s="263"/>
      <c r="H1516" s="267"/>
      <c r="I1516" s="263"/>
      <c r="J1516" s="263"/>
      <c r="K1516" s="263"/>
      <c r="L1516" s="264" t="str">
        <f>IFERROR(__xludf.DUMMYFUNCTION("""COMPUTED_VALUE"""),"You gain Elemental Mastery: Holy | Your attacks do not consume Illumination on miss. | You may choose not to use the effect of Illumination on a target.(Must be declared before an attack is made).")</f>
        <v>You gain Elemental Mastery: Holy | Your attacks do not consume Illumination on miss. | You may choose not to use the effect of Illumination on a target.(Must be declared before an attack is made).</v>
      </c>
      <c r="M1516" s="263"/>
      <c r="N1516" s="263"/>
      <c r="O1516" s="263"/>
      <c r="P1516" s="263"/>
      <c r="Q1516" s="263"/>
      <c r="R1516" s="263"/>
      <c r="S1516" s="263"/>
      <c r="T1516" s="263"/>
      <c r="U1516" s="246"/>
      <c r="V1516" s="246"/>
      <c r="W1516" s="246"/>
      <c r="X1516" s="246"/>
      <c r="Y1516" s="246"/>
      <c r="Z1516" s="246"/>
    </row>
    <row r="1517">
      <c r="A1517" s="263"/>
      <c r="B1517" s="265" t="str">
        <f>IFERROR(__xludf.DUMMYFUNCTION("""COMPUTED_VALUE"""),"Bone Armor")</f>
        <v>Bone Armor</v>
      </c>
      <c r="C1517" s="263"/>
      <c r="D1517" s="263"/>
      <c r="E1517" s="263"/>
      <c r="F1517" s="268"/>
      <c r="G1517" s="263"/>
      <c r="H1517" s="267"/>
      <c r="I1517" s="263"/>
      <c r="J1517" s="263"/>
      <c r="K1517" s="263"/>
      <c r="L1517" s="264" t="str">
        <f>IFERROR(__xludf.DUMMYFUNCTION("""COMPUTED_VALUE"""),"You may use Bone Armor.")</f>
        <v>You may use Bone Armor.</v>
      </c>
      <c r="M1517" s="263"/>
      <c r="N1517" s="263"/>
      <c r="O1517" s="263"/>
      <c r="P1517" s="263"/>
      <c r="Q1517" s="263"/>
      <c r="R1517" s="263"/>
      <c r="S1517" s="263"/>
      <c r="T1517" s="263"/>
      <c r="U1517" s="246"/>
      <c r="V1517" s="246"/>
      <c r="W1517" s="246"/>
      <c r="X1517" s="246"/>
      <c r="Y1517" s="246"/>
      <c r="Z1517" s="246"/>
    </row>
    <row r="1518">
      <c r="A1518" s="263"/>
      <c r="B1518" s="265" t="str">
        <f>IFERROR(__xludf.DUMMYFUNCTION("""COMPUTED_VALUE"""),"Botany Study")</f>
        <v>Botany Study</v>
      </c>
      <c r="C1518" s="263"/>
      <c r="D1518" s="263"/>
      <c r="E1518" s="263"/>
      <c r="F1518" s="268"/>
      <c r="G1518" s="263"/>
      <c r="H1518" s="267"/>
      <c r="I1518" s="263"/>
      <c r="J1518" s="263"/>
      <c r="K1518" s="263"/>
      <c r="L1518" s="264" t="str">
        <f>IFERROR(__xludf.DUMMYFUNCTION("""COMPUTED_VALUE"""),"You gain the ability to detect if foraged food is poisonous or unsafe to eat, nearly guaranteeing its safety. If it is a common poison, you can also identify its effect. | You gain the ability to properly process some poisonous mushrooms, fruits and herbs"&amp;", making them edible as a Camp Action. You can process up to 100u at a time. | You gain the ability to harvest Tier 2 Foraging Outcrops. | You gain proficiency in Artifice Chainsaws and may use it as a gathering tool.")</f>
        <v>You gain the ability to detect if foraged food is poisonous or unsafe to eat, nearly guaranteeing its safety. If it is a common poison, you can also identify its effect. | You gain the ability to properly process some poisonous mushrooms, fruits and herbs, making them edible as a Camp Action. You can process up to 100u at a time. | You gain the ability to harvest Tier 2 Foraging Outcrops. | You gain proficiency in Artifice Chainsaws and may use it as a gathering tool.</v>
      </c>
      <c r="M1518" s="263"/>
      <c r="N1518" s="263"/>
      <c r="O1518" s="263"/>
      <c r="P1518" s="263"/>
      <c r="Q1518" s="263"/>
      <c r="R1518" s="263"/>
      <c r="S1518" s="263"/>
      <c r="T1518" s="263"/>
      <c r="U1518" s="246"/>
      <c r="V1518" s="246"/>
      <c r="W1518" s="246"/>
      <c r="X1518" s="246"/>
      <c r="Y1518" s="246"/>
      <c r="Z1518" s="246"/>
    </row>
    <row r="1519">
      <c r="A1519" s="263"/>
      <c r="B1519" s="265" t="str">
        <f>IFERROR(__xludf.DUMMYFUNCTION("""COMPUTED_VALUE"""),"Boundless Wind")</f>
        <v>Boundless Wind</v>
      </c>
      <c r="C1519" s="263"/>
      <c r="D1519" s="263"/>
      <c r="E1519" s="263"/>
      <c r="F1519" s="268"/>
      <c r="G1519" s="263"/>
      <c r="H1519" s="267"/>
      <c r="I1519" s="263"/>
      <c r="J1519" s="263"/>
      <c r="K1519" s="263"/>
      <c r="L1519" s="264" t="str">
        <f>IFERROR(__xludf.DUMMYFUNCTION("""COMPUTED_VALUE"""),"You may use Boundless Wind Stance.")</f>
        <v>You may use Boundless Wind Stance.</v>
      </c>
      <c r="M1519" s="263"/>
      <c r="N1519" s="263"/>
      <c r="O1519" s="263"/>
      <c r="P1519" s="263"/>
      <c r="Q1519" s="263"/>
      <c r="R1519" s="263"/>
      <c r="S1519" s="263"/>
      <c r="T1519" s="263"/>
      <c r="U1519" s="246"/>
      <c r="V1519" s="246"/>
      <c r="W1519" s="246"/>
      <c r="X1519" s="246"/>
      <c r="Y1519" s="246"/>
      <c r="Z1519" s="246"/>
    </row>
    <row r="1520">
      <c r="A1520" s="263"/>
      <c r="B1520" s="265" t="str">
        <f>IFERROR(__xludf.DUMMYFUNCTION("""COMPUTED_VALUE"""),"Brace")</f>
        <v>Brace</v>
      </c>
      <c r="C1520" s="263"/>
      <c r="D1520" s="263"/>
      <c r="E1520" s="263"/>
      <c r="F1520" s="268"/>
      <c r="G1520" s="263"/>
      <c r="H1520" s="267"/>
      <c r="I1520" s="263"/>
      <c r="J1520" s="263"/>
      <c r="K1520" s="263"/>
      <c r="L1520" s="264" t="str">
        <f>IFERROR(__xludf.DUMMYFUNCTION("""COMPUTED_VALUE"""),"When using the Prepare action to prepare a melee attack with a polearm, if your target of that prepared attack moved more than 20ft that turn (excluding teleports), your attack gains Full Pierce and does maximum damage. Against a mounted enemy this also g"&amp;"ains Sure Hit and on damage, their movement becomes 0 until the start of your turn. | On mastering this class, the Sure Hit property (but not the movement nullification) of your prepared attack against mounted enemies now also applies against Beast type e"&amp;"nemies that are large size or bigger.")</f>
        <v>When using the Prepare action to prepare a melee attack with a polearm, if your target of that prepared attack moved more than 20ft that turn (excluding teleports), your attack gains Full Pierce and does maximum damage. Against a mounted enemy this also gains Sure Hit and on damage, their movement becomes 0 until the start of your turn. | On mastering this class, the Sure Hit property (but not the movement nullification) of your prepared attack against mounted enemies now also applies against Beast type enemies that are large size or bigger.</v>
      </c>
      <c r="M1520" s="263"/>
      <c r="N1520" s="263"/>
      <c r="O1520" s="263"/>
      <c r="P1520" s="263"/>
      <c r="Q1520" s="263"/>
      <c r="R1520" s="263"/>
      <c r="S1520" s="263"/>
      <c r="T1520" s="263"/>
      <c r="U1520" s="246"/>
      <c r="V1520" s="246"/>
      <c r="W1520" s="246"/>
      <c r="X1520" s="246"/>
      <c r="Y1520" s="246"/>
      <c r="Z1520" s="246"/>
    </row>
    <row r="1521">
      <c r="A1521" s="263"/>
      <c r="B1521" s="265" t="str">
        <f>IFERROR(__xludf.DUMMYFUNCTION("""COMPUTED_VALUE"""),"Cannon Expert")</f>
        <v>Cannon Expert</v>
      </c>
      <c r="C1521" s="263"/>
      <c r="D1521" s="263"/>
      <c r="E1521" s="263"/>
      <c r="F1521" s="268"/>
      <c r="G1521" s="263"/>
      <c r="H1521" s="267"/>
      <c r="I1521" s="263"/>
      <c r="J1521" s="263"/>
      <c r="K1521" s="263"/>
      <c r="L1521" s="264" t="str">
        <f>IFERROR(__xludf.DUMMYFUNCTION("""COMPUTED_VALUE"""),"You gain proficiency in Cannons. | Your attacks with the Cannon keyword ignore the 1 attack limitation of cannons. | You may use Rocket Jump.")</f>
        <v>You gain proficiency in Cannons. | Your attacks with the Cannon keyword ignore the 1 attack limitation of cannons. | You may use Rocket Jump.</v>
      </c>
      <c r="M1521" s="263"/>
      <c r="N1521" s="263"/>
      <c r="O1521" s="263"/>
      <c r="P1521" s="263"/>
      <c r="Q1521" s="263"/>
      <c r="R1521" s="263"/>
      <c r="S1521" s="263"/>
      <c r="T1521" s="263"/>
      <c r="U1521" s="246"/>
      <c r="V1521" s="246"/>
      <c r="W1521" s="246"/>
      <c r="X1521" s="246"/>
      <c r="Y1521" s="246"/>
      <c r="Z1521" s="246"/>
    </row>
    <row r="1522">
      <c r="A1522" s="263"/>
      <c r="B1522" s="265" t="str">
        <f>IFERROR(__xludf.DUMMYFUNCTION("""COMPUTED_VALUE"""),"Carpenter Basics")</f>
        <v>Carpenter Basics</v>
      </c>
      <c r="C1522" s="263"/>
      <c r="D1522" s="263"/>
      <c r="E1522" s="263"/>
      <c r="F1522" s="268"/>
      <c r="G1522" s="263"/>
      <c r="H1522" s="267"/>
      <c r="I1522" s="263"/>
      <c r="J1522" s="263"/>
      <c r="K1522" s="263"/>
      <c r="L1522" s="264" t="str">
        <f>IFERROR(__xludf.DUMMYFUNCTION("""COMPUTED_VALUE"""),"You can use a carpenters chisel as a crafting tool for carpenters crafts and buildings. | You can craft using Pine and Maple, as well as alloys. You may use an IP to perform an EP action tied to this key ability 4 times. | You gain proficiency in axes. Yo"&amp;"u also gain proficiency in either bows or crossbows. | You can use the Carpenter's core crafting abilities.")</f>
        <v>You can use a carpenters chisel as a crafting tool for carpenters crafts and buildings. | You can craft using Pine and Maple, as well as alloys. You may use an IP to perform an EP action tied to this key ability 4 times. | You gain proficiency in axes. You also gain proficiency in either bows or crossbows. | You can use the Carpenter's core crafting abilities.</v>
      </c>
      <c r="M1522" s="263"/>
      <c r="N1522" s="263"/>
      <c r="O1522" s="263"/>
      <c r="P1522" s="263"/>
      <c r="Q1522" s="263"/>
      <c r="R1522" s="263"/>
      <c r="S1522" s="263"/>
      <c r="T1522" s="263"/>
      <c r="U1522" s="246"/>
      <c r="V1522" s="246"/>
      <c r="W1522" s="246"/>
      <c r="X1522" s="246"/>
      <c r="Y1522" s="246"/>
      <c r="Z1522" s="246"/>
    </row>
    <row r="1523">
      <c r="A1523" s="263"/>
      <c r="B1523" s="265" t="str">
        <f>IFERROR(__xludf.DUMMYFUNCTION("""COMPUTED_VALUE"""),"Celestial Artillery")</f>
        <v>Celestial Artillery</v>
      </c>
      <c r="C1523" s="263"/>
      <c r="D1523" s="263"/>
      <c r="E1523" s="263"/>
      <c r="F1523" s="268"/>
      <c r="G1523" s="263"/>
      <c r="H1523" s="267"/>
      <c r="I1523" s="263"/>
      <c r="J1523" s="263"/>
      <c r="K1523" s="263"/>
      <c r="L1523" s="264" t="str">
        <f>IFERROR(__xludf.DUMMYFUNCTION("""COMPUTED_VALUE"""),"When attacking an enemy that’s further than 80ft away, your spells with the Celestial keyword gain the Artillery keyword. | You may use Comet.")</f>
        <v>When attacking an enemy that’s further than 80ft away, your spells with the Celestial keyword gain the Artillery keyword. | You may use Comet.</v>
      </c>
      <c r="M1523" s="263"/>
      <c r="N1523" s="263"/>
      <c r="O1523" s="263"/>
      <c r="P1523" s="263"/>
      <c r="Q1523" s="263"/>
      <c r="R1523" s="263"/>
      <c r="S1523" s="263"/>
      <c r="T1523" s="263"/>
      <c r="U1523" s="246"/>
      <c r="V1523" s="246"/>
      <c r="W1523" s="246"/>
      <c r="X1523" s="246"/>
      <c r="Y1523" s="246"/>
      <c r="Z1523" s="246"/>
    </row>
    <row r="1524">
      <c r="A1524" s="263"/>
      <c r="B1524" s="265" t="str">
        <f>IFERROR(__xludf.DUMMYFUNCTION("""COMPUTED_VALUE"""),"Cloudstep")</f>
        <v>Cloudstep</v>
      </c>
      <c r="C1524" s="263"/>
      <c r="D1524" s="263"/>
      <c r="E1524" s="263"/>
      <c r="F1524" s="268"/>
      <c r="G1524" s="263"/>
      <c r="H1524" s="267"/>
      <c r="I1524" s="263"/>
      <c r="J1524" s="263"/>
      <c r="K1524" s="263"/>
      <c r="L1524" s="264" t="str">
        <f>IFERROR(__xludf.DUMMYFUNCTION("""COMPUTED_VALUE"""),"You may use Cloudstep.")</f>
        <v>You may use Cloudstep.</v>
      </c>
      <c r="M1524" s="263"/>
      <c r="N1524" s="263"/>
      <c r="O1524" s="263"/>
      <c r="P1524" s="263"/>
      <c r="Q1524" s="263"/>
      <c r="R1524" s="263"/>
      <c r="S1524" s="263"/>
      <c r="T1524" s="263"/>
      <c r="U1524" s="246"/>
      <c r="V1524" s="246"/>
      <c r="W1524" s="246"/>
      <c r="X1524" s="246"/>
      <c r="Y1524" s="246"/>
      <c r="Z1524" s="246"/>
    </row>
    <row r="1525">
      <c r="A1525" s="263"/>
      <c r="B1525" s="265" t="str">
        <f>IFERROR(__xludf.DUMMYFUNCTION("""COMPUTED_VALUE"""),"Controlled Blaze")</f>
        <v>Controlled Blaze</v>
      </c>
      <c r="C1525" s="263"/>
      <c r="D1525" s="263"/>
      <c r="E1525" s="263"/>
      <c r="F1525" s="268"/>
      <c r="G1525" s="263"/>
      <c r="H1525" s="267"/>
      <c r="I1525" s="263"/>
      <c r="J1525" s="263"/>
      <c r="K1525" s="263"/>
      <c r="L1525" s="264" t="str">
        <f>IFERROR(__xludf.DUMMYFUNCTION("""COMPUTED_VALUE"""),"When you deal Fire Damage, you may choose not to ignite flammable objects. | You gain Fire Mastery.")</f>
        <v>When you deal Fire Damage, you may choose not to ignite flammable objects. | You gain Fire Mastery.</v>
      </c>
      <c r="M1525" s="263"/>
      <c r="N1525" s="263"/>
      <c r="O1525" s="263"/>
      <c r="P1525" s="263"/>
      <c r="Q1525" s="263"/>
      <c r="R1525" s="263"/>
      <c r="S1525" s="263"/>
      <c r="T1525" s="263"/>
      <c r="U1525" s="246"/>
      <c r="V1525" s="246"/>
      <c r="W1525" s="246"/>
      <c r="X1525" s="246"/>
      <c r="Y1525" s="246"/>
      <c r="Z1525" s="246"/>
    </row>
    <row r="1526">
      <c r="A1526" s="263"/>
      <c r="B1526" s="265" t="str">
        <f>IFERROR(__xludf.DUMMYFUNCTION("""COMPUTED_VALUE"""),"Controlled Opportunities")</f>
        <v>Controlled Opportunities</v>
      </c>
      <c r="C1526" s="263"/>
      <c r="D1526" s="263"/>
      <c r="E1526" s="263"/>
      <c r="F1526" s="268"/>
      <c r="G1526" s="263"/>
      <c r="H1526" s="267"/>
      <c r="I1526" s="263"/>
      <c r="J1526" s="263"/>
      <c r="K1526" s="263"/>
      <c r="L1526" s="264" t="str">
        <f>IFERROR(__xludf.DUMMYFUNCTION("""COMPUTED_VALUE"""),"You gain Heavy Armor proficiency. | When making an attack of opportunity, you gain a +2 bonus to the accuracy and damage roll.")</f>
        <v>You gain Heavy Armor proficiency. | When making an attack of opportunity, you gain a +2 bonus to the accuracy and damage roll.</v>
      </c>
      <c r="M1526" s="263"/>
      <c r="N1526" s="263"/>
      <c r="O1526" s="263"/>
      <c r="P1526" s="263"/>
      <c r="Q1526" s="263"/>
      <c r="R1526" s="263"/>
      <c r="S1526" s="263"/>
      <c r="T1526" s="263"/>
      <c r="U1526" s="246"/>
      <c r="V1526" s="246"/>
      <c r="W1526" s="246"/>
      <c r="X1526" s="246"/>
      <c r="Y1526" s="246"/>
      <c r="Z1526" s="246"/>
    </row>
    <row r="1527">
      <c r="A1527" s="263"/>
      <c r="B1527" s="265" t="str">
        <f>IFERROR(__xludf.DUMMYFUNCTION("""COMPUTED_VALUE"""),"Controlled Wind")</f>
        <v>Controlled Wind</v>
      </c>
      <c r="C1527" s="263"/>
      <c r="D1527" s="263"/>
      <c r="E1527" s="263"/>
      <c r="F1527" s="268"/>
      <c r="G1527" s="263"/>
      <c r="H1527" s="267"/>
      <c r="I1527" s="263"/>
      <c r="J1527" s="263"/>
      <c r="K1527" s="263"/>
      <c r="L1527" s="264" t="str">
        <f>IFERROR(__xludf.DUMMYFUNCTION("""COMPUTED_VALUE"""),"When pushing a target back or up with a Wind Spell, you may choose to push up to the maximum distance instead of always pushing the maximum distance.")</f>
        <v>When pushing a target back or up with a Wind Spell, you may choose to push up to the maximum distance instead of always pushing the maximum distance.</v>
      </c>
      <c r="M1527" s="263"/>
      <c r="N1527" s="263"/>
      <c r="O1527" s="263"/>
      <c r="P1527" s="263"/>
      <c r="Q1527" s="263"/>
      <c r="R1527" s="263"/>
      <c r="S1527" s="263"/>
      <c r="T1527" s="263"/>
      <c r="U1527" s="246"/>
      <c r="V1527" s="246"/>
      <c r="W1527" s="246"/>
      <c r="X1527" s="246"/>
      <c r="Y1527" s="246"/>
      <c r="Z1527" s="246"/>
    </row>
    <row r="1528">
      <c r="A1528" s="263"/>
      <c r="B1528" s="265" t="str">
        <f>IFERROR(__xludf.DUMMYFUNCTION("""COMPUTED_VALUE"""),"Cool Spotlight")</f>
        <v>Cool Spotlight</v>
      </c>
      <c r="C1528" s="263"/>
      <c r="D1528" s="263"/>
      <c r="E1528" s="263"/>
      <c r="F1528" s="268"/>
      <c r="G1528" s="263"/>
      <c r="H1528" s="267"/>
      <c r="I1528" s="263"/>
      <c r="J1528" s="263"/>
      <c r="K1528" s="263"/>
      <c r="L1528" s="264" t="str">
        <f>IFERROR(__xludf.DUMMYFUNCTION("""COMPUTED_VALUE"""),"Your Idol songs gain +15ft range. This stacks with other key abilities that increase their range. | Your One Beat, One Heart song does not count towards your song limit. | When paying upkeep for One Beat, One Heart, you may spend 1 mana to double its effe"&amp;"ct.")</f>
        <v>Your Idol songs gain +15ft range. This stacks with other key abilities that increase their range. | Your One Beat, One Heart song does not count towards your song limit. | When paying upkeep for One Beat, One Heart, you may spend 1 mana to double its effect.</v>
      </c>
      <c r="M1528" s="263"/>
      <c r="N1528" s="263"/>
      <c r="O1528" s="263"/>
      <c r="P1528" s="263"/>
      <c r="Q1528" s="263"/>
      <c r="R1528" s="263"/>
      <c r="S1528" s="263"/>
      <c r="T1528" s="263"/>
      <c r="U1528" s="246"/>
      <c r="V1528" s="246"/>
      <c r="W1528" s="246"/>
      <c r="X1528" s="246"/>
      <c r="Y1528" s="246"/>
      <c r="Z1528" s="246"/>
    </row>
    <row r="1529">
      <c r="A1529" s="263"/>
      <c r="B1529" s="265" t="str">
        <f>IFERROR(__xludf.DUMMYFUNCTION("""COMPUTED_VALUE"""),"Craft Weapons")</f>
        <v>Craft Weapons</v>
      </c>
      <c r="C1529" s="263"/>
      <c r="D1529" s="263"/>
      <c r="E1529" s="263"/>
      <c r="F1529" s="268"/>
      <c r="G1529" s="263"/>
      <c r="H1529" s="267"/>
      <c r="I1529" s="263"/>
      <c r="J1529" s="263"/>
      <c r="K1529" s="263"/>
      <c r="L1529" s="264" t="str">
        <f>IFERROR(__xludf.DUMMYFUNCTION("""COMPUTED_VALUE"""),"You gain Blacksmith Core Crafting Abilities. | You can craft using the Iron and Tamahagane base materials, as well as any alloys. You may use an IP to perform an EP action tied to this key ability 4 times. | You can use a Smith’s Hammer as a crafting tool"&amp;" for blacksmithing crafts. You may also use it as a Bludgeoning weapon in which you are proficient. | You gain proficiency in 1 smithing weapon.")</f>
        <v>You gain Blacksmith Core Crafting Abilities. | You can craft using the Iron and Tamahagane base materials, as well as any alloys. You may use an IP to perform an EP action tied to this key ability 4 times. | You can use a Smith’s Hammer as a crafting tool for blacksmithing crafts. You may also use it as a Bludgeoning weapon in which you are proficient. | You gain proficiency in 1 smithing weapon.</v>
      </c>
      <c r="M1529" s="263"/>
      <c r="N1529" s="263"/>
      <c r="O1529" s="263"/>
      <c r="P1529" s="263"/>
      <c r="Q1529" s="263"/>
      <c r="R1529" s="263"/>
      <c r="S1529" s="263"/>
      <c r="T1529" s="263"/>
      <c r="U1529" s="246"/>
      <c r="V1529" s="246"/>
      <c r="W1529" s="246"/>
      <c r="X1529" s="246"/>
      <c r="Y1529" s="246"/>
      <c r="Z1529" s="246"/>
    </row>
    <row r="1530">
      <c r="A1530" s="263"/>
      <c r="B1530" s="265" t="str">
        <f>IFERROR(__xludf.DUMMYFUNCTION("""COMPUTED_VALUE"""),"Culinary Basics")</f>
        <v>Culinary Basics</v>
      </c>
      <c r="C1530" s="263"/>
      <c r="D1530" s="263"/>
      <c r="E1530" s="263"/>
      <c r="F1530" s="268"/>
      <c r="G1530" s="263"/>
      <c r="H1530" s="267"/>
      <c r="I1530" s="263"/>
      <c r="J1530" s="263"/>
      <c r="K1530" s="263"/>
      <c r="L1530" s="264" t="str">
        <f>IFERROR(__xludf.DUMMYFUNCTION("""COMPUTED_VALUE"""),"You gain Culinarian Core Crafting Abilities | You can craft stocks using advanced and base materials. You may use an IP to perform an EP action tied to this key ability 4 times. | You can use a Frying Pan as a crafting tool for culinarian crafts. You may "&amp;"also use it as a Light Bludgeoning weapon in which you are proficient. | You gain proficiency in small weapons.")</f>
        <v>You gain Culinarian Core Crafting Abilities | You can craft stocks using advanced and base materials. You may use an IP to perform an EP action tied to this key ability 4 times. | You can use a Frying Pan as a crafting tool for culinarian crafts. You may also use it as a Light Bludgeoning weapon in which you are proficient. | You gain proficiency in small weapons.</v>
      </c>
      <c r="M1530" s="263"/>
      <c r="N1530" s="263"/>
      <c r="O1530" s="263"/>
      <c r="P1530" s="263"/>
      <c r="Q1530" s="263"/>
      <c r="R1530" s="263"/>
      <c r="S1530" s="263"/>
      <c r="T1530" s="263"/>
      <c r="U1530" s="246"/>
      <c r="V1530" s="246"/>
      <c r="W1530" s="246"/>
      <c r="X1530" s="246"/>
      <c r="Y1530" s="246"/>
      <c r="Z1530" s="246"/>
    </row>
    <row r="1531">
      <c r="A1531" s="263"/>
      <c r="B1531" s="265" t="str">
        <f>IFERROR(__xludf.DUMMYFUNCTION("""COMPUTED_VALUE"""),"Cultivator's Journey")</f>
        <v>Cultivator's Journey</v>
      </c>
      <c r="C1531" s="263"/>
      <c r="D1531" s="263"/>
      <c r="E1531" s="263"/>
      <c r="F1531" s="268"/>
      <c r="G1531" s="263"/>
      <c r="H1531" s="267"/>
      <c r="I1531" s="263"/>
      <c r="J1531" s="263"/>
      <c r="K1531" s="263"/>
      <c r="L1531" s="264" t="str">
        <f>IFERROR(__xludf.DUMMYFUNCTION("""COMPUTED_VALUE"""),"Your unarmed attack damage is treated as a One-Handed Weapon in which you are proficient. | You gain proficiency in light armor, light swords and another weapon of your choice. | You gain +5 skill points to spend in Appraise, Athletics, Deception, Percept"&amp;"ion, Insight, Medicine, Intimidation, Stealth or Common Knowledge. You can exchange any skill point for 2 expertise points, but must spend them in these skills.")</f>
        <v>Your unarmed attack damage is treated as a One-Handed Weapon in which you are proficient. | You gain proficiency in light armor, light swords and another weapon of your choice. | You gain +5 skill points to spend in Appraise, Athletics, Deception, Perception, Insight, Medicine, Intimidation, Stealth or Common Knowledge. You can exchange any skill point for 2 expertise points, but must spend them in these skills.</v>
      </c>
      <c r="M1531" s="263"/>
      <c r="N1531" s="263"/>
      <c r="O1531" s="263"/>
      <c r="P1531" s="263"/>
      <c r="Q1531" s="263"/>
      <c r="R1531" s="263"/>
      <c r="S1531" s="263"/>
      <c r="T1531" s="263"/>
      <c r="U1531" s="246"/>
      <c r="V1531" s="246"/>
      <c r="W1531" s="246"/>
      <c r="X1531" s="246"/>
      <c r="Y1531" s="246"/>
      <c r="Z1531" s="246"/>
    </row>
    <row r="1532">
      <c r="A1532" s="263"/>
      <c r="B1532" s="265" t="str">
        <f>IFERROR(__xludf.DUMMYFUNCTION("""COMPUTED_VALUE"""),"Dark Surge")</f>
        <v>Dark Surge</v>
      </c>
      <c r="C1532" s="263"/>
      <c r="D1532" s="263"/>
      <c r="E1532" s="263"/>
      <c r="F1532" s="268"/>
      <c r="G1532" s="263"/>
      <c r="H1532" s="267"/>
      <c r="I1532" s="263"/>
      <c r="J1532" s="263"/>
      <c r="K1532" s="263"/>
      <c r="L1532" s="264" t="str">
        <f>IFERROR(__xludf.DUMMYFUNCTION("""COMPUTED_VALUE"""),"After you deal damage to yourself, you gain Dark Surge for your next unarmed attack that turn. Dark Surge gives you +1 Accuracy.")</f>
        <v>After you deal damage to yourself, you gain Dark Surge for your next unarmed attack that turn. Dark Surge gives you +1 Accuracy.</v>
      </c>
      <c r="M1532" s="263"/>
      <c r="N1532" s="263"/>
      <c r="O1532" s="263"/>
      <c r="P1532" s="263"/>
      <c r="Q1532" s="263"/>
      <c r="R1532" s="263"/>
      <c r="S1532" s="263"/>
      <c r="T1532" s="263"/>
      <c r="U1532" s="246"/>
      <c r="V1532" s="246"/>
      <c r="W1532" s="246"/>
      <c r="X1532" s="246"/>
      <c r="Y1532" s="246"/>
      <c r="Z1532" s="246"/>
    </row>
    <row r="1533">
      <c r="A1533" s="263"/>
      <c r="B1533" s="265" t="str">
        <f>IFERROR(__xludf.DUMMYFUNCTION("""COMPUTED_VALUE"""),"Death Perception")</f>
        <v>Death Perception</v>
      </c>
      <c r="C1533" s="263"/>
      <c r="D1533" s="263"/>
      <c r="E1533" s="263"/>
      <c r="F1533" s="268"/>
      <c r="G1533" s="263"/>
      <c r="H1533" s="267"/>
      <c r="I1533" s="263"/>
      <c r="J1533" s="263"/>
      <c r="K1533" s="263"/>
      <c r="L1533" s="264" t="str">
        <f>IFERROR(__xludf.DUMMYFUNCTION("""COMPUTED_VALUE"""),"You may use Death Perception. | One of your eyes becomes a Shinigami Eye. It may be used to make Mystic Eye type abilities of the appropriate type. An eye can only be a single mystic eye type.")</f>
        <v>You may use Death Perception. | One of your eyes becomes a Shinigami Eye. It may be used to make Mystic Eye type abilities of the appropriate type. An eye can only be a single mystic eye type.</v>
      </c>
      <c r="M1533" s="263"/>
      <c r="N1533" s="263"/>
      <c r="O1533" s="263"/>
      <c r="P1533" s="263"/>
      <c r="Q1533" s="263"/>
      <c r="R1533" s="263"/>
      <c r="S1533" s="263"/>
      <c r="T1533" s="263"/>
      <c r="U1533" s="246"/>
      <c r="V1533" s="246"/>
      <c r="W1533" s="246"/>
      <c r="X1533" s="246"/>
      <c r="Y1533" s="246"/>
      <c r="Z1533" s="246"/>
    </row>
    <row r="1534">
      <c r="A1534" s="263"/>
      <c r="B1534" s="265" t="str">
        <f>IFERROR(__xludf.DUMMYFUNCTION("""COMPUTED_VALUE"""),"Deflect Everything")</f>
        <v>Deflect Everything</v>
      </c>
      <c r="C1534" s="263"/>
      <c r="D1534" s="263"/>
      <c r="E1534" s="263"/>
      <c r="F1534" s="268"/>
      <c r="G1534" s="263"/>
      <c r="H1534" s="267"/>
      <c r="I1534" s="263"/>
      <c r="J1534" s="263"/>
      <c r="K1534" s="263"/>
      <c r="L1534" s="264" t="str">
        <f>IFERROR(__xludf.DUMMYFUNCTION("""COMPUTED_VALUE"""),"You may use your Parry ability against every kind of attack, as well as against Save effects that you could Block.")</f>
        <v>You may use your Parry ability against every kind of attack, as well as against Save effects that you could Block.</v>
      </c>
      <c r="M1534" s="263"/>
      <c r="N1534" s="263"/>
      <c r="O1534" s="263"/>
      <c r="P1534" s="263"/>
      <c r="Q1534" s="263"/>
      <c r="R1534" s="263"/>
      <c r="S1534" s="263"/>
      <c r="T1534" s="263"/>
      <c r="U1534" s="246"/>
      <c r="V1534" s="246"/>
      <c r="W1534" s="246"/>
      <c r="X1534" s="246"/>
      <c r="Y1534" s="246"/>
      <c r="Z1534" s="246"/>
    </row>
    <row r="1535">
      <c r="A1535" s="263"/>
      <c r="B1535" s="265" t="str">
        <f>IFERROR(__xludf.DUMMYFUNCTION("""COMPUTED_VALUE"""),"Dimensional Armory")</f>
        <v>Dimensional Armory</v>
      </c>
      <c r="C1535" s="263"/>
      <c r="D1535" s="263"/>
      <c r="E1535" s="263"/>
      <c r="F1535" s="268"/>
      <c r="G1535" s="263"/>
      <c r="H1535" s="267"/>
      <c r="I1535" s="263"/>
      <c r="J1535" s="263"/>
      <c r="K1535" s="263"/>
      <c r="L1535" s="264" t="str">
        <f>IFERROR(__xludf.DUMMYFUNCTION("""COMPUTED_VALUE"""),"You can create a pocket dimension with Dimensional Armory. Creating the pocket dimension and establishing its door takes 1 week and costs 1 errand point. The entry point can be any regular door that you fit through. When the creator opens this door, they "&amp;"can decide instead to access the Dimensional Armory, which is a 15ft x 15ft closet. This closet can hold up to 6 Burden worth of items. Some magic items can be rejected by the dimensional armory (GM’s discretion), such as Divine Arms not bonded to you. If"&amp;" the owner of a Dimensional Armory dies, everything inside of it appears in the next unoccupied space possible next to the owner. | Any burden reducing items (such as an alchemy rig) in the armory have no effect.")</f>
        <v>You can create a pocket dimension with Dimensional Armory. Creating the pocket dimension and establishing its door takes 1 week and costs 1 errand point. The entry point can be any regular door that you fit through. When the creator opens this door, they can decide instead to access the Dimensional Armory, which is a 15ft x 15ft closet. This closet can hold up to 6 Burden worth of items. Some magic items can be rejected by the dimensional armory (GM’s discretion), such as Divine Arms not bonded to you. If the owner of a Dimensional Armory dies, everything inside of it appears in the next unoccupied space possible next to the owner. | Any burden reducing items (such as an alchemy rig) in the armory have no effect.</v>
      </c>
      <c r="M1535" s="263"/>
      <c r="N1535" s="263"/>
      <c r="O1535" s="263"/>
      <c r="P1535" s="263"/>
      <c r="Q1535" s="263"/>
      <c r="R1535" s="263"/>
      <c r="S1535" s="263"/>
      <c r="T1535" s="263"/>
      <c r="U1535" s="246"/>
      <c r="V1535" s="246"/>
      <c r="W1535" s="246"/>
      <c r="X1535" s="246"/>
      <c r="Y1535" s="246"/>
      <c r="Z1535" s="246"/>
    </row>
    <row r="1536">
      <c r="A1536" s="263"/>
      <c r="B1536" s="265" t="str">
        <f>IFERROR(__xludf.DUMMYFUNCTION("""COMPUTED_VALUE"""),"Disable Magic")</f>
        <v>Disable Magic</v>
      </c>
      <c r="C1536" s="263"/>
      <c r="D1536" s="263"/>
      <c r="E1536" s="263"/>
      <c r="F1536" s="268"/>
      <c r="G1536" s="263"/>
      <c r="H1536" s="267"/>
      <c r="I1536" s="263"/>
      <c r="J1536" s="263"/>
      <c r="K1536" s="263"/>
      <c r="L1536" s="264" t="str">
        <f>IFERROR(__xludf.DUMMYFUNCTION("""COMPUTED_VALUE"""),"When using Decipher Magic, you are able to disable both tier 1 and tier 2 level bounded fields. | You are able to disable or change who is excluded from your own Bounded Fields for 0 RP.")</f>
        <v>When using Decipher Magic, you are able to disable both tier 1 and tier 2 level bounded fields. | You are able to disable or change who is excluded from your own Bounded Fields for 0 RP.</v>
      </c>
      <c r="M1536" s="263"/>
      <c r="N1536" s="263"/>
      <c r="O1536" s="263"/>
      <c r="P1536" s="263"/>
      <c r="Q1536" s="263"/>
      <c r="R1536" s="263"/>
      <c r="S1536" s="263"/>
      <c r="T1536" s="263"/>
      <c r="U1536" s="246"/>
      <c r="V1536" s="246"/>
      <c r="W1536" s="246"/>
      <c r="X1536" s="246"/>
      <c r="Y1536" s="246"/>
      <c r="Z1536" s="246"/>
    </row>
    <row r="1537">
      <c r="A1537" s="263"/>
      <c r="B1537" s="265" t="str">
        <f>IFERROR(__xludf.DUMMYFUNCTION("""COMPUTED_VALUE"""),"Discern Immunities")</f>
        <v>Discern Immunities</v>
      </c>
      <c r="C1537" s="263"/>
      <c r="D1537" s="263"/>
      <c r="E1537" s="263"/>
      <c r="F1537" s="268"/>
      <c r="G1537" s="263"/>
      <c r="H1537" s="267"/>
      <c r="I1537" s="263"/>
      <c r="J1537" s="263"/>
      <c r="K1537" s="263"/>
      <c r="L1537" s="264" t="str">
        <f>IFERROR(__xludf.DUMMYFUNCTION("""COMPUTED_VALUE"""),"You may use Discern Immunities.")</f>
        <v>You may use Discern Immunities.</v>
      </c>
      <c r="M1537" s="263"/>
      <c r="N1537" s="263"/>
      <c r="O1537" s="263"/>
      <c r="P1537" s="263"/>
      <c r="Q1537" s="263"/>
      <c r="R1537" s="263"/>
      <c r="S1537" s="263"/>
      <c r="T1537" s="263"/>
      <c r="U1537" s="246"/>
      <c r="V1537" s="246"/>
      <c r="W1537" s="246"/>
      <c r="X1537" s="246"/>
      <c r="Y1537" s="246"/>
      <c r="Z1537" s="246"/>
    </row>
    <row r="1538">
      <c r="A1538" s="263"/>
      <c r="B1538" s="265" t="str">
        <f>IFERROR(__xludf.DUMMYFUNCTION("""COMPUTED_VALUE"""),"Draw Elements")</f>
        <v>Draw Elements</v>
      </c>
      <c r="C1538" s="263"/>
      <c r="D1538" s="263"/>
      <c r="E1538" s="263"/>
      <c r="F1538" s="268"/>
      <c r="G1538" s="263"/>
      <c r="H1538" s="267"/>
      <c r="I1538" s="263"/>
      <c r="J1538" s="263"/>
      <c r="K1538" s="263"/>
      <c r="L1538" s="264" t="str">
        <f>IFERROR(__xludf.DUMMYFUNCTION("""COMPUTED_VALUE"""),"You may use Draw Elements.")</f>
        <v>You may use Draw Elements.</v>
      </c>
      <c r="M1538" s="263"/>
      <c r="N1538" s="263"/>
      <c r="O1538" s="263"/>
      <c r="P1538" s="263"/>
      <c r="Q1538" s="263"/>
      <c r="R1538" s="263"/>
      <c r="S1538" s="263"/>
      <c r="T1538" s="263"/>
      <c r="U1538" s="246"/>
      <c r="V1538" s="246"/>
      <c r="W1538" s="246"/>
      <c r="X1538" s="246"/>
      <c r="Y1538" s="246"/>
      <c r="Z1538" s="246"/>
    </row>
    <row r="1539">
      <c r="A1539" s="263"/>
      <c r="B1539" s="265" t="str">
        <f>IFERROR(__xludf.DUMMYFUNCTION("""COMPUTED_VALUE"""),"Draw Elements II")</f>
        <v>Draw Elements II</v>
      </c>
      <c r="C1539" s="263"/>
      <c r="D1539" s="263"/>
      <c r="E1539" s="263"/>
      <c r="F1539" s="268"/>
      <c r="G1539" s="263"/>
      <c r="H1539" s="267"/>
      <c r="I1539" s="263"/>
      <c r="J1539" s="263"/>
      <c r="K1539" s="263"/>
      <c r="L1539" s="264" t="str">
        <f>IFERROR(__xludf.DUMMYFUNCTION("""COMPUTED_VALUE"""),"You may use Draw Elements II.")</f>
        <v>You may use Draw Elements II.</v>
      </c>
      <c r="M1539" s="263"/>
      <c r="N1539" s="263"/>
      <c r="O1539" s="263"/>
      <c r="P1539" s="263"/>
      <c r="Q1539" s="263"/>
      <c r="R1539" s="263"/>
      <c r="S1539" s="263"/>
      <c r="T1539" s="263"/>
      <c r="U1539" s="246"/>
      <c r="V1539" s="246"/>
      <c r="W1539" s="246"/>
      <c r="X1539" s="246"/>
      <c r="Y1539" s="246"/>
      <c r="Z1539" s="246"/>
    </row>
    <row r="1540">
      <c r="A1540" s="263"/>
      <c r="B1540" s="265" t="str">
        <f>IFERROR(__xludf.DUMMYFUNCTION("""COMPUTED_VALUE"""),"Earth Weapon")</f>
        <v>Earth Weapon</v>
      </c>
      <c r="C1540" s="263"/>
      <c r="D1540" s="263"/>
      <c r="E1540" s="263"/>
      <c r="F1540" s="268"/>
      <c r="G1540" s="263"/>
      <c r="H1540" s="267"/>
      <c r="I1540" s="263"/>
      <c r="J1540" s="263"/>
      <c r="K1540" s="263"/>
      <c r="L1540" s="264" t="str">
        <f>IFERROR(__xludf.DUMMYFUNCTION("""COMPUTED_VALUE"""),"When attacking with a weapon, you may choose to have the weapon deal Earth Damage instead of its normal damage type. You must declare you chosen damage type before making the accuracy roll.")</f>
        <v>When attacking with a weapon, you may choose to have the weapon deal Earth Damage instead of its normal damage type. You must declare you chosen damage type before making the accuracy roll.</v>
      </c>
      <c r="M1540" s="263"/>
      <c r="N1540" s="263"/>
      <c r="O1540" s="263"/>
      <c r="P1540" s="263"/>
      <c r="Q1540" s="263"/>
      <c r="R1540" s="263"/>
      <c r="S1540" s="263"/>
      <c r="T1540" s="263"/>
      <c r="U1540" s="246"/>
      <c r="V1540" s="246"/>
      <c r="W1540" s="246"/>
      <c r="X1540" s="246"/>
      <c r="Y1540" s="246"/>
      <c r="Z1540" s="246"/>
    </row>
    <row r="1541">
      <c r="A1541" s="263"/>
      <c r="B1541" s="265" t="str">
        <f>IFERROR(__xludf.DUMMYFUNCTION("""COMPUTED_VALUE"""),"Elemental Convergence")</f>
        <v>Elemental Convergence</v>
      </c>
      <c r="C1541" s="263"/>
      <c r="D1541" s="263"/>
      <c r="E1541" s="263"/>
      <c r="F1541" s="268"/>
      <c r="G1541" s="263"/>
      <c r="H1541" s="267"/>
      <c r="I1541" s="263"/>
      <c r="J1541" s="263"/>
      <c r="K1541" s="263"/>
      <c r="L1541" s="264" t="str">
        <f>IFERROR(__xludf.DUMMYFUNCTION("""COMPUTED_VALUE"""),"You may use Elemental Convergence.")</f>
        <v>You may use Elemental Convergence.</v>
      </c>
      <c r="M1541" s="263"/>
      <c r="N1541" s="263"/>
      <c r="O1541" s="263"/>
      <c r="P1541" s="263"/>
      <c r="Q1541" s="263"/>
      <c r="R1541" s="263"/>
      <c r="S1541" s="263"/>
      <c r="T1541" s="263"/>
      <c r="U1541" s="246"/>
      <c r="V1541" s="246"/>
      <c r="W1541" s="246"/>
      <c r="X1541" s="246"/>
      <c r="Y1541" s="246"/>
      <c r="Z1541" s="246"/>
    </row>
    <row r="1542">
      <c r="A1542" s="263"/>
      <c r="B1542" s="265" t="str">
        <f>IFERROR(__xludf.DUMMYFUNCTION("""COMPUTED_VALUE"""),"Emergency Shields")</f>
        <v>Emergency Shields</v>
      </c>
      <c r="C1542" s="263"/>
      <c r="D1542" s="263"/>
      <c r="E1542" s="263"/>
      <c r="F1542" s="268"/>
      <c r="G1542" s="263"/>
      <c r="H1542" s="267"/>
      <c r="I1542" s="263"/>
      <c r="J1542" s="263"/>
      <c r="K1542" s="263"/>
      <c r="L1542" s="264" t="str">
        <f>IFERROR(__xludf.DUMMYFUNCTION("""COMPUTED_VALUE"""),"You may cast Power Word: Shield and Power Word: Guardian Shield (when obtained) by spending 1 RP instead of 2 AP.")</f>
        <v>You may cast Power Word: Shield and Power Word: Guardian Shield (when obtained) by spending 1 RP instead of 2 AP.</v>
      </c>
      <c r="M1542" s="263"/>
      <c r="N1542" s="263"/>
      <c r="O1542" s="263"/>
      <c r="P1542" s="263"/>
      <c r="Q1542" s="263"/>
      <c r="R1542" s="263"/>
      <c r="S1542" s="263"/>
      <c r="T1542" s="263"/>
      <c r="U1542" s="246"/>
      <c r="V1542" s="246"/>
      <c r="W1542" s="246"/>
      <c r="X1542" s="246"/>
      <c r="Y1542" s="246"/>
      <c r="Z1542" s="246"/>
    </row>
    <row r="1543">
      <c r="A1543" s="263"/>
      <c r="B1543" s="265" t="str">
        <f>IFERROR(__xludf.DUMMYFUNCTION("""COMPUTED_VALUE"""),"Empty Body")</f>
        <v>Empty Body</v>
      </c>
      <c r="C1543" s="263"/>
      <c r="D1543" s="263"/>
      <c r="E1543" s="263"/>
      <c r="F1543" s="268"/>
      <c r="G1543" s="263"/>
      <c r="H1543" s="267"/>
      <c r="I1543" s="263"/>
      <c r="J1543" s="263"/>
      <c r="K1543" s="263"/>
      <c r="L1543" s="264" t="str">
        <f>IFERROR(__xludf.DUMMYFUNCTION("""COMPUTED_VALUE"""),"You may use Empty Body.")</f>
        <v>You may use Empty Body.</v>
      </c>
      <c r="M1543" s="263"/>
      <c r="N1543" s="263"/>
      <c r="O1543" s="263"/>
      <c r="P1543" s="263"/>
      <c r="Q1543" s="263"/>
      <c r="R1543" s="263"/>
      <c r="S1543" s="263"/>
      <c r="T1543" s="263"/>
      <c r="U1543" s="246"/>
      <c r="V1543" s="246"/>
      <c r="W1543" s="246"/>
      <c r="X1543" s="246"/>
      <c r="Y1543" s="246"/>
      <c r="Z1543" s="246"/>
    </row>
    <row r="1544">
      <c r="A1544" s="263"/>
      <c r="B1544" s="265" t="str">
        <f>IFERROR(__xludf.DUMMYFUNCTION("""COMPUTED_VALUE"""),"Envenom Weapon")</f>
        <v>Envenom Weapon</v>
      </c>
      <c r="C1544" s="263"/>
      <c r="D1544" s="263"/>
      <c r="E1544" s="263"/>
      <c r="F1544" s="268"/>
      <c r="G1544" s="263"/>
      <c r="H1544" s="267"/>
      <c r="I1544" s="263"/>
      <c r="J1544" s="263"/>
      <c r="K1544" s="263"/>
      <c r="L1544" s="264" t="str">
        <f>IFERROR(__xludf.DUMMYFUNCTION("""COMPUTED_VALUE"""),"You may use Envenom Weapon.")</f>
        <v>You may use Envenom Weapon.</v>
      </c>
      <c r="M1544" s="263"/>
      <c r="N1544" s="263"/>
      <c r="O1544" s="263"/>
      <c r="P1544" s="263"/>
      <c r="Q1544" s="263"/>
      <c r="R1544" s="263"/>
      <c r="S1544" s="263"/>
      <c r="T1544" s="263"/>
      <c r="U1544" s="246"/>
      <c r="V1544" s="246"/>
      <c r="W1544" s="246"/>
      <c r="X1544" s="246"/>
      <c r="Y1544" s="246"/>
      <c r="Z1544" s="246"/>
    </row>
    <row r="1545">
      <c r="A1545" s="263"/>
      <c r="B1545" s="265" t="str">
        <f>IFERROR(__xludf.DUMMYFUNCTION("""COMPUTED_VALUE"""),"Eternal Flames")</f>
        <v>Eternal Flames</v>
      </c>
      <c r="C1545" s="263"/>
      <c r="D1545" s="263"/>
      <c r="E1545" s="263"/>
      <c r="F1545" s="268"/>
      <c r="G1545" s="263"/>
      <c r="H1545" s="267"/>
      <c r="I1545" s="263"/>
      <c r="J1545" s="263"/>
      <c r="K1545" s="263"/>
      <c r="L1545" s="264" t="str">
        <f>IFERROR(__xludf.DUMMYFUNCTION("""COMPUTED_VALUE"""),"When you would apply Burning on your turn, you instead apply Hellfire. Hellfire functions like Burning, but it can no longer be removed the normal way if not removed before the end of the target’s next turn. Hellfire can be applied to enemies immune to Bu"&amp;"rning, but it can still be removed like normal even after a turn has passed. Hellfire is automatically removed at the end of the encounter. | If you apply Hellfire to a target that is already burning, you deal extra fire damage equal to your Power.")</f>
        <v>When you would apply Burning on your turn, you instead apply Hellfire. Hellfire functions like Burning, but it can no longer be removed the normal way if not removed before the end of the target’s next turn. Hellfire can be applied to enemies immune to Burning, but it can still be removed like normal even after a turn has passed. Hellfire is automatically removed at the end of the encounter. | If you apply Hellfire to a target that is already burning, you deal extra fire damage equal to your Power.</v>
      </c>
      <c r="M1545" s="263"/>
      <c r="N1545" s="263"/>
      <c r="O1545" s="263"/>
      <c r="P1545" s="263"/>
      <c r="Q1545" s="263"/>
      <c r="R1545" s="263"/>
      <c r="S1545" s="263"/>
      <c r="T1545" s="263"/>
      <c r="U1545" s="246"/>
      <c r="V1545" s="246"/>
      <c r="W1545" s="246"/>
      <c r="X1545" s="246"/>
      <c r="Y1545" s="246"/>
      <c r="Z1545" s="246"/>
    </row>
    <row r="1546">
      <c r="A1546" s="263"/>
      <c r="B1546" s="265" t="str">
        <f>IFERROR(__xludf.DUMMYFUNCTION("""COMPUTED_VALUE"""),"Eternal Mirane Cage")</f>
        <v>Eternal Mirane Cage</v>
      </c>
      <c r="C1546" s="263"/>
      <c r="D1546" s="263"/>
      <c r="E1546" s="263"/>
      <c r="F1546" s="268"/>
      <c r="G1546" s="263"/>
      <c r="H1546" s="267"/>
      <c r="I1546" s="263"/>
      <c r="J1546" s="263"/>
      <c r="K1546" s="263"/>
      <c r="L1546" s="264" t="str">
        <f>IFERROR(__xludf.DUMMYFUNCTION("""COMPUTED_VALUE"""),"You may use Eternal Mirane Cage.")</f>
        <v>You may use Eternal Mirane Cage.</v>
      </c>
      <c r="M1546" s="263"/>
      <c r="N1546" s="263"/>
      <c r="O1546" s="263"/>
      <c r="P1546" s="263"/>
      <c r="Q1546" s="263"/>
      <c r="R1546" s="263"/>
      <c r="S1546" s="263"/>
      <c r="T1546" s="263"/>
      <c r="U1546" s="246"/>
      <c r="V1546" s="246"/>
      <c r="W1546" s="246"/>
      <c r="X1546" s="246"/>
      <c r="Y1546" s="246"/>
      <c r="Z1546" s="246"/>
    </row>
    <row r="1547">
      <c r="A1547" s="263"/>
      <c r="B1547" s="265" t="str">
        <f>IFERROR(__xludf.DUMMYFUNCTION("""COMPUTED_VALUE"""),"Evil Eye")</f>
        <v>Evil Eye</v>
      </c>
      <c r="C1547" s="263"/>
      <c r="D1547" s="263"/>
      <c r="E1547" s="263"/>
      <c r="F1547" s="268"/>
      <c r="G1547" s="263"/>
      <c r="H1547" s="267"/>
      <c r="I1547" s="263"/>
      <c r="J1547" s="263"/>
      <c r="K1547" s="263"/>
      <c r="L1547" s="264" t="str">
        <f>IFERROR(__xludf.DUMMYFUNCTION("""COMPUTED_VALUE"""),"While you have a Mystic Eye active, you gain a +10 Mystic Eye bonus to perception checks relying on sight. | One of your eyes becomes an Evil Eye. It may be used to make Mystic Eye type abilities of the appropriate type. An eye can only be a single mystic"&amp;" eye type.")</f>
        <v>While you have a Mystic Eye active, you gain a +10 Mystic Eye bonus to perception checks relying on sight. | One of your eyes becomes an Evil Eye. It may be used to make Mystic Eye type abilities of the appropriate type. An eye can only be a single mystic eye type.</v>
      </c>
      <c r="M1547" s="263"/>
      <c r="N1547" s="263"/>
      <c r="O1547" s="263"/>
      <c r="P1547" s="263"/>
      <c r="Q1547" s="263"/>
      <c r="R1547" s="263"/>
      <c r="S1547" s="263"/>
      <c r="T1547" s="263"/>
      <c r="U1547" s="246"/>
      <c r="V1547" s="246"/>
      <c r="W1547" s="246"/>
      <c r="X1547" s="246"/>
      <c r="Y1547" s="246"/>
      <c r="Z1547" s="246"/>
    </row>
    <row r="1548">
      <c r="A1548" s="263"/>
      <c r="B1548" s="265" t="str">
        <f>IFERROR(__xludf.DUMMYFUNCTION("""COMPUTED_VALUE"""),"Execute the Heretic")</f>
        <v>Execute the Heretic</v>
      </c>
      <c r="C1548" s="263"/>
      <c r="D1548" s="263"/>
      <c r="E1548" s="263"/>
      <c r="F1548" s="268"/>
      <c r="G1548" s="263"/>
      <c r="H1548" s="267"/>
      <c r="I1548" s="263"/>
      <c r="J1548" s="263"/>
      <c r="K1548" s="263"/>
      <c r="L1548" s="264" t="str">
        <f>IFERROR(__xludf.DUMMYFUNCTION("""COMPUTED_VALUE"""),"You may use Execute Heretic")</f>
        <v>You may use Execute Heretic</v>
      </c>
      <c r="M1548" s="263"/>
      <c r="N1548" s="263"/>
      <c r="O1548" s="263"/>
      <c r="P1548" s="263"/>
      <c r="Q1548" s="263"/>
      <c r="R1548" s="263"/>
      <c r="S1548" s="263"/>
      <c r="T1548" s="263"/>
      <c r="U1548" s="246"/>
      <c r="V1548" s="246"/>
      <c r="W1548" s="246"/>
      <c r="X1548" s="246"/>
      <c r="Y1548" s="246"/>
      <c r="Z1548" s="246"/>
    </row>
    <row r="1549">
      <c r="A1549" s="263"/>
      <c r="B1549" s="265" t="str">
        <f>IFERROR(__xludf.DUMMYFUNCTION("""COMPUTED_VALUE"""),"Expanded Circuits")</f>
        <v>Expanded Circuits</v>
      </c>
      <c r="C1549" s="263"/>
      <c r="D1549" s="263"/>
      <c r="E1549" s="263"/>
      <c r="F1549" s="268"/>
      <c r="G1549" s="263"/>
      <c r="H1549" s="267"/>
      <c r="I1549" s="263"/>
      <c r="J1549" s="263"/>
      <c r="K1549" s="263"/>
      <c r="L1549" s="264" t="str">
        <f>IFERROR(__xludf.DUMMYFUNCTION("""COMPUTED_VALUE"""),"You gain Expanded Circuits, which gives +2 maximum mana.")</f>
        <v>You gain Expanded Circuits, which gives +2 maximum mana.</v>
      </c>
      <c r="M1549" s="263"/>
      <c r="N1549" s="263"/>
      <c r="O1549" s="263"/>
      <c r="P1549" s="263"/>
      <c r="Q1549" s="263"/>
      <c r="R1549" s="263"/>
      <c r="S1549" s="263"/>
      <c r="T1549" s="263"/>
      <c r="U1549" s="246"/>
      <c r="V1549" s="246"/>
      <c r="W1549" s="246"/>
      <c r="X1549" s="246"/>
      <c r="Y1549" s="246"/>
      <c r="Z1549" s="246"/>
    </row>
    <row r="1550">
      <c r="A1550" s="263"/>
      <c r="B1550" s="265" t="str">
        <f>IFERROR(__xludf.DUMMYFUNCTION("""COMPUTED_VALUE"""),"Expanded Menagerie")</f>
        <v>Expanded Menagerie</v>
      </c>
      <c r="C1550" s="263"/>
      <c r="D1550" s="263"/>
      <c r="E1550" s="263"/>
      <c r="F1550" s="268"/>
      <c r="G1550" s="263"/>
      <c r="H1550" s="267"/>
      <c r="I1550" s="263"/>
      <c r="J1550" s="263"/>
      <c r="K1550" s="263"/>
      <c r="L1550" s="264" t="str">
        <f>IFERROR(__xludf.DUMMYFUNCTION("""COMPUTED_VALUE"""),"You may spend 1 mana with using Summon Animal to choose which animal you summon. | You add the Cheetah and Landshark to the pool of animals you can summon.")</f>
        <v>You may spend 1 mana with using Summon Animal to choose which animal you summon. | You add the Cheetah and Landshark to the pool of animals you can summon.</v>
      </c>
      <c r="M1550" s="263"/>
      <c r="N1550" s="263"/>
      <c r="O1550" s="263"/>
      <c r="P1550" s="263"/>
      <c r="Q1550" s="263"/>
      <c r="R1550" s="263"/>
      <c r="S1550" s="263"/>
      <c r="T1550" s="263"/>
      <c r="U1550" s="246"/>
      <c r="V1550" s="246"/>
      <c r="W1550" s="246"/>
      <c r="X1550" s="246"/>
      <c r="Y1550" s="246"/>
      <c r="Z1550" s="246"/>
    </row>
    <row r="1551">
      <c r="A1551" s="263"/>
      <c r="B1551" s="265" t="str">
        <f>IFERROR(__xludf.DUMMYFUNCTION("""COMPUTED_VALUE"""),"Expert Alchemist")</f>
        <v>Expert Alchemist</v>
      </c>
      <c r="C1551" s="263"/>
      <c r="D1551" s="263"/>
      <c r="E1551" s="263"/>
      <c r="F1551" s="268"/>
      <c r="G1551" s="263"/>
      <c r="H1551" s="267"/>
      <c r="I1551" s="263"/>
      <c r="J1551" s="263"/>
      <c r="K1551" s="263"/>
      <c r="L1551" s="264" t="str">
        <f>IFERROR(__xludf.DUMMYFUNCTION("""COMPUTED_VALUE"""),"You gain Alchemeister Core Crafting Abilities. | When using Throw Potion, you may infuse it using your own mana. You spend X mana and the mana cost the target needs to pay to benefit from the potion is reduced by X (the mana cost cannot go below 0).")</f>
        <v>You gain Alchemeister Core Crafting Abilities. | When using Throw Potion, you may infuse it using your own mana. You spend X mana and the mana cost the target needs to pay to benefit from the potion is reduced by X (the mana cost cannot go below 0).</v>
      </c>
      <c r="M1551" s="263"/>
      <c r="N1551" s="263"/>
      <c r="O1551" s="263"/>
      <c r="P1551" s="263"/>
      <c r="Q1551" s="263"/>
      <c r="R1551" s="263"/>
      <c r="S1551" s="263"/>
      <c r="T1551" s="263"/>
      <c r="U1551" s="246"/>
      <c r="V1551" s="246"/>
      <c r="W1551" s="246"/>
      <c r="X1551" s="246"/>
      <c r="Y1551" s="246"/>
      <c r="Z1551" s="246"/>
    </row>
    <row r="1552">
      <c r="A1552" s="263"/>
      <c r="B1552" s="265" t="str">
        <f>IFERROR(__xludf.DUMMYFUNCTION("""COMPUTED_VALUE"""),"Expert Farmer")</f>
        <v>Expert Farmer</v>
      </c>
      <c r="C1552" s="263"/>
      <c r="D1552" s="263"/>
      <c r="E1552" s="263"/>
      <c r="F1552" s="268"/>
      <c r="G1552" s="263"/>
      <c r="H1552" s="267"/>
      <c r="I1552" s="263"/>
      <c r="J1552" s="263"/>
      <c r="K1552" s="263"/>
      <c r="L1552" s="264" t="str">
        <f>IFERROR(__xludf.DUMMYFUNCTION("""COMPUTED_VALUE"""),"You may use the Agrarian's core crafting abilities.")</f>
        <v>You may use the Agrarian's core crafting abilities.</v>
      </c>
      <c r="M1552" s="263"/>
      <c r="N1552" s="263"/>
      <c r="O1552" s="263"/>
      <c r="P1552" s="263"/>
      <c r="Q1552" s="263"/>
      <c r="R1552" s="263"/>
      <c r="S1552" s="263"/>
      <c r="T1552" s="263"/>
      <c r="U1552" s="246"/>
      <c r="V1552" s="246"/>
      <c r="W1552" s="246"/>
      <c r="X1552" s="246"/>
      <c r="Y1552" s="246"/>
      <c r="Z1552" s="246"/>
    </row>
    <row r="1553">
      <c r="A1553" s="263"/>
      <c r="B1553" s="265" t="str">
        <f>IFERROR(__xludf.DUMMYFUNCTION("""COMPUTED_VALUE"""),"Expert Scribe")</f>
        <v>Expert Scribe</v>
      </c>
      <c r="C1553" s="263"/>
      <c r="D1553" s="263"/>
      <c r="E1553" s="263"/>
      <c r="F1553" s="268"/>
      <c r="G1553" s="263"/>
      <c r="H1553" s="267"/>
      <c r="I1553" s="263"/>
      <c r="J1553" s="263"/>
      <c r="K1553" s="263"/>
      <c r="L1553" s="264" t="str">
        <f>IFERROR(__xludf.DUMMYFUNCTION("""COMPUTED_VALUE"""),"You gain +5 points in Art: Calligraphy expertise skill. This is not doubled for expertise bonus. | You may draw scrolls, talismans or similar objects for 0 AP once per turn. When you do, reduce the AP cost of that talisman by 1. Even if you do not consume"&amp;" the talisman, it only benefits from the AP reduction once per turn.")</f>
        <v>You gain +5 points in Art: Calligraphy expertise skill. This is not doubled for expertise bonus. | You may draw scrolls, talismans or similar objects for 0 AP once per turn. When you do, reduce the AP cost of that talisman by 1. Even if you do not consume the talisman, it only benefits from the AP reduction once per turn.</v>
      </c>
      <c r="M1553" s="263"/>
      <c r="N1553" s="263"/>
      <c r="O1553" s="263"/>
      <c r="P1553" s="263"/>
      <c r="Q1553" s="263"/>
      <c r="R1553" s="263"/>
      <c r="S1553" s="263"/>
      <c r="T1553" s="263"/>
      <c r="U1553" s="246"/>
      <c r="V1553" s="246"/>
      <c r="W1553" s="246"/>
      <c r="X1553" s="246"/>
      <c r="Y1553" s="246"/>
      <c r="Z1553" s="246"/>
    </row>
    <row r="1554">
      <c r="A1554" s="263"/>
      <c r="B1554" s="265" t="str">
        <f>IFERROR(__xludf.DUMMYFUNCTION("""COMPUTED_VALUE"""),"Faerie Light Eyes")</f>
        <v>Faerie Light Eyes</v>
      </c>
      <c r="C1554" s="263"/>
      <c r="D1554" s="263"/>
      <c r="E1554" s="263"/>
      <c r="F1554" s="268"/>
      <c r="G1554" s="263"/>
      <c r="H1554" s="267"/>
      <c r="I1554" s="263"/>
      <c r="J1554" s="263"/>
      <c r="K1554" s="263"/>
      <c r="L1554" s="264" t="str">
        <f>IFERROR(__xludf.DUMMYFUNCTION("""COMPUTED_VALUE"""),"Faerie Light Eyes provide protection against Illusions, giving you the ability to immediately see the reality warping distortions that illusions cause. The user is not only notified of illusions, but immune to all but your own. | One of your eyes becomes "&amp;"a Faerie Light Eye. It may be used to make Mystic Eye type abilities of the appropriate type. An eye can only be a single mystic eye type.")</f>
        <v>Faerie Light Eyes provide protection against Illusions, giving you the ability to immediately see the reality warping distortions that illusions cause. The user is not only notified of illusions, but immune to all but your own. | One of your eyes becomes a Faerie Light Eye. It may be used to make Mystic Eye type abilities of the appropriate type. An eye can only be a single mystic eye type.</v>
      </c>
      <c r="M1554" s="263"/>
      <c r="N1554" s="263"/>
      <c r="O1554" s="263"/>
      <c r="P1554" s="263"/>
      <c r="Q1554" s="263"/>
      <c r="R1554" s="263"/>
      <c r="S1554" s="263"/>
      <c r="T1554" s="263"/>
      <c r="U1554" s="246"/>
      <c r="V1554" s="246"/>
      <c r="W1554" s="246"/>
      <c r="X1554" s="246"/>
      <c r="Y1554" s="246"/>
      <c r="Z1554" s="246"/>
    </row>
    <row r="1555">
      <c r="A1555" s="263"/>
      <c r="B1555" s="265" t="str">
        <f>IFERROR(__xludf.DUMMYFUNCTION("""COMPUTED_VALUE"""),"Fallen Friend")</f>
        <v>Fallen Friend</v>
      </c>
      <c r="C1555" s="263"/>
      <c r="D1555" s="263"/>
      <c r="E1555" s="263"/>
      <c r="F1555" s="268"/>
      <c r="G1555" s="263"/>
      <c r="H1555" s="267"/>
      <c r="I1555" s="263"/>
      <c r="J1555" s="263"/>
      <c r="K1555" s="263"/>
      <c r="L1555" s="264" t="str">
        <f>IFERROR(__xludf.DUMMYFUNCTION("""COMPUTED_VALUE"""),"When an Heroic tier ally reaches 0 HP, you may immediately enter Rage Stance for 0 AP and RP as well as 0 mana. You can use this even if you don’t have the Rage ability yet.")</f>
        <v>When an Heroic tier ally reaches 0 HP, you may immediately enter Rage Stance for 0 AP and RP as well as 0 mana. You can use this even if you don’t have the Rage ability yet.</v>
      </c>
      <c r="M1555" s="263"/>
      <c r="N1555" s="263"/>
      <c r="O1555" s="263"/>
      <c r="P1555" s="263"/>
      <c r="Q1555" s="263"/>
      <c r="R1555" s="263"/>
      <c r="S1555" s="263"/>
      <c r="T1555" s="263"/>
      <c r="U1555" s="246"/>
      <c r="V1555" s="246"/>
      <c r="W1555" s="246"/>
      <c r="X1555" s="246"/>
      <c r="Y1555" s="246"/>
      <c r="Z1555" s="246"/>
    </row>
    <row r="1556">
      <c r="A1556" s="263"/>
      <c r="B1556" s="265" t="str">
        <f>IFERROR(__xludf.DUMMYFUNCTION("""COMPUTED_VALUE"""),"Fancy Footwork")</f>
        <v>Fancy Footwork</v>
      </c>
      <c r="C1556" s="263"/>
      <c r="D1556" s="263"/>
      <c r="E1556" s="263"/>
      <c r="F1556" s="268"/>
      <c r="G1556" s="263"/>
      <c r="H1556" s="267"/>
      <c r="I1556" s="263"/>
      <c r="J1556" s="263"/>
      <c r="K1556" s="263"/>
      <c r="L1556" s="264" t="str">
        <f>IFERROR(__xludf.DUMMYFUNCTION("""COMPUTED_VALUE"""),"You gain proficiency with Dueling Weapons. While wielding a dueling weapon, you also gain the light blades' Nimble ability, even if not wielding or proficient with light blades.")</f>
        <v>You gain proficiency with Dueling Weapons. While wielding a dueling weapon, you also gain the light blades' Nimble ability, even if not wielding or proficient with light blades.</v>
      </c>
      <c r="M1556" s="263"/>
      <c r="N1556" s="263"/>
      <c r="O1556" s="263"/>
      <c r="P1556" s="263"/>
      <c r="Q1556" s="263"/>
      <c r="R1556" s="263"/>
      <c r="S1556" s="263"/>
      <c r="T1556" s="263"/>
      <c r="U1556" s="246"/>
      <c r="V1556" s="246"/>
      <c r="W1556" s="246"/>
      <c r="X1556" s="246"/>
      <c r="Y1556" s="246"/>
      <c r="Z1556" s="246"/>
    </row>
    <row r="1557">
      <c r="A1557" s="263"/>
      <c r="B1557" s="265" t="str">
        <f>IFERROR(__xludf.DUMMYFUNCTION("""COMPUTED_VALUE"""),"Farming Basics")</f>
        <v>Farming Basics</v>
      </c>
      <c r="C1557" s="263"/>
      <c r="D1557" s="263"/>
      <c r="E1557" s="263"/>
      <c r="F1557" s="268"/>
      <c r="G1557" s="263"/>
      <c r="H1557" s="267"/>
      <c r="I1557" s="263"/>
      <c r="J1557" s="263"/>
      <c r="K1557" s="263"/>
      <c r="L1557" s="264" t="str">
        <f>IFERROR(__xludf.DUMMYFUNCTION("""COMPUTED_VALUE"""),"You gain proficiency in the scythe specialized weapon and can use it as farming tool. You also gain proficiency in the Sickle and can use it as a farming tool and One-Handed axe. | You can plant seeds in plots of land that sprout into harvestable Food and"&amp;" Alchemy materials. You can work 10 plots of land. | You gain Farmer core abilities.")</f>
        <v>You gain proficiency in the scythe specialized weapon and can use it as farming tool. You also gain proficiency in the Sickle and can use it as a farming tool and One-Handed axe. | You can plant seeds in plots of land that sprout into harvestable Food and Alchemy materials. You can work 10 plots of land. | You gain Farmer core abilities.</v>
      </c>
      <c r="M1557" s="263"/>
      <c r="N1557" s="263"/>
      <c r="O1557" s="263"/>
      <c r="P1557" s="263"/>
      <c r="Q1557" s="263"/>
      <c r="R1557" s="263"/>
      <c r="S1557" s="263"/>
      <c r="T1557" s="263"/>
      <c r="U1557" s="246"/>
      <c r="V1557" s="246"/>
      <c r="W1557" s="246"/>
      <c r="X1557" s="246"/>
      <c r="Y1557" s="246"/>
      <c r="Z1557" s="246"/>
    </row>
    <row r="1558">
      <c r="A1558" s="263"/>
      <c r="B1558" s="265" t="str">
        <f>IFERROR(__xludf.DUMMYFUNCTION("""COMPUTED_VALUE"""),"Fighter's Journey")</f>
        <v>Fighter's Journey</v>
      </c>
      <c r="C1558" s="263"/>
      <c r="D1558" s="263"/>
      <c r="E1558" s="263"/>
      <c r="F1558" s="268"/>
      <c r="G1558" s="263"/>
      <c r="H1558" s="267"/>
      <c r="I1558" s="263"/>
      <c r="J1558" s="263"/>
      <c r="K1558" s="263"/>
      <c r="L1558" s="264" t="str">
        <f>IFERROR(__xludf.DUMMYFUNCTION("""COMPUTED_VALUE"""),"You gain proficiency in 5 common weapons groups. | You gain proficiency in all light armor, medium armor and normal shields. | You gain +5 HP.")</f>
        <v>You gain proficiency in 5 common weapons groups. | You gain proficiency in all light armor, medium armor and normal shields. | You gain +5 HP.</v>
      </c>
      <c r="M1558" s="263"/>
      <c r="N1558" s="263"/>
      <c r="O1558" s="263"/>
      <c r="P1558" s="263"/>
      <c r="Q1558" s="263"/>
      <c r="R1558" s="263"/>
      <c r="S1558" s="263"/>
      <c r="T1558" s="263"/>
      <c r="U1558" s="246"/>
      <c r="V1558" s="246"/>
      <c r="W1558" s="246"/>
      <c r="X1558" s="246"/>
      <c r="Y1558" s="246"/>
      <c r="Z1558" s="246"/>
    </row>
    <row r="1559">
      <c r="A1559" s="263"/>
      <c r="B1559" s="265" t="str">
        <f>IFERROR(__xludf.DUMMYFUNCTION("""COMPUTED_VALUE"""),"Fire Stance")</f>
        <v>Fire Stance</v>
      </c>
      <c r="C1559" s="263"/>
      <c r="D1559" s="263"/>
      <c r="E1559" s="263"/>
      <c r="F1559" s="268"/>
      <c r="G1559" s="263"/>
      <c r="H1559" s="267"/>
      <c r="I1559" s="263"/>
      <c r="J1559" s="263"/>
      <c r="K1559" s="263"/>
      <c r="L1559" s="264" t="str">
        <f>IFERROR(__xludf.DUMMYFUNCTION("""COMPUTED_VALUE"""),"You may use Tempestuous Fire Stance")</f>
        <v>You may use Tempestuous Fire Stance</v>
      </c>
      <c r="M1559" s="263"/>
      <c r="N1559" s="263"/>
      <c r="O1559" s="263"/>
      <c r="P1559" s="263"/>
      <c r="Q1559" s="263"/>
      <c r="R1559" s="263"/>
      <c r="S1559" s="263"/>
      <c r="T1559" s="263"/>
      <c r="U1559" s="246"/>
      <c r="V1559" s="246"/>
      <c r="W1559" s="246"/>
      <c r="X1559" s="246"/>
      <c r="Y1559" s="246"/>
      <c r="Z1559" s="246"/>
    </row>
    <row r="1560">
      <c r="A1560" s="263"/>
      <c r="B1560" s="265" t="str">
        <f>IFERROR(__xludf.DUMMYFUNCTION("""COMPUTED_VALUE"""),"Fire Weapon")</f>
        <v>Fire Weapon</v>
      </c>
      <c r="C1560" s="263"/>
      <c r="D1560" s="263"/>
      <c r="E1560" s="263"/>
      <c r="F1560" s="268"/>
      <c r="G1560" s="263"/>
      <c r="H1560" s="267"/>
      <c r="I1560" s="263"/>
      <c r="J1560" s="263"/>
      <c r="K1560" s="263"/>
      <c r="L1560" s="264" t="str">
        <f>IFERROR(__xludf.DUMMYFUNCTION("""COMPUTED_VALUE"""),"When attacking with a weapon, you may choose to have the weapon deal Fire Damage instead of its normal damage type. You must declare your chosen damage type before making the accuracy roll.")</f>
        <v>When attacking with a weapon, you may choose to have the weapon deal Fire Damage instead of its normal damage type. You must declare your chosen damage type before making the accuracy roll.</v>
      </c>
      <c r="M1560" s="263"/>
      <c r="N1560" s="263"/>
      <c r="O1560" s="263"/>
      <c r="P1560" s="263"/>
      <c r="Q1560" s="263"/>
      <c r="R1560" s="263"/>
      <c r="S1560" s="263"/>
      <c r="T1560" s="263"/>
      <c r="U1560" s="246"/>
      <c r="V1560" s="246"/>
      <c r="W1560" s="246"/>
      <c r="X1560" s="246"/>
      <c r="Y1560" s="246"/>
      <c r="Z1560" s="246"/>
    </row>
    <row r="1561">
      <c r="A1561" s="263"/>
      <c r="B1561" s="265" t="str">
        <f>IFERROR(__xludf.DUMMYFUNCTION("""COMPUTED_VALUE"""),"Five Harmonies")</f>
        <v>Five Harmonies</v>
      </c>
      <c r="C1561" s="263"/>
      <c r="D1561" s="263"/>
      <c r="E1561" s="263"/>
      <c r="F1561" s="268"/>
      <c r="G1561" s="263"/>
      <c r="H1561" s="267"/>
      <c r="I1561" s="263"/>
      <c r="J1561" s="263"/>
      <c r="K1561" s="263"/>
      <c r="L1561" s="264" t="str">
        <f>IFERROR(__xludf.DUMMYFUNCTION("""COMPUTED_VALUE"""),"You may use Luminous Form Stance.")</f>
        <v>You may use Luminous Form Stance.</v>
      </c>
      <c r="M1561" s="263"/>
      <c r="N1561" s="263"/>
      <c r="O1561" s="263"/>
      <c r="P1561" s="263"/>
      <c r="Q1561" s="263"/>
      <c r="R1561" s="263"/>
      <c r="S1561" s="263"/>
      <c r="T1561" s="263"/>
      <c r="U1561" s="246"/>
      <c r="V1561" s="246"/>
      <c r="W1561" s="246"/>
      <c r="X1561" s="246"/>
      <c r="Y1561" s="246"/>
      <c r="Z1561" s="246"/>
    </row>
    <row r="1562">
      <c r="A1562" s="263"/>
      <c r="B1562" s="265" t="str">
        <f>IFERROR(__xludf.DUMMYFUNCTION("""COMPUTED_VALUE"""),"Focused Weapons")</f>
        <v>Focused Weapons</v>
      </c>
      <c r="C1562" s="263"/>
      <c r="D1562" s="263"/>
      <c r="E1562" s="263"/>
      <c r="F1562" s="268"/>
      <c r="G1562" s="263"/>
      <c r="H1562" s="267"/>
      <c r="I1562" s="263"/>
      <c r="J1562" s="263"/>
      <c r="K1562" s="263"/>
      <c r="L1562" s="264" t="str">
        <f>IFERROR(__xludf.DUMMYFUNCTION("""COMPUTED_VALUE"""),"You gain Forgemaster Core Crafting Abilities. | You can craft using Mithril and Orihalcum.")</f>
        <v>You gain Forgemaster Core Crafting Abilities. | You can craft using Mithril and Orihalcum.</v>
      </c>
      <c r="M1562" s="263"/>
      <c r="N1562" s="263"/>
      <c r="O1562" s="263"/>
      <c r="P1562" s="263"/>
      <c r="Q1562" s="263"/>
      <c r="R1562" s="263"/>
      <c r="S1562" s="263"/>
      <c r="T1562" s="263"/>
      <c r="U1562" s="246"/>
      <c r="V1562" s="246"/>
      <c r="W1562" s="246"/>
      <c r="X1562" s="246"/>
      <c r="Y1562" s="246"/>
      <c r="Z1562" s="246"/>
    </row>
    <row r="1563">
      <c r="A1563" s="263"/>
      <c r="B1563" s="265" t="str">
        <f>IFERROR(__xludf.DUMMYFUNCTION("""COMPUTED_VALUE"""),"Forager's Path")</f>
        <v>Forager's Path</v>
      </c>
      <c r="C1563" s="263"/>
      <c r="D1563" s="263"/>
      <c r="E1563" s="263"/>
      <c r="F1563" s="268"/>
      <c r="G1563" s="263"/>
      <c r="H1563" s="267"/>
      <c r="I1563" s="263"/>
      <c r="J1563" s="263"/>
      <c r="K1563" s="263"/>
      <c r="L1563" s="264" t="str">
        <f>IFERROR(__xludf.DUMMYFUNCTION("""COMPUTED_VALUE"""),"You gain proficiency in Giant Scissors and proficiency in your choice between Axes or Hori. You may use axes for harvesting foraging outcrops. | You gain the ability to harvest Tier 1 Foraging Outcrops. | You gain the ability to use natural item as replac"&amp;"ements for an Adventurers Kit and Torches such as: using the sun/moss as a compass, using vines as rope etc. The material must be available (GM’s discretion) | You gain the ability to create Wood Blocks as an Errand. See item: Carpenter Materials. You may"&amp;" use an IP to do this 4 times instead.")</f>
        <v>You gain proficiency in Giant Scissors and proficiency in your choice between Axes or Hori. You may use axes for harvesting foraging outcrops. | You gain the ability to harvest Tier 1 Foraging Outcrops. | You gain the ability to use natural item as replacements for an Adventurers Kit and Torches such as: using the sun/moss as a compass, using vines as rope etc. The material must be available (GM’s discretion) | You gain the ability to create Wood Blocks as an Errand. See item: Carpenter Materials. You may use an IP to do this 4 times instead.</v>
      </c>
      <c r="M1563" s="263"/>
      <c r="N1563" s="263"/>
      <c r="O1563" s="263"/>
      <c r="P1563" s="263"/>
      <c r="Q1563" s="263"/>
      <c r="R1563" s="263"/>
      <c r="S1563" s="263"/>
      <c r="T1563" s="263"/>
      <c r="U1563" s="246"/>
      <c r="V1563" s="246"/>
      <c r="W1563" s="246"/>
      <c r="X1563" s="246"/>
      <c r="Y1563" s="246"/>
      <c r="Z1563" s="246"/>
    </row>
    <row r="1564">
      <c r="A1564" s="263"/>
      <c r="B1564" s="265" t="str">
        <f>IFERROR(__xludf.DUMMYFUNCTION("""COMPUTED_VALUE"""),"Frost Weapon")</f>
        <v>Frost Weapon</v>
      </c>
      <c r="C1564" s="263"/>
      <c r="D1564" s="263"/>
      <c r="E1564" s="263"/>
      <c r="F1564" s="268"/>
      <c r="G1564" s="263"/>
      <c r="H1564" s="267"/>
      <c r="I1564" s="263"/>
      <c r="J1564" s="263"/>
      <c r="K1564" s="263"/>
      <c r="L1564" s="264" t="str">
        <f>IFERROR(__xludf.DUMMYFUNCTION("""COMPUTED_VALUE"""),"When attacking with a weapon, you may choose to have the weapon deal Frost Damage instead of its normal damage type. You must declare you chosen damage type before making the accuracy roll.")</f>
        <v>When attacking with a weapon, you may choose to have the weapon deal Frost Damage instead of its normal damage type. You must declare you chosen damage type before making the accuracy roll.</v>
      </c>
      <c r="M1564" s="263"/>
      <c r="N1564" s="263"/>
      <c r="O1564" s="263"/>
      <c r="P1564" s="263"/>
      <c r="Q1564" s="263"/>
      <c r="R1564" s="263"/>
      <c r="S1564" s="263"/>
      <c r="T1564" s="263"/>
      <c r="U1564" s="246"/>
      <c r="V1564" s="246"/>
      <c r="W1564" s="246"/>
      <c r="X1564" s="246"/>
      <c r="Y1564" s="246"/>
      <c r="Z1564" s="246"/>
    </row>
    <row r="1565">
      <c r="A1565" s="263"/>
      <c r="B1565" s="265" t="str">
        <f>IFERROR(__xludf.DUMMYFUNCTION("""COMPUTED_VALUE"""),"Fungal Metabolite")</f>
        <v>Fungal Metabolite</v>
      </c>
      <c r="C1565" s="263"/>
      <c r="D1565" s="263"/>
      <c r="E1565" s="263"/>
      <c r="F1565" s="268"/>
      <c r="G1565" s="263"/>
      <c r="H1565" s="267"/>
      <c r="I1565" s="263"/>
      <c r="J1565" s="263"/>
      <c r="K1565" s="263"/>
      <c r="L1565" s="264" t="str">
        <f>IFERROR(__xludf.DUMMYFUNCTION("""COMPUTED_VALUE"""),"Due to symbiotic fungi within your body, you become resistant to all commonly known (book) poisons and may use Resist Poison. | After being infected by an exotic poison or disease and surviving, that poison/disease is added to your list of resistances. An"&amp;"y disease or poison that you are resistant to can be used with Amoxicillin. | Against a poison you are resistant to, you may use Resist Poison for 0 RP, 1 Mana instead of 1 RP.")</f>
        <v>Due to symbiotic fungi within your body, you become resistant to all commonly known (book) poisons and may use Resist Poison. | After being infected by an exotic poison or disease and surviving, that poison/disease is added to your list of resistances. Any disease or poison that you are resistant to can be used with Amoxicillin. | Against a poison you are resistant to, you may use Resist Poison for 0 RP, 1 Mana instead of 1 RP.</v>
      </c>
      <c r="M1565" s="263"/>
      <c r="N1565" s="263"/>
      <c r="O1565" s="263"/>
      <c r="P1565" s="263"/>
      <c r="Q1565" s="263"/>
      <c r="R1565" s="263"/>
      <c r="S1565" s="263"/>
      <c r="T1565" s="263"/>
      <c r="U1565" s="246"/>
      <c r="V1565" s="246"/>
      <c r="W1565" s="246"/>
      <c r="X1565" s="246"/>
      <c r="Y1565" s="246"/>
      <c r="Z1565" s="246"/>
    </row>
    <row r="1566">
      <c r="A1566" s="263"/>
      <c r="B1566" s="265" t="str">
        <f>IFERROR(__xludf.DUMMYFUNCTION("""COMPUTED_VALUE"""),"Giant Strength")</f>
        <v>Giant Strength</v>
      </c>
      <c r="C1566" s="263"/>
      <c r="D1566" s="263"/>
      <c r="E1566" s="263"/>
      <c r="F1566" s="268"/>
      <c r="G1566" s="263"/>
      <c r="H1566" s="267"/>
      <c r="I1566" s="263"/>
      <c r="J1566" s="263"/>
      <c r="K1566" s="263"/>
      <c r="L1566" s="264" t="str">
        <f>IFERROR(__xludf.DUMMYFUNCTION("""COMPUTED_VALUE"""),"While in Rage Stance, you may choose to have your size be treated as one size bigger than it actually is. You get an additional +5 bonus to Fitness checks during Rage stance regardless.")</f>
        <v>While in Rage Stance, you may choose to have your size be treated as one size bigger than it actually is. You get an additional +5 bonus to Fitness checks during Rage stance regardless.</v>
      </c>
      <c r="M1566" s="263"/>
      <c r="N1566" s="263"/>
      <c r="O1566" s="263"/>
      <c r="P1566" s="263"/>
      <c r="Q1566" s="263"/>
      <c r="R1566" s="263"/>
      <c r="S1566" s="263"/>
      <c r="T1566" s="263"/>
      <c r="U1566" s="246"/>
      <c r="V1566" s="246"/>
      <c r="W1566" s="246"/>
      <c r="X1566" s="246"/>
      <c r="Y1566" s="246"/>
      <c r="Z1566" s="246"/>
    </row>
    <row r="1567">
      <c r="A1567" s="263"/>
      <c r="B1567" s="265" t="str">
        <f>IFERROR(__xludf.DUMMYFUNCTION("""COMPUTED_VALUE"""),"Gravity Master")</f>
        <v>Gravity Master</v>
      </c>
      <c r="C1567" s="263"/>
      <c r="D1567" s="263"/>
      <c r="E1567" s="263"/>
      <c r="F1567" s="268"/>
      <c r="G1567" s="263"/>
      <c r="H1567" s="267"/>
      <c r="I1567" s="263"/>
      <c r="J1567" s="263"/>
      <c r="K1567" s="263"/>
      <c r="L1567" s="264" t="str">
        <f>IFERROR(__xludf.DUMMYFUNCTION("""COMPUTED_VALUE"""),"When you push or pull an enemy on your turn, you may spend 1 mana to increase this distance by 10ft. You may also spend 1 mana to instead ignore the effects of 1 source of Immovable on a target you’re attempting to push, unless that target is permanently "&amp;"Immovable.")</f>
        <v>When you push or pull an enemy on your turn, you may spend 1 mana to increase this distance by 10ft. You may also spend 1 mana to instead ignore the effects of 1 source of Immovable on a target you’re attempting to push, unless that target is permanently Immovable.</v>
      </c>
      <c r="M1567" s="263"/>
      <c r="N1567" s="263"/>
      <c r="O1567" s="263"/>
      <c r="P1567" s="263"/>
      <c r="Q1567" s="263"/>
      <c r="R1567" s="263"/>
      <c r="S1567" s="263"/>
      <c r="T1567" s="263"/>
      <c r="U1567" s="246"/>
      <c r="V1567" s="246"/>
      <c r="W1567" s="246"/>
      <c r="X1567" s="246"/>
      <c r="Y1567" s="246"/>
      <c r="Z1567" s="246"/>
    </row>
    <row r="1568">
      <c r="A1568" s="263"/>
      <c r="B1568" s="265" t="str">
        <f>IFERROR(__xludf.DUMMYFUNCTION("""COMPUTED_VALUE"""),"Greatshield Master")</f>
        <v>Greatshield Master</v>
      </c>
      <c r="C1568" s="263"/>
      <c r="D1568" s="263"/>
      <c r="E1568" s="263"/>
      <c r="F1568" s="268"/>
      <c r="G1568" s="263"/>
      <c r="H1568" s="267"/>
      <c r="I1568" s="263"/>
      <c r="J1568" s="263"/>
      <c r="K1568" s="263"/>
      <c r="L1568" s="264" t="str">
        <f>IFERROR(__xludf.DUMMYFUNCTION("""COMPUTED_VALUE"""),"You gain proficiency in Greatshields. While wearing a Greatshield, any ally standing behind you that is the target of a ranged attack may treat you as high cover.")</f>
        <v>You gain proficiency in Greatshields. While wearing a Greatshield, any ally standing behind you that is the target of a ranged attack may treat you as high cover.</v>
      </c>
      <c r="M1568" s="263"/>
      <c r="N1568" s="263"/>
      <c r="O1568" s="263"/>
      <c r="P1568" s="263"/>
      <c r="Q1568" s="263"/>
      <c r="R1568" s="263"/>
      <c r="S1568" s="263"/>
      <c r="T1568" s="263"/>
      <c r="U1568" s="246"/>
      <c r="V1568" s="246"/>
      <c r="W1568" s="246"/>
      <c r="X1568" s="246"/>
      <c r="Y1568" s="246"/>
      <c r="Z1568" s="246"/>
    </row>
    <row r="1569">
      <c r="A1569" s="263"/>
      <c r="B1569" s="265" t="str">
        <f>IFERROR(__xludf.DUMMYFUNCTION("""COMPUTED_VALUE"""),"Gun Martial Arts")</f>
        <v>Gun Martial Arts</v>
      </c>
      <c r="C1569" s="263"/>
      <c r="D1569" s="263"/>
      <c r="E1569" s="263"/>
      <c r="F1569" s="268"/>
      <c r="G1569" s="263"/>
      <c r="H1569" s="267"/>
      <c r="I1569" s="263"/>
      <c r="J1569" s="263"/>
      <c r="K1569" s="263"/>
      <c r="L1569" s="264" t="str">
        <f>IFERROR(__xludf.DUMMYFUNCTION("""COMPUTED_VALUE"""),"You can fire your pistols while in melee range of an enemy without provoking attacks of opportunity. | You can make unarmed attacks even if carrying a pistol in both hands. If wielding a weapon other than a pistol, this no longer applies. When wielding on"&amp;"ly pistols and no other weapons, your unarmed attacks benefit from your pistol material bonuses.")</f>
        <v>You can fire your pistols while in melee range of an enemy without provoking attacks of opportunity. | You can make unarmed attacks even if carrying a pistol in both hands. If wielding a weapon other than a pistol, this no longer applies. When wielding only pistols and no other weapons, your unarmed attacks benefit from your pistol material bonuses.</v>
      </c>
      <c r="M1569" s="263"/>
      <c r="N1569" s="263"/>
      <c r="O1569" s="263"/>
      <c r="P1569" s="263"/>
      <c r="Q1569" s="263"/>
      <c r="R1569" s="263"/>
      <c r="S1569" s="263"/>
      <c r="T1569" s="263"/>
      <c r="U1569" s="246"/>
      <c r="V1569" s="246"/>
      <c r="W1569" s="246"/>
      <c r="X1569" s="246"/>
      <c r="Y1569" s="246"/>
      <c r="Z1569" s="246"/>
    </row>
    <row r="1570">
      <c r="A1570" s="263"/>
      <c r="B1570" s="265" t="str">
        <f>IFERROR(__xludf.DUMMYFUNCTION("""COMPUTED_VALUE"""),"Gunslinger's Agility")</f>
        <v>Gunslinger's Agility</v>
      </c>
      <c r="C1570" s="263"/>
      <c r="D1570" s="263"/>
      <c r="E1570" s="263"/>
      <c r="F1570" s="268"/>
      <c r="G1570" s="263"/>
      <c r="H1570" s="267"/>
      <c r="I1570" s="263"/>
      <c r="J1570" s="263"/>
      <c r="K1570" s="263"/>
      <c r="L1570" s="264" t="str">
        <f>IFERROR(__xludf.DUMMYFUNCTION("""COMPUTED_VALUE"""),"You gain proficiency in pistols. | You gain +1 Gunslinger bonus to Initiative.")</f>
        <v>You gain proficiency in pistols. | You gain +1 Gunslinger bonus to Initiative.</v>
      </c>
      <c r="M1570" s="263"/>
      <c r="N1570" s="263"/>
      <c r="O1570" s="263"/>
      <c r="P1570" s="263"/>
      <c r="Q1570" s="263"/>
      <c r="R1570" s="263"/>
      <c r="S1570" s="263"/>
      <c r="T1570" s="263"/>
      <c r="U1570" s="246"/>
      <c r="V1570" s="246"/>
      <c r="W1570" s="246"/>
      <c r="X1570" s="246"/>
      <c r="Y1570" s="246"/>
      <c r="Z1570" s="246"/>
    </row>
    <row r="1571">
      <c r="A1571" s="263"/>
      <c r="B1571" s="265" t="str">
        <f>IFERROR(__xludf.DUMMYFUNCTION("""COMPUTED_VALUE"""),"Heavy Cavalry")</f>
        <v>Heavy Cavalry</v>
      </c>
      <c r="C1571" s="263"/>
      <c r="D1571" s="263"/>
      <c r="E1571" s="263"/>
      <c r="F1571" s="268"/>
      <c r="G1571" s="263"/>
      <c r="H1571" s="267"/>
      <c r="I1571" s="263"/>
      <c r="J1571" s="263"/>
      <c r="K1571" s="263"/>
      <c r="L1571" s="264" t="str">
        <f>IFERROR(__xludf.DUMMYFUNCTION("""COMPUTED_VALUE"""),"You gain Medium Armor and Heavy Armor proficiency. | Every enemy damaged by your Trample effects become Challenged by you until the start of your next turn.")</f>
        <v>You gain Medium Armor and Heavy Armor proficiency. | Every enemy damaged by your Trample effects become Challenged by you until the start of your next turn.</v>
      </c>
      <c r="M1571" s="263"/>
      <c r="N1571" s="263"/>
      <c r="O1571" s="263"/>
      <c r="P1571" s="263"/>
      <c r="Q1571" s="263"/>
      <c r="R1571" s="263"/>
      <c r="S1571" s="263"/>
      <c r="T1571" s="263"/>
      <c r="U1571" s="246"/>
      <c r="V1571" s="246"/>
      <c r="W1571" s="246"/>
      <c r="X1571" s="246"/>
      <c r="Y1571" s="246"/>
      <c r="Z1571" s="246"/>
    </row>
    <row r="1572">
      <c r="A1572" s="263"/>
      <c r="B1572" s="265" t="str">
        <f>IFERROR(__xludf.DUMMYFUNCTION("""COMPUTED_VALUE"""),"Holy Orders")</f>
        <v>Holy Orders</v>
      </c>
      <c r="C1572" s="263"/>
      <c r="D1572" s="263"/>
      <c r="E1572" s="263"/>
      <c r="F1572" s="268"/>
      <c r="G1572" s="263"/>
      <c r="H1572" s="267"/>
      <c r="I1572" s="263"/>
      <c r="J1572" s="263"/>
      <c r="K1572" s="263"/>
      <c r="L1572" s="264" t="str">
        <f>IFERROR(__xludf.DUMMYFUNCTION("""COMPUTED_VALUE"""),"You may use Holy Orders.")</f>
        <v>You may use Holy Orders.</v>
      </c>
      <c r="M1572" s="263"/>
      <c r="N1572" s="263"/>
      <c r="O1572" s="263"/>
      <c r="P1572" s="263"/>
      <c r="Q1572" s="263"/>
      <c r="R1572" s="263"/>
      <c r="S1572" s="263"/>
      <c r="T1572" s="263"/>
      <c r="U1572" s="246"/>
      <c r="V1572" s="246"/>
      <c r="W1572" s="246"/>
      <c r="X1572" s="246"/>
      <c r="Y1572" s="246"/>
      <c r="Z1572" s="246"/>
    </row>
    <row r="1573">
      <c r="A1573" s="263"/>
      <c r="B1573" s="265" t="str">
        <f>IFERROR(__xludf.DUMMYFUNCTION("""COMPUTED_VALUE"""),"Holy Weapon")</f>
        <v>Holy Weapon</v>
      </c>
      <c r="C1573" s="263"/>
      <c r="D1573" s="263"/>
      <c r="E1573" s="263"/>
      <c r="F1573" s="268"/>
      <c r="G1573" s="263"/>
      <c r="H1573" s="267"/>
      <c r="I1573" s="263"/>
      <c r="J1573" s="263"/>
      <c r="K1573" s="263"/>
      <c r="L1573" s="264" t="str">
        <f>IFERROR(__xludf.DUMMYFUNCTION("""COMPUTED_VALUE"""),"When attacking with a weapon, you may choose to have the weapon deal Holy Damage instead of its normal damage type. | You may choose to have your weapon emit light as if it was a lantern. You can enable or disable this effect for 1 AP.")</f>
        <v>When attacking with a weapon, you may choose to have the weapon deal Holy Damage instead of its normal damage type. | You may choose to have your weapon emit light as if it was a lantern. You can enable or disable this effect for 1 AP.</v>
      </c>
      <c r="M1573" s="263"/>
      <c r="N1573" s="263"/>
      <c r="O1573" s="263"/>
      <c r="P1573" s="263"/>
      <c r="Q1573" s="263"/>
      <c r="R1573" s="263"/>
      <c r="S1573" s="263"/>
      <c r="T1573" s="263"/>
      <c r="U1573" s="246"/>
      <c r="V1573" s="246"/>
      <c r="W1573" s="246"/>
      <c r="X1573" s="246"/>
      <c r="Y1573" s="246"/>
      <c r="Z1573" s="246"/>
    </row>
    <row r="1574">
      <c r="A1574" s="263"/>
      <c r="B1574" s="265" t="str">
        <f>IFERROR(__xludf.DUMMYFUNCTION("""COMPUTED_VALUE"""),"Iaijutsu")</f>
        <v>Iaijutsu</v>
      </c>
      <c r="C1574" s="263"/>
      <c r="D1574" s="263"/>
      <c r="E1574" s="263"/>
      <c r="F1574" s="268"/>
      <c r="G1574" s="263"/>
      <c r="H1574" s="267"/>
      <c r="I1574" s="263"/>
      <c r="J1574" s="263"/>
      <c r="K1574" s="263"/>
      <c r="L1574" s="264" t="str">
        <f>IFERROR(__xludf.DUMMYFUNCTION("""COMPUTED_VALUE"""),"If you become the target of an attack while you're surprised, you may still react to it and any special properties of an attack that require you to be unaware of the attack (such as Killshot) do not apply to it. | You may sheathe and draw katanas for 0 AP"&amp;" once per turn per katana. | You start each battle in the 'Iai' state, which is used for Iai abilities. Making an attack with a katana removes the Iai state for that weapon. Using a skill that requires the Iai state requires the weapon to be sheathed and "&amp;"will remove the Iai state for ALL your weapons, unless specified otherwise.")</f>
        <v>If you become the target of an attack while you're surprised, you may still react to it and any special properties of an attack that require you to be unaware of the attack (such as Killshot) do not apply to it. | You may sheathe and draw katanas for 0 AP once per turn per katana. | You start each battle in the 'Iai' state, which is used for Iai abilities. Making an attack with a katana removes the Iai state for that weapon. Using a skill that requires the Iai state requires the weapon to be sheathed and will remove the Iai state for ALL your weapons, unless specified otherwise.</v>
      </c>
      <c r="M1574" s="263"/>
      <c r="N1574" s="263"/>
      <c r="O1574" s="263"/>
      <c r="P1574" s="263"/>
      <c r="Q1574" s="263"/>
      <c r="R1574" s="263"/>
      <c r="S1574" s="263"/>
      <c r="T1574" s="263"/>
      <c r="U1574" s="246"/>
      <c r="V1574" s="246"/>
      <c r="W1574" s="246"/>
      <c r="X1574" s="246"/>
      <c r="Y1574" s="246"/>
      <c r="Z1574" s="246"/>
    </row>
    <row r="1575">
      <c r="A1575" s="263"/>
      <c r="B1575" s="265" t="str">
        <f>IFERROR(__xludf.DUMMYFUNCTION("""COMPUTED_VALUE"""),"Ice Cold")</f>
        <v>Ice Cold</v>
      </c>
      <c r="C1575" s="263"/>
      <c r="D1575" s="263"/>
      <c r="E1575" s="263"/>
      <c r="F1575" s="268"/>
      <c r="G1575" s="263"/>
      <c r="H1575" s="267"/>
      <c r="I1575" s="263"/>
      <c r="J1575" s="263"/>
      <c r="K1575" s="263"/>
      <c r="L1575" s="264" t="str">
        <f>IFERROR(__xludf.DUMMYFUNCTION("""COMPUTED_VALUE"""),"You are immune to Slows and difficult terrain effects with the Frost keyword. | You are immune to regular weather effects involving cold. | You gain Frost Mastery. Mastery of an element allows you to use it in Channeling weapon attacks and use it to perfo"&amp;"rm minor tricks relating to it.")</f>
        <v>You are immune to Slows and difficult terrain effects with the Frost keyword. | You are immune to regular weather effects involving cold. | You gain Frost Mastery. Mastery of an element allows you to use it in Channeling weapon attacks and use it to perform minor tricks relating to it.</v>
      </c>
      <c r="M1575" s="263"/>
      <c r="N1575" s="263"/>
      <c r="O1575" s="263"/>
      <c r="P1575" s="263"/>
      <c r="Q1575" s="263"/>
      <c r="R1575" s="263"/>
      <c r="S1575" s="263"/>
      <c r="T1575" s="263"/>
      <c r="U1575" s="246"/>
      <c r="V1575" s="246"/>
      <c r="W1575" s="246"/>
      <c r="X1575" s="246"/>
      <c r="Y1575" s="246"/>
      <c r="Z1575" s="246"/>
    </row>
    <row r="1576">
      <c r="A1576" s="263"/>
      <c r="B1576" s="265" t="str">
        <f>IFERROR(__xludf.DUMMYFUNCTION("""COMPUTED_VALUE"""),"Idol's Journey")</f>
        <v>Idol's Journey</v>
      </c>
      <c r="C1576" s="263"/>
      <c r="D1576" s="263"/>
      <c r="E1576" s="263"/>
      <c r="F1576" s="268"/>
      <c r="G1576" s="263"/>
      <c r="H1576" s="267"/>
      <c r="I1576" s="263"/>
      <c r="J1576" s="263"/>
      <c r="K1576" s="263"/>
      <c r="L1576" s="264" t="str">
        <f>IFERROR(__xludf.DUMMYFUNCTION("""COMPUTED_VALUE"""),"You gain proficiency in wands, small weapons and light armor. | You gain +5 skill points in Art. | You may use One Beat, One Heart")</f>
        <v>You gain proficiency in wands, small weapons and light armor. | You gain +5 skill points in Art. | You may use One Beat, One Heart</v>
      </c>
      <c r="M1576" s="263"/>
      <c r="N1576" s="263"/>
      <c r="O1576" s="263"/>
      <c r="P1576" s="263"/>
      <c r="Q1576" s="263"/>
      <c r="R1576" s="263"/>
      <c r="S1576" s="263"/>
      <c r="T1576" s="263"/>
      <c r="U1576" s="246"/>
      <c r="V1576" s="246"/>
      <c r="W1576" s="246"/>
      <c r="X1576" s="246"/>
      <c r="Y1576" s="246"/>
      <c r="Z1576" s="246"/>
    </row>
    <row r="1577">
      <c r="A1577" s="263"/>
      <c r="B1577" s="265" t="str">
        <f>IFERROR(__xludf.DUMMYFUNCTION("""COMPUTED_VALUE"""),"Improved Death Perception")</f>
        <v>Improved Death Perception</v>
      </c>
      <c r="C1577" s="263"/>
      <c r="D1577" s="263"/>
      <c r="E1577" s="263"/>
      <c r="F1577" s="268"/>
      <c r="G1577" s="263"/>
      <c r="H1577" s="267"/>
      <c r="I1577" s="263"/>
      <c r="J1577" s="263"/>
      <c r="K1577" s="263"/>
      <c r="L1577" s="264" t="str">
        <f>IFERROR(__xludf.DUMMYFUNCTION("""COMPUTED_VALUE"""),"You can see the death of non-living things allowing you to automatically do maximum, full pierce damage against objects. | You apply 1 Mark of Death every time you hit an enemy with ‘Lines of Death’ or ‘Point of Death’ up to a maximum of 7 marks.")</f>
        <v>You can see the death of non-living things allowing you to automatically do maximum, full pierce damage against objects. | You apply 1 Mark of Death every time you hit an enemy with ‘Lines of Death’ or ‘Point of Death’ up to a maximum of 7 marks.</v>
      </c>
      <c r="M1577" s="263"/>
      <c r="N1577" s="263"/>
      <c r="O1577" s="263"/>
      <c r="P1577" s="263"/>
      <c r="Q1577" s="263"/>
      <c r="R1577" s="263"/>
      <c r="S1577" s="263"/>
      <c r="T1577" s="263"/>
      <c r="U1577" s="246"/>
      <c r="V1577" s="246"/>
      <c r="W1577" s="246"/>
      <c r="X1577" s="246"/>
      <c r="Y1577" s="246"/>
      <c r="Z1577" s="246"/>
    </row>
    <row r="1578">
      <c r="A1578" s="263"/>
      <c r="B1578" s="265" t="str">
        <f>IFERROR(__xludf.DUMMYFUNCTION("""COMPUTED_VALUE"""),"Improvised Weaponry")</f>
        <v>Improvised Weaponry</v>
      </c>
      <c r="C1578" s="263"/>
      <c r="D1578" s="263"/>
      <c r="E1578" s="263"/>
      <c r="F1578" s="268"/>
      <c r="G1578" s="263"/>
      <c r="H1578" s="267"/>
      <c r="I1578" s="263"/>
      <c r="J1578" s="263"/>
      <c r="K1578" s="263"/>
      <c r="L1578" s="264" t="str">
        <f>IFERROR(__xludf.DUMMYFUNCTION("""COMPUTED_VALUE"""),"When using improvised weapons, they deal the same damage as normal weapons would. | You may use Chair Grab. | Upon mastering this class, your improvised weapon attacks all gain the Prone keyword.")</f>
        <v>When using improvised weapons, they deal the same damage as normal weapons would. | You may use Chair Grab. | Upon mastering this class, your improvised weapon attacks all gain the Prone keyword.</v>
      </c>
      <c r="M1578" s="263"/>
      <c r="N1578" s="263"/>
      <c r="O1578" s="263"/>
      <c r="P1578" s="263"/>
      <c r="Q1578" s="263"/>
      <c r="R1578" s="263"/>
      <c r="S1578" s="263"/>
      <c r="T1578" s="263"/>
      <c r="U1578" s="246"/>
      <c r="V1578" s="246"/>
      <c r="W1578" s="246"/>
      <c r="X1578" s="246"/>
      <c r="Y1578" s="246"/>
      <c r="Z1578" s="246"/>
    </row>
    <row r="1579">
      <c r="A1579" s="263"/>
      <c r="B1579" s="265" t="str">
        <f>IFERROR(__xludf.DUMMYFUNCTION("""COMPUTED_VALUE"""),"Inconspicuous")</f>
        <v>Inconspicuous</v>
      </c>
      <c r="C1579" s="263"/>
      <c r="D1579" s="263"/>
      <c r="E1579" s="263"/>
      <c r="F1579" s="268"/>
      <c r="G1579" s="263"/>
      <c r="H1579" s="267"/>
      <c r="I1579" s="263"/>
      <c r="J1579" s="263"/>
      <c r="K1579" s="263"/>
      <c r="L1579" s="264" t="str">
        <f>IFERROR(__xludf.DUMMYFUNCTION("""COMPUTED_VALUE"""),"If you're traveling stealthily, you may roll separate stealth checks even if traveling with the party. When doing this, any surprise rounds for you are determined purely off your own rolls and not your parties. | During a surprise round, enemies you attac"&amp;"k are still treated as having 0 RP for the purposes of ability requirements even after you attack them until they start their turn. You still gain this benefit, even if your allies attacked them already.")</f>
        <v>If you're traveling stealthily, you may roll separate stealth checks even if traveling with the party. When doing this, any surprise rounds for you are determined purely off your own rolls and not your parties. | During a surprise round, enemies you attack are still treated as having 0 RP for the purposes of ability requirements even after you attack them until they start their turn. You still gain this benefit, even if your allies attacked them already.</v>
      </c>
      <c r="M1579" s="263"/>
      <c r="N1579" s="263"/>
      <c r="O1579" s="263"/>
      <c r="P1579" s="263"/>
      <c r="Q1579" s="263"/>
      <c r="R1579" s="263"/>
      <c r="S1579" s="263"/>
      <c r="T1579" s="263"/>
      <c r="U1579" s="246"/>
      <c r="V1579" s="246"/>
      <c r="W1579" s="246"/>
      <c r="X1579" s="246"/>
      <c r="Y1579" s="246"/>
      <c r="Z1579" s="246"/>
    </row>
    <row r="1580">
      <c r="A1580" s="263"/>
      <c r="B1580" s="265" t="str">
        <f>IFERROR(__xludf.DUMMYFUNCTION("""COMPUTED_VALUE"""),"Independent Actor")</f>
        <v>Independent Actor</v>
      </c>
      <c r="C1580" s="263"/>
      <c r="D1580" s="263"/>
      <c r="E1580" s="263"/>
      <c r="F1580" s="268"/>
      <c r="G1580" s="263"/>
      <c r="H1580" s="267"/>
      <c r="I1580" s="263"/>
      <c r="J1580" s="263"/>
      <c r="K1580" s="263"/>
      <c r="L1580" s="264" t="str">
        <f>IFERROR(__xludf.DUMMYFUNCTION("""COMPUTED_VALUE"""),"When working alone (No known allies within 300ft of you) you gain a +10 bonus to Perception, Insight, Survival and Stealth checks. Must be alone for at least 15 minutes to gain this benefit. | You gain a +5 bonus in Art (Cartography) expertise. This is no"&amp;"t doubled for expertise bonus. | You may use Scout’s Retreat. | Having an Aetherie or similar connection active automatically fails the ‘No known allies’ requirements.")</f>
        <v>When working alone (No known allies within 300ft of you) you gain a +10 bonus to Perception, Insight, Survival and Stealth checks. Must be alone for at least 15 minutes to gain this benefit. | You gain a +5 bonus in Art (Cartography) expertise. This is not doubled for expertise bonus. | You may use Scout’s Retreat. | Having an Aetherie or similar connection active automatically fails the ‘No known allies’ requirements.</v>
      </c>
      <c r="M1580" s="263"/>
      <c r="N1580" s="263"/>
      <c r="O1580" s="263"/>
      <c r="P1580" s="263"/>
      <c r="Q1580" s="263"/>
      <c r="R1580" s="263"/>
      <c r="S1580" s="263"/>
      <c r="T1580" s="263"/>
      <c r="U1580" s="246"/>
      <c r="V1580" s="246"/>
      <c r="W1580" s="246"/>
      <c r="X1580" s="246"/>
      <c r="Y1580" s="246"/>
      <c r="Z1580" s="246"/>
    </row>
    <row r="1581">
      <c r="A1581" s="263"/>
      <c r="B1581" s="265" t="str">
        <f>IFERROR(__xludf.DUMMYFUNCTION("""COMPUTED_VALUE"""),"Infiltrate")</f>
        <v>Infiltrate</v>
      </c>
      <c r="C1581" s="263"/>
      <c r="D1581" s="263"/>
      <c r="E1581" s="263"/>
      <c r="F1581" s="268"/>
      <c r="G1581" s="263"/>
      <c r="H1581" s="267"/>
      <c r="I1581" s="263"/>
      <c r="J1581" s="263"/>
      <c r="K1581" s="263"/>
      <c r="L1581" s="264" t="str">
        <f>IFERROR(__xludf.DUMMYFUNCTION("""COMPUTED_VALUE"""),"When you use Decipher Magic, you may use Roguecraft instead of Magic as the skill for it. In addition, you can modify the effect in such a way that it no longer affects you and your allies rather than completely disabling it.")</f>
        <v>When you use Decipher Magic, you may use Roguecraft instead of Magic as the skill for it. In addition, you can modify the effect in such a way that it no longer affects you and your allies rather than completely disabling it.</v>
      </c>
      <c r="M1581" s="263"/>
      <c r="N1581" s="263"/>
      <c r="O1581" s="263"/>
      <c r="P1581" s="263"/>
      <c r="Q1581" s="263"/>
      <c r="R1581" s="263"/>
      <c r="S1581" s="263"/>
      <c r="T1581" s="263"/>
      <c r="U1581" s="246"/>
      <c r="V1581" s="246"/>
      <c r="W1581" s="246"/>
      <c r="X1581" s="246"/>
      <c r="Y1581" s="246"/>
      <c r="Z1581" s="246"/>
    </row>
    <row r="1582">
      <c r="A1582" s="263"/>
      <c r="B1582" s="265" t="str">
        <f>IFERROR(__xludf.DUMMYFUNCTION("""COMPUTED_VALUE"""),"Jump")</f>
        <v>Jump</v>
      </c>
      <c r="C1582" s="263"/>
      <c r="D1582" s="263"/>
      <c r="E1582" s="263"/>
      <c r="F1582" s="268"/>
      <c r="G1582" s="263"/>
      <c r="H1582" s="267"/>
      <c r="I1582" s="263"/>
      <c r="J1582" s="263"/>
      <c r="K1582" s="263"/>
      <c r="L1582" s="264" t="str">
        <f>IFERROR(__xludf.DUMMYFUNCTION("""COMPUTED_VALUE"""),"When using an ability with the Jump keyword, you do not take fall damage. | You may use Jump.")</f>
        <v>When using an ability with the Jump keyword, you do not take fall damage. | You may use Jump.</v>
      </c>
      <c r="M1582" s="263"/>
      <c r="N1582" s="263"/>
      <c r="O1582" s="263"/>
      <c r="P1582" s="263"/>
      <c r="Q1582" s="263"/>
      <c r="R1582" s="263"/>
      <c r="S1582" s="263"/>
      <c r="T1582" s="263"/>
      <c r="U1582" s="246"/>
      <c r="V1582" s="246"/>
      <c r="W1582" s="246"/>
      <c r="X1582" s="246"/>
      <c r="Y1582" s="246"/>
      <c r="Z1582" s="246"/>
    </row>
    <row r="1583">
      <c r="A1583" s="263"/>
      <c r="B1583" s="265" t="str">
        <f>IFERROR(__xludf.DUMMYFUNCTION("""COMPUTED_VALUE"""),"Knight of Yddrasil")</f>
        <v>Knight of Yddrasil</v>
      </c>
      <c r="C1583" s="263"/>
      <c r="D1583" s="263"/>
      <c r="E1583" s="263"/>
      <c r="F1583" s="268"/>
      <c r="G1583" s="263"/>
      <c r="H1583" s="267"/>
      <c r="I1583" s="263"/>
      <c r="J1583" s="263"/>
      <c r="K1583" s="263"/>
      <c r="L1583" s="264" t="str">
        <f>IFERROR(__xludf.DUMMYFUNCTION("""COMPUTED_VALUE"""),"You may use Fluttering Blade. | If an enemy is holding a weapon affected by your Fluttering Blade, you may spend 1 RP to deal Heavy Full Pierce damage to it.")</f>
        <v>You may use Fluttering Blade. | If an enemy is holding a weapon affected by your Fluttering Blade, you may spend 1 RP to deal Heavy Full Pierce damage to it.</v>
      </c>
      <c r="M1583" s="263"/>
      <c r="N1583" s="263"/>
      <c r="O1583" s="263"/>
      <c r="P1583" s="263"/>
      <c r="Q1583" s="263"/>
      <c r="R1583" s="263"/>
      <c r="S1583" s="263"/>
      <c r="T1583" s="263"/>
      <c r="U1583" s="246"/>
      <c r="V1583" s="246"/>
      <c r="W1583" s="246"/>
      <c r="X1583" s="246"/>
      <c r="Y1583" s="246"/>
      <c r="Z1583" s="246"/>
    </row>
    <row r="1584">
      <c r="A1584" s="263"/>
      <c r="B1584" s="265" t="str">
        <f>IFERROR(__xludf.DUMMYFUNCTION("""COMPUTED_VALUE"""),"Knight of Yddrasil II")</f>
        <v>Knight of Yddrasil II</v>
      </c>
      <c r="C1584" s="263"/>
      <c r="D1584" s="263"/>
      <c r="E1584" s="263"/>
      <c r="F1584" s="268"/>
      <c r="G1584" s="263"/>
      <c r="H1584" s="267"/>
      <c r="I1584" s="263"/>
      <c r="J1584" s="263"/>
      <c r="K1584" s="263"/>
      <c r="L1584" s="264" t="str">
        <f>IFERROR(__xludf.DUMMYFUNCTION("""COMPUTED_VALUE"""),"You may use Fae Knight Style: Willow Stance")</f>
        <v>You may use Fae Knight Style: Willow Stance</v>
      </c>
      <c r="M1584" s="263"/>
      <c r="N1584" s="263"/>
      <c r="O1584" s="263"/>
      <c r="P1584" s="263"/>
      <c r="Q1584" s="263"/>
      <c r="R1584" s="263"/>
      <c r="S1584" s="263"/>
      <c r="T1584" s="263"/>
      <c r="U1584" s="246"/>
      <c r="V1584" s="246"/>
      <c r="W1584" s="246"/>
      <c r="X1584" s="246"/>
      <c r="Y1584" s="246"/>
      <c r="Z1584" s="246"/>
    </row>
    <row r="1585">
      <c r="A1585" s="263"/>
      <c r="B1585" s="265" t="str">
        <f>IFERROR(__xludf.DUMMYFUNCTION("""COMPUTED_VALUE"""),"Light Cavalry")</f>
        <v>Light Cavalry</v>
      </c>
      <c r="C1585" s="263"/>
      <c r="D1585" s="263"/>
      <c r="E1585" s="263"/>
      <c r="F1585" s="268"/>
      <c r="G1585" s="263"/>
      <c r="H1585" s="267"/>
      <c r="I1585" s="263"/>
      <c r="J1585" s="263"/>
      <c r="K1585" s="263"/>
      <c r="L1585" s="264" t="str">
        <f>IFERROR(__xludf.DUMMYFUNCTION("""COMPUTED_VALUE"""),"While mounted and while you and your mount both wear light armor or no armor, you ignore natural difficult terrain.")</f>
        <v>While mounted and while you and your mount both wear light armor or no armor, you ignore natural difficult terrain.</v>
      </c>
      <c r="M1585" s="263"/>
      <c r="N1585" s="263"/>
      <c r="O1585" s="263"/>
      <c r="P1585" s="263"/>
      <c r="Q1585" s="263"/>
      <c r="R1585" s="263"/>
      <c r="S1585" s="263"/>
      <c r="T1585" s="263"/>
      <c r="U1585" s="246"/>
      <c r="V1585" s="246"/>
      <c r="W1585" s="246"/>
      <c r="X1585" s="246"/>
      <c r="Y1585" s="246"/>
      <c r="Z1585" s="246"/>
    </row>
    <row r="1586">
      <c r="A1586" s="263"/>
      <c r="B1586" s="265" t="str">
        <f>IFERROR(__xludf.DUMMYFUNCTION("""COMPUTED_VALUE"""),"Lightning Strikes Twice")</f>
        <v>Lightning Strikes Twice</v>
      </c>
      <c r="C1586" s="263"/>
      <c r="D1586" s="263"/>
      <c r="E1586" s="263"/>
      <c r="F1586" s="268"/>
      <c r="G1586" s="263"/>
      <c r="H1586" s="267"/>
      <c r="I1586" s="263"/>
      <c r="J1586" s="263"/>
      <c r="K1586" s="263"/>
      <c r="L1586" s="264" t="str">
        <f>IFERROR(__xludf.DUMMYFUNCTION("""COMPUTED_VALUE"""),"When the Static you apply deals damage to an enemy, that enemy becomes afflicted with Static X, where X is the value of the Static that damaged it.")</f>
        <v>When the Static you apply deals damage to an enemy, that enemy becomes afflicted with Static X, where X is the value of the Static that damaged it.</v>
      </c>
      <c r="M1586" s="263"/>
      <c r="N1586" s="263"/>
      <c r="O1586" s="263"/>
      <c r="P1586" s="263"/>
      <c r="Q1586" s="263"/>
      <c r="R1586" s="263"/>
      <c r="S1586" s="263"/>
      <c r="T1586" s="263"/>
      <c r="U1586" s="246"/>
      <c r="V1586" s="246"/>
      <c r="W1586" s="246"/>
      <c r="X1586" s="246"/>
      <c r="Y1586" s="246"/>
      <c r="Z1586" s="246"/>
    </row>
    <row r="1587">
      <c r="A1587" s="263"/>
      <c r="B1587" s="265" t="str">
        <f>IFERROR(__xludf.DUMMYFUNCTION("""COMPUTED_VALUE"""),"Lightning Weapon")</f>
        <v>Lightning Weapon</v>
      </c>
      <c r="C1587" s="263"/>
      <c r="D1587" s="263"/>
      <c r="E1587" s="263"/>
      <c r="F1587" s="268"/>
      <c r="G1587" s="263"/>
      <c r="H1587" s="267"/>
      <c r="I1587" s="263"/>
      <c r="J1587" s="263"/>
      <c r="K1587" s="263"/>
      <c r="L1587" s="264" t="str">
        <f>IFERROR(__xludf.DUMMYFUNCTION("""COMPUTED_VALUE"""),"When attacking with a weapon, you may choose to have the weapon deal Lightning Damage instead of its normal damage type. You must declare your chosen damage type before making the accuracy roll.")</f>
        <v>When attacking with a weapon, you may choose to have the weapon deal Lightning Damage instead of its normal damage type. You must declare your chosen damage type before making the accuracy roll.</v>
      </c>
      <c r="M1587" s="263"/>
      <c r="N1587" s="263"/>
      <c r="O1587" s="263"/>
      <c r="P1587" s="263"/>
      <c r="Q1587" s="263"/>
      <c r="R1587" s="263"/>
      <c r="S1587" s="263"/>
      <c r="T1587" s="263"/>
      <c r="U1587" s="246"/>
      <c r="V1587" s="246"/>
      <c r="W1587" s="246"/>
      <c r="X1587" s="246"/>
      <c r="Y1587" s="246"/>
      <c r="Z1587" s="246"/>
    </row>
    <row r="1588">
      <c r="A1588" s="263"/>
      <c r="B1588" s="265" t="str">
        <f>IFERROR(__xludf.DUMMYFUNCTION("""COMPUTED_VALUE"""),"Living Cover")</f>
        <v>Living Cover</v>
      </c>
      <c r="C1588" s="263"/>
      <c r="D1588" s="263"/>
      <c r="E1588" s="263"/>
      <c r="F1588" s="268"/>
      <c r="G1588" s="263"/>
      <c r="H1588" s="267"/>
      <c r="I1588" s="263"/>
      <c r="J1588" s="263"/>
      <c r="K1588" s="263"/>
      <c r="L1588" s="264" t="str">
        <f>IFERROR(__xludf.DUMMYFUNCTION("""COMPUTED_VALUE"""),"While mounted, any ally within 5ft of you may use you as Low Cover. If an attack would miss them because of your cover benefit, the attack instead hits you.")</f>
        <v>While mounted, any ally within 5ft of you may use you as Low Cover. If an attack would miss them because of your cover benefit, the attack instead hits you.</v>
      </c>
      <c r="M1588" s="263"/>
      <c r="N1588" s="263"/>
      <c r="O1588" s="263"/>
      <c r="P1588" s="263"/>
      <c r="Q1588" s="263"/>
      <c r="R1588" s="263"/>
      <c r="S1588" s="263"/>
      <c r="T1588" s="263"/>
      <c r="U1588" s="246"/>
      <c r="V1588" s="246"/>
      <c r="W1588" s="246"/>
      <c r="X1588" s="246"/>
      <c r="Y1588" s="246"/>
      <c r="Z1588" s="246"/>
    </row>
    <row r="1589">
      <c r="A1589" s="263"/>
      <c r="B1589" s="265" t="str">
        <f>IFERROR(__xludf.DUMMYFUNCTION("""COMPUTED_VALUE"""),"Look of Death")</f>
        <v>Look of Death</v>
      </c>
      <c r="C1589" s="263"/>
      <c r="D1589" s="263"/>
      <c r="E1589" s="263"/>
      <c r="F1589" s="268"/>
      <c r="G1589" s="263"/>
      <c r="H1589" s="267"/>
      <c r="I1589" s="263"/>
      <c r="J1589" s="263"/>
      <c r="K1589" s="263"/>
      <c r="L1589" s="264" t="str">
        <f>IFERROR(__xludf.DUMMYFUNCTION("""COMPUTED_VALUE"""),"You may use Perish. | One of your eyes becomes an Destruction Eye. It may be used to make Mystic Eye type abilities of the appropriate type. An eye can only be a single mystic eye type.")</f>
        <v>You may use Perish. | One of your eyes becomes an Destruction Eye. It may be used to make Mystic Eye type abilities of the appropriate type. An eye can only be a single mystic eye type.</v>
      </c>
      <c r="M1589" s="263"/>
      <c r="N1589" s="263"/>
      <c r="O1589" s="263"/>
      <c r="P1589" s="263"/>
      <c r="Q1589" s="263"/>
      <c r="R1589" s="263"/>
      <c r="S1589" s="263"/>
      <c r="T1589" s="263"/>
      <c r="U1589" s="246"/>
      <c r="V1589" s="246"/>
      <c r="W1589" s="246"/>
      <c r="X1589" s="246"/>
      <c r="Y1589" s="246"/>
      <c r="Z1589" s="246"/>
    </row>
    <row r="1590">
      <c r="A1590" s="263"/>
      <c r="B1590" s="265" t="str">
        <f>IFERROR(__xludf.DUMMYFUNCTION("""COMPUTED_VALUE"""),"Lord's Dominion")</f>
        <v>Lord's Dominion</v>
      </c>
      <c r="C1590" s="263"/>
      <c r="D1590" s="263"/>
      <c r="E1590" s="263"/>
      <c r="F1590" s="268"/>
      <c r="G1590" s="263"/>
      <c r="H1590" s="267"/>
      <c r="I1590" s="263"/>
      <c r="J1590" s="263"/>
      <c r="K1590" s="263"/>
      <c r="L1590" s="264" t="str">
        <f>IFERROR(__xludf.DUMMYFUNCTION("""COMPUTED_VALUE"""),"You can partially resist the effect of the sun. You may now spend 1 round in the sun before you start taking damage. Spending a turn outside of the sun resets this effect, giving you another round where you do not suffer the negative effects. | You gain +"&amp;"1 Vampire Lord bonus to Presence.")</f>
        <v>You can partially resist the effect of the sun. You may now spend 1 round in the sun before you start taking damage. Spending a turn outside of the sun resets this effect, giving you another round where you do not suffer the negative effects. | You gain +1 Vampire Lord bonus to Presence.</v>
      </c>
      <c r="M1590" s="263"/>
      <c r="N1590" s="263"/>
      <c r="O1590" s="263"/>
      <c r="P1590" s="263"/>
      <c r="Q1590" s="263"/>
      <c r="R1590" s="263"/>
      <c r="S1590" s="263"/>
      <c r="T1590" s="263"/>
      <c r="U1590" s="246"/>
      <c r="V1590" s="246"/>
      <c r="W1590" s="246"/>
      <c r="X1590" s="246"/>
      <c r="Y1590" s="246"/>
      <c r="Z1590" s="246"/>
    </row>
    <row r="1591">
      <c r="A1591" s="263"/>
      <c r="B1591" s="265" t="str">
        <f>IFERROR(__xludf.DUMMYFUNCTION("""COMPUTED_VALUE"""),"Mage Armor")</f>
        <v>Mage Armor</v>
      </c>
      <c r="C1591" s="263"/>
      <c r="D1591" s="263"/>
      <c r="E1591" s="263"/>
      <c r="F1591" s="268"/>
      <c r="G1591" s="263"/>
      <c r="H1591" s="267"/>
      <c r="I1591" s="263"/>
      <c r="J1591" s="263"/>
      <c r="K1591" s="263"/>
      <c r="L1591" s="264" t="str">
        <f>IFERROR(__xludf.DUMMYFUNCTION("""COMPUTED_VALUE"""),"You may use Mage Armor")</f>
        <v>You may use Mage Armor</v>
      </c>
      <c r="M1591" s="263"/>
      <c r="N1591" s="263"/>
      <c r="O1591" s="263"/>
      <c r="P1591" s="263"/>
      <c r="Q1591" s="263"/>
      <c r="R1591" s="263"/>
      <c r="S1591" s="263"/>
      <c r="T1591" s="263"/>
      <c r="U1591" s="246"/>
      <c r="V1591" s="246"/>
      <c r="W1591" s="246"/>
      <c r="X1591" s="246"/>
      <c r="Y1591" s="246"/>
      <c r="Z1591" s="246"/>
    </row>
    <row r="1592">
      <c r="A1592" s="263"/>
      <c r="B1592" s="265" t="str">
        <f>IFERROR(__xludf.DUMMYFUNCTION("""COMPUTED_VALUE"""),"Mage Knight")</f>
        <v>Mage Knight</v>
      </c>
      <c r="C1592" s="263"/>
      <c r="D1592" s="263"/>
      <c r="E1592" s="263"/>
      <c r="F1592" s="268"/>
      <c r="G1592" s="263"/>
      <c r="H1592" s="267"/>
      <c r="I1592" s="263"/>
      <c r="J1592" s="263"/>
      <c r="K1592" s="263"/>
      <c r="L1592" s="264" t="str">
        <f>IFERROR(__xludf.DUMMYFUNCTION("""COMPUTED_VALUE"""),"You may also use Canter after casting a spell.")</f>
        <v>You may also use Canter after casting a spell.</v>
      </c>
      <c r="M1592" s="263"/>
      <c r="N1592" s="263"/>
      <c r="O1592" s="263"/>
      <c r="P1592" s="263"/>
      <c r="Q1592" s="263"/>
      <c r="R1592" s="263"/>
      <c r="S1592" s="263"/>
      <c r="T1592" s="263"/>
      <c r="U1592" s="246"/>
      <c r="V1592" s="246"/>
      <c r="W1592" s="246"/>
      <c r="X1592" s="246"/>
      <c r="Y1592" s="246"/>
      <c r="Z1592" s="246"/>
    </row>
    <row r="1593">
      <c r="A1593" s="263"/>
      <c r="B1593" s="265" t="str">
        <f>IFERROR(__xludf.DUMMYFUNCTION("""COMPUTED_VALUE"""),"Mage of the Tides")</f>
        <v>Mage of the Tides</v>
      </c>
      <c r="C1593" s="263"/>
      <c r="D1593" s="263"/>
      <c r="E1593" s="263"/>
      <c r="F1593" s="268"/>
      <c r="G1593" s="263"/>
      <c r="H1593" s="267"/>
      <c r="I1593" s="263"/>
      <c r="J1593" s="263"/>
      <c r="K1593" s="263"/>
      <c r="L1593" s="264" t="str">
        <f>IFERROR(__xludf.DUMMYFUNCTION("""COMPUTED_VALUE"""),"You can use Blue Tide. | You gain Elemental Mastery: Water | You gain the ability to walk on water and skate across its surface—every 10ft of water surface movement only costs 5ft of movement.")</f>
        <v>You can use Blue Tide. | You gain Elemental Mastery: Water | You gain the ability to walk on water and skate across its surface—every 10ft of water surface movement only costs 5ft of movement.</v>
      </c>
      <c r="M1593" s="263"/>
      <c r="N1593" s="263"/>
      <c r="O1593" s="263"/>
      <c r="P1593" s="263"/>
      <c r="Q1593" s="263"/>
      <c r="R1593" s="263"/>
      <c r="S1593" s="263"/>
      <c r="T1593" s="263"/>
      <c r="U1593" s="246"/>
      <c r="V1593" s="246"/>
      <c r="W1593" s="246"/>
      <c r="X1593" s="246"/>
      <c r="Y1593" s="246"/>
      <c r="Z1593" s="246"/>
    </row>
    <row r="1594">
      <c r="A1594" s="263"/>
      <c r="B1594" s="265" t="str">
        <f>IFERROR(__xludf.DUMMYFUNCTION("""COMPUTED_VALUE"""),"Mage's Journey")</f>
        <v>Mage's Journey</v>
      </c>
      <c r="C1594" s="263"/>
      <c r="D1594" s="263"/>
      <c r="E1594" s="263"/>
      <c r="F1594" s="268"/>
      <c r="G1594" s="263"/>
      <c r="H1594" s="267"/>
      <c r="I1594" s="263"/>
      <c r="J1594" s="263"/>
      <c r="K1594" s="263"/>
      <c r="L1594" s="264" t="str">
        <f>IFERROR(__xludf.DUMMYFUNCTION("""COMPUTED_VALUE"""),"You gain proficiency in the Channeling weapon group's weapons and gain Arcane Mastery. Mastery of an element allows you to use it in Channeling weapon attacks and use it to perform minor tricks relating to it. | You gain +5 skill points in the Magic skill"&amp;". | You can use Sense Magic.")</f>
        <v>You gain proficiency in the Channeling weapon group's weapons and gain Arcane Mastery. Mastery of an element allows you to use it in Channeling weapon attacks and use it to perform minor tricks relating to it. | You gain +5 skill points in the Magic skill. | You can use Sense Magic.</v>
      </c>
      <c r="M1594" s="263"/>
      <c r="N1594" s="263"/>
      <c r="O1594" s="263"/>
      <c r="P1594" s="263"/>
      <c r="Q1594" s="263"/>
      <c r="R1594" s="263"/>
      <c r="S1594" s="263"/>
      <c r="T1594" s="263"/>
      <c r="U1594" s="246"/>
      <c r="V1594" s="246"/>
      <c r="W1594" s="246"/>
      <c r="X1594" s="246"/>
      <c r="Y1594" s="246"/>
      <c r="Z1594" s="246"/>
    </row>
    <row r="1595">
      <c r="A1595" s="263"/>
      <c r="B1595" s="265" t="str">
        <f>IFERROR(__xludf.DUMMYFUNCTION("""COMPUTED_VALUE"""),"Magic Resistance")</f>
        <v>Magic Resistance</v>
      </c>
      <c r="C1595" s="263"/>
      <c r="D1595" s="263"/>
      <c r="E1595" s="263"/>
      <c r="F1595" s="268"/>
      <c r="G1595" s="263"/>
      <c r="H1595" s="267"/>
      <c r="I1595" s="263"/>
      <c r="J1595" s="263"/>
      <c r="K1595" s="263"/>
      <c r="L1595" s="264" t="str">
        <f>IFERROR(__xludf.DUMMYFUNCTION("""COMPUTED_VALUE"""),"You gain a +2 Anti-Mage bonus to your saves against Spells.")</f>
        <v>You gain a +2 Anti-Mage bonus to your saves against Spells.</v>
      </c>
      <c r="M1595" s="263"/>
      <c r="N1595" s="263"/>
      <c r="O1595" s="263"/>
      <c r="P1595" s="263"/>
      <c r="Q1595" s="263"/>
      <c r="R1595" s="263"/>
      <c r="S1595" s="263"/>
      <c r="T1595" s="263"/>
      <c r="U1595" s="246"/>
      <c r="V1595" s="246"/>
      <c r="W1595" s="246"/>
      <c r="X1595" s="246"/>
      <c r="Y1595" s="246"/>
      <c r="Z1595" s="246"/>
    </row>
    <row r="1596">
      <c r="A1596" s="263"/>
      <c r="B1596" s="265" t="str">
        <f>IFERROR(__xludf.DUMMYFUNCTION("""COMPUTED_VALUE"""),"Maid Training")</f>
        <v>Maid Training</v>
      </c>
      <c r="C1596" s="263"/>
      <c r="D1596" s="263"/>
      <c r="E1596" s="263"/>
      <c r="F1596" s="268"/>
      <c r="G1596" s="263"/>
      <c r="H1596" s="267"/>
      <c r="I1596" s="263"/>
      <c r="J1596" s="263"/>
      <c r="K1596" s="263"/>
      <c r="L1596" s="264" t="str">
        <f>IFERROR(__xludf.DUMMYFUNCTION("""COMPUTED_VALUE"""),"You gain proficiency in staves (broom), small weapons, sets of missiles and light armor. | You gain 5 skill points to spend in Athletics, Stealth, Roguecraft, Medicine, Common Knowledge, Linguistics, Appraise, History, Perception, Insight, Survival or Int"&amp;"imidation. You can exchange any skill point for 2 expertise points, but must spend them in these skills. | You may use Graceful Service.")</f>
        <v>You gain proficiency in staves (broom), small weapons, sets of missiles and light armor. | You gain 5 skill points to spend in Athletics, Stealth, Roguecraft, Medicine, Common Knowledge, Linguistics, Appraise, History, Perception, Insight, Survival or Intimidation. You can exchange any skill point for 2 expertise points, but must spend them in these skills. | You may use Graceful Service.</v>
      </c>
      <c r="M1596" s="263"/>
      <c r="N1596" s="263"/>
      <c r="O1596" s="263"/>
      <c r="P1596" s="263"/>
      <c r="Q1596" s="263"/>
      <c r="R1596" s="263"/>
      <c r="S1596" s="263"/>
      <c r="T1596" s="263"/>
      <c r="U1596" s="246"/>
      <c r="V1596" s="246"/>
      <c r="W1596" s="246"/>
      <c r="X1596" s="246"/>
      <c r="Y1596" s="246"/>
      <c r="Z1596" s="246"/>
    </row>
    <row r="1597">
      <c r="A1597" s="263"/>
      <c r="B1597" s="265" t="str">
        <f>IFERROR(__xludf.DUMMYFUNCTION("""COMPUTED_VALUE"""),"Mana Sight")</f>
        <v>Mana Sight</v>
      </c>
      <c r="C1597" s="263"/>
      <c r="D1597" s="263"/>
      <c r="E1597" s="263"/>
      <c r="F1597" s="268"/>
      <c r="G1597" s="263"/>
      <c r="H1597" s="267"/>
      <c r="I1597" s="263"/>
      <c r="J1597" s="263"/>
      <c r="K1597" s="263"/>
      <c r="L1597" s="264" t="str">
        <f>IFERROR(__xludf.DUMMYFUNCTION("""COMPUTED_VALUE"""),"You may use Mana Sight. | One of your eyes becomes an Life Perception Eye. It may be used to make Mystic Eye type abilities of the appropriate type. An eye can only be a single mystic eye type. | When making an attack with the Mystic Eye keyword that use "&amp;"the Life Perception eye, you ignore 1 point of guard.")</f>
        <v>You may use Mana Sight. | One of your eyes becomes an Life Perception Eye. It may be used to make Mystic Eye type abilities of the appropriate type. An eye can only be a single mystic eye type. | When making an attack with the Mystic Eye keyword that use the Life Perception eye, you ignore 1 point of guard.</v>
      </c>
      <c r="M1597" s="263"/>
      <c r="N1597" s="263"/>
      <c r="O1597" s="263"/>
      <c r="P1597" s="263"/>
      <c r="Q1597" s="263"/>
      <c r="R1597" s="263"/>
      <c r="S1597" s="263"/>
      <c r="T1597" s="263"/>
      <c r="U1597" s="246"/>
      <c r="V1597" s="246"/>
      <c r="W1597" s="246"/>
      <c r="X1597" s="246"/>
      <c r="Y1597" s="246"/>
      <c r="Z1597" s="246"/>
    </row>
    <row r="1598">
      <c r="A1598" s="263"/>
      <c r="B1598" s="265" t="str">
        <f>IFERROR(__xludf.DUMMYFUNCTION("""COMPUTED_VALUE"""),"Martial Artist's Journey")</f>
        <v>Martial Artist's Journey</v>
      </c>
      <c r="C1598" s="263"/>
      <c r="D1598" s="263"/>
      <c r="E1598" s="263"/>
      <c r="F1598" s="268"/>
      <c r="G1598" s="263"/>
      <c r="H1598" s="267"/>
      <c r="I1598" s="263"/>
      <c r="J1598" s="263"/>
      <c r="K1598" s="263"/>
      <c r="L1598" s="264" t="str">
        <f>IFERROR(__xludf.DUMMYFUNCTION("""COMPUTED_VALUE"""),"Your unarmed attack damage is treated as a One-Handed Weapon in which you are proficient. | You gain +5 skill points to spend in Athletics, Perception, Insight, Medicine, Intimidation or a relevant Expert Knowledge skill (By DM approval). You can exchange"&amp;" any skill point for 2 expertise points, but must spend them in these skills. | You can use Discipline.")</f>
        <v>Your unarmed attack damage is treated as a One-Handed Weapon in which you are proficient. | You gain +5 skill points to spend in Athletics, Perception, Insight, Medicine, Intimidation or a relevant Expert Knowledge skill (By DM approval). You can exchange any skill point for 2 expertise points, but must spend them in these skills. | You can use Discipline.</v>
      </c>
      <c r="M1598" s="263"/>
      <c r="N1598" s="263"/>
      <c r="O1598" s="263"/>
      <c r="P1598" s="263"/>
      <c r="Q1598" s="263"/>
      <c r="R1598" s="263"/>
      <c r="S1598" s="263"/>
      <c r="T1598" s="263"/>
      <c r="U1598" s="246"/>
      <c r="V1598" s="246"/>
      <c r="W1598" s="246"/>
      <c r="X1598" s="246"/>
      <c r="Y1598" s="246"/>
      <c r="Z1598" s="246"/>
    </row>
    <row r="1599">
      <c r="A1599" s="263"/>
      <c r="B1599" s="265" t="str">
        <f>IFERROR(__xludf.DUMMYFUNCTION("""COMPUTED_VALUE"""),"Mass Index")</f>
        <v>Mass Index</v>
      </c>
      <c r="C1599" s="263"/>
      <c r="D1599" s="263"/>
      <c r="E1599" s="263"/>
      <c r="F1599" s="268"/>
      <c r="G1599" s="263"/>
      <c r="H1599" s="267"/>
      <c r="I1599" s="263"/>
      <c r="J1599" s="263"/>
      <c r="K1599" s="263"/>
      <c r="L1599" s="264" t="str">
        <f>IFERROR(__xludf.DUMMYFUNCTION("""COMPUTED_VALUE"""),"Your spells with the Gravity keyword deal extra damage to the target based on its size. They deal an additional 1 damage to large creatures and an additional 3 to Huge creatures. | You may use Gravity Crush.")</f>
        <v>Your spells with the Gravity keyword deal extra damage to the target based on its size. They deal an additional 1 damage to large creatures and an additional 3 to Huge creatures. | You may use Gravity Crush.</v>
      </c>
      <c r="M1599" s="263"/>
      <c r="N1599" s="263"/>
      <c r="O1599" s="263"/>
      <c r="P1599" s="263"/>
      <c r="Q1599" s="263"/>
      <c r="R1599" s="263"/>
      <c r="S1599" s="263"/>
      <c r="T1599" s="263"/>
      <c r="U1599" s="246"/>
      <c r="V1599" s="246"/>
      <c r="W1599" s="246"/>
      <c r="X1599" s="246"/>
      <c r="Y1599" s="246"/>
      <c r="Z1599" s="246"/>
    </row>
    <row r="1600">
      <c r="A1600" s="263"/>
      <c r="B1600" s="265" t="str">
        <f>IFERROR(__xludf.DUMMYFUNCTION("""COMPUTED_VALUE"""),"Medic's Journey")</f>
        <v>Medic's Journey</v>
      </c>
      <c r="C1600" s="263"/>
      <c r="D1600" s="263"/>
      <c r="E1600" s="263"/>
      <c r="F1600" s="268"/>
      <c r="G1600" s="263"/>
      <c r="H1600" s="267"/>
      <c r="I1600" s="263"/>
      <c r="J1600" s="263"/>
      <c r="K1600" s="263"/>
      <c r="L1600" s="264" t="str">
        <f>IFERROR(__xludf.DUMMYFUNCTION("""COMPUTED_VALUE"""),"You gain proficiency in small weapons, set of missiles and light armor. | You gain +5 skill points to spend in Medicine. You can exchange any skill point for 2 expertise points, but must spend them in this skill. | You gain the benefits of First Response.")</f>
        <v>You gain proficiency in small weapons, set of missiles and light armor. | You gain +5 skill points to spend in Medicine. You can exchange any skill point for 2 expertise points, but must spend them in this skill. | You gain the benefits of First Response.</v>
      </c>
      <c r="M1600" s="263"/>
      <c r="N1600" s="263"/>
      <c r="O1600" s="263"/>
      <c r="P1600" s="263"/>
      <c r="Q1600" s="263"/>
      <c r="R1600" s="263"/>
      <c r="S1600" s="263"/>
      <c r="T1600" s="263"/>
      <c r="U1600" s="246"/>
      <c r="V1600" s="246"/>
      <c r="W1600" s="246"/>
      <c r="X1600" s="246"/>
      <c r="Y1600" s="246"/>
      <c r="Z1600" s="246"/>
    </row>
    <row r="1601">
      <c r="A1601" s="263"/>
      <c r="B1601" s="265" t="str">
        <f>IFERROR(__xludf.DUMMYFUNCTION("""COMPUTED_VALUE"""),"Mending")</f>
        <v>Mending</v>
      </c>
      <c r="C1601" s="263"/>
      <c r="D1601" s="263"/>
      <c r="E1601" s="263"/>
      <c r="F1601" s="268"/>
      <c r="G1601" s="263"/>
      <c r="H1601" s="267"/>
      <c r="I1601" s="263"/>
      <c r="J1601" s="263"/>
      <c r="K1601" s="263"/>
      <c r="L1601" s="264" t="str">
        <f>IFERROR(__xludf.DUMMYFUNCTION("""COMPUTED_VALUE"""),"You may spend an EP to restore a Broken item. Some items (such as consumables) cannot be repaired (GM’s discretion).")</f>
        <v>You may spend an EP to restore a Broken item. Some items (such as consumables) cannot be repaired (GM’s discretion).</v>
      </c>
      <c r="M1601" s="263"/>
      <c r="N1601" s="263"/>
      <c r="O1601" s="263"/>
      <c r="P1601" s="263"/>
      <c r="Q1601" s="263"/>
      <c r="R1601" s="263"/>
      <c r="S1601" s="263"/>
      <c r="T1601" s="263"/>
      <c r="U1601" s="246"/>
      <c r="V1601" s="246"/>
      <c r="W1601" s="246"/>
      <c r="X1601" s="246"/>
      <c r="Y1601" s="246"/>
      <c r="Z1601" s="246"/>
    </row>
    <row r="1602">
      <c r="A1602" s="263"/>
      <c r="B1602" s="265" t="str">
        <f>IFERROR(__xludf.DUMMYFUNCTION("""COMPUTED_VALUE"""),"Merchant Lord")</f>
        <v>Merchant Lord</v>
      </c>
      <c r="C1602" s="263"/>
      <c r="D1602" s="263"/>
      <c r="E1602" s="263"/>
      <c r="F1602" s="268"/>
      <c r="G1602" s="263"/>
      <c r="H1602" s="267"/>
      <c r="I1602" s="263"/>
      <c r="J1602" s="263"/>
      <c r="K1602" s="263"/>
      <c r="L1602" s="264" t="str">
        <f>IFERROR(__xludf.DUMMYFUNCTION("""COMPUTED_VALUE"""),"Procurement Limit increases to 3000 and you can procure materials that cost &lt;= 3000 clim per ingot/block. | You gain proficiency in Pistols. | Upon mastering this class, the Procurement Limit increases to 4000 and you can procure materials that cost &lt;= 40"&amp;"00 clim per ingot/block.")</f>
        <v>Procurement Limit increases to 3000 and you can procure materials that cost &lt;= 3000 clim per ingot/block. | You gain proficiency in Pistols. | Upon mastering this class, the Procurement Limit increases to 4000 and you can procure materials that cost &lt;= 4000 clim per ingot/block.</v>
      </c>
      <c r="M1602" s="263"/>
      <c r="N1602" s="263"/>
      <c r="O1602" s="263"/>
      <c r="P1602" s="263"/>
      <c r="Q1602" s="263"/>
      <c r="R1602" s="263"/>
      <c r="S1602" s="263"/>
      <c r="T1602" s="263"/>
      <c r="U1602" s="246"/>
      <c r="V1602" s="246"/>
      <c r="W1602" s="246"/>
      <c r="X1602" s="246"/>
      <c r="Y1602" s="246"/>
      <c r="Z1602" s="246"/>
    </row>
    <row r="1603">
      <c r="A1603" s="263"/>
      <c r="B1603" s="265" t="str">
        <f>IFERROR(__xludf.DUMMYFUNCTION("""COMPUTED_VALUE"""),"Mime's Journey")</f>
        <v>Mime's Journey</v>
      </c>
      <c r="C1603" s="263"/>
      <c r="D1603" s="263"/>
      <c r="E1603" s="263"/>
      <c r="F1603" s="268"/>
      <c r="G1603" s="263"/>
      <c r="H1603" s="267"/>
      <c r="I1603" s="263"/>
      <c r="J1603" s="263"/>
      <c r="K1603" s="263"/>
      <c r="L1603" s="264" t="str">
        <f>IFERROR(__xludf.DUMMYFUNCTION("""COMPUTED_VALUE"""),"You gain proficiency in 1 common and 1 specialized weapon | You gain +5 skill points to spend in Art. You can exchange any skill point for 2 expertise points, but must spend them in this skill. | As a mime, you’re not allowed to speak. If you speak during"&amp;" an encounter, you cannot use any Mime abilities until the end of the encounter.")</f>
        <v>You gain proficiency in 1 common and 1 specialized weapon | You gain +5 skill points to spend in Art. You can exchange any skill point for 2 expertise points, but must spend them in this skill. | As a mime, you’re not allowed to speak. If you speak during an encounter, you cannot use any Mime abilities until the end of the encounter.</v>
      </c>
      <c r="M1603" s="263"/>
      <c r="N1603" s="263"/>
      <c r="O1603" s="263"/>
      <c r="P1603" s="263"/>
      <c r="Q1603" s="263"/>
      <c r="R1603" s="263"/>
      <c r="S1603" s="263"/>
      <c r="T1603" s="263"/>
      <c r="U1603" s="246"/>
      <c r="V1603" s="246"/>
      <c r="W1603" s="246"/>
      <c r="X1603" s="246"/>
      <c r="Y1603" s="246"/>
      <c r="Z1603" s="246"/>
    </row>
    <row r="1604">
      <c r="A1604" s="263"/>
      <c r="B1604" s="265" t="str">
        <f>IFERROR(__xludf.DUMMYFUNCTION("""COMPUTED_VALUE"""),"Mission Control")</f>
        <v>Mission Control</v>
      </c>
      <c r="C1604" s="263"/>
      <c r="D1604" s="263"/>
      <c r="E1604" s="263"/>
      <c r="F1604" s="268"/>
      <c r="G1604" s="263"/>
      <c r="H1604" s="267"/>
      <c r="I1604" s="263"/>
      <c r="J1604" s="263"/>
      <c r="K1604" s="263"/>
      <c r="L1604" s="264" t="str">
        <f>IFERROR(__xludf.DUMMYFUNCTION("""COMPUTED_VALUE"""),"You gain proficiency in the Aetherie Sensory Station. | You may use Mind Connection.")</f>
        <v>You gain proficiency in the Aetherie Sensory Station. | You may use Mind Connection.</v>
      </c>
      <c r="M1604" s="263"/>
      <c r="N1604" s="263"/>
      <c r="O1604" s="263"/>
      <c r="P1604" s="263"/>
      <c r="Q1604" s="263"/>
      <c r="R1604" s="263"/>
      <c r="S1604" s="263"/>
      <c r="T1604" s="263"/>
      <c r="U1604" s="246"/>
      <c r="V1604" s="246"/>
      <c r="W1604" s="246"/>
      <c r="X1604" s="246"/>
      <c r="Y1604" s="246"/>
      <c r="Z1604" s="246"/>
    </row>
    <row r="1605">
      <c r="A1605" s="263"/>
      <c r="B1605" s="265" t="str">
        <f>IFERROR(__xludf.DUMMYFUNCTION("""COMPUTED_VALUE"""),"Mounted Basics")</f>
        <v>Mounted Basics</v>
      </c>
      <c r="C1605" s="263"/>
      <c r="D1605" s="263"/>
      <c r="E1605" s="263"/>
      <c r="F1605" s="268"/>
      <c r="G1605" s="263"/>
      <c r="H1605" s="267"/>
      <c r="I1605" s="263"/>
      <c r="J1605" s="263"/>
      <c r="K1605" s="263"/>
      <c r="L1605" s="264" t="str">
        <f>IFERROR(__xludf.DUMMYFUNCTION("""COMPUTED_VALUE"""),"You gain proficiency in Polearms, Lances, Light armor, Shields and one other common weapon group of your choice. | You gain 5 skill points in Riding. You can exchange any skill point for 2 expertise points, but must spend them in these skills. | You may u"&amp;"se Spirit Jump. | If you have mastered cavalier, your mount can withstand one lethal blow. If your mount would be reduced to 0 HP or below by an attack, it instead is reduced to 1 HP. Only works once per encounter.")</f>
        <v>You gain proficiency in Polearms, Lances, Light armor, Shields and one other common weapon group of your choice. | You gain 5 skill points in Riding. You can exchange any skill point for 2 expertise points, but must spend them in these skills. | You may use Spirit Jump. | If you have mastered cavalier, your mount can withstand one lethal blow. If your mount would be reduced to 0 HP or below by an attack, it instead is reduced to 1 HP. Only works once per encounter.</v>
      </c>
      <c r="M1605" s="263"/>
      <c r="N1605" s="263"/>
      <c r="O1605" s="263"/>
      <c r="P1605" s="263"/>
      <c r="Q1605" s="263"/>
      <c r="R1605" s="263"/>
      <c r="S1605" s="263"/>
      <c r="T1605" s="263"/>
      <c r="U1605" s="246"/>
      <c r="V1605" s="246"/>
      <c r="W1605" s="246"/>
      <c r="X1605" s="246"/>
      <c r="Y1605" s="246"/>
      <c r="Z1605" s="246"/>
    </row>
    <row r="1606">
      <c r="A1606" s="263"/>
      <c r="B1606" s="265" t="str">
        <f>IFERROR(__xludf.DUMMYFUNCTION("""COMPUTED_VALUE"""),"Natural Cycle")</f>
        <v>Natural Cycle</v>
      </c>
      <c r="C1606" s="263"/>
      <c r="D1606" s="263"/>
      <c r="E1606" s="263"/>
      <c r="F1606" s="268"/>
      <c r="G1606" s="263"/>
      <c r="H1606" s="267"/>
      <c r="I1606" s="263"/>
      <c r="J1606" s="263"/>
      <c r="K1606" s="263"/>
      <c r="L1606" s="264" t="str">
        <f>IFERROR(__xludf.DUMMYFUNCTION("""COMPUTED_VALUE"""),"At the start of your turn you may pay upkeep 1 mana for each Regrowth you have on an ally. If you do, you may extend its duration by 1 turn. You can choose this upkeep separately for each Regrowth. | You may use Regrowth.")</f>
        <v>At the start of your turn you may pay upkeep 1 mana for each Regrowth you have on an ally. If you do, you may extend its duration by 1 turn. You can choose this upkeep separately for each Regrowth. | You may use Regrowth.</v>
      </c>
      <c r="M1606" s="263"/>
      <c r="N1606" s="263"/>
      <c r="O1606" s="263"/>
      <c r="P1606" s="263"/>
      <c r="Q1606" s="263"/>
      <c r="R1606" s="263"/>
      <c r="S1606" s="263"/>
      <c r="T1606" s="263"/>
      <c r="U1606" s="246"/>
      <c r="V1606" s="246"/>
      <c r="W1606" s="246"/>
      <c r="X1606" s="246"/>
      <c r="Y1606" s="246"/>
      <c r="Z1606" s="246"/>
    </row>
    <row r="1607">
      <c r="A1607" s="263"/>
      <c r="B1607" s="265" t="str">
        <f>IFERROR(__xludf.DUMMYFUNCTION("""COMPUTED_VALUE"""),"Nightstalker")</f>
        <v>Nightstalker</v>
      </c>
      <c r="C1607" s="263"/>
      <c r="D1607" s="263"/>
      <c r="E1607" s="263"/>
      <c r="F1607" s="268"/>
      <c r="G1607" s="263"/>
      <c r="H1607" s="267"/>
      <c r="I1607" s="263"/>
      <c r="J1607" s="263"/>
      <c r="K1607" s="263"/>
      <c r="L1607" s="264" t="str">
        <f>IFERROR(__xludf.DUMMYFUNCTION("""COMPUTED_VALUE"""),"You gain 60ft darkvision, allowing you to see perfectly in the dark even without a source of light. If you already have darkvision, the range of it improves by 60ft.")</f>
        <v>You gain 60ft darkvision, allowing you to see perfectly in the dark even without a source of light. If you already have darkvision, the range of it improves by 60ft.</v>
      </c>
      <c r="M1607" s="263"/>
      <c r="N1607" s="263"/>
      <c r="O1607" s="263"/>
      <c r="P1607" s="263"/>
      <c r="Q1607" s="263"/>
      <c r="R1607" s="263"/>
      <c r="S1607" s="263"/>
      <c r="T1607" s="263"/>
      <c r="U1607" s="246"/>
      <c r="V1607" s="246"/>
      <c r="W1607" s="246"/>
      <c r="X1607" s="246"/>
      <c r="Y1607" s="246"/>
      <c r="Z1607" s="246"/>
    </row>
    <row r="1608">
      <c r="A1608" s="263"/>
      <c r="B1608" s="265" t="str">
        <f>IFERROR(__xludf.DUMMYFUNCTION("""COMPUTED_VALUE"""),"Ninja Style")</f>
        <v>Ninja Style</v>
      </c>
      <c r="C1608" s="263"/>
      <c r="D1608" s="263"/>
      <c r="E1608" s="263"/>
      <c r="F1608" s="268"/>
      <c r="G1608" s="263"/>
      <c r="H1608" s="267"/>
      <c r="I1608" s="263"/>
      <c r="J1608" s="263"/>
      <c r="K1608" s="263"/>
      <c r="L1608" s="264" t="str">
        <f>IFERROR(__xludf.DUMMYFUNCTION("""COMPUTED_VALUE"""),"You gain proficiency in both Small Weapons and Sets of Missiles. | You may use Ninja Run.")</f>
        <v>You gain proficiency in both Small Weapons and Sets of Missiles. | You may use Ninja Run.</v>
      </c>
      <c r="M1608" s="263"/>
      <c r="N1608" s="263"/>
      <c r="O1608" s="263"/>
      <c r="P1608" s="263"/>
      <c r="Q1608" s="263"/>
      <c r="R1608" s="263"/>
      <c r="S1608" s="263"/>
      <c r="T1608" s="263"/>
      <c r="U1608" s="246"/>
      <c r="V1608" s="246"/>
      <c r="W1608" s="246"/>
      <c r="X1608" s="246"/>
      <c r="Y1608" s="246"/>
      <c r="Z1608" s="246"/>
    </row>
    <row r="1609">
      <c r="A1609" s="263"/>
      <c r="B1609" s="265" t="str">
        <f>IFERROR(__xludf.DUMMYFUNCTION("""COMPUTED_VALUE"""),"Ninja Techniques")</f>
        <v>Ninja Techniques</v>
      </c>
      <c r="C1609" s="263"/>
      <c r="D1609" s="263"/>
      <c r="E1609" s="263"/>
      <c r="F1609" s="268"/>
      <c r="G1609" s="263"/>
      <c r="H1609" s="267"/>
      <c r="I1609" s="263"/>
      <c r="J1609" s="263"/>
      <c r="K1609" s="263"/>
      <c r="L1609" s="264" t="str">
        <f>IFERROR(__xludf.DUMMYFUNCTION("""COMPUTED_VALUE"""),"Your Ninja Run now lasts for the entire turn. | You may use Genjutsu Kai")</f>
        <v>Your Ninja Run now lasts for the entire turn. | You may use Genjutsu Kai</v>
      </c>
      <c r="M1609" s="263"/>
      <c r="N1609" s="263"/>
      <c r="O1609" s="263"/>
      <c r="P1609" s="263"/>
      <c r="Q1609" s="263"/>
      <c r="R1609" s="263"/>
      <c r="S1609" s="263"/>
      <c r="T1609" s="263"/>
      <c r="U1609" s="246"/>
      <c r="V1609" s="246"/>
      <c r="W1609" s="246"/>
      <c r="X1609" s="246"/>
      <c r="Y1609" s="246"/>
      <c r="Z1609" s="246"/>
    </row>
    <row r="1610">
      <c r="A1610" s="263"/>
      <c r="B1610" s="265" t="str">
        <f>IFERROR(__xludf.DUMMYFUNCTION("""COMPUTED_VALUE"""),"On my terms")</f>
        <v>On my terms</v>
      </c>
      <c r="C1610" s="263"/>
      <c r="D1610" s="263"/>
      <c r="E1610" s="263"/>
      <c r="F1610" s="268"/>
      <c r="G1610" s="263"/>
      <c r="H1610" s="267"/>
      <c r="I1610" s="263"/>
      <c r="J1610" s="263"/>
      <c r="K1610" s="263"/>
      <c r="L1610" s="264" t="str">
        <f>IFERROR(__xludf.DUMMYFUNCTION("""COMPUTED_VALUE"""),"While you are at 1 HP or higher, damage (including true damage) you take during your own turn cannot reduce you below 1 HP. | When you roll a 1 on a skill check, something unexpected may happen (GM's discretion). This is usually bad, but it could also tur"&amp;"n out to be a blessing in disguise.")</f>
        <v>While you are at 1 HP or higher, damage (including true damage) you take during your own turn cannot reduce you below 1 HP. | When you roll a 1 on a skill check, something unexpected may happen (GM's discretion). This is usually bad, but it could also turn out to be a blessing in disguise.</v>
      </c>
      <c r="M1610" s="263"/>
      <c r="N1610" s="263"/>
      <c r="O1610" s="263"/>
      <c r="P1610" s="263"/>
      <c r="Q1610" s="263"/>
      <c r="R1610" s="263"/>
      <c r="S1610" s="263"/>
      <c r="T1610" s="263"/>
      <c r="U1610" s="246"/>
      <c r="V1610" s="246"/>
      <c r="W1610" s="246"/>
      <c r="X1610" s="246"/>
      <c r="Y1610" s="246"/>
      <c r="Z1610" s="246"/>
    </row>
    <row r="1611">
      <c r="A1611" s="263"/>
      <c r="B1611" s="265" t="str">
        <f>IFERROR(__xludf.DUMMYFUNCTION("""COMPUTED_VALUE"""),"Ore Hunter")</f>
        <v>Ore Hunter</v>
      </c>
      <c r="C1611" s="263"/>
      <c r="D1611" s="263"/>
      <c r="E1611" s="263"/>
      <c r="F1611" s="268"/>
      <c r="G1611" s="263"/>
      <c r="H1611" s="267"/>
      <c r="I1611" s="263"/>
      <c r="J1611" s="263"/>
      <c r="K1611" s="263"/>
      <c r="L1611" s="264" t="str">
        <f>IFERROR(__xludf.DUMMYFUNCTION("""COMPUTED_VALUE"""),"You can gather Tier 2 mining outcrops. | You are an expert and tying knots. Using rope, you can secure yourself to objects and safely rappel down to investigate down cliffsides.")</f>
        <v>You can gather Tier 2 mining outcrops. | You are an expert and tying knots. Using rope, you can secure yourself to objects and safely rappel down to investigate down cliffsides.</v>
      </c>
      <c r="M1611" s="263"/>
      <c r="N1611" s="263"/>
      <c r="O1611" s="263"/>
      <c r="P1611" s="263"/>
      <c r="Q1611" s="263"/>
      <c r="R1611" s="263"/>
      <c r="S1611" s="263"/>
      <c r="T1611" s="263"/>
      <c r="U1611" s="246"/>
      <c r="V1611" s="246"/>
      <c r="W1611" s="246"/>
      <c r="X1611" s="246"/>
      <c r="Y1611" s="246"/>
      <c r="Z1611" s="246"/>
    </row>
    <row r="1612">
      <c r="A1612" s="263"/>
      <c r="B1612" s="265" t="str">
        <f>IFERROR(__xludf.DUMMYFUNCTION("""COMPUTED_VALUE"""),"Overwhelming Critical")</f>
        <v>Overwhelming Critical</v>
      </c>
      <c r="C1612" s="263"/>
      <c r="D1612" s="263"/>
      <c r="E1612" s="263"/>
      <c r="F1612" s="268"/>
      <c r="G1612" s="263"/>
      <c r="H1612" s="267"/>
      <c r="I1612" s="263"/>
      <c r="J1612" s="263"/>
      <c r="K1612" s="263"/>
      <c r="L1612" s="264" t="str">
        <f>IFERROR(__xludf.DUMMYFUNCTION("""COMPUTED_VALUE"""),"When you roll a critical hit while making a Heavy attack with a Two-Handed weapon you may use Aftershock even if the attack didn’t miss. This use doesn’t count against the normal use limit of it and this effect still applies even if the critical hit was b"&amp;"locked or otherwise defended against.")</f>
        <v>When you roll a critical hit while making a Heavy attack with a Two-Handed weapon you may use Aftershock even if the attack didn’t miss. This use doesn’t count against the normal use limit of it and this effect still applies even if the critical hit was blocked or otherwise defended against.</v>
      </c>
      <c r="M1612" s="263"/>
      <c r="N1612" s="263"/>
      <c r="O1612" s="263"/>
      <c r="P1612" s="263"/>
      <c r="Q1612" s="263"/>
      <c r="R1612" s="263"/>
      <c r="S1612" s="263"/>
      <c r="T1612" s="263"/>
      <c r="U1612" s="246"/>
      <c r="V1612" s="246"/>
      <c r="W1612" s="246"/>
      <c r="X1612" s="246"/>
      <c r="Y1612" s="246"/>
      <c r="Z1612" s="246"/>
    </row>
    <row r="1613">
      <c r="A1613" s="263"/>
      <c r="B1613" s="265" t="str">
        <f>IFERROR(__xludf.DUMMYFUNCTION("""COMPUTED_VALUE"""),"Past Self")</f>
        <v>Past Self</v>
      </c>
      <c r="C1613" s="263"/>
      <c r="D1613" s="263"/>
      <c r="E1613" s="263"/>
      <c r="F1613" s="268"/>
      <c r="G1613" s="263"/>
      <c r="H1613" s="267"/>
      <c r="I1613" s="263"/>
      <c r="J1613" s="263"/>
      <c r="K1613" s="263"/>
      <c r="L1613" s="264" t="str">
        <f>IFERROR(__xludf.DUMMYFUNCTION("""COMPUTED_VALUE"""),"You may use Past Self. | Using the Delay encounter start action does not consume your encounter start action use and may use it multiple times.")</f>
        <v>You may use Past Self. | Using the Delay encounter start action does not consume your encounter start action use and may use it multiple times.</v>
      </c>
      <c r="M1613" s="263"/>
      <c r="N1613" s="263"/>
      <c r="O1613" s="263"/>
      <c r="P1613" s="263"/>
      <c r="Q1613" s="263"/>
      <c r="R1613" s="263"/>
      <c r="S1613" s="263"/>
      <c r="T1613" s="263"/>
      <c r="U1613" s="246"/>
      <c r="V1613" s="246"/>
      <c r="W1613" s="246"/>
      <c r="X1613" s="246"/>
      <c r="Y1613" s="246"/>
      <c r="Z1613" s="246"/>
    </row>
    <row r="1614">
      <c r="A1614" s="263"/>
      <c r="B1614" s="265" t="str">
        <f>IFERROR(__xludf.DUMMYFUNCTION("""COMPUTED_VALUE"""),"Peddler of Wares")</f>
        <v>Peddler of Wares</v>
      </c>
      <c r="C1614" s="263"/>
      <c r="D1614" s="263"/>
      <c r="E1614" s="263"/>
      <c r="F1614" s="268"/>
      <c r="G1614" s="263"/>
      <c r="H1614" s="267"/>
      <c r="I1614" s="263"/>
      <c r="J1614" s="263"/>
      <c r="K1614" s="263"/>
      <c r="L1614" s="264" t="str">
        <f>IFERROR(__xludf.DUMMYFUNCTION("""COMPUTED_VALUE"""),"Your in-combat burden capacity increases by 1. | You gain proficiency in 1 common weapon group. | You gain +5 skill points in Riding. | Upon mastering this class, the Procurement Limit increases to 2000 and you can procure materials that cost &lt;= 2000 clim"&amp;" per ingot/block.")</f>
        <v>Your in-combat burden capacity increases by 1. | You gain proficiency in 1 common weapon group. | You gain +5 skill points in Riding. | Upon mastering this class, the Procurement Limit increases to 2000 and you can procure materials that cost &lt;= 2000 clim per ingot/block.</v>
      </c>
      <c r="M1614" s="263"/>
      <c r="N1614" s="263"/>
      <c r="O1614" s="263"/>
      <c r="P1614" s="263"/>
      <c r="Q1614" s="263"/>
      <c r="R1614" s="263"/>
      <c r="S1614" s="263"/>
      <c r="T1614" s="263"/>
      <c r="U1614" s="246"/>
      <c r="V1614" s="246"/>
      <c r="W1614" s="246"/>
      <c r="X1614" s="246"/>
      <c r="Y1614" s="246"/>
      <c r="Z1614" s="246"/>
    </row>
    <row r="1615">
      <c r="A1615" s="263"/>
      <c r="B1615" s="265" t="str">
        <f>IFERROR(__xludf.DUMMYFUNCTION("""COMPUTED_VALUE"""),"Perfect Mimicry")</f>
        <v>Perfect Mimicry</v>
      </c>
      <c r="C1615" s="263"/>
      <c r="D1615" s="263"/>
      <c r="E1615" s="263"/>
      <c r="F1615" s="268"/>
      <c r="G1615" s="263"/>
      <c r="H1615" s="267"/>
      <c r="I1615" s="263"/>
      <c r="J1615" s="263"/>
      <c r="K1615" s="263"/>
      <c r="L1615" s="264" t="str">
        <f>IFERROR(__xludf.DUMMYFUNCTION("""COMPUTED_VALUE"""),"When given enough preparation time and enough knowledge about the subject, you are able to perfectly impersonate another person (GM’s discretion on what is ‘enough’). When disguised in this way, other people are unable to see through your disguise through"&amp;" normal means unless you act or say things that are strange enough to draw suspicions. This disguise is partially magical in nature, but cannot make up for obvious size or shape differences.")</f>
        <v>When given enough preparation time and enough knowledge about the subject, you are able to perfectly impersonate another person (GM’s discretion on what is ‘enough’). When disguised in this way, other people are unable to see through your disguise through normal means unless you act or say things that are strange enough to draw suspicions. This disguise is partially magical in nature, but cannot make up for obvious size or shape differences.</v>
      </c>
      <c r="M1615" s="263"/>
      <c r="N1615" s="263"/>
      <c r="O1615" s="263"/>
      <c r="P1615" s="263"/>
      <c r="Q1615" s="263"/>
      <c r="R1615" s="263"/>
      <c r="S1615" s="263"/>
      <c r="T1615" s="263"/>
      <c r="U1615" s="246"/>
      <c r="V1615" s="246"/>
      <c r="W1615" s="246"/>
      <c r="X1615" s="246"/>
      <c r="Y1615" s="246"/>
      <c r="Z1615" s="246"/>
    </row>
    <row r="1616">
      <c r="A1616" s="263"/>
      <c r="B1616" s="265" t="str">
        <f>IFERROR(__xludf.DUMMYFUNCTION("""COMPUTED_VALUE"""),"Phantom Thief")</f>
        <v>Phantom Thief</v>
      </c>
      <c r="C1616" s="263"/>
      <c r="D1616" s="263"/>
      <c r="E1616" s="263"/>
      <c r="F1616" s="268"/>
      <c r="G1616" s="263"/>
      <c r="H1616" s="267"/>
      <c r="I1616" s="263"/>
      <c r="J1616" s="263"/>
      <c r="K1616" s="263"/>
      <c r="L1616" s="264" t="str">
        <f>IFERROR(__xludf.DUMMYFUNCTION("""COMPUTED_VALUE"""),"You are able to disable and modify t2 and t3 bounded fields. | You may use Stolen Skill.")</f>
        <v>You are able to disable and modify t2 and t3 bounded fields. | You may use Stolen Skill.</v>
      </c>
      <c r="M1616" s="263"/>
      <c r="N1616" s="263"/>
      <c r="O1616" s="263"/>
      <c r="P1616" s="263"/>
      <c r="Q1616" s="263"/>
      <c r="R1616" s="263"/>
      <c r="S1616" s="263"/>
      <c r="T1616" s="263"/>
      <c r="U1616" s="246"/>
      <c r="V1616" s="246"/>
      <c r="W1616" s="246"/>
      <c r="X1616" s="246"/>
      <c r="Y1616" s="246"/>
      <c r="Z1616" s="246"/>
    </row>
    <row r="1617">
      <c r="A1617" s="263"/>
      <c r="B1617" s="265" t="str">
        <f>IFERROR(__xludf.DUMMYFUNCTION("""COMPUTED_VALUE"""),"Pierrot's Journey")</f>
        <v>Pierrot's Journey</v>
      </c>
      <c r="C1617" s="263"/>
      <c r="D1617" s="263"/>
      <c r="E1617" s="263"/>
      <c r="F1617" s="268"/>
      <c r="G1617" s="263"/>
      <c r="H1617" s="267"/>
      <c r="I1617" s="263"/>
      <c r="J1617" s="263"/>
      <c r="K1617" s="263"/>
      <c r="L1617" s="264" t="str">
        <f>IFERROR(__xludf.DUMMYFUNCTION("""COMPUTED_VALUE"""),"You gain proficiency in small weapons, bludgeoning weapons and light armor. | You gain +5 skill points to spend in Art. You can exchange any skill point for 2 expertise points, but must spend them in this skill. | You gain 2 Damage Reduction against pies.")</f>
        <v>You gain proficiency in small weapons, bludgeoning weapons and light armor. | You gain +5 skill points to spend in Art. You can exchange any skill point for 2 expertise points, but must spend them in this skill. | You gain 2 Damage Reduction against pies.</v>
      </c>
      <c r="M1617" s="263"/>
      <c r="N1617" s="263"/>
      <c r="O1617" s="263"/>
      <c r="P1617" s="263"/>
      <c r="Q1617" s="263"/>
      <c r="R1617" s="263"/>
      <c r="S1617" s="263"/>
      <c r="T1617" s="263"/>
      <c r="U1617" s="246"/>
      <c r="V1617" s="246"/>
      <c r="W1617" s="246"/>
      <c r="X1617" s="246"/>
      <c r="Y1617" s="246"/>
      <c r="Z1617" s="246"/>
    </row>
    <row r="1618">
      <c r="A1618" s="263"/>
      <c r="B1618" s="265" t="str">
        <f>IFERROR(__xludf.DUMMYFUNCTION("""COMPUTED_VALUE"""),"Puppet Grandmaster")</f>
        <v>Puppet Grandmaster</v>
      </c>
      <c r="C1618" s="263"/>
      <c r="D1618" s="263"/>
      <c r="E1618" s="263"/>
      <c r="F1618" s="268"/>
      <c r="G1618" s="263"/>
      <c r="H1618" s="267"/>
      <c r="I1618" s="263"/>
      <c r="J1618" s="263"/>
      <c r="K1618" s="263"/>
      <c r="L1618" s="264" t="str">
        <f>IFERROR(__xludf.DUMMYFUNCTION("""COMPUTED_VALUE"""),"You can summon puppets under your control using Summon Piece. While these puppets follow movement rules as described in the abilities and are always Medium size, they can appear as whatever you wish, decided when you take this class. | As an EP action, yo"&amp;"u may change the appearance of your pieces.")</f>
        <v>You can summon puppets under your control using Summon Piece. While these puppets follow movement rules as described in the abilities and are always Medium size, they can appear as whatever you wish, decided when you take this class. | As an EP action, you may change the appearance of your pieces.</v>
      </c>
      <c r="M1618" s="263"/>
      <c r="N1618" s="263"/>
      <c r="O1618" s="263"/>
      <c r="P1618" s="263"/>
      <c r="Q1618" s="263"/>
      <c r="R1618" s="263"/>
      <c r="S1618" s="263"/>
      <c r="T1618" s="263"/>
      <c r="U1618" s="246"/>
      <c r="V1618" s="246"/>
      <c r="W1618" s="246"/>
      <c r="X1618" s="246"/>
      <c r="Y1618" s="246"/>
      <c r="Z1618" s="246"/>
    </row>
    <row r="1619">
      <c r="A1619" s="263"/>
      <c r="B1619" s="265" t="str">
        <f>IFERROR(__xludf.DUMMYFUNCTION("""COMPUTED_VALUE"""),"Raise Undead")</f>
        <v>Raise Undead</v>
      </c>
      <c r="C1619" s="263"/>
      <c r="D1619" s="263"/>
      <c r="E1619" s="263"/>
      <c r="F1619" s="268"/>
      <c r="G1619" s="263"/>
      <c r="H1619" s="267"/>
      <c r="I1619" s="263"/>
      <c r="J1619" s="263"/>
      <c r="K1619" s="263"/>
      <c r="L1619" s="264" t="str">
        <f>IFERROR(__xludf.DUMMYFUNCTION("""COMPUTED_VALUE"""),"You may use Raise Undead.")</f>
        <v>You may use Raise Undead.</v>
      </c>
      <c r="M1619" s="263"/>
      <c r="N1619" s="263"/>
      <c r="O1619" s="263"/>
      <c r="P1619" s="263"/>
      <c r="Q1619" s="263"/>
      <c r="R1619" s="263"/>
      <c r="S1619" s="263"/>
      <c r="T1619" s="263"/>
      <c r="U1619" s="246"/>
      <c r="V1619" s="246"/>
      <c r="W1619" s="246"/>
      <c r="X1619" s="246"/>
      <c r="Y1619" s="246"/>
      <c r="Z1619" s="246"/>
    </row>
    <row r="1620">
      <c r="A1620" s="263"/>
      <c r="B1620" s="265" t="str">
        <f>IFERROR(__xludf.DUMMYFUNCTION("""COMPUTED_VALUE"""),"Ranger's Journey")</f>
        <v>Ranger's Journey</v>
      </c>
      <c r="C1620" s="263"/>
      <c r="D1620" s="263"/>
      <c r="E1620" s="263"/>
      <c r="F1620" s="268"/>
      <c r="G1620" s="263"/>
      <c r="H1620" s="267"/>
      <c r="I1620" s="263"/>
      <c r="J1620" s="263"/>
      <c r="K1620" s="263"/>
      <c r="L1620" s="264" t="str">
        <f>IFERROR(__xludf.DUMMYFUNCTION("""COMPUTED_VALUE"""),"You gain proficiency in light and medium armor, a common ranged weapon group and a common melee weapon group. | You gain 5 points in one of the following: Appraise, Athletics, Stealth, Medicine, Perception, Survival, Animal Husbandry or Common Knowledge. "&amp;"You can exchange any skill point for 2 expertise points, but must spend them in these skills. | You can use Status Assessment.")</f>
        <v>You gain proficiency in light and medium armor, a common ranged weapon group and a common melee weapon group. | You gain 5 points in one of the following: Appraise, Athletics, Stealth, Medicine, Perception, Survival, Animal Husbandry or Common Knowledge. You can exchange any skill point for 2 expertise points, but must spend them in these skills. | You can use Status Assessment.</v>
      </c>
      <c r="M1620" s="263"/>
      <c r="N1620" s="263"/>
      <c r="O1620" s="263"/>
      <c r="P1620" s="263"/>
      <c r="Q1620" s="263"/>
      <c r="R1620" s="263"/>
      <c r="S1620" s="263"/>
      <c r="T1620" s="263"/>
      <c r="U1620" s="246"/>
      <c r="V1620" s="246"/>
      <c r="W1620" s="246"/>
      <c r="X1620" s="246"/>
      <c r="Y1620" s="246"/>
      <c r="Z1620" s="246"/>
    </row>
    <row r="1621">
      <c r="A1621" s="263"/>
      <c r="B1621" s="265" t="str">
        <f>IFERROR(__xludf.DUMMYFUNCTION("""COMPUTED_VALUE"""),"Rapid Blasts")</f>
        <v>Rapid Blasts</v>
      </c>
      <c r="C1621" s="263"/>
      <c r="D1621" s="263"/>
      <c r="E1621" s="263"/>
      <c r="F1621" s="268"/>
      <c r="G1621" s="263"/>
      <c r="H1621" s="267"/>
      <c r="I1621" s="263"/>
      <c r="J1621" s="263"/>
      <c r="K1621" s="263"/>
      <c r="L1621" s="264" t="str">
        <f>IFERROR(__xludf.DUMMYFUNCTION("""COMPUTED_VALUE"""),"You may use Ki Blast II.")</f>
        <v>You may use Ki Blast II.</v>
      </c>
      <c r="M1621" s="263"/>
      <c r="N1621" s="263"/>
      <c r="O1621" s="263"/>
      <c r="P1621" s="263"/>
      <c r="Q1621" s="263"/>
      <c r="R1621" s="263"/>
      <c r="S1621" s="263"/>
      <c r="T1621" s="263"/>
      <c r="U1621" s="246"/>
      <c r="V1621" s="246"/>
      <c r="W1621" s="246"/>
      <c r="X1621" s="246"/>
      <c r="Y1621" s="246"/>
      <c r="Z1621" s="246"/>
    </row>
    <row r="1622">
      <c r="A1622" s="263"/>
      <c r="B1622" s="265" t="str">
        <f>IFERROR(__xludf.DUMMYFUNCTION("""COMPUTED_VALUE"""),"Receive Oracle")</f>
        <v>Receive Oracle</v>
      </c>
      <c r="C1622" s="263"/>
      <c r="D1622" s="263"/>
      <c r="E1622" s="263"/>
      <c r="F1622" s="268"/>
      <c r="G1622" s="263"/>
      <c r="H1622" s="267"/>
      <c r="I1622" s="263"/>
      <c r="J1622" s="263"/>
      <c r="K1622" s="263"/>
      <c r="L1622" s="264" t="str">
        <f>IFERROR(__xludf.DUMMYFUNCTION("""COMPUTED_VALUE"""),"You may use Receive Oracle.")</f>
        <v>You may use Receive Oracle.</v>
      </c>
      <c r="M1622" s="263"/>
      <c r="N1622" s="263"/>
      <c r="O1622" s="263"/>
      <c r="P1622" s="263"/>
      <c r="Q1622" s="263"/>
      <c r="R1622" s="263"/>
      <c r="S1622" s="263"/>
      <c r="T1622" s="263"/>
      <c r="U1622" s="246"/>
      <c r="V1622" s="246"/>
      <c r="W1622" s="246"/>
      <c r="X1622" s="246"/>
      <c r="Y1622" s="246"/>
      <c r="Z1622" s="246"/>
    </row>
    <row r="1623">
      <c r="A1623" s="263"/>
      <c r="B1623" s="265" t="str">
        <f>IFERROR(__xludf.DUMMYFUNCTION("""COMPUTED_VALUE"""),"Recover Power")</f>
        <v>Recover Power</v>
      </c>
      <c r="C1623" s="263"/>
      <c r="D1623" s="263"/>
      <c r="E1623" s="263"/>
      <c r="F1623" s="268"/>
      <c r="G1623" s="263"/>
      <c r="H1623" s="267"/>
      <c r="I1623" s="263"/>
      <c r="J1623" s="263"/>
      <c r="K1623" s="263"/>
      <c r="L1623" s="264" t="str">
        <f>IFERROR(__xludf.DUMMYFUNCTION("""COMPUTED_VALUE"""),"Any temporary HP on you at the end of an encounter is converted into healing. You regain HP equal to half the value of temporary HP you have remaining.")</f>
        <v>Any temporary HP on you at the end of an encounter is converted into healing. You regain HP equal to half the value of temporary HP you have remaining.</v>
      </c>
      <c r="M1623" s="263"/>
      <c r="N1623" s="263"/>
      <c r="O1623" s="263"/>
      <c r="P1623" s="263"/>
      <c r="Q1623" s="263"/>
      <c r="R1623" s="263"/>
      <c r="S1623" s="263"/>
      <c r="T1623" s="263"/>
      <c r="U1623" s="246"/>
      <c r="V1623" s="246"/>
      <c r="W1623" s="246"/>
      <c r="X1623" s="246"/>
      <c r="Y1623" s="246"/>
      <c r="Z1623" s="246"/>
    </row>
    <row r="1624">
      <c r="A1624" s="263"/>
      <c r="B1624" s="265" t="str">
        <f>IFERROR(__xludf.DUMMYFUNCTION("""COMPUTED_VALUE"""),"Resheathe")</f>
        <v>Resheathe</v>
      </c>
      <c r="C1624" s="263"/>
      <c r="D1624" s="263"/>
      <c r="E1624" s="263"/>
      <c r="F1624" s="268"/>
      <c r="G1624" s="263"/>
      <c r="H1624" s="267"/>
      <c r="I1624" s="263"/>
      <c r="J1624" s="263"/>
      <c r="K1624" s="263"/>
      <c r="L1624" s="264" t="str">
        <f>IFERROR(__xludf.DUMMYFUNCTION("""COMPUTED_VALUE"""),"You may use Resheathe.")</f>
        <v>You may use Resheathe.</v>
      </c>
      <c r="M1624" s="263"/>
      <c r="N1624" s="263"/>
      <c r="O1624" s="263"/>
      <c r="P1624" s="263"/>
      <c r="Q1624" s="263"/>
      <c r="R1624" s="263"/>
      <c r="S1624" s="263"/>
      <c r="T1624" s="263"/>
      <c r="U1624" s="246"/>
      <c r="V1624" s="246"/>
      <c r="W1624" s="246"/>
      <c r="X1624" s="246"/>
      <c r="Y1624" s="246"/>
      <c r="Z1624" s="246"/>
    </row>
    <row r="1625">
      <c r="A1625" s="263"/>
      <c r="B1625" s="265" t="str">
        <f>IFERROR(__xludf.DUMMYFUNCTION("""COMPUTED_VALUE"""),"Rock and Stone")</f>
        <v>Rock and Stone</v>
      </c>
      <c r="C1625" s="263"/>
      <c r="D1625" s="263"/>
      <c r="E1625" s="263"/>
      <c r="F1625" s="268"/>
      <c r="G1625" s="263"/>
      <c r="H1625" s="267"/>
      <c r="I1625" s="263"/>
      <c r="J1625" s="263"/>
      <c r="K1625" s="263"/>
      <c r="L1625" s="264" t="str">
        <f>IFERROR(__xludf.DUMMYFUNCTION("""COMPUTED_VALUE"""),"You gain proficiency in 1 armor or in the shield. You also gain proficiency in the Pickaxe specialty weapon. | You gain the ability to gather mining outcrops. | You gain the ability to create Ingots as an Errand. See item: Blacksmithing Materials. You may"&amp;" use an IP to do this 4 times instead.")</f>
        <v>You gain proficiency in 1 armor or in the shield. You also gain proficiency in the Pickaxe specialty weapon. | You gain the ability to gather mining outcrops. | You gain the ability to create Ingots as an Errand. See item: Blacksmithing Materials. You may use an IP to do this 4 times instead.</v>
      </c>
      <c r="M1625" s="263"/>
      <c r="N1625" s="263"/>
      <c r="O1625" s="263"/>
      <c r="P1625" s="263"/>
      <c r="Q1625" s="263"/>
      <c r="R1625" s="263"/>
      <c r="S1625" s="263"/>
      <c r="T1625" s="263"/>
      <c r="U1625" s="246"/>
      <c r="V1625" s="246"/>
      <c r="W1625" s="246"/>
      <c r="X1625" s="246"/>
      <c r="Y1625" s="246"/>
      <c r="Z1625" s="246"/>
    </row>
    <row r="1626">
      <c r="A1626" s="263"/>
      <c r="B1626" s="265" t="str">
        <f>IFERROR(__xludf.DUMMYFUNCTION("""COMPUTED_VALUE"""),"Rogue's Journey")</f>
        <v>Rogue's Journey</v>
      </c>
      <c r="C1626" s="263"/>
      <c r="D1626" s="263"/>
      <c r="E1626" s="263"/>
      <c r="F1626" s="268"/>
      <c r="G1626" s="263"/>
      <c r="H1626" s="267"/>
      <c r="I1626" s="263"/>
      <c r="J1626" s="263"/>
      <c r="K1626" s="263"/>
      <c r="L1626" s="264" t="str">
        <f>IFERROR(__xludf.DUMMYFUNCTION("""COMPUTED_VALUE"""),"You gain proficiency with light armor and with one of the following weapon groups: Small weapons, Light swords, Dueling weapons and Set of missiles. | You gain +5 skill points in Roguecraft and +5 skill points to spend in Athletics, Stealth, Deception, Pe"&amp;"rception, Insight, Negotiation, Intimidation or a relevant Expert Knowledge skill (By DM Approval). You can exchange any skill point for 2 expertise points, but must spend them in these skills. | You can use Feint.")</f>
        <v>You gain proficiency with light armor and with one of the following weapon groups: Small weapons, Light swords, Dueling weapons and Set of missiles. | You gain +5 skill points in Roguecraft and +5 skill points to spend in Athletics, Stealth, Deception, Perception, Insight, Negotiation, Intimidation or a relevant Expert Knowledge skill (By DM Approval). You can exchange any skill point for 2 expertise points, but must spend them in these skills. | You can use Feint.</v>
      </c>
      <c r="M1626" s="263"/>
      <c r="N1626" s="263"/>
      <c r="O1626" s="263"/>
      <c r="P1626" s="263"/>
      <c r="Q1626" s="263"/>
      <c r="R1626" s="263"/>
      <c r="S1626" s="263"/>
      <c r="T1626" s="263"/>
      <c r="U1626" s="246"/>
      <c r="V1626" s="246"/>
      <c r="W1626" s="246"/>
      <c r="X1626" s="246"/>
      <c r="Y1626" s="246"/>
      <c r="Z1626" s="246"/>
    </row>
    <row r="1627">
      <c r="A1627" s="263"/>
      <c r="B1627" s="265" t="str">
        <f>IFERROR(__xludf.DUMMYFUNCTION("""COMPUTED_VALUE"""),"Rolling Thunder")</f>
        <v>Rolling Thunder</v>
      </c>
      <c r="C1627" s="263"/>
      <c r="D1627" s="263"/>
      <c r="E1627" s="263"/>
      <c r="F1627" s="268"/>
      <c r="G1627" s="263"/>
      <c r="H1627" s="267"/>
      <c r="I1627" s="263"/>
      <c r="J1627" s="263"/>
      <c r="K1627" s="263"/>
      <c r="L1627" s="264" t="str">
        <f>IFERROR(__xludf.DUMMYFUNCTION("""COMPUTED_VALUE"""),"After moving at least 40ft in a turn, your next unarmed strike that turn gains a +2 Transcendent Lightning bonus to accuracy and damage.")</f>
        <v>After moving at least 40ft in a turn, your next unarmed strike that turn gains a +2 Transcendent Lightning bonus to accuracy and damage.</v>
      </c>
      <c r="M1627" s="263"/>
      <c r="N1627" s="263"/>
      <c r="O1627" s="263"/>
      <c r="P1627" s="263"/>
      <c r="Q1627" s="263"/>
      <c r="R1627" s="263"/>
      <c r="S1627" s="263"/>
      <c r="T1627" s="263"/>
      <c r="U1627" s="246"/>
      <c r="V1627" s="246"/>
      <c r="W1627" s="246"/>
      <c r="X1627" s="246"/>
      <c r="Y1627" s="246"/>
      <c r="Z1627" s="246"/>
    </row>
    <row r="1628">
      <c r="A1628" s="263"/>
      <c r="B1628" s="265" t="str">
        <f>IFERROR(__xludf.DUMMYFUNCTION("""COMPUTED_VALUE"""),"Saboteur")</f>
        <v>Saboteur</v>
      </c>
      <c r="C1628" s="263"/>
      <c r="D1628" s="263"/>
      <c r="E1628" s="263"/>
      <c r="F1628" s="268"/>
      <c r="G1628" s="263"/>
      <c r="H1628" s="267"/>
      <c r="I1628" s="263"/>
      <c r="J1628" s="263"/>
      <c r="K1628" s="263"/>
      <c r="L1628" s="264" t="str">
        <f>IFERROR(__xludf.DUMMYFUNCTION("""COMPUTED_VALUE"""),"You gain proficiency in Saboteur Thread Daggers. | You may use Presence Concealment.")</f>
        <v>You gain proficiency in Saboteur Thread Daggers. | You may use Presence Concealment.</v>
      </c>
      <c r="M1628" s="263"/>
      <c r="N1628" s="263"/>
      <c r="O1628" s="263"/>
      <c r="P1628" s="263"/>
      <c r="Q1628" s="263"/>
      <c r="R1628" s="263"/>
      <c r="S1628" s="263"/>
      <c r="T1628" s="263"/>
      <c r="U1628" s="246"/>
      <c r="V1628" s="246"/>
      <c r="W1628" s="246"/>
      <c r="X1628" s="246"/>
      <c r="Y1628" s="246"/>
      <c r="Z1628" s="246"/>
    </row>
    <row r="1629">
      <c r="A1629" s="263"/>
      <c r="B1629" s="265" t="str">
        <f>IFERROR(__xludf.DUMMYFUNCTION("""COMPUTED_VALUE"""),"Sanctioned Healer")</f>
        <v>Sanctioned Healer</v>
      </c>
      <c r="C1629" s="263"/>
      <c r="D1629" s="263"/>
      <c r="E1629" s="263"/>
      <c r="F1629" s="268"/>
      <c r="G1629" s="263"/>
      <c r="H1629" s="267"/>
      <c r="I1629" s="263"/>
      <c r="J1629" s="263"/>
      <c r="K1629" s="263"/>
      <c r="L1629" s="264" t="str">
        <f>IFERROR(__xludf.DUMMYFUNCTION("""COMPUTED_VALUE"""),"When you attack an enemy with Sanctify, you may choose not to trigger the effect of it. | You gain Elemental Mastery: Holy")</f>
        <v>When you attack an enemy with Sanctify, you may choose not to trigger the effect of it. | You gain Elemental Mastery: Holy</v>
      </c>
      <c r="M1629" s="263"/>
      <c r="N1629" s="263"/>
      <c r="O1629" s="263"/>
      <c r="P1629" s="263"/>
      <c r="Q1629" s="263"/>
      <c r="R1629" s="263"/>
      <c r="S1629" s="263"/>
      <c r="T1629" s="263"/>
      <c r="U1629" s="246"/>
      <c r="V1629" s="246"/>
      <c r="W1629" s="246"/>
      <c r="X1629" s="246"/>
      <c r="Y1629" s="246"/>
      <c r="Z1629" s="246"/>
    </row>
    <row r="1630">
      <c r="A1630" s="263"/>
      <c r="B1630" s="265" t="str">
        <f>IFERROR(__xludf.DUMMYFUNCTION("""COMPUTED_VALUE"""),"Scholar of Tactics")</f>
        <v>Scholar of Tactics</v>
      </c>
      <c r="C1630" s="263"/>
      <c r="D1630" s="263"/>
      <c r="E1630" s="263"/>
      <c r="F1630" s="268"/>
      <c r="G1630" s="263"/>
      <c r="H1630" s="267"/>
      <c r="I1630" s="263"/>
      <c r="J1630" s="263"/>
      <c r="K1630" s="263"/>
      <c r="L1630" s="264" t="str">
        <f>IFERROR(__xludf.DUMMYFUNCTION("""COMPUTED_VALUE"""),"You gain proficiency in Pistols. | You may use Take Cover!.")</f>
        <v>You gain proficiency in Pistols. | You may use Take Cover!.</v>
      </c>
      <c r="M1630" s="263"/>
      <c r="N1630" s="263"/>
      <c r="O1630" s="263"/>
      <c r="P1630" s="263"/>
      <c r="Q1630" s="263"/>
      <c r="R1630" s="263"/>
      <c r="S1630" s="263"/>
      <c r="T1630" s="263"/>
      <c r="U1630" s="246"/>
      <c r="V1630" s="246"/>
      <c r="W1630" s="246"/>
      <c r="X1630" s="246"/>
      <c r="Y1630" s="246"/>
      <c r="Z1630" s="246"/>
    </row>
    <row r="1631">
      <c r="A1631" s="263"/>
      <c r="B1631" s="265" t="str">
        <f>IFERROR(__xludf.DUMMYFUNCTION("""COMPUTED_VALUE"""),"Shared Darkness")</f>
        <v>Shared Darkness</v>
      </c>
      <c r="C1631" s="263"/>
      <c r="D1631" s="263"/>
      <c r="E1631" s="263"/>
      <c r="F1631" s="268"/>
      <c r="G1631" s="263"/>
      <c r="H1631" s="267"/>
      <c r="I1631" s="263"/>
      <c r="J1631" s="263"/>
      <c r="K1631" s="263"/>
      <c r="L1631" s="264" t="str">
        <f>IFERROR(__xludf.DUMMYFUNCTION("""COMPUTED_VALUE"""),"The range of your darkvision increases by 60ft. | You may use Darkvision.")</f>
        <v>The range of your darkvision increases by 60ft. | You may use Darkvision.</v>
      </c>
      <c r="M1631" s="263"/>
      <c r="N1631" s="263"/>
      <c r="O1631" s="263"/>
      <c r="P1631" s="263"/>
      <c r="Q1631" s="263"/>
      <c r="R1631" s="263"/>
      <c r="S1631" s="263"/>
      <c r="T1631" s="263"/>
      <c r="U1631" s="246"/>
      <c r="V1631" s="246"/>
      <c r="W1631" s="246"/>
      <c r="X1631" s="246"/>
      <c r="Y1631" s="246"/>
      <c r="Z1631" s="246"/>
    </row>
    <row r="1632">
      <c r="A1632" s="263"/>
      <c r="B1632" s="265" t="str">
        <f>IFERROR(__xludf.DUMMYFUNCTION("""COMPUTED_VALUE"""),"Shield the Fallen")</f>
        <v>Shield the Fallen</v>
      </c>
      <c r="C1632" s="263"/>
      <c r="D1632" s="263"/>
      <c r="E1632" s="263"/>
      <c r="F1632" s="268"/>
      <c r="G1632" s="263"/>
      <c r="H1632" s="267"/>
      <c r="I1632" s="263"/>
      <c r="J1632" s="263"/>
      <c r="K1632" s="263"/>
      <c r="L1632" s="264" t="str">
        <f>IFERROR(__xludf.DUMMYFUNCTION("""COMPUTED_VALUE"""),"You may use Shield the Fallen.")</f>
        <v>You may use Shield the Fallen.</v>
      </c>
      <c r="M1632" s="263"/>
      <c r="N1632" s="263"/>
      <c r="O1632" s="263"/>
      <c r="P1632" s="263"/>
      <c r="Q1632" s="263"/>
      <c r="R1632" s="263"/>
      <c r="S1632" s="263"/>
      <c r="T1632" s="263"/>
      <c r="U1632" s="246"/>
      <c r="V1632" s="246"/>
      <c r="W1632" s="246"/>
      <c r="X1632" s="246"/>
      <c r="Y1632" s="246"/>
      <c r="Z1632" s="246"/>
    </row>
    <row r="1633">
      <c r="A1633" s="263"/>
      <c r="B1633" s="265" t="str">
        <f>IFERROR(__xludf.DUMMYFUNCTION("""COMPUTED_VALUE"""),"Shielding Fist")</f>
        <v>Shielding Fist</v>
      </c>
      <c r="C1633" s="263"/>
      <c r="D1633" s="263"/>
      <c r="E1633" s="263"/>
      <c r="F1633" s="268"/>
      <c r="G1633" s="263"/>
      <c r="H1633" s="267"/>
      <c r="I1633" s="263"/>
      <c r="J1633" s="263"/>
      <c r="K1633" s="263"/>
      <c r="L1633" s="264" t="str">
        <f>IFERROR(__xludf.DUMMYFUNCTION("""COMPUTED_VALUE"""),"While you have at least 1 hand empty and aren't wielding a shield, you gain a +4 Shield bonus to your block.")</f>
        <v>While you have at least 1 hand empty and aren't wielding a shield, you gain a +4 Shield bonus to your block.</v>
      </c>
      <c r="M1633" s="263"/>
      <c r="N1633" s="263"/>
      <c r="O1633" s="263"/>
      <c r="P1633" s="263"/>
      <c r="Q1633" s="263"/>
      <c r="R1633" s="263"/>
      <c r="S1633" s="263"/>
      <c r="T1633" s="263"/>
      <c r="U1633" s="246"/>
      <c r="V1633" s="246"/>
      <c r="W1633" s="246"/>
      <c r="X1633" s="246"/>
      <c r="Y1633" s="246"/>
      <c r="Z1633" s="246"/>
    </row>
    <row r="1634">
      <c r="A1634" s="263"/>
      <c r="B1634" s="265" t="str">
        <f>IFERROR(__xludf.DUMMYFUNCTION("""COMPUTED_VALUE"""),"Shrug it off")</f>
        <v>Shrug it off</v>
      </c>
      <c r="C1634" s="263"/>
      <c r="D1634" s="263"/>
      <c r="E1634" s="263"/>
      <c r="F1634" s="268"/>
      <c r="G1634" s="263"/>
      <c r="H1634" s="267"/>
      <c r="I1634" s="263"/>
      <c r="J1634" s="263"/>
      <c r="K1634" s="263"/>
      <c r="L1634" s="264" t="str">
        <f>IFERROR(__xludf.DUMMYFUNCTION("""COMPUTED_VALUE"""),"You may use Vital Drive II.")</f>
        <v>You may use Vital Drive II.</v>
      </c>
      <c r="M1634" s="263"/>
      <c r="N1634" s="263"/>
      <c r="O1634" s="263"/>
      <c r="P1634" s="263"/>
      <c r="Q1634" s="263"/>
      <c r="R1634" s="263"/>
      <c r="S1634" s="263"/>
      <c r="T1634" s="263"/>
      <c r="U1634" s="246"/>
      <c r="V1634" s="246"/>
      <c r="W1634" s="246"/>
      <c r="X1634" s="246"/>
      <c r="Y1634" s="246"/>
      <c r="Z1634" s="246"/>
    </row>
    <row r="1635">
      <c r="A1635" s="263"/>
      <c r="B1635" s="265" t="str">
        <f>IFERROR(__xludf.DUMMYFUNCTION("""COMPUTED_VALUE"""),"Snipe")</f>
        <v>Snipe</v>
      </c>
      <c r="C1635" s="263"/>
      <c r="D1635" s="263"/>
      <c r="E1635" s="263"/>
      <c r="F1635" s="268"/>
      <c r="G1635" s="263"/>
      <c r="H1635" s="267"/>
      <c r="I1635" s="263"/>
      <c r="J1635" s="263"/>
      <c r="K1635" s="263"/>
      <c r="L1635" s="264" t="str">
        <f>IFERROR(__xludf.DUMMYFUNCTION("""COMPUTED_VALUE"""),"You gain proficiency in Sniper Rifles. | If you did not move this turn or the previous turn you gain a +1d4 Snipe bonus to your accuracy roll on attacks made with a Sniper Rifle.")</f>
        <v>You gain proficiency in Sniper Rifles. | If you did not move this turn or the previous turn you gain a +1d4 Snipe bonus to your accuracy roll on attacks made with a Sniper Rifle.</v>
      </c>
      <c r="M1635" s="263"/>
      <c r="N1635" s="263"/>
      <c r="O1635" s="263"/>
      <c r="P1635" s="263"/>
      <c r="Q1635" s="263"/>
      <c r="R1635" s="263"/>
      <c r="S1635" s="263"/>
      <c r="T1635" s="263"/>
      <c r="U1635" s="246"/>
      <c r="V1635" s="246"/>
      <c r="W1635" s="246"/>
      <c r="X1635" s="246"/>
      <c r="Y1635" s="246"/>
      <c r="Z1635" s="246"/>
    </row>
    <row r="1636">
      <c r="A1636" s="263"/>
      <c r="B1636" s="265" t="str">
        <f>IFERROR(__xludf.DUMMYFUNCTION("""COMPUTED_VALUE"""),"Song without Song")</f>
        <v>Song without Song</v>
      </c>
      <c r="C1636" s="263"/>
      <c r="D1636" s="263"/>
      <c r="E1636" s="263"/>
      <c r="F1636" s="268"/>
      <c r="G1636" s="263"/>
      <c r="H1636" s="267"/>
      <c r="I1636" s="263"/>
      <c r="J1636" s="263"/>
      <c r="K1636" s="263"/>
      <c r="L1636" s="264" t="str">
        <f>IFERROR(__xludf.DUMMYFUNCTION("""COMPUTED_VALUE"""),"You may have 1 additional song active at the same time. | You learn the language 'Music'.")</f>
        <v>You may have 1 additional song active at the same time. | You learn the language 'Music'.</v>
      </c>
      <c r="M1636" s="263"/>
      <c r="N1636" s="263"/>
      <c r="O1636" s="263"/>
      <c r="P1636" s="263"/>
      <c r="Q1636" s="263"/>
      <c r="R1636" s="263"/>
      <c r="S1636" s="263"/>
      <c r="T1636" s="263"/>
      <c r="U1636" s="246"/>
      <c r="V1636" s="246"/>
      <c r="W1636" s="246"/>
      <c r="X1636" s="246"/>
      <c r="Y1636" s="246"/>
      <c r="Z1636" s="246"/>
    </row>
    <row r="1637">
      <c r="A1637" s="263"/>
      <c r="B1637" s="265" t="str">
        <f>IFERROR(__xludf.DUMMYFUNCTION("""COMPUTED_VALUE"""),"Sorcerer's Journey")</f>
        <v>Sorcerer's Journey</v>
      </c>
      <c r="C1637" s="263"/>
      <c r="D1637" s="263"/>
      <c r="E1637" s="263"/>
      <c r="F1637" s="268"/>
      <c r="G1637" s="263"/>
      <c r="H1637" s="267"/>
      <c r="I1637" s="263"/>
      <c r="J1637" s="263"/>
      <c r="K1637" s="263"/>
      <c r="L1637" s="264" t="str">
        <f>IFERROR(__xludf.DUMMYFUNCTION("""COMPUTED_VALUE"""),"You gain proficiency in Channeling Weapons and Light Armor. | You gain +5 skill points in Magic. | You gain Arcane Mastery. Upon mastering this class, you may master an additional element of your choice.")</f>
        <v>You gain proficiency in Channeling Weapons and Light Armor. | You gain +5 skill points in Magic. | You gain Arcane Mastery. Upon mastering this class, you may master an additional element of your choice.</v>
      </c>
      <c r="M1637" s="263"/>
      <c r="N1637" s="263"/>
      <c r="O1637" s="263"/>
      <c r="P1637" s="263"/>
      <c r="Q1637" s="263"/>
      <c r="R1637" s="263"/>
      <c r="S1637" s="263"/>
      <c r="T1637" s="263"/>
      <c r="U1637" s="246"/>
      <c r="V1637" s="246"/>
      <c r="W1637" s="246"/>
      <c r="X1637" s="246"/>
      <c r="Y1637" s="246"/>
      <c r="Z1637" s="246"/>
    </row>
    <row r="1638">
      <c r="A1638" s="263"/>
      <c r="B1638" s="265" t="str">
        <f>IFERROR(__xludf.DUMMYFUNCTION("""COMPUTED_VALUE"""),"Soul Absorption")</f>
        <v>Soul Absorption</v>
      </c>
      <c r="C1638" s="263"/>
      <c r="D1638" s="263"/>
      <c r="E1638" s="263"/>
      <c r="F1638" s="268"/>
      <c r="G1638" s="263"/>
      <c r="H1638" s="267"/>
      <c r="I1638" s="263"/>
      <c r="J1638" s="263"/>
      <c r="K1638" s="263"/>
      <c r="L1638" s="264" t="str">
        <f>IFERROR(__xludf.DUMMYFUNCTION("""COMPUTED_VALUE"""),"You gain Elemental Mastery: Dark | You may use Soul Absorption.")</f>
        <v>You gain Elemental Mastery: Dark | You may use Soul Absorption.</v>
      </c>
      <c r="M1638" s="263"/>
      <c r="N1638" s="263"/>
      <c r="O1638" s="263"/>
      <c r="P1638" s="263"/>
      <c r="Q1638" s="263"/>
      <c r="R1638" s="263"/>
      <c r="S1638" s="263"/>
      <c r="T1638" s="263"/>
      <c r="U1638" s="246"/>
      <c r="V1638" s="246"/>
      <c r="W1638" s="246"/>
      <c r="X1638" s="246"/>
      <c r="Y1638" s="246"/>
      <c r="Z1638" s="246"/>
    </row>
    <row r="1639">
      <c r="A1639" s="263"/>
      <c r="B1639" s="265" t="str">
        <f>IFERROR(__xludf.DUMMYFUNCTION("""COMPUTED_VALUE"""),"Soul Bond")</f>
        <v>Soul Bond</v>
      </c>
      <c r="C1639" s="263"/>
      <c r="D1639" s="263"/>
      <c r="E1639" s="263"/>
      <c r="F1639" s="268"/>
      <c r="G1639" s="263"/>
      <c r="H1639" s="267"/>
      <c r="I1639" s="263"/>
      <c r="J1639" s="263"/>
      <c r="K1639" s="263"/>
      <c r="L1639" s="264" t="str">
        <f>IFERROR(__xludf.DUMMYFUNCTION("""COMPUTED_VALUE"""),"When you acquire this ability, choose 1 willing person. That person is treated as your Soulmate and several of the class abilities only work on your Soulmate. This cannot be changed unless your Soulmate dies. | Your Soulmate is always treated as your VIP "&amp;"for any bodyguard abilities. You may still designate another VIP as normal.")</f>
        <v>When you acquire this ability, choose 1 willing person. That person is treated as your Soulmate and several of the class abilities only work on your Soulmate. This cannot be changed unless your Soulmate dies. | Your Soulmate is always treated as your VIP for any bodyguard abilities. You may still designate another VIP as normal.</v>
      </c>
      <c r="M1639" s="263"/>
      <c r="N1639" s="263"/>
      <c r="O1639" s="263"/>
      <c r="P1639" s="263"/>
      <c r="Q1639" s="263"/>
      <c r="R1639" s="263"/>
      <c r="S1639" s="263"/>
      <c r="T1639" s="263"/>
      <c r="U1639" s="246"/>
      <c r="V1639" s="246"/>
      <c r="W1639" s="246"/>
      <c r="X1639" s="246"/>
      <c r="Y1639" s="246"/>
      <c r="Z1639" s="246"/>
    </row>
    <row r="1640">
      <c r="A1640" s="263"/>
      <c r="B1640" s="265" t="str">
        <f>IFERROR(__xludf.DUMMYFUNCTION("""COMPUTED_VALUE"""),"Sound the retreat")</f>
        <v>Sound the retreat</v>
      </c>
      <c r="C1640" s="263"/>
      <c r="D1640" s="263"/>
      <c r="E1640" s="263"/>
      <c r="F1640" s="268"/>
      <c r="G1640" s="263"/>
      <c r="H1640" s="267"/>
      <c r="I1640" s="263"/>
      <c r="J1640" s="263"/>
      <c r="K1640" s="263"/>
      <c r="L1640" s="264" t="str">
        <f>IFERROR(__xludf.DUMMYFUNCTION("""COMPUTED_VALUE"""),"You may use Sound the retreat")</f>
        <v>You may use Sound the retreat</v>
      </c>
      <c r="M1640" s="263"/>
      <c r="N1640" s="263"/>
      <c r="O1640" s="263"/>
      <c r="P1640" s="263"/>
      <c r="Q1640" s="263"/>
      <c r="R1640" s="263"/>
      <c r="S1640" s="263"/>
      <c r="T1640" s="263"/>
      <c r="U1640" s="246"/>
      <c r="V1640" s="246"/>
      <c r="W1640" s="246"/>
      <c r="X1640" s="246"/>
      <c r="Y1640" s="246"/>
      <c r="Z1640" s="246"/>
    </row>
    <row r="1641">
      <c r="A1641" s="263"/>
      <c r="B1641" s="265" t="str">
        <f>IFERROR(__xludf.DUMMYFUNCTION("""COMPUTED_VALUE"""),"Spell Challenge")</f>
        <v>Spell Challenge</v>
      </c>
      <c r="C1641" s="263"/>
      <c r="D1641" s="263"/>
      <c r="E1641" s="263"/>
      <c r="F1641" s="268"/>
      <c r="G1641" s="263"/>
      <c r="H1641" s="267"/>
      <c r="I1641" s="263"/>
      <c r="J1641" s="263"/>
      <c r="K1641" s="263"/>
      <c r="L1641" s="264" t="str">
        <f>IFERROR(__xludf.DUMMYFUNCTION("""COMPUTED_VALUE"""),"When targeting or damaging an enemy with a spell, you may choose to inflict Challenge on them until the end of your next turn. | When an enemy that is Challenged by you provokes an attack of opportunity from you, you may instead use Abjurer's Blast agains"&amp;"t them. The heavy and precise version of this cost 1 RP, while the light version costs 0 RP.")</f>
        <v>When targeting or damaging an enemy with a spell, you may choose to inflict Challenge on them until the end of your next turn. | When an enemy that is Challenged by you provokes an attack of opportunity from you, you may instead use Abjurer's Blast against them. The heavy and precise version of this cost 1 RP, while the light version costs 0 RP.</v>
      </c>
      <c r="M1641" s="263"/>
      <c r="N1641" s="263"/>
      <c r="O1641" s="263"/>
      <c r="P1641" s="263"/>
      <c r="Q1641" s="263"/>
      <c r="R1641" s="263"/>
      <c r="S1641" s="263"/>
      <c r="T1641" s="263"/>
      <c r="U1641" s="246"/>
      <c r="V1641" s="246"/>
      <c r="W1641" s="246"/>
      <c r="X1641" s="246"/>
      <c r="Y1641" s="246"/>
      <c r="Z1641" s="246"/>
    </row>
    <row r="1642">
      <c r="A1642" s="263"/>
      <c r="B1642" s="265" t="str">
        <f>IFERROR(__xludf.DUMMYFUNCTION("""COMPUTED_VALUE"""),"Spell Transfer")</f>
        <v>Spell Transfer</v>
      </c>
      <c r="C1642" s="263"/>
      <c r="D1642" s="263"/>
      <c r="E1642" s="263"/>
      <c r="F1642" s="268"/>
      <c r="G1642" s="263"/>
      <c r="H1642" s="267"/>
      <c r="I1642" s="263"/>
      <c r="J1642" s="263"/>
      <c r="K1642" s="263"/>
      <c r="L1642" s="264" t="str">
        <f>IFERROR(__xludf.DUMMYFUNCTION("""COMPUTED_VALUE"""),"When you use the Create Talisman ability, an ally may spend their Errand action to use one of their spells to put on the talisman instead of your own. You only create 1 copy of this talisman per Errand action and cannot use Secret Art spells with it.")</f>
        <v>When you use the Create Talisman ability, an ally may spend their Errand action to use one of their spells to put on the talisman instead of your own. You only create 1 copy of this talisman per Errand action and cannot use Secret Art spells with it.</v>
      </c>
      <c r="M1642" s="263"/>
      <c r="N1642" s="263"/>
      <c r="O1642" s="263"/>
      <c r="P1642" s="263"/>
      <c r="Q1642" s="263"/>
      <c r="R1642" s="263"/>
      <c r="S1642" s="263"/>
      <c r="T1642" s="263"/>
      <c r="U1642" s="246"/>
      <c r="V1642" s="246"/>
      <c r="W1642" s="246"/>
      <c r="X1642" s="246"/>
      <c r="Y1642" s="246"/>
      <c r="Z1642" s="246"/>
    </row>
    <row r="1643">
      <c r="A1643" s="263"/>
      <c r="B1643" s="265" t="str">
        <f>IFERROR(__xludf.DUMMYFUNCTION("""COMPUTED_VALUE"""),"Spore Symbiote")</f>
        <v>Spore Symbiote</v>
      </c>
      <c r="C1643" s="263"/>
      <c r="D1643" s="263"/>
      <c r="E1643" s="263"/>
      <c r="F1643" s="268"/>
      <c r="G1643" s="263"/>
      <c r="H1643" s="267"/>
      <c r="I1643" s="263"/>
      <c r="J1643" s="263"/>
      <c r="K1643" s="263"/>
      <c r="L1643" s="264" t="str">
        <f>IFERROR(__xludf.DUMMYFUNCTION("""COMPUTED_VALUE"""),"You can use Spore Symbiote. | You gain Earth Elemental Mastery. | You can create a cute mushroom cap hat to wear.")</f>
        <v>You can use Spore Symbiote. | You gain Earth Elemental Mastery. | You can create a cute mushroom cap hat to wear.</v>
      </c>
      <c r="M1643" s="263"/>
      <c r="N1643" s="263"/>
      <c r="O1643" s="263"/>
      <c r="P1643" s="263"/>
      <c r="Q1643" s="263"/>
      <c r="R1643" s="263"/>
      <c r="S1643" s="263"/>
      <c r="T1643" s="263"/>
      <c r="U1643" s="246"/>
      <c r="V1643" s="246"/>
      <c r="W1643" s="246"/>
      <c r="X1643" s="246"/>
      <c r="Y1643" s="246"/>
      <c r="Z1643" s="246"/>
    </row>
    <row r="1644">
      <c r="A1644" s="263"/>
      <c r="B1644" s="265" t="str">
        <f>IFERROR(__xludf.DUMMYFUNCTION("""COMPUTED_VALUE"""),"Status Assessment II")</f>
        <v>Status Assessment II</v>
      </c>
      <c r="C1644" s="263"/>
      <c r="D1644" s="263"/>
      <c r="E1644" s="263"/>
      <c r="F1644" s="268"/>
      <c r="G1644" s="263"/>
      <c r="H1644" s="267"/>
      <c r="I1644" s="263"/>
      <c r="J1644" s="263"/>
      <c r="K1644" s="263"/>
      <c r="L1644" s="264" t="str">
        <f>IFERROR(__xludf.DUMMYFUNCTION("""COMPUTED_VALUE"""),"You may use Status Assessment II.")</f>
        <v>You may use Status Assessment II.</v>
      </c>
      <c r="M1644" s="263"/>
      <c r="N1644" s="263"/>
      <c r="O1644" s="263"/>
      <c r="P1644" s="263"/>
      <c r="Q1644" s="263"/>
      <c r="R1644" s="263"/>
      <c r="S1644" s="263"/>
      <c r="T1644" s="263"/>
      <c r="U1644" s="246"/>
      <c r="V1644" s="246"/>
      <c r="W1644" s="246"/>
      <c r="X1644" s="246"/>
      <c r="Y1644" s="246"/>
      <c r="Z1644" s="246"/>
    </row>
    <row r="1645">
      <c r="A1645" s="263"/>
      <c r="B1645" s="265" t="str">
        <f>IFERROR(__xludf.DUMMYFUNCTION("""COMPUTED_VALUE"""),"Store Time")</f>
        <v>Store Time</v>
      </c>
      <c r="C1645" s="263"/>
      <c r="D1645" s="263"/>
      <c r="E1645" s="263"/>
      <c r="F1645" s="268"/>
      <c r="G1645" s="263"/>
      <c r="H1645" s="267"/>
      <c r="I1645" s="263"/>
      <c r="J1645" s="263"/>
      <c r="K1645" s="263"/>
      <c r="L1645" s="264" t="str">
        <f>IFERROR(__xludf.DUMMYFUNCTION("""COMPUTED_VALUE"""),"You can use Store Time.")</f>
        <v>You can use Store Time.</v>
      </c>
      <c r="M1645" s="263"/>
      <c r="N1645" s="263"/>
      <c r="O1645" s="263"/>
      <c r="P1645" s="263"/>
      <c r="Q1645" s="263"/>
      <c r="R1645" s="263"/>
      <c r="S1645" s="263"/>
      <c r="T1645" s="263"/>
      <c r="U1645" s="246"/>
      <c r="V1645" s="246"/>
      <c r="W1645" s="246"/>
      <c r="X1645" s="246"/>
      <c r="Y1645" s="246"/>
      <c r="Z1645" s="246"/>
    </row>
    <row r="1646">
      <c r="A1646" s="263"/>
      <c r="B1646" s="265" t="str">
        <f>IFERROR(__xludf.DUMMYFUNCTION("""COMPUTED_VALUE"""),"Studied Healer")</f>
        <v>Studied Healer</v>
      </c>
      <c r="C1646" s="263"/>
      <c r="D1646" s="263"/>
      <c r="E1646" s="263"/>
      <c r="F1646" s="268"/>
      <c r="G1646" s="263"/>
      <c r="H1646" s="267"/>
      <c r="I1646" s="263"/>
      <c r="J1646" s="263"/>
      <c r="K1646" s="263"/>
      <c r="L1646" s="264" t="str">
        <f>IFERROR(__xludf.DUMMYFUNCTION("""COMPUTED_VALUE"""),"You gain +5 skill points in the Religion skill. | Followers of your Religion are more obligated to listen to you, granting you a +5 Negotiation Bonus when dealing with them.")</f>
        <v>You gain +5 skill points in the Religion skill. | Followers of your Religion are more obligated to listen to you, granting you a +5 Negotiation Bonus when dealing with them.</v>
      </c>
      <c r="M1646" s="263"/>
      <c r="N1646" s="263"/>
      <c r="O1646" s="263"/>
      <c r="P1646" s="263"/>
      <c r="Q1646" s="263"/>
      <c r="R1646" s="263"/>
      <c r="S1646" s="263"/>
      <c r="T1646" s="263"/>
      <c r="U1646" s="246"/>
      <c r="V1646" s="246"/>
      <c r="W1646" s="246"/>
      <c r="X1646" s="246"/>
      <c r="Y1646" s="246"/>
      <c r="Z1646" s="246"/>
    </row>
    <row r="1647">
      <c r="A1647" s="263"/>
      <c r="B1647" s="265" t="str">
        <f>IFERROR(__xludf.DUMMYFUNCTION("""COMPUTED_VALUE"""),"Stygian Comprehension")</f>
        <v>Stygian Comprehension</v>
      </c>
      <c r="C1647" s="263"/>
      <c r="D1647" s="263"/>
      <c r="E1647" s="263"/>
      <c r="F1647" s="268"/>
      <c r="G1647" s="263"/>
      <c r="H1647" s="267"/>
      <c r="I1647" s="263"/>
      <c r="J1647" s="263"/>
      <c r="K1647" s="263"/>
      <c r="L1647" s="264" t="str">
        <f>IFERROR(__xludf.DUMMYFUNCTION("""COMPUTED_VALUE"""),"You gain Elemental Mastery: Dark | You may use Dark Bolt.")</f>
        <v>You gain Elemental Mastery: Dark | You may use Dark Bolt.</v>
      </c>
      <c r="M1647" s="263"/>
      <c r="N1647" s="263"/>
      <c r="O1647" s="263"/>
      <c r="P1647" s="263"/>
      <c r="Q1647" s="263"/>
      <c r="R1647" s="263"/>
      <c r="S1647" s="263"/>
      <c r="T1647" s="263"/>
      <c r="U1647" s="246"/>
      <c r="V1647" s="246"/>
      <c r="W1647" s="246"/>
      <c r="X1647" s="246"/>
      <c r="Y1647" s="246"/>
      <c r="Z1647" s="246"/>
    </row>
    <row r="1648">
      <c r="A1648" s="263"/>
      <c r="B1648" s="265" t="str">
        <f>IFERROR(__xludf.DUMMYFUNCTION("""COMPUTED_VALUE"""),"Summon Animal")</f>
        <v>Summon Animal</v>
      </c>
      <c r="C1648" s="263"/>
      <c r="D1648" s="263"/>
      <c r="E1648" s="263"/>
      <c r="F1648" s="268"/>
      <c r="G1648" s="263"/>
      <c r="H1648" s="267"/>
      <c r="I1648" s="263"/>
      <c r="J1648" s="263"/>
      <c r="K1648" s="263"/>
      <c r="L1648" s="264" t="str">
        <f>IFERROR(__xludf.DUMMYFUNCTION("""COMPUTED_VALUE"""),"You may use Summon Animal.")</f>
        <v>You may use Summon Animal.</v>
      </c>
      <c r="M1648" s="263"/>
      <c r="N1648" s="263"/>
      <c r="O1648" s="263"/>
      <c r="P1648" s="263"/>
      <c r="Q1648" s="263"/>
      <c r="R1648" s="263"/>
      <c r="S1648" s="263"/>
      <c r="T1648" s="263"/>
      <c r="U1648" s="246"/>
      <c r="V1648" s="246"/>
      <c r="W1648" s="246"/>
      <c r="X1648" s="246"/>
      <c r="Y1648" s="246"/>
      <c r="Z1648" s="246"/>
    </row>
    <row r="1649">
      <c r="A1649" s="263"/>
      <c r="B1649" s="265" t="str">
        <f>IFERROR(__xludf.DUMMYFUNCTION("""COMPUTED_VALUE"""),"Summoning Basics")</f>
        <v>Summoning Basics</v>
      </c>
      <c r="C1649" s="263"/>
      <c r="D1649" s="263"/>
      <c r="E1649" s="263"/>
      <c r="F1649" s="268"/>
      <c r="G1649" s="263"/>
      <c r="H1649" s="267"/>
      <c r="I1649" s="263"/>
      <c r="J1649" s="263"/>
      <c r="K1649" s="263"/>
      <c r="L1649" s="264" t="str">
        <f>IFERROR(__xludf.DUMMYFUNCTION("""COMPUTED_VALUE"""),"You may channel for 10 minutes after which you arrive at the space between worlds, allowing you to interact with Eidolons that wish to meet with you. | You may use Attune Eidolon.")</f>
        <v>You may channel for 10 minutes after which you arrive at the space between worlds, allowing you to interact with Eidolons that wish to meet with you. | You may use Attune Eidolon.</v>
      </c>
      <c r="M1649" s="263"/>
      <c r="N1649" s="263"/>
      <c r="O1649" s="263"/>
      <c r="P1649" s="263"/>
      <c r="Q1649" s="263"/>
      <c r="R1649" s="263"/>
      <c r="S1649" s="263"/>
      <c r="T1649" s="263"/>
      <c r="U1649" s="246"/>
      <c r="V1649" s="246"/>
      <c r="W1649" s="246"/>
      <c r="X1649" s="246"/>
      <c r="Y1649" s="246"/>
      <c r="Z1649" s="246"/>
    </row>
    <row r="1650">
      <c r="A1650" s="263"/>
      <c r="B1650" s="265" t="str">
        <f>IFERROR(__xludf.DUMMYFUNCTION("""COMPUTED_VALUE"""),"Superconductor")</f>
        <v>Superconductor</v>
      </c>
      <c r="C1650" s="263"/>
      <c r="D1650" s="263"/>
      <c r="E1650" s="263"/>
      <c r="F1650" s="268"/>
      <c r="G1650" s="263"/>
      <c r="H1650" s="267"/>
      <c r="I1650" s="263"/>
      <c r="J1650" s="263"/>
      <c r="K1650" s="263"/>
      <c r="L1650" s="264" t="str">
        <f>IFERROR(__xludf.DUMMYFUNCTION("""COMPUTED_VALUE"""),"When you make an attack that deals Lightning damage to a target afflicted with Static, you gain a +1 accuracy bonus. | You gain Elemental Mastery: Lightning.")</f>
        <v>When you make an attack that deals Lightning damage to a target afflicted with Static, you gain a +1 accuracy bonus. | You gain Elemental Mastery: Lightning.</v>
      </c>
      <c r="M1650" s="263"/>
      <c r="N1650" s="263"/>
      <c r="O1650" s="263"/>
      <c r="P1650" s="263"/>
      <c r="Q1650" s="263"/>
      <c r="R1650" s="263"/>
      <c r="S1650" s="263"/>
      <c r="T1650" s="263"/>
      <c r="U1650" s="246"/>
      <c r="V1650" s="246"/>
      <c r="W1650" s="246"/>
      <c r="X1650" s="246"/>
      <c r="Y1650" s="246"/>
      <c r="Z1650" s="246"/>
    </row>
    <row r="1651">
      <c r="A1651" s="263"/>
      <c r="B1651" s="265" t="str">
        <f>IFERROR(__xludf.DUMMYFUNCTION("""COMPUTED_VALUE"""),"Superior Assessment")</f>
        <v>Superior Assessment</v>
      </c>
      <c r="C1651" s="263"/>
      <c r="D1651" s="263"/>
      <c r="E1651" s="263"/>
      <c r="F1651" s="268"/>
      <c r="G1651" s="263"/>
      <c r="H1651" s="267"/>
      <c r="I1651" s="263"/>
      <c r="J1651" s="263"/>
      <c r="K1651" s="263"/>
      <c r="L1651" s="264" t="str">
        <f>IFERROR(__xludf.DUMMYFUNCTION("""COMPUTED_VALUE"""),"You may use Status Assessment III.")</f>
        <v>You may use Status Assessment III.</v>
      </c>
      <c r="M1651" s="263"/>
      <c r="N1651" s="263"/>
      <c r="O1651" s="263"/>
      <c r="P1651" s="263"/>
      <c r="Q1651" s="263"/>
      <c r="R1651" s="263"/>
      <c r="S1651" s="263"/>
      <c r="T1651" s="263"/>
      <c r="U1651" s="246"/>
      <c r="V1651" s="246"/>
      <c r="W1651" s="246"/>
      <c r="X1651" s="246"/>
      <c r="Y1651" s="246"/>
      <c r="Z1651" s="246"/>
    </row>
    <row r="1652">
      <c r="A1652" s="263"/>
      <c r="B1652" s="265" t="str">
        <f>IFERROR(__xludf.DUMMYFUNCTION("""COMPUTED_VALUE"""),"Surgical Precision")</f>
        <v>Surgical Precision</v>
      </c>
      <c r="C1652" s="263"/>
      <c r="D1652" s="263"/>
      <c r="E1652" s="263"/>
      <c r="F1652" s="268"/>
      <c r="G1652" s="263"/>
      <c r="H1652" s="267"/>
      <c r="I1652" s="263"/>
      <c r="J1652" s="263"/>
      <c r="K1652" s="263"/>
      <c r="L1652" s="264" t="str">
        <f>IFERROR(__xludf.DUMMYFUNCTION("""COMPUTED_VALUE"""),"When you deal damage with a one-handed melee weapon that is both Sure Hit and Full Pierce or a critical hit, you inflict Bleeding on the target for 1 turn. This effect stacks with other Bleeds effects and itself up to 3 times.")</f>
        <v>When you deal damage with a one-handed melee weapon that is both Sure Hit and Full Pierce or a critical hit, you inflict Bleeding on the target for 1 turn. This effect stacks with other Bleeds effects and itself up to 3 times.</v>
      </c>
      <c r="M1652" s="263"/>
      <c r="N1652" s="263"/>
      <c r="O1652" s="263"/>
      <c r="P1652" s="263"/>
      <c r="Q1652" s="263"/>
      <c r="R1652" s="263"/>
      <c r="S1652" s="263"/>
      <c r="T1652" s="263"/>
      <c r="U1652" s="246"/>
      <c r="V1652" s="246"/>
      <c r="W1652" s="246"/>
      <c r="X1652" s="246"/>
      <c r="Y1652" s="246"/>
      <c r="Z1652" s="246"/>
    </row>
    <row r="1653">
      <c r="A1653" s="263"/>
      <c r="B1653" s="265" t="str">
        <f>IFERROR(__xludf.DUMMYFUNCTION("""COMPUTED_VALUE"""),"Take the advantage")</f>
        <v>Take the advantage</v>
      </c>
      <c r="C1653" s="263"/>
      <c r="D1653" s="263"/>
      <c r="E1653" s="263"/>
      <c r="F1653" s="268"/>
      <c r="G1653" s="263"/>
      <c r="H1653" s="267"/>
      <c r="I1653" s="263"/>
      <c r="J1653" s="263"/>
      <c r="K1653" s="263"/>
      <c r="L1653" s="264" t="str">
        <f>IFERROR(__xludf.DUMMYFUNCTION("""COMPUTED_VALUE"""),"When attacking a target inflicted with Offstep, Stagger or Blinded, you gain a +1 accuracy bonus against them.")</f>
        <v>When attacking a target inflicted with Offstep, Stagger or Blinded, you gain a +1 accuracy bonus against them.</v>
      </c>
      <c r="M1653" s="263"/>
      <c r="N1653" s="263"/>
      <c r="O1653" s="263"/>
      <c r="P1653" s="263"/>
      <c r="Q1653" s="263"/>
      <c r="R1653" s="263"/>
      <c r="S1653" s="263"/>
      <c r="T1653" s="263"/>
      <c r="U1653" s="246"/>
      <c r="V1653" s="246"/>
      <c r="W1653" s="246"/>
      <c r="X1653" s="246"/>
      <c r="Y1653" s="246"/>
      <c r="Z1653" s="246"/>
    </row>
    <row r="1654">
      <c r="A1654" s="263"/>
      <c r="B1654" s="265" t="str">
        <f>IFERROR(__xludf.DUMMYFUNCTION("""COMPUTED_VALUE"""),"Terrifying Charge")</f>
        <v>Terrifying Charge</v>
      </c>
      <c r="C1654" s="263"/>
      <c r="D1654" s="263"/>
      <c r="E1654" s="263"/>
      <c r="F1654" s="268"/>
      <c r="G1654" s="263"/>
      <c r="H1654" s="267"/>
      <c r="I1654" s="263"/>
      <c r="J1654" s="263"/>
      <c r="K1654" s="263"/>
      <c r="L1654" s="264" t="str">
        <f>IFERROR(__xludf.DUMMYFUNCTION("""COMPUTED_VALUE"""),"When dealing damage with the trample effect or with your Secret Art: Override, any non-heroic target you damage becomes Shaken until the end of their next turn.")</f>
        <v>When dealing damage with the trample effect or with your Secret Art: Override, any non-heroic target you damage becomes Shaken until the end of their next turn.</v>
      </c>
      <c r="M1654" s="263"/>
      <c r="N1654" s="263"/>
      <c r="O1654" s="263"/>
      <c r="P1654" s="263"/>
      <c r="Q1654" s="263"/>
      <c r="R1654" s="263"/>
      <c r="S1654" s="263"/>
      <c r="T1654" s="263"/>
      <c r="U1654" s="246"/>
      <c r="V1654" s="246"/>
      <c r="W1654" s="246"/>
      <c r="X1654" s="246"/>
      <c r="Y1654" s="246"/>
      <c r="Z1654" s="246"/>
    </row>
    <row r="1655">
      <c r="A1655" s="263"/>
      <c r="B1655" s="267" t="str">
        <f>IFERROR(__xludf.DUMMYFUNCTION("""COMPUTED_VALUE"""),"The Alchemist")</f>
        <v>The Alchemist</v>
      </c>
      <c r="C1655" s="263"/>
      <c r="D1655" s="263"/>
      <c r="E1655" s="263"/>
      <c r="F1655" s="268"/>
      <c r="G1655" s="263"/>
      <c r="H1655" s="267"/>
      <c r="I1655" s="263"/>
      <c r="J1655" s="263"/>
      <c r="K1655" s="263"/>
      <c r="L1655" s="263" t="str">
        <f>IFERROR(__xludf.DUMMYFUNCTION("""COMPUTED_VALUE"""),"You gain Alchemist Core Crafting Abilities, and proficiency in 1 basic weapon. | You can craft using non-advanced materials and base materials. You may use an IP to perform an EP action tied to this key ability 4 times. | You can use an Alchemist's Alembi"&amp;"c as crafting tool for alchemy crafts. | You craft 3 of the same Elixir, Potion, Flask, Poison or Salve when using an interlude point instead of 1. You only need to pay the listed cost once.")</f>
        <v>You gain Alchemist Core Crafting Abilities, and proficiency in 1 basic weapon. | You can craft using non-advanced materials and base materials. You may use an IP to perform an EP action tied to this key ability 4 times. | You can use an Alchemist's Alembic as crafting tool for alchemy crafts. | You craft 3 of the same Elixir, Potion, Flask, Poison or Salve when using an interlude point instead of 1. You only need to pay the listed cost once.</v>
      </c>
      <c r="M1655" s="263"/>
      <c r="N1655" s="263"/>
      <c r="O1655" s="263"/>
      <c r="P1655" s="263"/>
      <c r="Q1655" s="263"/>
      <c r="R1655" s="263"/>
      <c r="S1655" s="263"/>
      <c r="T1655" s="263"/>
      <c r="U1655" s="246"/>
      <c r="V1655" s="246"/>
      <c r="W1655" s="246"/>
      <c r="X1655" s="246"/>
      <c r="Y1655" s="246"/>
      <c r="Z1655" s="246"/>
    </row>
    <row r="1656">
      <c r="A1656" s="263"/>
      <c r="B1656" s="267" t="str">
        <f>IFERROR(__xludf.DUMMYFUNCTION("""COMPUTED_VALUE"""),"Thefts of the past")</f>
        <v>Thefts of the past</v>
      </c>
      <c r="C1656" s="263"/>
      <c r="D1656" s="263"/>
      <c r="E1656" s="263"/>
      <c r="F1656" s="268"/>
      <c r="G1656" s="263"/>
      <c r="H1656" s="267"/>
      <c r="I1656" s="263"/>
      <c r="J1656" s="263"/>
      <c r="K1656" s="263"/>
      <c r="L1656" s="263" t="str">
        <f>IFERROR(__xludf.DUMMYFUNCTION("""COMPUTED_VALUE"""),"When making a check with the Roguecraft skill, you may treat the object or person you’re interacting with as being up to an hour in the past. This may allow you to steal things not currently carried, open doors before they were locked and more. Does not w"&amp;"ork in combat and an item that is consumed cannot be stolen. | Using the Delay encounter start action does not consume your encounter start action use and you may use it multiple times.")</f>
        <v>When making a check with the Roguecraft skill, you may treat the object or person you’re interacting with as being up to an hour in the past. This may allow you to steal things not currently carried, open doors before they were locked and more. Does not work in combat and an item that is consumed cannot be stolen. | Using the Delay encounter start action does not consume your encounter start action use and you may use it multiple times.</v>
      </c>
      <c r="M1656" s="263"/>
      <c r="N1656" s="263"/>
      <c r="O1656" s="263"/>
      <c r="P1656" s="263"/>
      <c r="Q1656" s="263"/>
      <c r="R1656" s="263"/>
      <c r="S1656" s="263"/>
      <c r="T1656" s="263"/>
      <c r="U1656" s="246"/>
      <c r="V1656" s="246"/>
      <c r="W1656" s="246"/>
      <c r="X1656" s="246"/>
      <c r="Y1656" s="246"/>
      <c r="Z1656" s="246"/>
    </row>
    <row r="1657">
      <c r="A1657" s="263"/>
      <c r="B1657" s="267" t="str">
        <f>IFERROR(__xludf.DUMMYFUNCTION("""COMPUTED_VALUE"""),"Throwing Rhythm")</f>
        <v>Throwing Rhythm</v>
      </c>
      <c r="C1657" s="263"/>
      <c r="D1657" s="263"/>
      <c r="E1657" s="263"/>
      <c r="F1657" s="268"/>
      <c r="G1657" s="263"/>
      <c r="H1657" s="267"/>
      <c r="I1657" s="263"/>
      <c r="J1657" s="263"/>
      <c r="K1657" s="263"/>
      <c r="L1657" s="263" t="str">
        <f>IFERROR(__xludf.DUMMYFUNCTION("""COMPUTED_VALUE"""),"When you make an attack with a throwing weapon, or take the thrown attack basic action, you may move 5ft as if you had the light sword passive (Nimble).")</f>
        <v>When you make an attack with a throwing weapon, or take the thrown attack basic action, you may move 5ft as if you had the light sword passive (Nimble).</v>
      </c>
      <c r="M1657" s="263"/>
      <c r="N1657" s="263"/>
      <c r="O1657" s="263"/>
      <c r="P1657" s="263"/>
      <c r="Q1657" s="263"/>
      <c r="R1657" s="263"/>
      <c r="S1657" s="263"/>
      <c r="T1657" s="263"/>
      <c r="U1657" s="246"/>
      <c r="V1657" s="246"/>
      <c r="W1657" s="246"/>
      <c r="X1657" s="246"/>
      <c r="Y1657" s="246"/>
      <c r="Z1657" s="246"/>
    </row>
    <row r="1658">
      <c r="A1658" s="263"/>
      <c r="B1658" s="267" t="str">
        <f>IFERROR(__xludf.DUMMYFUNCTION("""COMPUTED_VALUE"""),"Timberwright's Core Crafting")</f>
        <v>Timberwright's Core Crafting</v>
      </c>
      <c r="C1658" s="263"/>
      <c r="D1658" s="263"/>
      <c r="E1658" s="263"/>
      <c r="F1658" s="268"/>
      <c r="G1658" s="263"/>
      <c r="H1658" s="267"/>
      <c r="I1658" s="263"/>
      <c r="J1658" s="263"/>
      <c r="K1658" s="263"/>
      <c r="L1658" s="263" t="str">
        <f>IFERROR(__xludf.DUMMYFUNCTION("""COMPUTED_VALUE"""),"You may use the Timberwright's Core Crafting abilities | You may craft using Ash and Yew materials.")</f>
        <v>You may use the Timberwright's Core Crafting abilities | You may craft using Ash and Yew materials.</v>
      </c>
      <c r="M1658" s="263"/>
      <c r="N1658" s="263"/>
      <c r="O1658" s="263"/>
      <c r="P1658" s="263"/>
      <c r="Q1658" s="263"/>
      <c r="R1658" s="263"/>
      <c r="S1658" s="263"/>
      <c r="T1658" s="263"/>
      <c r="U1658" s="246"/>
      <c r="V1658" s="246"/>
      <c r="W1658" s="246"/>
      <c r="X1658" s="246"/>
      <c r="Y1658" s="246"/>
      <c r="Z1658" s="246"/>
    </row>
    <row r="1659">
      <c r="A1659" s="263"/>
      <c r="B1659" s="267" t="str">
        <f>IFERROR(__xludf.DUMMYFUNCTION("""COMPUTED_VALUE"""),"Titan's Grip")</f>
        <v>Titan's Grip</v>
      </c>
      <c r="C1659" s="263"/>
      <c r="D1659" s="263"/>
      <c r="E1659" s="263"/>
      <c r="F1659" s="268"/>
      <c r="G1659" s="263"/>
      <c r="H1659" s="267"/>
      <c r="I1659" s="263"/>
      <c r="J1659" s="263"/>
      <c r="K1659" s="263"/>
      <c r="L1659" s="263" t="str">
        <f>IFERROR(__xludf.DUMMYFUNCTION("""COMPUTED_VALUE"""),"You may wield a Two-Handed weapon in 1 hand allowing you to use a second (Two-Handed) weapon or shield in your offhand. | While dual wielding Two-Handed weapons, you may make dual wield attacks as if they were One-Handed weapons.")</f>
        <v>You may wield a Two-Handed weapon in 1 hand allowing you to use a second (Two-Handed) weapon or shield in your offhand. | While dual wielding Two-Handed weapons, you may make dual wield attacks as if they were One-Handed weapons.</v>
      </c>
      <c r="M1659" s="263"/>
      <c r="N1659" s="263"/>
      <c r="O1659" s="263"/>
      <c r="P1659" s="263"/>
      <c r="Q1659" s="263"/>
      <c r="R1659" s="263"/>
      <c r="S1659" s="263"/>
      <c r="T1659" s="263"/>
      <c r="U1659" s="246"/>
      <c r="V1659" s="246"/>
      <c r="W1659" s="246"/>
      <c r="X1659" s="246"/>
      <c r="Y1659" s="246"/>
      <c r="Z1659" s="246"/>
    </row>
    <row r="1660">
      <c r="A1660" s="263"/>
      <c r="B1660" s="267" t="str">
        <f>IFERROR(__xludf.DUMMYFUNCTION("""COMPUTED_VALUE"""),"Toss a coin")</f>
        <v>Toss a coin</v>
      </c>
      <c r="C1660" s="263"/>
      <c r="D1660" s="263"/>
      <c r="E1660" s="263"/>
      <c r="F1660" s="268"/>
      <c r="G1660" s="263"/>
      <c r="H1660" s="267"/>
      <c r="I1660" s="263"/>
      <c r="J1660" s="263"/>
      <c r="K1660" s="263"/>
      <c r="L1660" s="263" t="str">
        <f>IFERROR(__xludf.DUMMYFUNCTION("""COMPUTED_VALUE"""),"As an Errand action, you may perform in a city or town and earn Clim equal to your relevant Art roll x 10 up to a maximum of 300 clim.")</f>
        <v>As an Errand action, you may perform in a city or town and earn Clim equal to your relevant Art roll x 10 up to a maximum of 300 clim.</v>
      </c>
      <c r="M1660" s="263"/>
      <c r="N1660" s="263"/>
      <c r="O1660" s="263"/>
      <c r="P1660" s="263"/>
      <c r="Q1660" s="263"/>
      <c r="R1660" s="263"/>
      <c r="S1660" s="263"/>
      <c r="T1660" s="263"/>
      <c r="U1660" s="246"/>
      <c r="V1660" s="246"/>
      <c r="W1660" s="246"/>
      <c r="X1660" s="246"/>
      <c r="Y1660" s="246"/>
      <c r="Z1660" s="246"/>
    </row>
    <row r="1661">
      <c r="A1661" s="263"/>
      <c r="B1661" s="267" t="str">
        <f>IFERROR(__xludf.DUMMYFUNCTION("""COMPUTED_VALUE"""),"Toxic Blast")</f>
        <v>Toxic Blast</v>
      </c>
      <c r="C1661" s="263"/>
      <c r="D1661" s="263"/>
      <c r="E1661" s="263"/>
      <c r="F1661" s="268"/>
      <c r="G1661" s="263"/>
      <c r="H1661" s="267"/>
      <c r="I1661" s="263"/>
      <c r="J1661" s="263"/>
      <c r="K1661" s="263"/>
      <c r="L1661" s="263" t="str">
        <f>IFERROR(__xludf.DUMMYFUNCTION("""COMPUTED_VALUE"""),"You may use Toxic Blast.")</f>
        <v>You may use Toxic Blast.</v>
      </c>
      <c r="M1661" s="263"/>
      <c r="N1661" s="263"/>
      <c r="O1661" s="263"/>
      <c r="P1661" s="263"/>
      <c r="Q1661" s="263"/>
      <c r="R1661" s="263"/>
      <c r="S1661" s="263"/>
      <c r="T1661" s="263"/>
      <c r="U1661" s="246"/>
      <c r="V1661" s="246"/>
      <c r="W1661" s="246"/>
      <c r="X1661" s="246"/>
      <c r="Y1661" s="246"/>
      <c r="Z1661" s="246"/>
    </row>
    <row r="1662">
      <c r="A1662" s="263"/>
      <c r="B1662" s="267" t="str">
        <f>IFERROR(__xludf.DUMMYFUNCTION("""COMPUTED_VALUE"""),"Tranquil Prayers")</f>
        <v>Tranquil Prayers</v>
      </c>
      <c r="C1662" s="263"/>
      <c r="D1662" s="263"/>
      <c r="E1662" s="263"/>
      <c r="F1662" s="268"/>
      <c r="G1662" s="263"/>
      <c r="H1662" s="267"/>
      <c r="I1662" s="263"/>
      <c r="J1662" s="263"/>
      <c r="K1662" s="263"/>
      <c r="L1662" s="263" t="str">
        <f>IFERROR(__xludf.DUMMYFUNCTION("""COMPUTED_VALUE"""),"Your Acolyte, Priest and High Priest Healing abilities heal for 2x value when used out of combat.")</f>
        <v>Your Acolyte, Priest and High Priest Healing abilities heal for 2x value when used out of combat.</v>
      </c>
      <c r="M1662" s="263"/>
      <c r="N1662" s="263"/>
      <c r="O1662" s="263"/>
      <c r="P1662" s="263"/>
      <c r="Q1662" s="263"/>
      <c r="R1662" s="263"/>
      <c r="S1662" s="263"/>
      <c r="T1662" s="263"/>
      <c r="U1662" s="246"/>
      <c r="V1662" s="246"/>
      <c r="W1662" s="246"/>
      <c r="X1662" s="246"/>
      <c r="Y1662" s="246"/>
      <c r="Z1662" s="246"/>
    </row>
    <row r="1663">
      <c r="A1663" s="263"/>
      <c r="B1663" s="267" t="str">
        <f>IFERROR(__xludf.DUMMYFUNCTION("""COMPUTED_VALUE"""),"Transfusion")</f>
        <v>Transfusion</v>
      </c>
      <c r="C1663" s="263"/>
      <c r="D1663" s="263"/>
      <c r="E1663" s="263"/>
      <c r="F1663" s="268"/>
      <c r="G1663" s="263"/>
      <c r="H1663" s="267"/>
      <c r="I1663" s="263"/>
      <c r="J1663" s="263"/>
      <c r="K1663" s="263"/>
      <c r="L1663" s="263" t="str">
        <f>IFERROR(__xludf.DUMMYFUNCTION("""COMPUTED_VALUE"""),"You may use Transfusion.")</f>
        <v>You may use Transfusion.</v>
      </c>
      <c r="M1663" s="263"/>
      <c r="N1663" s="263"/>
      <c r="O1663" s="263"/>
      <c r="P1663" s="263"/>
      <c r="Q1663" s="263"/>
      <c r="R1663" s="263"/>
      <c r="S1663" s="263"/>
      <c r="T1663" s="263"/>
      <c r="U1663" s="246"/>
      <c r="V1663" s="246"/>
      <c r="W1663" s="246"/>
      <c r="X1663" s="246"/>
      <c r="Y1663" s="246"/>
      <c r="Z1663" s="246"/>
    </row>
    <row r="1664">
      <c r="A1664" s="263"/>
      <c r="B1664" s="267" t="str">
        <f>IFERROR(__xludf.DUMMYFUNCTION("""COMPUTED_VALUE"""),"Transmutation Basics")</f>
        <v>Transmutation Basics</v>
      </c>
      <c r="C1664" s="263"/>
      <c r="D1664" s="263"/>
      <c r="E1664" s="263"/>
      <c r="F1664" s="268"/>
      <c r="G1664" s="263"/>
      <c r="H1664" s="267"/>
      <c r="I1664" s="263"/>
      <c r="J1664" s="263"/>
      <c r="K1664" s="263"/>
      <c r="L1664" s="263" t="str">
        <f>IFERROR(__xludf.DUMMYFUNCTION("""COMPUTED_VALUE"""),"You gain Transmuter Core Crafting Abilities. You may use one of these abilities in a crafting session. If you use one of these abilities, other transmuters can no longer use their co craft abilities with you. Similarly, if a co crafter uses one of these a"&amp;"bilities for you, you can no longer use any of these abilities. | You can craft using non-advanced materials and base materials. You may use an IP to perform an EP action tied to this key ability 4 times. | You can now craft Elixirs, Potions, Flasks and S"&amp;"alves. You craft 3 of the same Elixir, Potion, Flask or Salve when using an interlude point instead of 1. You only need to pay the listed cost once. | You gain proficiency in alchemist’s tools and 1 basic weapon type.")</f>
        <v>You gain Transmuter Core Crafting Abilities. You may use one of these abilities in a crafting session. If you use one of these abilities, other transmuters can no longer use their co craft abilities with you. Similarly, if a co crafter uses one of these abilities for you, you can no longer use any of these abilities. | You can craft using non-advanced materials and base materials. You may use an IP to perform an EP action tied to this key ability 4 times. | You can now craft Elixirs, Potions, Flasks and Salves. You craft 3 of the same Elixir, Potion, Flask or Salve when using an interlude point instead of 1. You only need to pay the listed cost once. | You gain proficiency in alchemist’s tools and 1 basic weapon type.</v>
      </c>
      <c r="M1664" s="263"/>
      <c r="N1664" s="263"/>
      <c r="O1664" s="263"/>
      <c r="P1664" s="263"/>
      <c r="Q1664" s="263"/>
      <c r="R1664" s="263"/>
      <c r="S1664" s="263"/>
      <c r="T1664" s="263"/>
      <c r="U1664" s="246"/>
      <c r="V1664" s="246"/>
      <c r="W1664" s="246"/>
      <c r="X1664" s="246"/>
      <c r="Y1664" s="246"/>
      <c r="Z1664" s="246"/>
    </row>
    <row r="1665">
      <c r="A1665" s="263"/>
      <c r="B1665" s="267" t="str">
        <f>IFERROR(__xludf.DUMMYFUNCTION("""COMPUTED_VALUE"""),"Transmutation Tricks")</f>
        <v>Transmutation Tricks</v>
      </c>
      <c r="C1665" s="263"/>
      <c r="D1665" s="263"/>
      <c r="E1665" s="263"/>
      <c r="F1665" s="268"/>
      <c r="G1665" s="263"/>
      <c r="H1665" s="267"/>
      <c r="I1665" s="263"/>
      <c r="J1665" s="263"/>
      <c r="K1665" s="263"/>
      <c r="L1665" s="263" t="str">
        <f>IFERROR(__xludf.DUMMYFUNCTION("""COMPUTED_VALUE"""),"For 1 AP, You can create small items using transmuting to provide temporary comforts and curiosities— a cup to drink out of, a chair to sit down on, a figurine etc. These items cannot have significant gameplay factors (such as a key or a tool). If you’d l"&amp;"ike to create something small to give away or sell, you must utilize x amount of commodities of whatever quantity and type the GM decides. | You may use your transmuter abilities a second time during a craft or co craft. | You may use the following abilit"&amp;"ies:")</f>
        <v>For 1 AP, You can create small items using transmuting to provide temporary comforts and curiosities— a cup to drink out of, a chair to sit down on, a figurine etc. These items cannot have significant gameplay factors (such as a key or a tool). If you’d like to create something small to give away or sell, you must utilize x amount of commodities of whatever quantity and type the GM decides. | You may use your transmuter abilities a second time during a craft or co craft. | You may use the following abilities:</v>
      </c>
      <c r="M1665" s="263"/>
      <c r="N1665" s="263"/>
      <c r="O1665" s="263"/>
      <c r="P1665" s="263"/>
      <c r="Q1665" s="263"/>
      <c r="R1665" s="263"/>
      <c r="S1665" s="263"/>
      <c r="T1665" s="263"/>
      <c r="U1665" s="246"/>
      <c r="V1665" s="246"/>
      <c r="W1665" s="246"/>
      <c r="X1665" s="246"/>
      <c r="Y1665" s="246"/>
      <c r="Z1665" s="246"/>
    </row>
    <row r="1666">
      <c r="A1666" s="263"/>
      <c r="B1666" s="267" t="str">
        <f>IFERROR(__xludf.DUMMYFUNCTION("""COMPUTED_VALUE"""),"Transmuter of Life")</f>
        <v>Transmuter of Life</v>
      </c>
      <c r="C1666" s="263"/>
      <c r="D1666" s="263"/>
      <c r="E1666" s="263"/>
      <c r="F1666" s="268"/>
      <c r="G1666" s="263"/>
      <c r="H1666" s="267"/>
      <c r="I1666" s="263"/>
      <c r="J1666" s="263"/>
      <c r="K1666" s="263"/>
      <c r="L1666" s="263" t="str">
        <f>IFERROR(__xludf.DUMMYFUNCTION("""COMPUTED_VALUE"""),"You may use Biohacking. | You can store up to one gene in your gene inventory.")</f>
        <v>You may use Biohacking. | You can store up to one gene in your gene inventory.</v>
      </c>
      <c r="M1666" s="263"/>
      <c r="N1666" s="263"/>
      <c r="O1666" s="263"/>
      <c r="P1666" s="263"/>
      <c r="Q1666" s="263"/>
      <c r="R1666" s="263"/>
      <c r="S1666" s="263"/>
      <c r="T1666" s="263"/>
      <c r="U1666" s="246"/>
      <c r="V1666" s="246"/>
      <c r="W1666" s="246"/>
      <c r="X1666" s="246"/>
      <c r="Y1666" s="246"/>
      <c r="Z1666" s="246"/>
    </row>
    <row r="1667">
      <c r="A1667" s="263"/>
      <c r="B1667" s="267" t="str">
        <f>IFERROR(__xludf.DUMMYFUNCTION("""COMPUTED_VALUE"""),"Trap Basics")</f>
        <v>Trap Basics</v>
      </c>
      <c r="C1667" s="263"/>
      <c r="D1667" s="263"/>
      <c r="E1667" s="263"/>
      <c r="F1667" s="268"/>
      <c r="G1667" s="263"/>
      <c r="H1667" s="267"/>
      <c r="I1667" s="263"/>
      <c r="J1667" s="263"/>
      <c r="K1667" s="263"/>
      <c r="L1667" s="263" t="str">
        <f>IFERROR(__xludf.DUMMYFUNCTION("""COMPUTED_VALUE"""),"You may convert 100u of junk into a Trapper's Trap you can use for your abilities. You may do so as a Rest action or as an Errand action. Trapper's Traps are a special item that cost 1 burden. | You may carry up to 3 Trapper's Traps without them costing B"&amp;"urden. | When resting at your camp outdoors, you may set traps that will alert you to enemies approaching by using a rest action. These do not consume a Trapper's Trap, but allow you to use Survival to detect enemies instead of Perception. After each of s"&amp;"uch rests, you obtain 1d10 x 5 food units.")</f>
        <v>You may convert 100u of junk into a Trapper's Trap you can use for your abilities. You may do so as a Rest action or as an Errand action. Trapper's Traps are a special item that cost 1 burden. | You may carry up to 3 Trapper's Traps without them costing Burden. | When resting at your camp outdoors, you may set traps that will alert you to enemies approaching by using a rest action. These do not consume a Trapper's Trap, but allow you to use Survival to detect enemies instead of Perception. After each of such rests, you obtain 1d10 x 5 food units.</v>
      </c>
      <c r="M1667" s="263"/>
      <c r="N1667" s="263"/>
      <c r="O1667" s="263"/>
      <c r="P1667" s="263"/>
      <c r="Q1667" s="263"/>
      <c r="R1667" s="263"/>
      <c r="S1667" s="263"/>
      <c r="T1667" s="263"/>
      <c r="U1667" s="246"/>
      <c r="V1667" s="246"/>
      <c r="W1667" s="246"/>
      <c r="X1667" s="246"/>
      <c r="Y1667" s="246"/>
      <c r="Z1667" s="246"/>
    </row>
    <row r="1668">
      <c r="A1668" s="263"/>
      <c r="B1668" s="267" t="str">
        <f>IFERROR(__xludf.DUMMYFUNCTION("""COMPUTED_VALUE"""),"Tremorsense")</f>
        <v>Tremorsense</v>
      </c>
      <c r="C1668" s="263"/>
      <c r="D1668" s="263"/>
      <c r="E1668" s="263"/>
      <c r="F1668" s="268"/>
      <c r="G1668" s="263"/>
      <c r="H1668" s="267"/>
      <c r="I1668" s="263"/>
      <c r="J1668" s="263"/>
      <c r="K1668" s="263"/>
      <c r="L1668" s="263" t="str">
        <f>IFERROR(__xludf.DUMMYFUNCTION("""COMPUTED_VALUE"""),"You gain Earth Mastery. | You may use Tremorsense")</f>
        <v>You gain Earth Mastery. | You may use Tremorsense</v>
      </c>
      <c r="M1668" s="263"/>
      <c r="N1668" s="263"/>
      <c r="O1668" s="263"/>
      <c r="P1668" s="263"/>
      <c r="Q1668" s="263"/>
      <c r="R1668" s="263"/>
      <c r="S1668" s="263"/>
      <c r="T1668" s="263"/>
      <c r="U1668" s="246"/>
      <c r="V1668" s="246"/>
      <c r="W1668" s="246"/>
      <c r="X1668" s="246"/>
      <c r="Y1668" s="246"/>
      <c r="Z1668" s="246"/>
    </row>
    <row r="1669">
      <c r="A1669" s="263"/>
      <c r="B1669" s="267" t="str">
        <f>IFERROR(__xludf.DUMMYFUNCTION("""COMPUTED_VALUE"""),"Undead Mastery")</f>
        <v>Undead Mastery</v>
      </c>
      <c r="C1669" s="263"/>
      <c r="D1669" s="263"/>
      <c r="E1669" s="263"/>
      <c r="F1669" s="268"/>
      <c r="G1669" s="263"/>
      <c r="H1669" s="267"/>
      <c r="I1669" s="263"/>
      <c r="J1669" s="263"/>
      <c r="K1669" s="263"/>
      <c r="L1669" s="263" t="str">
        <f>IFERROR(__xludf.DUMMYFUNCTION("""COMPUTED_VALUE"""),"For every 300 spirit core you possess above 2000, you can control 1 extra zombie with your Create Undead.")</f>
        <v>For every 300 spirit core you possess above 2000, you can control 1 extra zombie with your Create Undead.</v>
      </c>
      <c r="M1669" s="263"/>
      <c r="N1669" s="263"/>
      <c r="O1669" s="263"/>
      <c r="P1669" s="263"/>
      <c r="Q1669" s="263"/>
      <c r="R1669" s="263"/>
      <c r="S1669" s="263"/>
      <c r="T1669" s="263"/>
      <c r="U1669" s="246"/>
      <c r="V1669" s="246"/>
      <c r="W1669" s="246"/>
      <c r="X1669" s="246"/>
      <c r="Y1669" s="246"/>
      <c r="Z1669" s="246"/>
    </row>
    <row r="1670">
      <c r="A1670" s="263"/>
      <c r="B1670" s="267" t="str">
        <f>IFERROR(__xludf.DUMMYFUNCTION("""COMPUTED_VALUE"""),"Vampiric Strength")</f>
        <v>Vampiric Strength</v>
      </c>
      <c r="C1670" s="263"/>
      <c r="D1670" s="263"/>
      <c r="E1670" s="263"/>
      <c r="F1670" s="268"/>
      <c r="G1670" s="263"/>
      <c r="H1670" s="267"/>
      <c r="I1670" s="263"/>
      <c r="J1670" s="263"/>
      <c r="K1670" s="263"/>
      <c r="L1670" s="263" t="str">
        <f>IFERROR(__xludf.DUMMYFUNCTION("""COMPUTED_VALUE"""),"Your unarmed attack damage is treated as a One-Handed Weapon in which you are proficient. Your unarmed attacks cannot deal non-lethal damage. | You may use the Vampire Bite ability.")</f>
        <v>Your unarmed attack damage is treated as a One-Handed Weapon in which you are proficient. Your unarmed attacks cannot deal non-lethal damage. | You may use the Vampire Bite ability.</v>
      </c>
      <c r="M1670" s="263"/>
      <c r="N1670" s="263"/>
      <c r="O1670" s="263"/>
      <c r="P1670" s="263"/>
      <c r="Q1670" s="263"/>
      <c r="R1670" s="263"/>
      <c r="S1670" s="263"/>
      <c r="T1670" s="263"/>
      <c r="U1670" s="246"/>
      <c r="V1670" s="246"/>
      <c r="W1670" s="246"/>
      <c r="X1670" s="246"/>
      <c r="Y1670" s="246"/>
      <c r="Z1670" s="246"/>
    </row>
    <row r="1671">
      <c r="A1671" s="263"/>
      <c r="B1671" s="267" t="str">
        <f>IFERROR(__xludf.DUMMYFUNCTION("""COMPUTED_VALUE"""),"Versatile Range")</f>
        <v>Versatile Range</v>
      </c>
      <c r="C1671" s="263"/>
      <c r="D1671" s="263"/>
      <c r="E1671" s="263"/>
      <c r="F1671" s="268"/>
      <c r="G1671" s="263"/>
      <c r="H1671" s="267"/>
      <c r="I1671" s="263"/>
      <c r="J1671" s="263"/>
      <c r="K1671" s="263"/>
      <c r="L1671" s="263" t="str">
        <f>IFERROR(__xludf.DUMMYFUNCTION("""COMPUTED_VALUE"""),"You may treat your polearm’s threatened range as 5ft instead of 5-10ft. You must declare this during your turn and it lasts until the start of your next turn.")</f>
        <v>You may treat your polearm’s threatened range as 5ft instead of 5-10ft. You must declare this during your turn and it lasts until the start of your next turn.</v>
      </c>
      <c r="M1671" s="263"/>
      <c r="N1671" s="263"/>
      <c r="O1671" s="263"/>
      <c r="P1671" s="263"/>
      <c r="Q1671" s="263"/>
      <c r="R1671" s="263"/>
      <c r="S1671" s="263"/>
      <c r="T1671" s="263"/>
      <c r="U1671" s="246"/>
      <c r="V1671" s="246"/>
      <c r="W1671" s="246"/>
      <c r="X1671" s="246"/>
      <c r="Y1671" s="246"/>
      <c r="Z1671" s="246"/>
    </row>
    <row r="1672">
      <c r="A1672" s="263"/>
      <c r="B1672" s="267" t="str">
        <f>IFERROR(__xludf.DUMMYFUNCTION("""COMPUTED_VALUE"""),"VIP Protection")</f>
        <v>VIP Protection</v>
      </c>
      <c r="C1672" s="263"/>
      <c r="D1672" s="263"/>
      <c r="E1672" s="263"/>
      <c r="F1672" s="268"/>
      <c r="G1672" s="263"/>
      <c r="H1672" s="267"/>
      <c r="I1672" s="263"/>
      <c r="J1672" s="263"/>
      <c r="K1672" s="263"/>
      <c r="L1672" s="263" t="str">
        <f>IFERROR(__xludf.DUMMYFUNCTION("""COMPUTED_VALUE"""),"At the start of each arc, choose one person other than yourself as your VIP for that arc. Your VIP is the target for several of your abilities. | You may use VIP Protection. | If you choose a VIP, you cannot become the target of a VIP protection yourself.")</f>
        <v>At the start of each arc, choose one person other than yourself as your VIP for that arc. Your VIP is the target for several of your abilities. | You may use VIP Protection. | If you choose a VIP, you cannot become the target of a VIP protection yourself.</v>
      </c>
      <c r="M1672" s="263"/>
      <c r="N1672" s="263"/>
      <c r="O1672" s="263"/>
      <c r="P1672" s="263"/>
      <c r="Q1672" s="263"/>
      <c r="R1672" s="263"/>
      <c r="S1672" s="263"/>
      <c r="T1672" s="263"/>
      <c r="U1672" s="246"/>
      <c r="V1672" s="246"/>
      <c r="W1672" s="246"/>
      <c r="X1672" s="246"/>
      <c r="Y1672" s="246"/>
      <c r="Z1672" s="246"/>
    </row>
    <row r="1673">
      <c r="A1673" s="263"/>
      <c r="B1673" s="267" t="str">
        <f>IFERROR(__xludf.DUMMYFUNCTION("""COMPUTED_VALUE"""),"Wall Ride")</f>
        <v>Wall Ride</v>
      </c>
      <c r="C1673" s="263"/>
      <c r="D1673" s="263"/>
      <c r="E1673" s="263"/>
      <c r="F1673" s="268"/>
      <c r="G1673" s="263"/>
      <c r="H1673" s="267"/>
      <c r="I1673" s="263"/>
      <c r="J1673" s="263"/>
      <c r="K1673" s="263"/>
      <c r="L1673" s="263" t="str">
        <f>IFERROR(__xludf.DUMMYFUNCTION("""COMPUTED_VALUE"""),"When you create a wall on your turn using your Geomancer or Geomaster abilities, you may move along the wall as it is created. You can jump off at any point of the wall creation, ending in an empty square next to the wall.")</f>
        <v>When you create a wall on your turn using your Geomancer or Geomaster abilities, you may move along the wall as it is created. You can jump off at any point of the wall creation, ending in an empty square next to the wall.</v>
      </c>
      <c r="M1673" s="263"/>
      <c r="N1673" s="263"/>
      <c r="O1673" s="263"/>
      <c r="P1673" s="263"/>
      <c r="Q1673" s="263"/>
      <c r="R1673" s="263"/>
      <c r="S1673" s="263"/>
      <c r="T1673" s="263"/>
      <c r="U1673" s="246"/>
      <c r="V1673" s="246"/>
      <c r="W1673" s="246"/>
      <c r="X1673" s="246"/>
      <c r="Y1673" s="246"/>
      <c r="Z1673" s="246"/>
    </row>
    <row r="1674">
      <c r="A1674" s="263"/>
      <c r="B1674" s="267" t="str">
        <f>IFERROR(__xludf.DUMMYFUNCTION("""COMPUTED_VALUE"""),"Wind Master")</f>
        <v>Wind Master</v>
      </c>
      <c r="C1674" s="263"/>
      <c r="D1674" s="263"/>
      <c r="E1674" s="263"/>
      <c r="F1674" s="268"/>
      <c r="G1674" s="263"/>
      <c r="H1674" s="267"/>
      <c r="I1674" s="263"/>
      <c r="J1674" s="263"/>
      <c r="K1674" s="263"/>
      <c r="L1674" s="263" t="str">
        <f>IFERROR(__xludf.DUMMYFUNCTION("""COMPUTED_VALUE"""),"You gain Wind Mastery. | You can use Glide.")</f>
        <v>You gain Wind Mastery. | You can use Glide.</v>
      </c>
      <c r="M1674" s="263"/>
      <c r="N1674" s="263"/>
      <c r="O1674" s="263"/>
      <c r="P1674" s="263"/>
      <c r="Q1674" s="263"/>
      <c r="R1674" s="263"/>
      <c r="S1674" s="263"/>
      <c r="T1674" s="263"/>
      <c r="U1674" s="246"/>
      <c r="V1674" s="246"/>
      <c r="W1674" s="246"/>
      <c r="X1674" s="246"/>
      <c r="Y1674" s="246"/>
      <c r="Z1674" s="246"/>
    </row>
    <row r="1675">
      <c r="A1675" s="263"/>
      <c r="B1675" s="267" t="str">
        <f>IFERROR(__xludf.DUMMYFUNCTION("""COMPUTED_VALUE"""),"Zhen Jiao")</f>
        <v>Zhen Jiao</v>
      </c>
      <c r="C1675" s="263"/>
      <c r="D1675" s="263"/>
      <c r="E1675" s="263"/>
      <c r="F1675" s="268"/>
      <c r="G1675" s="263"/>
      <c r="H1675" s="267"/>
      <c r="I1675" s="263"/>
      <c r="J1675" s="263"/>
      <c r="K1675" s="263"/>
      <c r="L1675" s="263" t="str">
        <f>IFERROR(__xludf.DUMMYFUNCTION("""COMPUTED_VALUE"""),"When you move toward an enemy as part of a Bajiquan ability, your attack deals two extra points of damage for every 5ft moved.")</f>
        <v>When you move toward an enemy as part of a Bajiquan ability, your attack deals two extra points of damage for every 5ft moved.</v>
      </c>
      <c r="M1675" s="263"/>
      <c r="N1675" s="263"/>
      <c r="O1675" s="263"/>
      <c r="P1675" s="263"/>
      <c r="Q1675" s="263"/>
      <c r="R1675" s="263"/>
      <c r="S1675" s="263"/>
      <c r="T1675" s="263"/>
      <c r="U1675" s="246"/>
      <c r="V1675" s="246"/>
      <c r="W1675" s="246"/>
      <c r="X1675" s="246"/>
      <c r="Y1675" s="246"/>
      <c r="Z1675" s="246"/>
    </row>
    <row r="1676">
      <c r="A1676" s="263"/>
      <c r="B1676" s="267"/>
      <c r="C1676" s="263"/>
      <c r="D1676" s="263"/>
      <c r="E1676" s="263"/>
      <c r="F1676" s="268"/>
      <c r="G1676" s="263"/>
      <c r="H1676" s="267"/>
      <c r="I1676" s="263"/>
      <c r="J1676" s="263"/>
      <c r="K1676" s="263"/>
      <c r="L1676" s="263"/>
      <c r="M1676" s="263"/>
      <c r="N1676" s="263"/>
      <c r="O1676" s="263"/>
      <c r="P1676" s="263"/>
      <c r="Q1676" s="263"/>
      <c r="R1676" s="263"/>
      <c r="S1676" s="263"/>
      <c r="T1676" s="263"/>
      <c r="U1676" s="246"/>
      <c r="V1676" s="246"/>
      <c r="W1676" s="246"/>
      <c r="X1676" s="246"/>
      <c r="Y1676" s="246"/>
      <c r="Z1676" s="246"/>
    </row>
    <row r="1677">
      <c r="A1677" s="263"/>
      <c r="B1677" s="267"/>
      <c r="C1677" s="263"/>
      <c r="D1677" s="263"/>
      <c r="E1677" s="263"/>
      <c r="F1677" s="268"/>
      <c r="G1677" s="263"/>
      <c r="H1677" s="267"/>
      <c r="I1677" s="263"/>
      <c r="J1677" s="263"/>
      <c r="K1677" s="263"/>
      <c r="L1677" s="263"/>
      <c r="M1677" s="263"/>
      <c r="N1677" s="263"/>
      <c r="O1677" s="263"/>
      <c r="P1677" s="263"/>
      <c r="Q1677" s="263"/>
      <c r="R1677" s="263"/>
      <c r="S1677" s="263"/>
      <c r="T1677" s="263"/>
      <c r="U1677" s="246"/>
      <c r="V1677" s="246"/>
      <c r="W1677" s="246"/>
      <c r="X1677" s="246"/>
      <c r="Y1677" s="246"/>
      <c r="Z1677" s="246"/>
    </row>
    <row r="1678">
      <c r="A1678" s="263"/>
      <c r="B1678" s="267"/>
      <c r="C1678" s="263"/>
      <c r="D1678" s="263"/>
      <c r="E1678" s="263"/>
      <c r="F1678" s="268"/>
      <c r="G1678" s="263"/>
      <c r="H1678" s="267"/>
      <c r="I1678" s="263"/>
      <c r="J1678" s="263"/>
      <c r="K1678" s="263"/>
      <c r="L1678" s="263"/>
      <c r="M1678" s="263"/>
      <c r="N1678" s="263"/>
      <c r="O1678" s="263"/>
      <c r="P1678" s="263"/>
      <c r="Q1678" s="263"/>
      <c r="R1678" s="263"/>
      <c r="S1678" s="263"/>
      <c r="T1678" s="263"/>
      <c r="U1678" s="246"/>
      <c r="V1678" s="246"/>
      <c r="W1678" s="246"/>
      <c r="X1678" s="246"/>
      <c r="Y1678" s="246"/>
      <c r="Z1678" s="246"/>
    </row>
    <row r="1679">
      <c r="A1679" s="263"/>
      <c r="B1679" s="267"/>
      <c r="C1679" s="263"/>
      <c r="D1679" s="263"/>
      <c r="E1679" s="263"/>
      <c r="F1679" s="268"/>
      <c r="G1679" s="263"/>
      <c r="H1679" s="267"/>
      <c r="I1679" s="263"/>
      <c r="J1679" s="263"/>
      <c r="K1679" s="263"/>
      <c r="L1679" s="263"/>
      <c r="M1679" s="263"/>
      <c r="N1679" s="263"/>
      <c r="O1679" s="263"/>
      <c r="P1679" s="263"/>
      <c r="Q1679" s="263"/>
      <c r="R1679" s="263"/>
      <c r="S1679" s="263"/>
      <c r="T1679" s="263"/>
      <c r="U1679" s="246"/>
      <c r="V1679" s="246"/>
      <c r="W1679" s="246"/>
      <c r="X1679" s="246"/>
      <c r="Y1679" s="246"/>
      <c r="Z1679" s="246"/>
    </row>
    <row r="1680">
      <c r="A1680" s="263"/>
      <c r="B1680" s="267"/>
      <c r="C1680" s="263"/>
      <c r="D1680" s="263"/>
      <c r="E1680" s="263"/>
      <c r="F1680" s="268"/>
      <c r="G1680" s="263"/>
      <c r="H1680" s="267"/>
      <c r="I1680" s="263"/>
      <c r="J1680" s="263"/>
      <c r="K1680" s="263"/>
      <c r="L1680" s="263"/>
      <c r="M1680" s="263"/>
      <c r="N1680" s="263"/>
      <c r="O1680" s="263"/>
      <c r="P1680" s="263"/>
      <c r="Q1680" s="263"/>
      <c r="R1680" s="263"/>
      <c r="S1680" s="263"/>
      <c r="T1680" s="263"/>
      <c r="U1680" s="246"/>
      <c r="V1680" s="246"/>
      <c r="W1680" s="246"/>
      <c r="X1680" s="246"/>
      <c r="Y1680" s="246"/>
      <c r="Z1680" s="246"/>
    </row>
    <row r="1681">
      <c r="A1681" s="263"/>
      <c r="B1681" s="267"/>
      <c r="C1681" s="263"/>
      <c r="D1681" s="263"/>
      <c r="E1681" s="263"/>
      <c r="F1681" s="268"/>
      <c r="G1681" s="263"/>
      <c r="H1681" s="267"/>
      <c r="I1681" s="263"/>
      <c r="J1681" s="263"/>
      <c r="K1681" s="263"/>
      <c r="L1681" s="263"/>
      <c r="M1681" s="263"/>
      <c r="N1681" s="263"/>
      <c r="O1681" s="263"/>
      <c r="P1681" s="263"/>
      <c r="Q1681" s="263"/>
      <c r="R1681" s="263"/>
      <c r="S1681" s="263"/>
      <c r="T1681" s="263"/>
      <c r="U1681" s="246"/>
      <c r="V1681" s="246"/>
      <c r="W1681" s="246"/>
      <c r="X1681" s="246"/>
      <c r="Y1681" s="246"/>
      <c r="Z1681" s="246"/>
    </row>
    <row r="1682">
      <c r="A1682" s="263"/>
      <c r="B1682" s="267"/>
      <c r="C1682" s="263"/>
      <c r="D1682" s="263"/>
      <c r="E1682" s="263"/>
      <c r="F1682" s="268"/>
      <c r="G1682" s="263"/>
      <c r="H1682" s="267"/>
      <c r="I1682" s="263"/>
      <c r="J1682" s="263"/>
      <c r="K1682" s="263"/>
      <c r="L1682" s="263"/>
      <c r="M1682" s="263"/>
      <c r="N1682" s="263"/>
      <c r="O1682" s="263"/>
      <c r="P1682" s="263"/>
      <c r="Q1682" s="263"/>
      <c r="R1682" s="263"/>
      <c r="S1682" s="263"/>
      <c r="T1682" s="263"/>
      <c r="U1682" s="246"/>
      <c r="V1682" s="246"/>
      <c r="W1682" s="246"/>
      <c r="X1682" s="246"/>
      <c r="Y1682" s="246"/>
      <c r="Z1682" s="246"/>
    </row>
    <row r="1683">
      <c r="A1683" s="263"/>
      <c r="B1683" s="267"/>
      <c r="C1683" s="263"/>
      <c r="D1683" s="263"/>
      <c r="E1683" s="263"/>
      <c r="F1683" s="268"/>
      <c r="G1683" s="263"/>
      <c r="H1683" s="267"/>
      <c r="I1683" s="263"/>
      <c r="J1683" s="263"/>
      <c r="K1683" s="263"/>
      <c r="L1683" s="263"/>
      <c r="M1683" s="263"/>
      <c r="N1683" s="263"/>
      <c r="O1683" s="263"/>
      <c r="P1683" s="263"/>
      <c r="Q1683" s="263"/>
      <c r="R1683" s="263"/>
      <c r="S1683" s="263"/>
      <c r="T1683" s="263"/>
      <c r="U1683" s="246"/>
      <c r="V1683" s="246"/>
      <c r="W1683" s="246"/>
      <c r="X1683" s="246"/>
      <c r="Y1683" s="246"/>
      <c r="Z1683" s="246"/>
    </row>
    <row r="1684">
      <c r="A1684" s="263"/>
      <c r="B1684" s="267"/>
      <c r="C1684" s="263"/>
      <c r="D1684" s="263"/>
      <c r="E1684" s="263"/>
      <c r="F1684" s="268"/>
      <c r="G1684" s="263"/>
      <c r="H1684" s="267"/>
      <c r="I1684" s="263"/>
      <c r="J1684" s="263"/>
      <c r="K1684" s="263"/>
      <c r="L1684" s="263"/>
      <c r="M1684" s="263"/>
      <c r="N1684" s="263"/>
      <c r="O1684" s="263"/>
      <c r="P1684" s="263"/>
      <c r="Q1684" s="263"/>
      <c r="R1684" s="263"/>
      <c r="S1684" s="263"/>
      <c r="T1684" s="263"/>
      <c r="U1684" s="246"/>
      <c r="V1684" s="246"/>
      <c r="W1684" s="246"/>
      <c r="X1684" s="246"/>
      <c r="Y1684" s="246"/>
      <c r="Z1684" s="246"/>
    </row>
    <row r="1685">
      <c r="A1685" s="263"/>
      <c r="B1685" s="267"/>
      <c r="C1685" s="263"/>
      <c r="D1685" s="263"/>
      <c r="E1685" s="263"/>
      <c r="F1685" s="268"/>
      <c r="G1685" s="263"/>
      <c r="H1685" s="267"/>
      <c r="I1685" s="263"/>
      <c r="J1685" s="263"/>
      <c r="K1685" s="263"/>
      <c r="L1685" s="263"/>
      <c r="M1685" s="263"/>
      <c r="N1685" s="263"/>
      <c r="O1685" s="263"/>
      <c r="P1685" s="263"/>
      <c r="Q1685" s="263"/>
      <c r="R1685" s="263"/>
      <c r="S1685" s="263"/>
      <c r="T1685" s="263"/>
      <c r="U1685" s="246"/>
      <c r="V1685" s="246"/>
      <c r="W1685" s="246"/>
      <c r="X1685" s="246"/>
      <c r="Y1685" s="246"/>
      <c r="Z1685" s="246"/>
    </row>
    <row r="1686">
      <c r="A1686" s="263"/>
      <c r="B1686" s="267"/>
      <c r="C1686" s="263"/>
      <c r="D1686" s="263"/>
      <c r="E1686" s="263"/>
      <c r="F1686" s="268"/>
      <c r="G1686" s="263"/>
      <c r="H1686" s="267"/>
      <c r="I1686" s="263"/>
      <c r="J1686" s="263"/>
      <c r="K1686" s="263"/>
      <c r="L1686" s="263"/>
      <c r="M1686" s="263"/>
      <c r="N1686" s="263"/>
      <c r="O1686" s="263"/>
      <c r="P1686" s="263"/>
      <c r="Q1686" s="263"/>
      <c r="R1686" s="263"/>
      <c r="S1686" s="263"/>
      <c r="T1686" s="263"/>
      <c r="U1686" s="246"/>
      <c r="V1686" s="246"/>
      <c r="W1686" s="246"/>
      <c r="X1686" s="246"/>
      <c r="Y1686" s="246"/>
      <c r="Z1686" s="246"/>
    </row>
    <row r="1687">
      <c r="A1687" s="263"/>
      <c r="B1687" s="267"/>
      <c r="C1687" s="263"/>
      <c r="D1687" s="263"/>
      <c r="E1687" s="263"/>
      <c r="F1687" s="268"/>
      <c r="G1687" s="263"/>
      <c r="H1687" s="267"/>
      <c r="I1687" s="263"/>
      <c r="J1687" s="263"/>
      <c r="K1687" s="263"/>
      <c r="L1687" s="263"/>
      <c r="M1687" s="263"/>
      <c r="N1687" s="263"/>
      <c r="O1687" s="263"/>
      <c r="P1687" s="263"/>
      <c r="Q1687" s="263"/>
      <c r="R1687" s="263"/>
      <c r="S1687" s="263"/>
      <c r="T1687" s="263"/>
      <c r="U1687" s="246"/>
      <c r="V1687" s="246"/>
      <c r="W1687" s="246"/>
      <c r="X1687" s="246"/>
      <c r="Y1687" s="246"/>
      <c r="Z1687" s="246"/>
    </row>
    <row r="1688">
      <c r="A1688" s="263"/>
      <c r="B1688" s="267"/>
      <c r="C1688" s="263"/>
      <c r="D1688" s="263"/>
      <c r="E1688" s="263"/>
      <c r="F1688" s="268"/>
      <c r="G1688" s="263"/>
      <c r="H1688" s="267"/>
      <c r="I1688" s="263"/>
      <c r="J1688" s="263"/>
      <c r="K1688" s="263"/>
      <c r="L1688" s="263"/>
      <c r="M1688" s="263"/>
      <c r="N1688" s="263"/>
      <c r="O1688" s="263"/>
      <c r="P1688" s="263"/>
      <c r="Q1688" s="263"/>
      <c r="R1688" s="263"/>
      <c r="S1688" s="263"/>
      <c r="T1688" s="263"/>
      <c r="U1688" s="246"/>
      <c r="V1688" s="246"/>
      <c r="W1688" s="246"/>
      <c r="X1688" s="246"/>
      <c r="Y1688" s="246"/>
      <c r="Z1688" s="246"/>
    </row>
    <row r="1689">
      <c r="A1689" s="263"/>
      <c r="B1689" s="267"/>
      <c r="C1689" s="263"/>
      <c r="D1689" s="263"/>
      <c r="E1689" s="263"/>
      <c r="F1689" s="268"/>
      <c r="G1689" s="263"/>
      <c r="H1689" s="267"/>
      <c r="I1689" s="263"/>
      <c r="J1689" s="263"/>
      <c r="K1689" s="263"/>
      <c r="L1689" s="263"/>
      <c r="M1689" s="263"/>
      <c r="N1689" s="263"/>
      <c r="O1689" s="263"/>
      <c r="P1689" s="263"/>
      <c r="Q1689" s="263"/>
      <c r="R1689" s="263"/>
      <c r="S1689" s="263"/>
      <c r="T1689" s="263"/>
      <c r="U1689" s="246"/>
      <c r="V1689" s="246"/>
      <c r="W1689" s="246"/>
      <c r="X1689" s="246"/>
      <c r="Y1689" s="246"/>
      <c r="Z1689" s="246"/>
    </row>
    <row r="1690">
      <c r="A1690" s="263"/>
      <c r="B1690" s="267"/>
      <c r="C1690" s="263"/>
      <c r="D1690" s="263"/>
      <c r="E1690" s="263"/>
      <c r="F1690" s="268"/>
      <c r="G1690" s="263"/>
      <c r="H1690" s="267"/>
      <c r="I1690" s="263"/>
      <c r="J1690" s="263"/>
      <c r="K1690" s="263"/>
      <c r="L1690" s="263"/>
      <c r="M1690" s="263"/>
      <c r="N1690" s="263"/>
      <c r="O1690" s="263"/>
      <c r="P1690" s="263"/>
      <c r="Q1690" s="263"/>
      <c r="R1690" s="263"/>
      <c r="S1690" s="263"/>
      <c r="T1690" s="263"/>
      <c r="U1690" s="246"/>
      <c r="V1690" s="246"/>
      <c r="W1690" s="246"/>
      <c r="X1690" s="246"/>
      <c r="Y1690" s="246"/>
      <c r="Z1690" s="246"/>
    </row>
    <row r="1691">
      <c r="A1691" s="263"/>
      <c r="B1691" s="267"/>
      <c r="C1691" s="263"/>
      <c r="D1691" s="263"/>
      <c r="E1691" s="263"/>
      <c r="F1691" s="268"/>
      <c r="G1691" s="263"/>
      <c r="H1691" s="267"/>
      <c r="I1691" s="263"/>
      <c r="J1691" s="263"/>
      <c r="K1691" s="263"/>
      <c r="L1691" s="263"/>
      <c r="M1691" s="263"/>
      <c r="N1691" s="263"/>
      <c r="O1691" s="263"/>
      <c r="P1691" s="263"/>
      <c r="Q1691" s="263"/>
      <c r="R1691" s="263"/>
      <c r="S1691" s="263"/>
      <c r="T1691" s="263"/>
      <c r="U1691" s="246"/>
      <c r="V1691" s="246"/>
      <c r="W1691" s="246"/>
      <c r="X1691" s="246"/>
      <c r="Y1691" s="246"/>
      <c r="Z1691" s="246"/>
    </row>
    <row r="1692">
      <c r="A1692" s="263"/>
      <c r="B1692" s="267"/>
      <c r="C1692" s="263"/>
      <c r="D1692" s="263"/>
      <c r="E1692" s="263"/>
      <c r="F1692" s="268"/>
      <c r="G1692" s="263"/>
      <c r="H1692" s="267"/>
      <c r="I1692" s="263"/>
      <c r="J1692" s="263"/>
      <c r="K1692" s="263"/>
      <c r="L1692" s="263"/>
      <c r="M1692" s="263"/>
      <c r="N1692" s="263"/>
      <c r="O1692" s="263"/>
      <c r="P1692" s="263"/>
      <c r="Q1692" s="263"/>
      <c r="R1692" s="263"/>
      <c r="S1692" s="263"/>
      <c r="T1692" s="263"/>
      <c r="U1692" s="246"/>
      <c r="V1692" s="246"/>
      <c r="W1692" s="246"/>
      <c r="X1692" s="246"/>
      <c r="Y1692" s="246"/>
      <c r="Z1692" s="246"/>
    </row>
    <row r="1693">
      <c r="A1693" s="263"/>
      <c r="B1693" s="267"/>
      <c r="C1693" s="263"/>
      <c r="D1693" s="263"/>
      <c r="E1693" s="263"/>
      <c r="F1693" s="268"/>
      <c r="G1693" s="263"/>
      <c r="H1693" s="267"/>
      <c r="I1693" s="263"/>
      <c r="J1693" s="263"/>
      <c r="K1693" s="263"/>
      <c r="L1693" s="263"/>
      <c r="M1693" s="263"/>
      <c r="N1693" s="263"/>
      <c r="O1693" s="263"/>
      <c r="P1693" s="263"/>
      <c r="Q1693" s="263"/>
      <c r="R1693" s="263"/>
      <c r="S1693" s="263"/>
      <c r="T1693" s="263"/>
      <c r="U1693" s="246"/>
      <c r="V1693" s="246"/>
      <c r="W1693" s="246"/>
      <c r="X1693" s="246"/>
      <c r="Y1693" s="246"/>
      <c r="Z1693" s="246"/>
    </row>
    <row r="1694">
      <c r="A1694" s="263"/>
      <c r="B1694" s="267"/>
      <c r="C1694" s="263"/>
      <c r="D1694" s="263"/>
      <c r="E1694" s="263"/>
      <c r="F1694" s="268"/>
      <c r="G1694" s="263"/>
      <c r="H1694" s="267"/>
      <c r="I1694" s="263"/>
      <c r="J1694" s="263"/>
      <c r="K1694" s="263"/>
      <c r="L1694" s="263"/>
      <c r="M1694" s="263"/>
      <c r="N1694" s="263"/>
      <c r="O1694" s="263"/>
      <c r="P1694" s="263"/>
      <c r="Q1694" s="263"/>
      <c r="R1694" s="263"/>
      <c r="S1694" s="263"/>
      <c r="T1694" s="263"/>
      <c r="U1694" s="246"/>
      <c r="V1694" s="246"/>
      <c r="W1694" s="246"/>
      <c r="X1694" s="246"/>
      <c r="Y1694" s="246"/>
      <c r="Z1694" s="246"/>
    </row>
    <row r="1695">
      <c r="A1695" s="263"/>
      <c r="B1695" s="267"/>
      <c r="C1695" s="263"/>
      <c r="D1695" s="263"/>
      <c r="E1695" s="263"/>
      <c r="F1695" s="268"/>
      <c r="G1695" s="263"/>
      <c r="H1695" s="267"/>
      <c r="I1695" s="263"/>
      <c r="J1695" s="263"/>
      <c r="K1695" s="263"/>
      <c r="L1695" s="263"/>
      <c r="M1695" s="263"/>
      <c r="N1695" s="263"/>
      <c r="O1695" s="263"/>
      <c r="P1695" s="263"/>
      <c r="Q1695" s="263"/>
      <c r="R1695" s="263"/>
      <c r="S1695" s="263"/>
      <c r="T1695" s="263"/>
      <c r="U1695" s="246"/>
      <c r="V1695" s="246"/>
      <c r="W1695" s="246"/>
      <c r="X1695" s="246"/>
      <c r="Y1695" s="246"/>
      <c r="Z1695" s="246"/>
    </row>
    <row r="1696">
      <c r="A1696" s="263"/>
      <c r="B1696" s="267"/>
      <c r="C1696" s="263"/>
      <c r="D1696" s="263"/>
      <c r="E1696" s="263"/>
      <c r="F1696" s="268"/>
      <c r="G1696" s="263"/>
      <c r="H1696" s="267"/>
      <c r="I1696" s="263"/>
      <c r="J1696" s="263"/>
      <c r="K1696" s="263"/>
      <c r="L1696" s="263"/>
      <c r="M1696" s="263"/>
      <c r="N1696" s="263"/>
      <c r="O1696" s="263"/>
      <c r="P1696" s="263"/>
      <c r="Q1696" s="263"/>
      <c r="R1696" s="263"/>
      <c r="S1696" s="263"/>
      <c r="T1696" s="263"/>
      <c r="U1696" s="246"/>
      <c r="V1696" s="246"/>
      <c r="W1696" s="246"/>
      <c r="X1696" s="246"/>
      <c r="Y1696" s="246"/>
      <c r="Z1696" s="246"/>
    </row>
    <row r="1697">
      <c r="A1697" s="263"/>
      <c r="B1697" s="267"/>
      <c r="C1697" s="263"/>
      <c r="D1697" s="263"/>
      <c r="E1697" s="263"/>
      <c r="F1697" s="268"/>
      <c r="G1697" s="263"/>
      <c r="H1697" s="267"/>
      <c r="I1697" s="263"/>
      <c r="J1697" s="263"/>
      <c r="K1697" s="263"/>
      <c r="L1697" s="263"/>
      <c r="M1697" s="263"/>
      <c r="N1697" s="263"/>
      <c r="O1697" s="263"/>
      <c r="P1697" s="263"/>
      <c r="Q1697" s="263"/>
      <c r="R1697" s="263"/>
      <c r="S1697" s="263"/>
      <c r="T1697" s="263"/>
      <c r="U1697" s="246"/>
      <c r="V1697" s="246"/>
      <c r="W1697" s="246"/>
      <c r="X1697" s="246"/>
      <c r="Y1697" s="246"/>
      <c r="Z1697" s="246"/>
    </row>
    <row r="1698">
      <c r="A1698" s="263"/>
      <c r="B1698" s="267"/>
      <c r="C1698" s="263"/>
      <c r="D1698" s="263"/>
      <c r="E1698" s="263"/>
      <c r="F1698" s="268"/>
      <c r="G1698" s="263"/>
      <c r="H1698" s="267"/>
      <c r="I1698" s="263"/>
      <c r="J1698" s="263"/>
      <c r="K1698" s="263"/>
      <c r="L1698" s="263"/>
      <c r="M1698" s="263"/>
      <c r="N1698" s="263"/>
      <c r="O1698" s="263"/>
      <c r="P1698" s="263"/>
      <c r="Q1698" s="263"/>
      <c r="R1698" s="263"/>
      <c r="S1698" s="263"/>
      <c r="T1698" s="263"/>
      <c r="U1698" s="246"/>
      <c r="V1698" s="246"/>
      <c r="W1698" s="246"/>
      <c r="X1698" s="246"/>
      <c r="Y1698" s="246"/>
      <c r="Z1698" s="246"/>
    </row>
    <row r="1699">
      <c r="A1699" s="263"/>
      <c r="B1699" s="267"/>
      <c r="C1699" s="263"/>
      <c r="D1699" s="263"/>
      <c r="E1699" s="263"/>
      <c r="F1699" s="268"/>
      <c r="G1699" s="263"/>
      <c r="H1699" s="267"/>
      <c r="I1699" s="263"/>
      <c r="J1699" s="263"/>
      <c r="K1699" s="263"/>
      <c r="L1699" s="263"/>
      <c r="M1699" s="263"/>
      <c r="N1699" s="263"/>
      <c r="O1699" s="263"/>
      <c r="P1699" s="263"/>
      <c r="Q1699" s="263"/>
      <c r="R1699" s="263"/>
      <c r="S1699" s="263"/>
      <c r="T1699" s="263"/>
      <c r="U1699" s="246"/>
      <c r="V1699" s="246"/>
      <c r="W1699" s="246"/>
      <c r="X1699" s="246"/>
      <c r="Y1699" s="246"/>
      <c r="Z1699" s="246"/>
    </row>
    <row r="1700">
      <c r="A1700" s="263"/>
      <c r="B1700" s="267"/>
      <c r="C1700" s="263"/>
      <c r="D1700" s="263"/>
      <c r="E1700" s="263"/>
      <c r="F1700" s="268"/>
      <c r="G1700" s="263"/>
      <c r="H1700" s="267"/>
      <c r="I1700" s="263"/>
      <c r="J1700" s="263"/>
      <c r="K1700" s="263"/>
      <c r="L1700" s="263"/>
      <c r="M1700" s="263"/>
      <c r="N1700" s="263"/>
      <c r="O1700" s="263"/>
      <c r="P1700" s="263"/>
      <c r="Q1700" s="263"/>
      <c r="R1700" s="263"/>
      <c r="S1700" s="263"/>
      <c r="T1700" s="263"/>
      <c r="U1700" s="246"/>
      <c r="V1700" s="246"/>
      <c r="W1700" s="246"/>
      <c r="X1700" s="246"/>
      <c r="Y1700" s="246"/>
      <c r="Z1700" s="246"/>
    </row>
    <row r="1701">
      <c r="A1701" s="263"/>
      <c r="B1701" s="267"/>
      <c r="C1701" s="263"/>
      <c r="D1701" s="263"/>
      <c r="E1701" s="263"/>
      <c r="F1701" s="268"/>
      <c r="G1701" s="263"/>
      <c r="H1701" s="267"/>
      <c r="I1701" s="263"/>
      <c r="J1701" s="263"/>
      <c r="K1701" s="263"/>
      <c r="L1701" s="263"/>
      <c r="M1701" s="263"/>
      <c r="N1701" s="263"/>
      <c r="O1701" s="263"/>
      <c r="P1701" s="263"/>
      <c r="Q1701" s="263"/>
      <c r="R1701" s="263"/>
      <c r="S1701" s="263"/>
      <c r="T1701" s="263"/>
      <c r="U1701" s="246"/>
      <c r="V1701" s="246"/>
      <c r="W1701" s="246"/>
      <c r="X1701" s="246"/>
      <c r="Y1701" s="246"/>
      <c r="Z1701" s="246"/>
    </row>
    <row r="1702">
      <c r="A1702" s="263"/>
      <c r="B1702" s="267"/>
      <c r="C1702" s="263"/>
      <c r="D1702" s="263"/>
      <c r="E1702" s="263"/>
      <c r="F1702" s="268"/>
      <c r="G1702" s="263"/>
      <c r="H1702" s="267"/>
      <c r="I1702" s="263"/>
      <c r="J1702" s="263"/>
      <c r="K1702" s="263"/>
      <c r="L1702" s="263"/>
      <c r="M1702" s="263"/>
      <c r="N1702" s="263"/>
      <c r="O1702" s="263"/>
      <c r="P1702" s="263"/>
      <c r="Q1702" s="263"/>
      <c r="R1702" s="263"/>
      <c r="S1702" s="263"/>
      <c r="T1702" s="263"/>
      <c r="U1702" s="246"/>
      <c r="V1702" s="246"/>
      <c r="W1702" s="246"/>
      <c r="X1702" s="246"/>
      <c r="Y1702" s="246"/>
      <c r="Z1702" s="246"/>
    </row>
    <row r="1703">
      <c r="A1703" s="263"/>
      <c r="B1703" s="267"/>
      <c r="C1703" s="263"/>
      <c r="D1703" s="263"/>
      <c r="E1703" s="263"/>
      <c r="F1703" s="268"/>
      <c r="G1703" s="263"/>
      <c r="H1703" s="267"/>
      <c r="I1703" s="263"/>
      <c r="J1703" s="263"/>
      <c r="K1703" s="263"/>
      <c r="L1703" s="263"/>
      <c r="M1703" s="263"/>
      <c r="N1703" s="263"/>
      <c r="O1703" s="263"/>
      <c r="P1703" s="263"/>
      <c r="Q1703" s="263"/>
      <c r="R1703" s="263"/>
      <c r="S1703" s="263"/>
      <c r="T1703" s="263"/>
      <c r="U1703" s="246"/>
      <c r="V1703" s="246"/>
      <c r="W1703" s="246"/>
      <c r="X1703" s="246"/>
      <c r="Y1703" s="246"/>
      <c r="Z1703" s="246"/>
    </row>
    <row r="1704">
      <c r="A1704" s="263"/>
      <c r="B1704" s="267"/>
      <c r="C1704" s="263"/>
      <c r="D1704" s="263"/>
      <c r="E1704" s="263"/>
      <c r="F1704" s="268"/>
      <c r="G1704" s="263"/>
      <c r="H1704" s="267"/>
      <c r="I1704" s="263"/>
      <c r="J1704" s="263"/>
      <c r="K1704" s="263"/>
      <c r="L1704" s="263"/>
      <c r="M1704" s="263"/>
      <c r="N1704" s="263"/>
      <c r="O1704" s="263"/>
      <c r="P1704" s="263"/>
      <c r="Q1704" s="263"/>
      <c r="R1704" s="263"/>
      <c r="S1704" s="263"/>
      <c r="T1704" s="263"/>
      <c r="U1704" s="246"/>
      <c r="V1704" s="246"/>
      <c r="W1704" s="246"/>
      <c r="X1704" s="246"/>
      <c r="Y1704" s="246"/>
      <c r="Z1704" s="246"/>
    </row>
    <row r="1705">
      <c r="A1705" s="263"/>
      <c r="B1705" s="267"/>
      <c r="C1705" s="263"/>
      <c r="D1705" s="263"/>
      <c r="E1705" s="263"/>
      <c r="F1705" s="268"/>
      <c r="G1705" s="263"/>
      <c r="H1705" s="267"/>
      <c r="I1705" s="263"/>
      <c r="J1705" s="263"/>
      <c r="K1705" s="263"/>
      <c r="L1705" s="263"/>
      <c r="M1705" s="263"/>
      <c r="N1705" s="263"/>
      <c r="O1705" s="263"/>
      <c r="P1705" s="263"/>
      <c r="Q1705" s="263"/>
      <c r="R1705" s="263"/>
      <c r="S1705" s="263"/>
      <c r="T1705" s="263"/>
      <c r="U1705" s="246"/>
      <c r="V1705" s="246"/>
      <c r="W1705" s="246"/>
      <c r="X1705" s="246"/>
      <c r="Y1705" s="246"/>
      <c r="Z1705" s="246"/>
    </row>
    <row r="1706">
      <c r="A1706" s="263"/>
      <c r="B1706" s="267"/>
      <c r="C1706" s="263"/>
      <c r="D1706" s="263"/>
      <c r="E1706" s="263"/>
      <c r="F1706" s="268"/>
      <c r="G1706" s="263"/>
      <c r="H1706" s="267"/>
      <c r="I1706" s="263"/>
      <c r="J1706" s="263"/>
      <c r="K1706" s="263"/>
      <c r="L1706" s="263"/>
      <c r="M1706" s="263"/>
      <c r="N1706" s="263"/>
      <c r="O1706" s="263"/>
      <c r="P1706" s="263"/>
      <c r="Q1706" s="263"/>
      <c r="R1706" s="263"/>
      <c r="S1706" s="263"/>
      <c r="T1706" s="263"/>
      <c r="U1706" s="246"/>
      <c r="V1706" s="246"/>
      <c r="W1706" s="246"/>
      <c r="X1706" s="246"/>
      <c r="Y1706" s="246"/>
      <c r="Z1706" s="246"/>
    </row>
    <row r="1707">
      <c r="A1707" s="263"/>
      <c r="B1707" s="267"/>
      <c r="C1707" s="263"/>
      <c r="D1707" s="263"/>
      <c r="E1707" s="263"/>
      <c r="F1707" s="268"/>
      <c r="G1707" s="263"/>
      <c r="H1707" s="267"/>
      <c r="I1707" s="263"/>
      <c r="J1707" s="263"/>
      <c r="K1707" s="263"/>
      <c r="L1707" s="263"/>
      <c r="M1707" s="263"/>
      <c r="N1707" s="263"/>
      <c r="O1707" s="263"/>
      <c r="P1707" s="263"/>
      <c r="Q1707" s="263"/>
      <c r="R1707" s="263"/>
      <c r="S1707" s="263"/>
      <c r="T1707" s="263"/>
      <c r="U1707" s="246"/>
      <c r="V1707" s="246"/>
      <c r="W1707" s="246"/>
      <c r="X1707" s="246"/>
      <c r="Y1707" s="246"/>
      <c r="Z1707" s="246"/>
    </row>
    <row r="1708">
      <c r="A1708" s="263"/>
      <c r="B1708" s="267"/>
      <c r="C1708" s="263"/>
      <c r="D1708" s="263"/>
      <c r="E1708" s="263"/>
      <c r="F1708" s="268"/>
      <c r="G1708" s="263"/>
      <c r="H1708" s="267"/>
      <c r="I1708" s="263"/>
      <c r="J1708" s="263"/>
      <c r="K1708" s="263"/>
      <c r="L1708" s="263"/>
      <c r="M1708" s="263"/>
      <c r="N1708" s="263"/>
      <c r="O1708" s="263"/>
      <c r="P1708" s="263"/>
      <c r="Q1708" s="263"/>
      <c r="R1708" s="263"/>
      <c r="S1708" s="263"/>
      <c r="T1708" s="263"/>
      <c r="U1708" s="246"/>
      <c r="V1708" s="246"/>
      <c r="W1708" s="246"/>
      <c r="X1708" s="246"/>
      <c r="Y1708" s="246"/>
      <c r="Z1708" s="246"/>
    </row>
    <row r="1709">
      <c r="A1709" s="263"/>
      <c r="B1709" s="267"/>
      <c r="C1709" s="263"/>
      <c r="D1709" s="263"/>
      <c r="E1709" s="263"/>
      <c r="F1709" s="268"/>
      <c r="G1709" s="263"/>
      <c r="H1709" s="267"/>
      <c r="I1709" s="263"/>
      <c r="J1709" s="263"/>
      <c r="K1709" s="263"/>
      <c r="L1709" s="263"/>
      <c r="M1709" s="263"/>
      <c r="N1709" s="263"/>
      <c r="O1709" s="263"/>
      <c r="P1709" s="263"/>
      <c r="Q1709" s="263"/>
      <c r="R1709" s="263"/>
      <c r="S1709" s="263"/>
      <c r="T1709" s="263"/>
      <c r="U1709" s="246"/>
      <c r="V1709" s="246"/>
      <c r="W1709" s="246"/>
      <c r="X1709" s="246"/>
      <c r="Y1709" s="246"/>
      <c r="Z1709" s="246"/>
    </row>
    <row r="1710">
      <c r="A1710" s="263"/>
      <c r="B1710" s="267"/>
      <c r="C1710" s="263"/>
      <c r="D1710" s="263"/>
      <c r="E1710" s="263"/>
      <c r="F1710" s="268"/>
      <c r="G1710" s="263"/>
      <c r="H1710" s="267"/>
      <c r="I1710" s="263"/>
      <c r="J1710" s="263"/>
      <c r="K1710" s="263"/>
      <c r="L1710" s="263"/>
      <c r="M1710" s="263"/>
      <c r="N1710" s="263"/>
      <c r="O1710" s="263"/>
      <c r="P1710" s="263"/>
      <c r="Q1710" s="263"/>
      <c r="R1710" s="263"/>
      <c r="S1710" s="263"/>
      <c r="T1710" s="263"/>
      <c r="U1710" s="246"/>
      <c r="V1710" s="246"/>
      <c r="W1710" s="246"/>
      <c r="X1710" s="246"/>
      <c r="Y1710" s="246"/>
      <c r="Z1710" s="246"/>
    </row>
    <row r="1711">
      <c r="A1711" s="263"/>
      <c r="B1711" s="267"/>
      <c r="C1711" s="263"/>
      <c r="D1711" s="263"/>
      <c r="E1711" s="263"/>
      <c r="F1711" s="268"/>
      <c r="G1711" s="263"/>
      <c r="H1711" s="267"/>
      <c r="I1711" s="263"/>
      <c r="J1711" s="263"/>
      <c r="K1711" s="263"/>
      <c r="L1711" s="263"/>
      <c r="M1711" s="263"/>
      <c r="N1711" s="263"/>
      <c r="O1711" s="263"/>
      <c r="P1711" s="263"/>
      <c r="Q1711" s="263"/>
      <c r="R1711" s="263"/>
      <c r="S1711" s="263"/>
      <c r="T1711" s="263"/>
      <c r="U1711" s="246"/>
      <c r="V1711" s="246"/>
      <c r="W1711" s="246"/>
      <c r="X1711" s="246"/>
      <c r="Y1711" s="246"/>
      <c r="Z1711" s="246"/>
    </row>
    <row r="1712">
      <c r="A1712" s="263"/>
      <c r="B1712" s="267"/>
      <c r="C1712" s="263"/>
      <c r="D1712" s="263"/>
      <c r="E1712" s="263"/>
      <c r="F1712" s="268"/>
      <c r="G1712" s="263"/>
      <c r="H1712" s="267"/>
      <c r="I1712" s="263"/>
      <c r="J1712" s="263"/>
      <c r="K1712" s="263"/>
      <c r="L1712" s="263"/>
      <c r="M1712" s="263"/>
      <c r="N1712" s="263"/>
      <c r="O1712" s="263"/>
      <c r="P1712" s="263"/>
      <c r="Q1712" s="263"/>
      <c r="R1712" s="263"/>
      <c r="S1712" s="263"/>
      <c r="T1712" s="263"/>
      <c r="U1712" s="246"/>
      <c r="V1712" s="246"/>
      <c r="W1712" s="246"/>
      <c r="X1712" s="246"/>
      <c r="Y1712" s="246"/>
      <c r="Z1712" s="246"/>
    </row>
    <row r="1713">
      <c r="A1713" s="263"/>
      <c r="B1713" s="267"/>
      <c r="C1713" s="263"/>
      <c r="D1713" s="263"/>
      <c r="E1713" s="263"/>
      <c r="F1713" s="268"/>
      <c r="G1713" s="263"/>
      <c r="H1713" s="267"/>
      <c r="I1713" s="263"/>
      <c r="J1713" s="263"/>
      <c r="K1713" s="263"/>
      <c r="L1713" s="263"/>
      <c r="M1713" s="263"/>
      <c r="N1713" s="263"/>
      <c r="O1713" s="263"/>
      <c r="P1713" s="263"/>
      <c r="Q1713" s="263"/>
      <c r="R1713" s="263"/>
      <c r="S1713" s="263"/>
      <c r="T1713" s="263"/>
      <c r="U1713" s="246"/>
      <c r="V1713" s="246"/>
      <c r="W1713" s="246"/>
      <c r="X1713" s="246"/>
      <c r="Y1713" s="246"/>
      <c r="Z1713" s="246"/>
    </row>
    <row r="1714">
      <c r="A1714" s="263"/>
      <c r="B1714" s="267"/>
      <c r="C1714" s="263"/>
      <c r="D1714" s="263"/>
      <c r="E1714" s="263"/>
      <c r="F1714" s="268"/>
      <c r="G1714" s="263"/>
      <c r="H1714" s="267"/>
      <c r="I1714" s="263"/>
      <c r="J1714" s="263"/>
      <c r="K1714" s="263"/>
      <c r="L1714" s="263"/>
      <c r="M1714" s="263"/>
      <c r="N1714" s="263"/>
      <c r="O1714" s="263"/>
      <c r="P1714" s="263"/>
      <c r="Q1714" s="263"/>
      <c r="R1714" s="263"/>
      <c r="S1714" s="263"/>
      <c r="T1714" s="263"/>
      <c r="U1714" s="246"/>
      <c r="V1714" s="246"/>
      <c r="W1714" s="246"/>
      <c r="X1714" s="246"/>
      <c r="Y1714" s="246"/>
      <c r="Z1714" s="246"/>
    </row>
    <row r="1715">
      <c r="A1715" s="263"/>
      <c r="B1715" s="267"/>
      <c r="C1715" s="263"/>
      <c r="D1715" s="263"/>
      <c r="E1715" s="263"/>
      <c r="F1715" s="268"/>
      <c r="G1715" s="263"/>
      <c r="H1715" s="267"/>
      <c r="I1715" s="263"/>
      <c r="J1715" s="263"/>
      <c r="K1715" s="263"/>
      <c r="L1715" s="263"/>
      <c r="M1715" s="263"/>
      <c r="N1715" s="263"/>
      <c r="O1715" s="263"/>
      <c r="P1715" s="263"/>
      <c r="Q1715" s="263"/>
      <c r="R1715" s="263"/>
      <c r="S1715" s="263"/>
      <c r="T1715" s="263"/>
      <c r="U1715" s="246"/>
      <c r="V1715" s="246"/>
      <c r="W1715" s="246"/>
      <c r="X1715" s="246"/>
      <c r="Y1715" s="246"/>
      <c r="Z1715" s="246"/>
    </row>
    <row r="1716">
      <c r="A1716" s="263"/>
      <c r="B1716" s="267"/>
      <c r="C1716" s="263"/>
      <c r="D1716" s="263"/>
      <c r="E1716" s="263"/>
      <c r="F1716" s="268"/>
      <c r="G1716" s="263"/>
      <c r="H1716" s="267"/>
      <c r="I1716" s="263"/>
      <c r="J1716" s="263"/>
      <c r="K1716" s="263"/>
      <c r="L1716" s="263"/>
      <c r="M1716" s="263"/>
      <c r="N1716" s="263"/>
      <c r="O1716" s="263"/>
      <c r="P1716" s="263"/>
      <c r="Q1716" s="263"/>
      <c r="R1716" s="263"/>
      <c r="S1716" s="263"/>
      <c r="T1716" s="263"/>
      <c r="U1716" s="246"/>
      <c r="V1716" s="246"/>
      <c r="W1716" s="246"/>
      <c r="X1716" s="246"/>
      <c r="Y1716" s="246"/>
      <c r="Z1716" s="246"/>
    </row>
    <row r="1717">
      <c r="A1717" s="263"/>
      <c r="B1717" s="267"/>
      <c r="C1717" s="263"/>
      <c r="D1717" s="263"/>
      <c r="E1717" s="263"/>
      <c r="F1717" s="268"/>
      <c r="G1717" s="263"/>
      <c r="H1717" s="267"/>
      <c r="I1717" s="263"/>
      <c r="J1717" s="263"/>
      <c r="K1717" s="263"/>
      <c r="L1717" s="263"/>
      <c r="M1717" s="263"/>
      <c r="N1717" s="263"/>
      <c r="O1717" s="263"/>
      <c r="P1717" s="263"/>
      <c r="Q1717" s="263"/>
      <c r="R1717" s="263"/>
      <c r="S1717" s="263"/>
      <c r="T1717" s="263"/>
      <c r="U1717" s="246"/>
      <c r="V1717" s="246"/>
      <c r="W1717" s="246"/>
      <c r="X1717" s="246"/>
      <c r="Y1717" s="246"/>
      <c r="Z1717" s="246"/>
    </row>
    <row r="1718">
      <c r="A1718" s="263"/>
      <c r="B1718" s="267"/>
      <c r="C1718" s="263"/>
      <c r="D1718" s="263"/>
      <c r="E1718" s="263"/>
      <c r="F1718" s="268"/>
      <c r="G1718" s="263"/>
      <c r="H1718" s="267"/>
      <c r="I1718" s="263"/>
      <c r="J1718" s="263"/>
      <c r="K1718" s="263"/>
      <c r="L1718" s="263"/>
      <c r="M1718" s="263"/>
      <c r="N1718" s="263"/>
      <c r="O1718" s="263"/>
      <c r="P1718" s="263"/>
      <c r="Q1718" s="263"/>
      <c r="R1718" s="263"/>
      <c r="S1718" s="263"/>
      <c r="T1718" s="263"/>
      <c r="U1718" s="246"/>
      <c r="V1718" s="246"/>
      <c r="W1718" s="246"/>
      <c r="X1718" s="246"/>
      <c r="Y1718" s="246"/>
      <c r="Z1718" s="246"/>
    </row>
    <row r="1719">
      <c r="A1719" s="263"/>
      <c r="B1719" s="267"/>
      <c r="C1719" s="263"/>
      <c r="D1719" s="263"/>
      <c r="E1719" s="263"/>
      <c r="F1719" s="268"/>
      <c r="G1719" s="263"/>
      <c r="H1719" s="267"/>
      <c r="I1719" s="263"/>
      <c r="J1719" s="263"/>
      <c r="K1719" s="263"/>
      <c r="L1719" s="263"/>
      <c r="M1719" s="263"/>
      <c r="N1719" s="263"/>
      <c r="O1719" s="263"/>
      <c r="P1719" s="263"/>
      <c r="Q1719" s="263"/>
      <c r="R1719" s="263"/>
      <c r="S1719" s="263"/>
      <c r="T1719" s="263"/>
      <c r="U1719" s="246"/>
      <c r="V1719" s="246"/>
      <c r="W1719" s="246"/>
      <c r="X1719" s="246"/>
      <c r="Y1719" s="246"/>
      <c r="Z1719" s="246"/>
    </row>
    <row r="1720">
      <c r="A1720" s="263"/>
      <c r="B1720" s="267"/>
      <c r="C1720" s="263"/>
      <c r="D1720" s="263"/>
      <c r="E1720" s="263"/>
      <c r="F1720" s="268"/>
      <c r="G1720" s="263"/>
      <c r="H1720" s="267"/>
      <c r="I1720" s="263"/>
      <c r="J1720" s="263"/>
      <c r="K1720" s="263"/>
      <c r="L1720" s="263"/>
      <c r="M1720" s="263"/>
      <c r="N1720" s="263"/>
      <c r="O1720" s="263"/>
      <c r="P1720" s="263"/>
      <c r="Q1720" s="263"/>
      <c r="R1720" s="263"/>
      <c r="S1720" s="263"/>
      <c r="T1720" s="263"/>
      <c r="U1720" s="246"/>
      <c r="V1720" s="246"/>
      <c r="W1720" s="246"/>
      <c r="X1720" s="246"/>
      <c r="Y1720" s="246"/>
      <c r="Z1720" s="246"/>
    </row>
    <row r="1721">
      <c r="A1721" s="263"/>
      <c r="B1721" s="267"/>
      <c r="C1721" s="263"/>
      <c r="D1721" s="263"/>
      <c r="E1721" s="263"/>
      <c r="F1721" s="268"/>
      <c r="G1721" s="263"/>
      <c r="H1721" s="267"/>
      <c r="I1721" s="263"/>
      <c r="J1721" s="263"/>
      <c r="K1721" s="263"/>
      <c r="L1721" s="263"/>
      <c r="M1721" s="263"/>
      <c r="N1721" s="263"/>
      <c r="O1721" s="263"/>
      <c r="P1721" s="263"/>
      <c r="Q1721" s="263"/>
      <c r="R1721" s="263"/>
      <c r="S1721" s="263"/>
      <c r="T1721" s="263"/>
      <c r="U1721" s="246"/>
      <c r="V1721" s="246"/>
      <c r="W1721" s="246"/>
      <c r="X1721" s="246"/>
      <c r="Y1721" s="246"/>
      <c r="Z1721" s="246"/>
    </row>
    <row r="1722">
      <c r="A1722" s="263"/>
      <c r="B1722" s="267"/>
      <c r="C1722" s="263"/>
      <c r="D1722" s="263"/>
      <c r="E1722" s="263"/>
      <c r="F1722" s="268"/>
      <c r="G1722" s="263"/>
      <c r="H1722" s="267"/>
      <c r="I1722" s="263"/>
      <c r="J1722" s="263"/>
      <c r="K1722" s="263"/>
      <c r="L1722" s="263"/>
      <c r="M1722" s="263"/>
      <c r="N1722" s="263"/>
      <c r="O1722" s="263"/>
      <c r="P1722" s="263"/>
      <c r="Q1722" s="263"/>
      <c r="R1722" s="263"/>
      <c r="S1722" s="263"/>
      <c r="T1722" s="263"/>
      <c r="U1722" s="246"/>
      <c r="V1722" s="246"/>
      <c r="W1722" s="246"/>
      <c r="X1722" s="246"/>
      <c r="Y1722" s="246"/>
      <c r="Z1722" s="246"/>
    </row>
    <row r="1723">
      <c r="A1723" s="263"/>
      <c r="B1723" s="267"/>
      <c r="C1723" s="263"/>
      <c r="D1723" s="263"/>
      <c r="E1723" s="263"/>
      <c r="F1723" s="268"/>
      <c r="G1723" s="263"/>
      <c r="H1723" s="267"/>
      <c r="I1723" s="263"/>
      <c r="J1723" s="263"/>
      <c r="K1723" s="263"/>
      <c r="L1723" s="263"/>
      <c r="M1723" s="263"/>
      <c r="N1723" s="263"/>
      <c r="O1723" s="263"/>
      <c r="P1723" s="263"/>
      <c r="Q1723" s="263"/>
      <c r="R1723" s="263"/>
      <c r="S1723" s="263"/>
      <c r="T1723" s="263"/>
      <c r="U1723" s="246"/>
      <c r="V1723" s="246"/>
      <c r="W1723" s="246"/>
      <c r="X1723" s="246"/>
      <c r="Y1723" s="246"/>
      <c r="Z1723" s="246"/>
    </row>
    <row r="1724">
      <c r="A1724" s="263"/>
      <c r="B1724" s="267"/>
      <c r="C1724" s="263"/>
      <c r="D1724" s="263"/>
      <c r="E1724" s="263"/>
      <c r="F1724" s="268"/>
      <c r="G1724" s="263"/>
      <c r="H1724" s="267"/>
      <c r="I1724" s="263"/>
      <c r="J1724" s="263"/>
      <c r="K1724" s="263"/>
      <c r="L1724" s="263"/>
      <c r="M1724" s="263"/>
      <c r="N1724" s="263"/>
      <c r="O1724" s="263"/>
      <c r="P1724" s="263"/>
      <c r="Q1724" s="263"/>
      <c r="R1724" s="263"/>
      <c r="S1724" s="263"/>
      <c r="T1724" s="263"/>
      <c r="U1724" s="246"/>
      <c r="V1724" s="246"/>
      <c r="W1724" s="246"/>
      <c r="X1724" s="246"/>
      <c r="Y1724" s="246"/>
      <c r="Z1724" s="246"/>
    </row>
    <row r="1725">
      <c r="A1725" s="263"/>
      <c r="B1725" s="267"/>
      <c r="C1725" s="263"/>
      <c r="D1725" s="263"/>
      <c r="E1725" s="263"/>
      <c r="F1725" s="268"/>
      <c r="G1725" s="263"/>
      <c r="H1725" s="267"/>
      <c r="I1725" s="263"/>
      <c r="J1725" s="263"/>
      <c r="K1725" s="263"/>
      <c r="L1725" s="263"/>
      <c r="M1725" s="263"/>
      <c r="N1725" s="263"/>
      <c r="O1725" s="263"/>
      <c r="P1725" s="263"/>
      <c r="Q1725" s="263"/>
      <c r="R1725" s="263"/>
      <c r="S1725" s="263"/>
      <c r="T1725" s="263"/>
      <c r="U1725" s="246"/>
      <c r="V1725" s="246"/>
      <c r="W1725" s="246"/>
      <c r="X1725" s="246"/>
      <c r="Y1725" s="246"/>
      <c r="Z1725" s="246"/>
    </row>
    <row r="1726">
      <c r="A1726" s="263"/>
      <c r="B1726" s="267"/>
      <c r="C1726" s="263"/>
      <c r="D1726" s="263"/>
      <c r="E1726" s="263"/>
      <c r="F1726" s="268"/>
      <c r="G1726" s="263"/>
      <c r="H1726" s="267"/>
      <c r="I1726" s="263"/>
      <c r="J1726" s="263"/>
      <c r="K1726" s="263"/>
      <c r="L1726" s="263"/>
      <c r="M1726" s="263"/>
      <c r="N1726" s="263"/>
      <c r="O1726" s="263"/>
      <c r="P1726" s="263"/>
      <c r="Q1726" s="263"/>
      <c r="R1726" s="263"/>
      <c r="S1726" s="263"/>
      <c r="T1726" s="263"/>
      <c r="U1726" s="246"/>
      <c r="V1726" s="246"/>
      <c r="W1726" s="246"/>
      <c r="X1726" s="246"/>
      <c r="Y1726" s="246"/>
      <c r="Z1726" s="246"/>
    </row>
    <row r="1727">
      <c r="A1727" s="263"/>
      <c r="B1727" s="267"/>
      <c r="C1727" s="263"/>
      <c r="D1727" s="263"/>
      <c r="E1727" s="263"/>
      <c r="F1727" s="268"/>
      <c r="G1727" s="263"/>
      <c r="H1727" s="267"/>
      <c r="I1727" s="263"/>
      <c r="J1727" s="263"/>
      <c r="K1727" s="263"/>
      <c r="L1727" s="263"/>
      <c r="M1727" s="263"/>
      <c r="N1727" s="263"/>
      <c r="O1727" s="263"/>
      <c r="P1727" s="263"/>
      <c r="Q1727" s="263"/>
      <c r="R1727" s="263"/>
      <c r="S1727" s="263"/>
      <c r="T1727" s="263"/>
      <c r="U1727" s="246"/>
      <c r="V1727" s="246"/>
      <c r="W1727" s="246"/>
      <c r="X1727" s="246"/>
      <c r="Y1727" s="246"/>
      <c r="Z1727" s="246"/>
    </row>
    <row r="1728">
      <c r="A1728" s="263"/>
      <c r="B1728" s="267"/>
      <c r="C1728" s="263"/>
      <c r="D1728" s="263"/>
      <c r="E1728" s="263"/>
      <c r="F1728" s="268"/>
      <c r="G1728" s="263"/>
      <c r="H1728" s="267"/>
      <c r="I1728" s="263"/>
      <c r="J1728" s="263"/>
      <c r="K1728" s="263"/>
      <c r="L1728" s="263"/>
      <c r="M1728" s="263"/>
      <c r="N1728" s="263"/>
      <c r="O1728" s="263"/>
      <c r="P1728" s="263"/>
      <c r="Q1728" s="263"/>
      <c r="R1728" s="263"/>
      <c r="S1728" s="263"/>
      <c r="T1728" s="263"/>
      <c r="U1728" s="246"/>
      <c r="V1728" s="246"/>
      <c r="W1728" s="246"/>
      <c r="X1728" s="246"/>
      <c r="Y1728" s="246"/>
      <c r="Z1728" s="246"/>
    </row>
    <row r="1729">
      <c r="A1729" s="263"/>
      <c r="B1729" s="267"/>
      <c r="C1729" s="263"/>
      <c r="D1729" s="263"/>
      <c r="E1729" s="263"/>
      <c r="F1729" s="268"/>
      <c r="G1729" s="263"/>
      <c r="H1729" s="267"/>
      <c r="I1729" s="263"/>
      <c r="J1729" s="263"/>
      <c r="K1729" s="263"/>
      <c r="L1729" s="263"/>
      <c r="M1729" s="263"/>
      <c r="N1729" s="263"/>
      <c r="O1729" s="263"/>
      <c r="P1729" s="263"/>
      <c r="Q1729" s="263"/>
      <c r="R1729" s="263"/>
      <c r="S1729" s="263"/>
      <c r="T1729" s="263"/>
      <c r="U1729" s="246"/>
      <c r="V1729" s="246"/>
      <c r="W1729" s="246"/>
      <c r="X1729" s="246"/>
      <c r="Y1729" s="246"/>
      <c r="Z1729" s="246"/>
    </row>
    <row r="1730">
      <c r="A1730" s="263"/>
      <c r="B1730" s="267"/>
      <c r="C1730" s="263"/>
      <c r="D1730" s="263"/>
      <c r="E1730" s="263"/>
      <c r="F1730" s="268"/>
      <c r="G1730" s="263"/>
      <c r="H1730" s="267"/>
      <c r="I1730" s="263"/>
      <c r="J1730" s="263"/>
      <c r="K1730" s="263"/>
      <c r="L1730" s="263"/>
      <c r="M1730" s="263"/>
      <c r="N1730" s="263"/>
      <c r="O1730" s="263"/>
      <c r="P1730" s="263"/>
      <c r="Q1730" s="263"/>
      <c r="R1730" s="263"/>
      <c r="S1730" s="263"/>
      <c r="T1730" s="263"/>
      <c r="U1730" s="246"/>
      <c r="V1730" s="246"/>
      <c r="W1730" s="246"/>
      <c r="X1730" s="246"/>
      <c r="Y1730" s="246"/>
      <c r="Z1730" s="246"/>
    </row>
    <row r="1731">
      <c r="A1731" s="263"/>
      <c r="B1731" s="267"/>
      <c r="C1731" s="263"/>
      <c r="D1731" s="263"/>
      <c r="E1731" s="263"/>
      <c r="F1731" s="268"/>
      <c r="G1731" s="263"/>
      <c r="H1731" s="267"/>
      <c r="I1731" s="263"/>
      <c r="J1731" s="263"/>
      <c r="K1731" s="263"/>
      <c r="L1731" s="263"/>
      <c r="M1731" s="263"/>
      <c r="N1731" s="263"/>
      <c r="O1731" s="263"/>
      <c r="P1731" s="263"/>
      <c r="Q1731" s="263"/>
      <c r="R1731" s="263"/>
      <c r="S1731" s="263"/>
      <c r="T1731" s="263"/>
      <c r="U1731" s="246"/>
      <c r="V1731" s="246"/>
      <c r="W1731" s="246"/>
      <c r="X1731" s="246"/>
      <c r="Y1731" s="246"/>
      <c r="Z1731" s="246"/>
    </row>
    <row r="1732">
      <c r="A1732" s="263"/>
      <c r="B1732" s="267"/>
      <c r="C1732" s="263"/>
      <c r="D1732" s="263"/>
      <c r="E1732" s="263"/>
      <c r="F1732" s="268"/>
      <c r="G1732" s="263"/>
      <c r="H1732" s="267"/>
      <c r="I1732" s="263"/>
      <c r="J1732" s="263"/>
      <c r="K1732" s="263"/>
      <c r="L1732" s="263"/>
      <c r="M1732" s="263"/>
      <c r="N1732" s="263"/>
      <c r="O1732" s="263"/>
      <c r="P1732" s="263"/>
      <c r="Q1732" s="263"/>
      <c r="R1732" s="263"/>
      <c r="S1732" s="263"/>
      <c r="T1732" s="263"/>
      <c r="U1732" s="246"/>
      <c r="V1732" s="246"/>
      <c r="W1732" s="246"/>
      <c r="X1732" s="246"/>
      <c r="Y1732" s="246"/>
      <c r="Z1732" s="246"/>
    </row>
    <row r="1733">
      <c r="A1733" s="263"/>
      <c r="B1733" s="267"/>
      <c r="C1733" s="263"/>
      <c r="D1733" s="263"/>
      <c r="E1733" s="263"/>
      <c r="F1733" s="268"/>
      <c r="G1733" s="263"/>
      <c r="H1733" s="267"/>
      <c r="I1733" s="263"/>
      <c r="J1733" s="263"/>
      <c r="K1733" s="263"/>
      <c r="L1733" s="263"/>
      <c r="M1733" s="263"/>
      <c r="N1733" s="263"/>
      <c r="O1733" s="263"/>
      <c r="P1733" s="263"/>
      <c r="Q1733" s="263"/>
      <c r="R1733" s="263"/>
      <c r="S1733" s="263"/>
      <c r="T1733" s="263"/>
      <c r="U1733" s="246"/>
      <c r="V1733" s="246"/>
      <c r="W1733" s="246"/>
      <c r="X1733" s="246"/>
      <c r="Y1733" s="246"/>
      <c r="Z1733" s="246"/>
    </row>
    <row r="1734">
      <c r="A1734" s="263"/>
      <c r="B1734" s="267"/>
      <c r="C1734" s="263"/>
      <c r="D1734" s="263"/>
      <c r="E1734" s="263"/>
      <c r="F1734" s="268"/>
      <c r="G1734" s="263"/>
      <c r="H1734" s="267"/>
      <c r="I1734" s="263"/>
      <c r="J1734" s="263"/>
      <c r="K1734" s="263"/>
      <c r="L1734" s="263"/>
      <c r="M1734" s="263"/>
      <c r="N1734" s="263"/>
      <c r="O1734" s="263"/>
      <c r="P1734" s="263"/>
      <c r="Q1734" s="263"/>
      <c r="R1734" s="263"/>
      <c r="S1734" s="263"/>
      <c r="T1734" s="263"/>
      <c r="U1734" s="246"/>
      <c r="V1734" s="246"/>
      <c r="W1734" s="246"/>
      <c r="X1734" s="246"/>
      <c r="Y1734" s="246"/>
      <c r="Z1734" s="246"/>
    </row>
    <row r="1735">
      <c r="A1735" s="263"/>
      <c r="B1735" s="267"/>
      <c r="C1735" s="263"/>
      <c r="D1735" s="263"/>
      <c r="E1735" s="263"/>
      <c r="F1735" s="268"/>
      <c r="G1735" s="263"/>
      <c r="H1735" s="267"/>
      <c r="I1735" s="263"/>
      <c r="J1735" s="263"/>
      <c r="K1735" s="263"/>
      <c r="L1735" s="263"/>
      <c r="M1735" s="263"/>
      <c r="N1735" s="263"/>
      <c r="O1735" s="263"/>
      <c r="P1735" s="263"/>
      <c r="Q1735" s="263"/>
      <c r="R1735" s="263"/>
      <c r="S1735" s="263"/>
      <c r="T1735" s="263"/>
      <c r="U1735" s="246"/>
      <c r="V1735" s="246"/>
      <c r="W1735" s="246"/>
      <c r="X1735" s="246"/>
      <c r="Y1735" s="246"/>
      <c r="Z1735" s="246"/>
    </row>
    <row r="1736">
      <c r="A1736" s="263"/>
      <c r="B1736" s="267"/>
      <c r="C1736" s="263"/>
      <c r="D1736" s="263"/>
      <c r="E1736" s="263"/>
      <c r="F1736" s="268"/>
      <c r="G1736" s="263"/>
      <c r="H1736" s="267"/>
      <c r="I1736" s="263"/>
      <c r="J1736" s="263"/>
      <c r="K1736" s="263"/>
      <c r="L1736" s="263"/>
      <c r="M1736" s="263"/>
      <c r="N1736" s="263"/>
      <c r="O1736" s="263"/>
      <c r="P1736" s="263"/>
      <c r="Q1736" s="263"/>
      <c r="R1736" s="263"/>
      <c r="S1736" s="263"/>
      <c r="T1736" s="263"/>
      <c r="U1736" s="246"/>
      <c r="V1736" s="246"/>
      <c r="W1736" s="246"/>
      <c r="X1736" s="246"/>
      <c r="Y1736" s="246"/>
      <c r="Z1736" s="246"/>
    </row>
    <row r="1737">
      <c r="A1737" s="263"/>
      <c r="B1737" s="267"/>
      <c r="C1737" s="263"/>
      <c r="D1737" s="263"/>
      <c r="E1737" s="263"/>
      <c r="F1737" s="268"/>
      <c r="G1737" s="263"/>
      <c r="H1737" s="267"/>
      <c r="I1737" s="263"/>
      <c r="J1737" s="263"/>
      <c r="K1737" s="263"/>
      <c r="L1737" s="263"/>
      <c r="M1737" s="263"/>
      <c r="N1737" s="263"/>
      <c r="O1737" s="263"/>
      <c r="P1737" s="263"/>
      <c r="Q1737" s="263"/>
      <c r="R1737" s="263"/>
      <c r="S1737" s="263"/>
      <c r="T1737" s="263"/>
      <c r="U1737" s="246"/>
      <c r="V1737" s="246"/>
      <c r="W1737" s="246"/>
      <c r="X1737" s="246"/>
      <c r="Y1737" s="246"/>
      <c r="Z1737" s="246"/>
    </row>
    <row r="1738">
      <c r="A1738" s="263"/>
      <c r="B1738" s="267"/>
      <c r="C1738" s="263"/>
      <c r="D1738" s="263"/>
      <c r="E1738" s="263"/>
      <c r="F1738" s="268"/>
      <c r="G1738" s="263"/>
      <c r="H1738" s="267"/>
      <c r="I1738" s="263"/>
      <c r="J1738" s="263"/>
      <c r="K1738" s="263"/>
      <c r="L1738" s="263"/>
      <c r="M1738" s="263"/>
      <c r="N1738" s="263"/>
      <c r="O1738" s="263"/>
      <c r="P1738" s="263"/>
      <c r="Q1738" s="263"/>
      <c r="R1738" s="263"/>
      <c r="S1738" s="263"/>
      <c r="T1738" s="263"/>
      <c r="U1738" s="246"/>
      <c r="V1738" s="246"/>
      <c r="W1738" s="246"/>
      <c r="X1738" s="246"/>
      <c r="Y1738" s="246"/>
      <c r="Z1738" s="246"/>
    </row>
    <row r="1739">
      <c r="A1739" s="263"/>
      <c r="B1739" s="267"/>
      <c r="C1739" s="263"/>
      <c r="D1739" s="263"/>
      <c r="E1739" s="263"/>
      <c r="F1739" s="268"/>
      <c r="G1739" s="263"/>
      <c r="H1739" s="267"/>
      <c r="I1739" s="263"/>
      <c r="J1739" s="263"/>
      <c r="K1739" s="263"/>
      <c r="L1739" s="263"/>
      <c r="M1739" s="263"/>
      <c r="N1739" s="263"/>
      <c r="O1739" s="263"/>
      <c r="P1739" s="263"/>
      <c r="Q1739" s="263"/>
      <c r="R1739" s="263"/>
      <c r="S1739" s="263"/>
      <c r="T1739" s="263"/>
      <c r="U1739" s="246"/>
      <c r="V1739" s="246"/>
      <c r="W1739" s="246"/>
      <c r="X1739" s="246"/>
      <c r="Y1739" s="246"/>
      <c r="Z1739" s="246"/>
    </row>
    <row r="1740">
      <c r="A1740" s="263"/>
      <c r="B1740" s="267"/>
      <c r="C1740" s="263"/>
      <c r="D1740" s="263"/>
      <c r="E1740" s="263"/>
      <c r="F1740" s="268"/>
      <c r="G1740" s="263"/>
      <c r="H1740" s="267"/>
      <c r="I1740" s="263"/>
      <c r="J1740" s="263"/>
      <c r="K1740" s="263"/>
      <c r="L1740" s="263"/>
      <c r="M1740" s="263"/>
      <c r="N1740" s="263"/>
      <c r="O1740" s="263"/>
      <c r="P1740" s="263"/>
      <c r="Q1740" s="263"/>
      <c r="R1740" s="263"/>
      <c r="S1740" s="263"/>
      <c r="T1740" s="263"/>
      <c r="U1740" s="246"/>
      <c r="V1740" s="246"/>
      <c r="W1740" s="246"/>
      <c r="X1740" s="246"/>
      <c r="Y1740" s="246"/>
      <c r="Z1740" s="246"/>
    </row>
    <row r="1741">
      <c r="A1741" s="263"/>
      <c r="B1741" s="267"/>
      <c r="C1741" s="263"/>
      <c r="D1741" s="263"/>
      <c r="E1741" s="263"/>
      <c r="F1741" s="268"/>
      <c r="G1741" s="263"/>
      <c r="H1741" s="267"/>
      <c r="I1741" s="263"/>
      <c r="J1741" s="263"/>
      <c r="K1741" s="263"/>
      <c r="L1741" s="263"/>
      <c r="M1741" s="263"/>
      <c r="N1741" s="263"/>
      <c r="O1741" s="263"/>
      <c r="P1741" s="263"/>
      <c r="Q1741" s="263"/>
      <c r="R1741" s="263"/>
      <c r="S1741" s="263"/>
      <c r="T1741" s="263"/>
      <c r="U1741" s="246"/>
      <c r="V1741" s="246"/>
      <c r="W1741" s="246"/>
      <c r="X1741" s="246"/>
      <c r="Y1741" s="246"/>
      <c r="Z1741" s="246"/>
    </row>
    <row r="1742">
      <c r="A1742" s="263"/>
      <c r="B1742" s="267"/>
      <c r="C1742" s="263"/>
      <c r="D1742" s="263"/>
      <c r="E1742" s="263"/>
      <c r="F1742" s="268"/>
      <c r="G1742" s="263"/>
      <c r="H1742" s="267"/>
      <c r="I1742" s="263"/>
      <c r="J1742" s="263"/>
      <c r="K1742" s="263"/>
      <c r="L1742" s="263"/>
      <c r="M1742" s="263"/>
      <c r="N1742" s="263"/>
      <c r="O1742" s="263"/>
      <c r="P1742" s="263"/>
      <c r="Q1742" s="263"/>
      <c r="R1742" s="263"/>
      <c r="S1742" s="263"/>
      <c r="T1742" s="263"/>
      <c r="U1742" s="246"/>
      <c r="V1742" s="246"/>
      <c r="W1742" s="246"/>
      <c r="X1742" s="246"/>
      <c r="Y1742" s="246"/>
      <c r="Z1742" s="246"/>
    </row>
    <row r="1743">
      <c r="A1743" s="263"/>
      <c r="B1743" s="267"/>
      <c r="C1743" s="263"/>
      <c r="D1743" s="263"/>
      <c r="E1743" s="263"/>
      <c r="F1743" s="268"/>
      <c r="G1743" s="263"/>
      <c r="H1743" s="267"/>
      <c r="I1743" s="263"/>
      <c r="J1743" s="263"/>
      <c r="K1743" s="263"/>
      <c r="L1743" s="263"/>
      <c r="M1743" s="263"/>
      <c r="N1743" s="263"/>
      <c r="O1743" s="263"/>
      <c r="P1743" s="263"/>
      <c r="Q1743" s="263"/>
      <c r="R1743" s="263"/>
      <c r="S1743" s="263"/>
      <c r="T1743" s="263"/>
      <c r="U1743" s="246"/>
      <c r="V1743" s="246"/>
      <c r="W1743" s="246"/>
      <c r="X1743" s="246"/>
      <c r="Y1743" s="246"/>
      <c r="Z1743" s="246"/>
    </row>
    <row r="1744">
      <c r="A1744" s="263"/>
      <c r="B1744" s="267"/>
      <c r="C1744" s="263"/>
      <c r="D1744" s="263"/>
      <c r="E1744" s="263"/>
      <c r="F1744" s="268"/>
      <c r="G1744" s="263"/>
      <c r="H1744" s="267"/>
      <c r="I1744" s="263"/>
      <c r="J1744" s="263"/>
      <c r="K1744" s="263"/>
      <c r="L1744" s="263"/>
      <c r="M1744" s="263"/>
      <c r="N1744" s="263"/>
      <c r="O1744" s="263"/>
      <c r="P1744" s="263"/>
      <c r="Q1744" s="263"/>
      <c r="R1744" s="263"/>
      <c r="S1744" s="263"/>
      <c r="T1744" s="263"/>
      <c r="U1744" s="246"/>
      <c r="V1744" s="246"/>
      <c r="W1744" s="246"/>
      <c r="X1744" s="246"/>
      <c r="Y1744" s="246"/>
      <c r="Z1744" s="246"/>
    </row>
    <row r="1745">
      <c r="A1745" s="263"/>
      <c r="B1745" s="267"/>
      <c r="C1745" s="263"/>
      <c r="D1745" s="263"/>
      <c r="E1745" s="263"/>
      <c r="F1745" s="268"/>
      <c r="G1745" s="263"/>
      <c r="H1745" s="267"/>
      <c r="I1745" s="263"/>
      <c r="J1745" s="263"/>
      <c r="K1745" s="263"/>
      <c r="L1745" s="263"/>
      <c r="M1745" s="263"/>
      <c r="N1745" s="263"/>
      <c r="O1745" s="263"/>
      <c r="P1745" s="263"/>
      <c r="Q1745" s="263"/>
      <c r="R1745" s="263"/>
      <c r="S1745" s="263"/>
      <c r="T1745" s="263"/>
      <c r="U1745" s="246"/>
      <c r="V1745" s="246"/>
      <c r="W1745" s="246"/>
      <c r="X1745" s="246"/>
      <c r="Y1745" s="246"/>
      <c r="Z1745" s="246"/>
    </row>
    <row r="1746">
      <c r="A1746" s="263"/>
      <c r="B1746" s="267"/>
      <c r="C1746" s="263"/>
      <c r="D1746" s="263"/>
      <c r="E1746" s="263"/>
      <c r="F1746" s="268"/>
      <c r="G1746" s="263"/>
      <c r="H1746" s="267"/>
      <c r="I1746" s="263"/>
      <c r="J1746" s="263"/>
      <c r="K1746" s="263"/>
      <c r="L1746" s="263"/>
      <c r="M1746" s="263"/>
      <c r="N1746" s="263"/>
      <c r="O1746" s="263"/>
      <c r="P1746" s="263"/>
      <c r="Q1746" s="263"/>
      <c r="R1746" s="263"/>
      <c r="S1746" s="263"/>
      <c r="T1746" s="263"/>
      <c r="U1746" s="246"/>
      <c r="V1746" s="246"/>
      <c r="W1746" s="246"/>
      <c r="X1746" s="246"/>
      <c r="Y1746" s="246"/>
      <c r="Z1746" s="246"/>
    </row>
    <row r="1747">
      <c r="A1747" s="263"/>
      <c r="B1747" s="267"/>
      <c r="C1747" s="263"/>
      <c r="D1747" s="263"/>
      <c r="E1747" s="263"/>
      <c r="F1747" s="268"/>
      <c r="G1747" s="263"/>
      <c r="H1747" s="267"/>
      <c r="I1747" s="263"/>
      <c r="J1747" s="263"/>
      <c r="K1747" s="263"/>
      <c r="L1747" s="263"/>
      <c r="M1747" s="263"/>
      <c r="N1747" s="263"/>
      <c r="O1747" s="263"/>
      <c r="P1747" s="263"/>
      <c r="Q1747" s="263"/>
      <c r="R1747" s="263"/>
      <c r="S1747" s="263"/>
      <c r="T1747" s="263"/>
      <c r="U1747" s="246"/>
      <c r="V1747" s="246"/>
      <c r="W1747" s="246"/>
      <c r="X1747" s="246"/>
      <c r="Y1747" s="246"/>
      <c r="Z1747" s="246"/>
    </row>
    <row r="1748">
      <c r="A1748" s="263"/>
      <c r="B1748" s="267"/>
      <c r="C1748" s="263"/>
      <c r="D1748" s="263"/>
      <c r="E1748" s="263"/>
      <c r="F1748" s="268"/>
      <c r="G1748" s="263"/>
      <c r="H1748" s="267"/>
      <c r="I1748" s="263"/>
      <c r="J1748" s="263"/>
      <c r="K1748" s="263"/>
      <c r="L1748" s="263"/>
      <c r="M1748" s="263"/>
      <c r="N1748" s="263"/>
      <c r="O1748" s="263"/>
      <c r="P1748" s="263"/>
      <c r="Q1748" s="263"/>
      <c r="R1748" s="263"/>
      <c r="S1748" s="263"/>
      <c r="T1748" s="263"/>
      <c r="U1748" s="246"/>
      <c r="V1748" s="246"/>
      <c r="W1748" s="246"/>
      <c r="X1748" s="246"/>
      <c r="Y1748" s="246"/>
      <c r="Z1748" s="246"/>
    </row>
    <row r="1749">
      <c r="A1749" s="263"/>
      <c r="B1749" s="267"/>
      <c r="C1749" s="263"/>
      <c r="D1749" s="263"/>
      <c r="E1749" s="263"/>
      <c r="F1749" s="268"/>
      <c r="G1749" s="263"/>
      <c r="H1749" s="267"/>
      <c r="I1749" s="263"/>
      <c r="J1749" s="263"/>
      <c r="K1749" s="263"/>
      <c r="L1749" s="263"/>
      <c r="M1749" s="263"/>
      <c r="N1749" s="263"/>
      <c r="O1749" s="263"/>
      <c r="P1749" s="263"/>
      <c r="Q1749" s="263"/>
      <c r="R1749" s="263"/>
      <c r="S1749" s="263"/>
      <c r="T1749" s="263"/>
      <c r="U1749" s="246"/>
      <c r="V1749" s="246"/>
      <c r="W1749" s="246"/>
      <c r="X1749" s="246"/>
      <c r="Y1749" s="246"/>
      <c r="Z1749" s="246"/>
    </row>
    <row r="1750">
      <c r="A1750" s="263"/>
      <c r="B1750" s="267"/>
      <c r="C1750" s="263"/>
      <c r="D1750" s="263"/>
      <c r="E1750" s="263"/>
      <c r="F1750" s="268"/>
      <c r="G1750" s="263"/>
      <c r="H1750" s="267"/>
      <c r="I1750" s="263"/>
      <c r="J1750" s="263"/>
      <c r="K1750" s="263"/>
      <c r="L1750" s="263"/>
      <c r="M1750" s="263"/>
      <c r="N1750" s="263"/>
      <c r="O1750" s="263"/>
      <c r="P1750" s="263"/>
      <c r="Q1750" s="263"/>
      <c r="R1750" s="263"/>
      <c r="S1750" s="263"/>
      <c r="T1750" s="263"/>
      <c r="U1750" s="246"/>
      <c r="V1750" s="246"/>
      <c r="W1750" s="246"/>
      <c r="X1750" s="246"/>
      <c r="Y1750" s="246"/>
      <c r="Z1750" s="246"/>
    </row>
    <row r="1751">
      <c r="A1751" s="263"/>
      <c r="B1751" s="267"/>
      <c r="C1751" s="263"/>
      <c r="D1751" s="263"/>
      <c r="E1751" s="263"/>
      <c r="F1751" s="268"/>
      <c r="G1751" s="263"/>
      <c r="H1751" s="267"/>
      <c r="I1751" s="263"/>
      <c r="J1751" s="263"/>
      <c r="K1751" s="263"/>
      <c r="L1751" s="263"/>
      <c r="M1751" s="263"/>
      <c r="N1751" s="263"/>
      <c r="O1751" s="263"/>
      <c r="P1751" s="263"/>
      <c r="Q1751" s="263"/>
      <c r="R1751" s="263"/>
      <c r="S1751" s="263"/>
      <c r="T1751" s="263"/>
      <c r="U1751" s="246"/>
      <c r="V1751" s="246"/>
      <c r="W1751" s="246"/>
      <c r="X1751" s="246"/>
      <c r="Y1751" s="246"/>
      <c r="Z1751" s="246"/>
    </row>
    <row r="1752">
      <c r="A1752" s="263"/>
      <c r="B1752" s="267"/>
      <c r="C1752" s="263"/>
      <c r="D1752" s="263"/>
      <c r="E1752" s="263"/>
      <c r="F1752" s="268"/>
      <c r="G1752" s="263"/>
      <c r="H1752" s="267"/>
      <c r="I1752" s="263"/>
      <c r="J1752" s="263"/>
      <c r="K1752" s="263"/>
      <c r="L1752" s="263"/>
      <c r="M1752" s="263"/>
      <c r="N1752" s="263"/>
      <c r="O1752" s="263"/>
      <c r="P1752" s="263"/>
      <c r="Q1752" s="263"/>
      <c r="R1752" s="263"/>
      <c r="S1752" s="263"/>
      <c r="T1752" s="263"/>
      <c r="U1752" s="246"/>
      <c r="V1752" s="246"/>
      <c r="W1752" s="246"/>
      <c r="X1752" s="246"/>
      <c r="Y1752" s="246"/>
      <c r="Z1752" s="246"/>
    </row>
    <row r="1753">
      <c r="A1753" s="263"/>
      <c r="B1753" s="267"/>
      <c r="C1753" s="263"/>
      <c r="D1753" s="263"/>
      <c r="E1753" s="263"/>
      <c r="F1753" s="268"/>
      <c r="G1753" s="263"/>
      <c r="H1753" s="267"/>
      <c r="I1753" s="263"/>
      <c r="J1753" s="263"/>
      <c r="K1753" s="263"/>
      <c r="L1753" s="263"/>
      <c r="M1753" s="263"/>
      <c r="N1753" s="263"/>
      <c r="O1753" s="263"/>
      <c r="P1753" s="263"/>
      <c r="Q1753" s="263"/>
      <c r="R1753" s="263"/>
      <c r="S1753" s="263"/>
      <c r="T1753" s="263"/>
      <c r="U1753" s="246"/>
      <c r="V1753" s="246"/>
      <c r="W1753" s="246"/>
      <c r="X1753" s="246"/>
      <c r="Y1753" s="246"/>
      <c r="Z1753" s="246"/>
    </row>
    <row r="1754">
      <c r="A1754" s="263"/>
      <c r="B1754" s="267"/>
      <c r="C1754" s="263"/>
      <c r="D1754" s="263"/>
      <c r="E1754" s="263"/>
      <c r="F1754" s="268"/>
      <c r="G1754" s="263"/>
      <c r="H1754" s="267"/>
      <c r="I1754" s="263"/>
      <c r="J1754" s="263"/>
      <c r="K1754" s="263"/>
      <c r="L1754" s="263"/>
      <c r="M1754" s="263"/>
      <c r="N1754" s="263"/>
      <c r="O1754" s="263"/>
      <c r="P1754" s="263"/>
      <c r="Q1754" s="263"/>
      <c r="R1754" s="263"/>
      <c r="S1754" s="263"/>
      <c r="T1754" s="263"/>
      <c r="U1754" s="246"/>
      <c r="V1754" s="246"/>
      <c r="W1754" s="246"/>
      <c r="X1754" s="246"/>
      <c r="Y1754" s="246"/>
      <c r="Z1754" s="246"/>
    </row>
    <row r="1755">
      <c r="A1755" s="263"/>
      <c r="B1755" s="267"/>
      <c r="C1755" s="263"/>
      <c r="D1755" s="263"/>
      <c r="E1755" s="263"/>
      <c r="F1755" s="268"/>
      <c r="G1755" s="263"/>
      <c r="H1755" s="267"/>
      <c r="I1755" s="263"/>
      <c r="J1755" s="263"/>
      <c r="K1755" s="263"/>
      <c r="L1755" s="263"/>
      <c r="M1755" s="263"/>
      <c r="N1755" s="263"/>
      <c r="O1755" s="263"/>
      <c r="P1755" s="263"/>
      <c r="Q1755" s="263"/>
      <c r="R1755" s="263"/>
      <c r="S1755" s="263"/>
      <c r="T1755" s="263"/>
      <c r="U1755" s="246"/>
      <c r="V1755" s="246"/>
      <c r="W1755" s="246"/>
      <c r="X1755" s="246"/>
      <c r="Y1755" s="246"/>
      <c r="Z1755" s="246"/>
    </row>
    <row r="1756">
      <c r="A1756" s="263"/>
      <c r="B1756" s="267"/>
      <c r="C1756" s="263"/>
      <c r="D1756" s="263"/>
      <c r="E1756" s="263"/>
      <c r="F1756" s="268"/>
      <c r="G1756" s="263"/>
      <c r="H1756" s="267"/>
      <c r="I1756" s="263"/>
      <c r="J1756" s="263"/>
      <c r="K1756" s="263"/>
      <c r="L1756" s="263"/>
      <c r="M1756" s="263"/>
      <c r="N1756" s="263"/>
      <c r="O1756" s="263"/>
      <c r="P1756" s="263"/>
      <c r="Q1756" s="263"/>
      <c r="R1756" s="263"/>
      <c r="S1756" s="263"/>
      <c r="T1756" s="263"/>
      <c r="U1756" s="246"/>
      <c r="V1756" s="246"/>
      <c r="W1756" s="246"/>
      <c r="X1756" s="246"/>
      <c r="Y1756" s="246"/>
      <c r="Z1756" s="246"/>
    </row>
    <row r="1757">
      <c r="A1757" s="263"/>
      <c r="B1757" s="267"/>
      <c r="C1757" s="263"/>
      <c r="D1757" s="263"/>
      <c r="E1757" s="263"/>
      <c r="F1757" s="268"/>
      <c r="G1757" s="263"/>
      <c r="H1757" s="267"/>
      <c r="I1757" s="263"/>
      <c r="J1757" s="263"/>
      <c r="K1757" s="263"/>
      <c r="L1757" s="263"/>
      <c r="M1757" s="263"/>
      <c r="N1757" s="263"/>
      <c r="O1757" s="263"/>
      <c r="P1757" s="263"/>
      <c r="Q1757" s="263"/>
      <c r="R1757" s="263"/>
      <c r="S1757" s="263"/>
      <c r="T1757" s="263"/>
      <c r="U1757" s="246"/>
      <c r="V1757" s="246"/>
      <c r="W1757" s="246"/>
      <c r="X1757" s="246"/>
      <c r="Y1757" s="246"/>
      <c r="Z1757" s="246"/>
    </row>
    <row r="1758">
      <c r="A1758" s="263"/>
      <c r="B1758" s="267"/>
      <c r="C1758" s="263"/>
      <c r="D1758" s="263"/>
      <c r="E1758" s="263"/>
      <c r="F1758" s="268"/>
      <c r="G1758" s="263"/>
      <c r="H1758" s="267"/>
      <c r="I1758" s="263"/>
      <c r="J1758" s="263"/>
      <c r="K1758" s="263"/>
      <c r="L1758" s="263"/>
      <c r="M1758" s="263"/>
      <c r="N1758" s="263"/>
      <c r="O1758" s="263"/>
      <c r="P1758" s="263"/>
      <c r="Q1758" s="263"/>
      <c r="R1758" s="263"/>
      <c r="S1758" s="263"/>
      <c r="T1758" s="263"/>
      <c r="U1758" s="246"/>
      <c r="V1758" s="246"/>
      <c r="W1758" s="246"/>
      <c r="X1758" s="246"/>
      <c r="Y1758" s="246"/>
      <c r="Z1758" s="246"/>
    </row>
    <row r="1759">
      <c r="A1759" s="263"/>
      <c r="B1759" s="267"/>
      <c r="C1759" s="263"/>
      <c r="D1759" s="263"/>
      <c r="E1759" s="263"/>
      <c r="F1759" s="268"/>
      <c r="G1759" s="263"/>
      <c r="H1759" s="267"/>
      <c r="I1759" s="263"/>
      <c r="J1759" s="263"/>
      <c r="K1759" s="263"/>
      <c r="L1759" s="263"/>
      <c r="M1759" s="263"/>
      <c r="N1759" s="263"/>
      <c r="O1759" s="263"/>
      <c r="P1759" s="263"/>
      <c r="Q1759" s="263"/>
      <c r="R1759" s="263"/>
      <c r="S1759" s="263"/>
      <c r="T1759" s="263"/>
      <c r="U1759" s="246"/>
      <c r="V1759" s="246"/>
      <c r="W1759" s="246"/>
      <c r="X1759" s="246"/>
      <c r="Y1759" s="246"/>
      <c r="Z1759" s="246"/>
    </row>
    <row r="1760">
      <c r="A1760" s="263"/>
      <c r="B1760" s="267"/>
      <c r="C1760" s="263"/>
      <c r="D1760" s="263"/>
      <c r="E1760" s="263"/>
      <c r="F1760" s="268"/>
      <c r="G1760" s="263"/>
      <c r="H1760" s="267"/>
      <c r="I1760" s="263"/>
      <c r="J1760" s="263"/>
      <c r="K1760" s="263"/>
      <c r="L1760" s="263"/>
      <c r="M1760" s="263"/>
      <c r="N1760" s="263"/>
      <c r="O1760" s="263"/>
      <c r="P1760" s="263"/>
      <c r="Q1760" s="263"/>
      <c r="R1760" s="263"/>
      <c r="S1760" s="263"/>
      <c r="T1760" s="263"/>
      <c r="U1760" s="246"/>
      <c r="V1760" s="246"/>
      <c r="W1760" s="246"/>
      <c r="X1760" s="246"/>
      <c r="Y1760" s="246"/>
      <c r="Z1760" s="246"/>
    </row>
    <row r="1761">
      <c r="A1761" s="263"/>
      <c r="B1761" s="267"/>
      <c r="C1761" s="263"/>
      <c r="D1761" s="263"/>
      <c r="E1761" s="263"/>
      <c r="F1761" s="268"/>
      <c r="G1761" s="263"/>
      <c r="H1761" s="267"/>
      <c r="I1761" s="263"/>
      <c r="J1761" s="263"/>
      <c r="K1761" s="263"/>
      <c r="L1761" s="263"/>
      <c r="M1761" s="263"/>
      <c r="N1761" s="263"/>
      <c r="O1761" s="263"/>
      <c r="P1761" s="263"/>
      <c r="Q1761" s="263"/>
      <c r="R1761" s="263"/>
      <c r="S1761" s="263"/>
      <c r="T1761" s="263"/>
      <c r="U1761" s="246"/>
      <c r="V1761" s="246"/>
      <c r="W1761" s="246"/>
      <c r="X1761" s="246"/>
      <c r="Y1761" s="246"/>
      <c r="Z1761" s="246"/>
    </row>
    <row r="1762">
      <c r="A1762" s="263"/>
      <c r="B1762" s="267"/>
      <c r="C1762" s="263"/>
      <c r="D1762" s="263"/>
      <c r="E1762" s="263"/>
      <c r="F1762" s="268"/>
      <c r="G1762" s="263"/>
      <c r="H1762" s="267"/>
      <c r="I1762" s="263"/>
      <c r="J1762" s="263"/>
      <c r="K1762" s="263"/>
      <c r="L1762" s="263"/>
      <c r="M1762" s="263"/>
      <c r="N1762" s="263"/>
      <c r="O1762" s="263"/>
      <c r="P1762" s="263"/>
      <c r="Q1762" s="263"/>
      <c r="R1762" s="263"/>
      <c r="S1762" s="263"/>
      <c r="T1762" s="263"/>
      <c r="U1762" s="246"/>
      <c r="V1762" s="246"/>
      <c r="W1762" s="246"/>
      <c r="X1762" s="246"/>
      <c r="Y1762" s="246"/>
      <c r="Z1762" s="246"/>
    </row>
    <row r="1763">
      <c r="A1763" s="263"/>
      <c r="B1763" s="267"/>
      <c r="C1763" s="263"/>
      <c r="D1763" s="263"/>
      <c r="E1763" s="263"/>
      <c r="F1763" s="268"/>
      <c r="G1763" s="263"/>
      <c r="H1763" s="267"/>
      <c r="I1763" s="263"/>
      <c r="J1763" s="263"/>
      <c r="K1763" s="263"/>
      <c r="L1763" s="263"/>
      <c r="M1763" s="263"/>
      <c r="N1763" s="263"/>
      <c r="O1763" s="263"/>
      <c r="P1763" s="263"/>
      <c r="Q1763" s="263"/>
      <c r="R1763" s="263"/>
      <c r="S1763" s="263"/>
      <c r="T1763" s="263"/>
      <c r="U1763" s="246"/>
      <c r="V1763" s="246"/>
      <c r="W1763" s="246"/>
      <c r="X1763" s="246"/>
      <c r="Y1763" s="246"/>
      <c r="Z1763" s="246"/>
    </row>
    <row r="1764">
      <c r="A1764" s="263"/>
      <c r="B1764" s="267"/>
      <c r="C1764" s="263"/>
      <c r="D1764" s="263"/>
      <c r="E1764" s="263"/>
      <c r="F1764" s="268"/>
      <c r="G1764" s="263"/>
      <c r="H1764" s="267"/>
      <c r="I1764" s="263"/>
      <c r="J1764" s="263"/>
      <c r="K1764" s="263"/>
      <c r="L1764" s="263"/>
      <c r="M1764" s="263"/>
      <c r="N1764" s="263"/>
      <c r="O1764" s="263"/>
      <c r="P1764" s="263"/>
      <c r="Q1764" s="263"/>
      <c r="R1764" s="263"/>
      <c r="S1764" s="263"/>
      <c r="T1764" s="263"/>
      <c r="U1764" s="246"/>
      <c r="V1764" s="246"/>
      <c r="W1764" s="246"/>
      <c r="X1764" s="246"/>
      <c r="Y1764" s="246"/>
      <c r="Z1764" s="246"/>
    </row>
    <row r="1765">
      <c r="A1765" s="263"/>
      <c r="B1765" s="267"/>
      <c r="C1765" s="263"/>
      <c r="D1765" s="263"/>
      <c r="E1765" s="263"/>
      <c r="F1765" s="268"/>
      <c r="G1765" s="263"/>
      <c r="H1765" s="267"/>
      <c r="I1765" s="263"/>
      <c r="J1765" s="263"/>
      <c r="K1765" s="263"/>
      <c r="L1765" s="263"/>
      <c r="M1765" s="263"/>
      <c r="N1765" s="263"/>
      <c r="O1765" s="263"/>
      <c r="P1765" s="263"/>
      <c r="Q1765" s="263"/>
      <c r="R1765" s="263"/>
      <c r="S1765" s="263"/>
      <c r="T1765" s="263"/>
      <c r="U1765" s="246"/>
      <c r="V1765" s="246"/>
      <c r="W1765" s="246"/>
      <c r="X1765" s="246"/>
      <c r="Y1765" s="246"/>
      <c r="Z1765" s="246"/>
    </row>
    <row r="1766">
      <c r="A1766" s="263"/>
      <c r="B1766" s="267"/>
      <c r="C1766" s="263"/>
      <c r="D1766" s="263"/>
      <c r="E1766" s="263"/>
      <c r="F1766" s="268"/>
      <c r="G1766" s="263"/>
      <c r="H1766" s="267"/>
      <c r="I1766" s="263"/>
      <c r="J1766" s="263"/>
      <c r="K1766" s="263"/>
      <c r="L1766" s="263"/>
      <c r="M1766" s="263"/>
      <c r="N1766" s="263"/>
      <c r="O1766" s="263"/>
      <c r="P1766" s="263"/>
      <c r="Q1766" s="263"/>
      <c r="R1766" s="263"/>
      <c r="S1766" s="263"/>
      <c r="T1766" s="263"/>
      <c r="U1766" s="246"/>
      <c r="V1766" s="246"/>
      <c r="W1766" s="246"/>
      <c r="X1766" s="246"/>
      <c r="Y1766" s="246"/>
      <c r="Z1766" s="246"/>
    </row>
    <row r="1767">
      <c r="A1767" s="263"/>
      <c r="B1767" s="267"/>
      <c r="C1767" s="263"/>
      <c r="D1767" s="263"/>
      <c r="E1767" s="263"/>
      <c r="F1767" s="268"/>
      <c r="G1767" s="263"/>
      <c r="H1767" s="267"/>
      <c r="I1767" s="263"/>
      <c r="J1767" s="263"/>
      <c r="K1767" s="263"/>
      <c r="L1767" s="263"/>
      <c r="M1767" s="263"/>
      <c r="N1767" s="263"/>
      <c r="O1767" s="263"/>
      <c r="P1767" s="263"/>
      <c r="Q1767" s="263"/>
      <c r="R1767" s="263"/>
      <c r="S1767" s="263"/>
      <c r="T1767" s="263"/>
      <c r="U1767" s="246"/>
      <c r="V1767" s="246"/>
      <c r="W1767" s="246"/>
      <c r="X1767" s="246"/>
      <c r="Y1767" s="246"/>
      <c r="Z1767" s="246"/>
    </row>
    <row r="1768">
      <c r="A1768" s="263"/>
      <c r="B1768" s="267"/>
      <c r="C1768" s="263"/>
      <c r="D1768" s="263"/>
      <c r="E1768" s="263"/>
      <c r="F1768" s="268"/>
      <c r="G1768" s="263"/>
      <c r="H1768" s="267"/>
      <c r="I1768" s="263"/>
      <c r="J1768" s="263"/>
      <c r="K1768" s="263"/>
      <c r="L1768" s="263"/>
      <c r="M1768" s="263"/>
      <c r="N1768" s="263"/>
      <c r="O1768" s="263"/>
      <c r="P1768" s="263"/>
      <c r="Q1768" s="263"/>
      <c r="R1768" s="263"/>
      <c r="S1768" s="263"/>
      <c r="T1768" s="263"/>
      <c r="U1768" s="246"/>
      <c r="V1768" s="246"/>
      <c r="W1768" s="246"/>
      <c r="X1768" s="246"/>
      <c r="Y1768" s="246"/>
      <c r="Z1768" s="246"/>
    </row>
    <row r="1769">
      <c r="A1769" s="263"/>
      <c r="B1769" s="267"/>
      <c r="C1769" s="263"/>
      <c r="D1769" s="263"/>
      <c r="E1769" s="263"/>
      <c r="F1769" s="268"/>
      <c r="G1769" s="263"/>
      <c r="H1769" s="267"/>
      <c r="I1769" s="263"/>
      <c r="J1769" s="263"/>
      <c r="K1769" s="263"/>
      <c r="L1769" s="263"/>
      <c r="M1769" s="263"/>
      <c r="N1769" s="263"/>
      <c r="O1769" s="263"/>
      <c r="P1769" s="263"/>
      <c r="Q1769" s="263"/>
      <c r="R1769" s="263"/>
      <c r="S1769" s="263"/>
      <c r="T1769" s="263"/>
      <c r="U1769" s="246"/>
      <c r="V1769" s="246"/>
      <c r="W1769" s="246"/>
      <c r="X1769" s="246"/>
      <c r="Y1769" s="246"/>
      <c r="Z1769" s="246"/>
    </row>
    <row r="1770">
      <c r="A1770" s="263"/>
      <c r="B1770" s="267"/>
      <c r="C1770" s="263"/>
      <c r="D1770" s="263"/>
      <c r="E1770" s="263"/>
      <c r="F1770" s="268"/>
      <c r="G1770" s="263"/>
      <c r="H1770" s="267"/>
      <c r="I1770" s="263"/>
      <c r="J1770" s="263"/>
      <c r="K1770" s="263"/>
      <c r="L1770" s="263"/>
      <c r="M1770" s="263"/>
      <c r="N1770" s="263"/>
      <c r="O1770" s="263"/>
      <c r="P1770" s="263"/>
      <c r="Q1770" s="263"/>
      <c r="R1770" s="263"/>
      <c r="S1770" s="263"/>
      <c r="T1770" s="263"/>
      <c r="U1770" s="246"/>
      <c r="V1770" s="246"/>
      <c r="W1770" s="246"/>
      <c r="X1770" s="246"/>
      <c r="Y1770" s="246"/>
      <c r="Z1770" s="246"/>
    </row>
    <row r="1771">
      <c r="A1771" s="263"/>
      <c r="B1771" s="267"/>
      <c r="C1771" s="263"/>
      <c r="D1771" s="263"/>
      <c r="E1771" s="263"/>
      <c r="F1771" s="268"/>
      <c r="G1771" s="263"/>
      <c r="H1771" s="267"/>
      <c r="I1771" s="263"/>
      <c r="J1771" s="263"/>
      <c r="K1771" s="263"/>
      <c r="L1771" s="263"/>
      <c r="M1771" s="263"/>
      <c r="N1771" s="263"/>
      <c r="O1771" s="263"/>
      <c r="P1771" s="263"/>
      <c r="Q1771" s="263"/>
      <c r="R1771" s="263"/>
      <c r="S1771" s="263"/>
      <c r="T1771" s="263"/>
      <c r="U1771" s="246"/>
      <c r="V1771" s="246"/>
      <c r="W1771" s="246"/>
      <c r="X1771" s="246"/>
      <c r="Y1771" s="246"/>
      <c r="Z1771" s="246"/>
    </row>
    <row r="1772">
      <c r="A1772" s="263"/>
      <c r="B1772" s="267"/>
      <c r="C1772" s="263"/>
      <c r="D1772" s="263"/>
      <c r="E1772" s="263"/>
      <c r="F1772" s="268"/>
      <c r="G1772" s="263"/>
      <c r="H1772" s="267"/>
      <c r="I1772" s="263"/>
      <c r="J1772" s="263"/>
      <c r="K1772" s="263"/>
      <c r="L1772" s="263"/>
      <c r="M1772" s="263"/>
      <c r="N1772" s="263"/>
      <c r="O1772" s="263"/>
      <c r="P1772" s="263"/>
      <c r="Q1772" s="263"/>
      <c r="R1772" s="263"/>
      <c r="S1772" s="263"/>
      <c r="T1772" s="263"/>
      <c r="U1772" s="246"/>
      <c r="V1772" s="246"/>
      <c r="W1772" s="246"/>
      <c r="X1772" s="246"/>
      <c r="Y1772" s="246"/>
      <c r="Z1772" s="246"/>
    </row>
    <row r="1773">
      <c r="A1773" s="263"/>
      <c r="B1773" s="267"/>
      <c r="C1773" s="263"/>
      <c r="D1773" s="263"/>
      <c r="E1773" s="263"/>
      <c r="F1773" s="268"/>
      <c r="G1773" s="263"/>
      <c r="H1773" s="267"/>
      <c r="I1773" s="263"/>
      <c r="J1773" s="263"/>
      <c r="K1773" s="263"/>
      <c r="L1773" s="263"/>
      <c r="M1773" s="263"/>
      <c r="N1773" s="263"/>
      <c r="O1773" s="263"/>
      <c r="P1773" s="263"/>
      <c r="Q1773" s="263"/>
      <c r="R1773" s="263"/>
      <c r="S1773" s="263"/>
      <c r="T1773" s="263"/>
      <c r="U1773" s="246"/>
      <c r="V1773" s="246"/>
      <c r="W1773" s="246"/>
      <c r="X1773" s="246"/>
      <c r="Y1773" s="246"/>
      <c r="Z1773" s="246"/>
    </row>
    <row r="1774">
      <c r="A1774" s="263"/>
      <c r="B1774" s="267"/>
      <c r="C1774" s="263"/>
      <c r="D1774" s="263"/>
      <c r="E1774" s="263"/>
      <c r="F1774" s="268"/>
      <c r="G1774" s="263"/>
      <c r="H1774" s="267"/>
      <c r="I1774" s="263"/>
      <c r="J1774" s="263"/>
      <c r="K1774" s="263"/>
      <c r="L1774" s="263"/>
      <c r="M1774" s="263"/>
      <c r="N1774" s="263"/>
      <c r="O1774" s="263"/>
      <c r="P1774" s="263"/>
      <c r="Q1774" s="263"/>
      <c r="R1774" s="263"/>
      <c r="S1774" s="263"/>
      <c r="T1774" s="263"/>
      <c r="U1774" s="246"/>
      <c r="V1774" s="246"/>
      <c r="W1774" s="246"/>
      <c r="X1774" s="246"/>
      <c r="Y1774" s="246"/>
      <c r="Z1774" s="246"/>
    </row>
    <row r="1775">
      <c r="A1775" s="263"/>
      <c r="B1775" s="267"/>
      <c r="C1775" s="263"/>
      <c r="D1775" s="263"/>
      <c r="E1775" s="263"/>
      <c r="F1775" s="268"/>
      <c r="G1775" s="263"/>
      <c r="H1775" s="267"/>
      <c r="I1775" s="263"/>
      <c r="J1775" s="263"/>
      <c r="K1775" s="263"/>
      <c r="L1775" s="263"/>
      <c r="M1775" s="263"/>
      <c r="N1775" s="263"/>
      <c r="O1775" s="263"/>
      <c r="P1775" s="263"/>
      <c r="Q1775" s="263"/>
      <c r="R1775" s="263"/>
      <c r="S1775" s="263"/>
      <c r="T1775" s="263"/>
      <c r="U1775" s="246"/>
      <c r="V1775" s="246"/>
      <c r="W1775" s="246"/>
      <c r="X1775" s="246"/>
      <c r="Y1775" s="246"/>
      <c r="Z1775" s="246"/>
    </row>
    <row r="1776">
      <c r="A1776" s="263"/>
      <c r="B1776" s="267"/>
      <c r="C1776" s="263"/>
      <c r="D1776" s="263"/>
      <c r="E1776" s="263"/>
      <c r="F1776" s="268"/>
      <c r="G1776" s="263"/>
      <c r="H1776" s="267"/>
      <c r="I1776" s="263"/>
      <c r="J1776" s="263"/>
      <c r="K1776" s="263"/>
      <c r="L1776" s="263"/>
      <c r="M1776" s="263"/>
      <c r="N1776" s="263"/>
      <c r="O1776" s="263"/>
      <c r="P1776" s="263"/>
      <c r="Q1776" s="263"/>
      <c r="R1776" s="263"/>
      <c r="S1776" s="263"/>
      <c r="T1776" s="263"/>
      <c r="U1776" s="246"/>
      <c r="V1776" s="246"/>
      <c r="W1776" s="246"/>
      <c r="X1776" s="246"/>
      <c r="Y1776" s="246"/>
      <c r="Z1776" s="246"/>
    </row>
    <row r="1777">
      <c r="A1777" s="263"/>
      <c r="B1777" s="267"/>
      <c r="C1777" s="263"/>
      <c r="D1777" s="263"/>
      <c r="E1777" s="263"/>
      <c r="F1777" s="268"/>
      <c r="G1777" s="263"/>
      <c r="H1777" s="267"/>
      <c r="I1777" s="263"/>
      <c r="J1777" s="263"/>
      <c r="K1777" s="263"/>
      <c r="L1777" s="263"/>
      <c r="M1777" s="263"/>
      <c r="N1777" s="263"/>
      <c r="O1777" s="263"/>
      <c r="P1777" s="263"/>
      <c r="Q1777" s="263"/>
      <c r="R1777" s="263"/>
      <c r="S1777" s="263"/>
      <c r="T1777" s="263"/>
      <c r="U1777" s="246"/>
      <c r="V1777" s="246"/>
      <c r="W1777" s="246"/>
      <c r="X1777" s="246"/>
      <c r="Y1777" s="246"/>
      <c r="Z1777" s="246"/>
    </row>
    <row r="1778">
      <c r="A1778" s="263"/>
      <c r="B1778" s="267"/>
      <c r="C1778" s="263"/>
      <c r="D1778" s="263"/>
      <c r="E1778" s="263"/>
      <c r="F1778" s="268"/>
      <c r="G1778" s="263"/>
      <c r="H1778" s="267"/>
      <c r="I1778" s="263"/>
      <c r="J1778" s="263"/>
      <c r="K1778" s="263"/>
      <c r="L1778" s="263"/>
      <c r="M1778" s="263"/>
      <c r="N1778" s="263"/>
      <c r="O1778" s="263"/>
      <c r="P1778" s="263"/>
      <c r="Q1778" s="263"/>
      <c r="R1778" s="263"/>
      <c r="S1778" s="263"/>
      <c r="T1778" s="263"/>
      <c r="U1778" s="246"/>
      <c r="V1778" s="246"/>
      <c r="W1778" s="246"/>
      <c r="X1778" s="246"/>
      <c r="Y1778" s="246"/>
      <c r="Z1778" s="246"/>
    </row>
    <row r="1779">
      <c r="A1779" s="263"/>
      <c r="B1779" s="267"/>
      <c r="C1779" s="263"/>
      <c r="D1779" s="263"/>
      <c r="E1779" s="263"/>
      <c r="F1779" s="268"/>
      <c r="G1779" s="263"/>
      <c r="H1779" s="267"/>
      <c r="I1779" s="263"/>
      <c r="J1779" s="263"/>
      <c r="K1779" s="263"/>
      <c r="L1779" s="263"/>
      <c r="M1779" s="263"/>
      <c r="N1779" s="263"/>
      <c r="O1779" s="263"/>
      <c r="P1779" s="263"/>
      <c r="Q1779" s="263"/>
      <c r="R1779" s="263"/>
      <c r="S1779" s="263"/>
      <c r="T1779" s="263"/>
      <c r="U1779" s="246"/>
      <c r="V1779" s="246"/>
      <c r="W1779" s="246"/>
      <c r="X1779" s="246"/>
      <c r="Y1779" s="246"/>
      <c r="Z1779" s="246"/>
    </row>
    <row r="1780">
      <c r="A1780" s="263"/>
      <c r="B1780" s="267"/>
      <c r="C1780" s="263"/>
      <c r="D1780" s="263"/>
      <c r="E1780" s="263"/>
      <c r="F1780" s="268"/>
      <c r="G1780" s="263"/>
      <c r="H1780" s="267"/>
      <c r="I1780" s="263"/>
      <c r="J1780" s="263"/>
      <c r="K1780" s="263"/>
      <c r="L1780" s="263"/>
      <c r="M1780" s="263"/>
      <c r="N1780" s="263"/>
      <c r="O1780" s="263"/>
      <c r="P1780" s="263"/>
      <c r="Q1780" s="263"/>
      <c r="R1780" s="263"/>
      <c r="S1780" s="263"/>
      <c r="T1780" s="263"/>
      <c r="U1780" s="246"/>
      <c r="V1780" s="246"/>
      <c r="W1780" s="246"/>
      <c r="X1780" s="246"/>
      <c r="Y1780" s="246"/>
      <c r="Z1780" s="246"/>
    </row>
    <row r="1781">
      <c r="A1781" s="263"/>
      <c r="B1781" s="267"/>
      <c r="C1781" s="263"/>
      <c r="D1781" s="263"/>
      <c r="E1781" s="263"/>
      <c r="F1781" s="268"/>
      <c r="G1781" s="263"/>
      <c r="H1781" s="267"/>
      <c r="I1781" s="263"/>
      <c r="J1781" s="263"/>
      <c r="K1781" s="263"/>
      <c r="L1781" s="263"/>
      <c r="M1781" s="263"/>
      <c r="N1781" s="263"/>
      <c r="O1781" s="263"/>
      <c r="P1781" s="263"/>
      <c r="Q1781" s="263"/>
      <c r="R1781" s="263"/>
      <c r="S1781" s="263"/>
      <c r="T1781" s="263"/>
      <c r="U1781" s="246"/>
      <c r="V1781" s="246"/>
      <c r="W1781" s="246"/>
      <c r="X1781" s="246"/>
      <c r="Y1781" s="246"/>
      <c r="Z1781" s="246"/>
    </row>
    <row r="1782">
      <c r="A1782" s="263"/>
      <c r="B1782" s="267"/>
      <c r="C1782" s="263"/>
      <c r="D1782" s="263"/>
      <c r="E1782" s="263"/>
      <c r="F1782" s="268"/>
      <c r="G1782" s="263"/>
      <c r="H1782" s="267"/>
      <c r="I1782" s="263"/>
      <c r="J1782" s="263"/>
      <c r="K1782" s="263"/>
      <c r="L1782" s="263"/>
      <c r="M1782" s="263"/>
      <c r="N1782" s="263"/>
      <c r="O1782" s="263"/>
      <c r="P1782" s="263"/>
      <c r="Q1782" s="263"/>
      <c r="R1782" s="263"/>
      <c r="S1782" s="263"/>
      <c r="T1782" s="263"/>
      <c r="U1782" s="246"/>
      <c r="V1782" s="246"/>
      <c r="W1782" s="246"/>
      <c r="X1782" s="246"/>
      <c r="Y1782" s="246"/>
      <c r="Z1782" s="246"/>
    </row>
    <row r="1783">
      <c r="A1783" s="263"/>
      <c r="B1783" s="267"/>
      <c r="C1783" s="263"/>
      <c r="D1783" s="263"/>
      <c r="E1783" s="263"/>
      <c r="F1783" s="268"/>
      <c r="G1783" s="263"/>
      <c r="H1783" s="267"/>
      <c r="I1783" s="263"/>
      <c r="J1783" s="263"/>
      <c r="K1783" s="263"/>
      <c r="L1783" s="263"/>
      <c r="M1783" s="263"/>
      <c r="N1783" s="263"/>
      <c r="O1783" s="263"/>
      <c r="P1783" s="263"/>
      <c r="Q1783" s="263"/>
      <c r="R1783" s="263"/>
      <c r="S1783" s="263"/>
      <c r="T1783" s="263"/>
      <c r="U1783" s="246"/>
      <c r="V1783" s="246"/>
      <c r="W1783" s="246"/>
      <c r="X1783" s="246"/>
      <c r="Y1783" s="246"/>
      <c r="Z1783" s="246"/>
    </row>
    <row r="1784">
      <c r="A1784" s="263"/>
      <c r="B1784" s="267"/>
      <c r="C1784" s="263"/>
      <c r="D1784" s="263"/>
      <c r="E1784" s="263"/>
      <c r="F1784" s="268"/>
      <c r="G1784" s="263"/>
      <c r="H1784" s="267"/>
      <c r="I1784" s="263"/>
      <c r="J1784" s="263"/>
      <c r="K1784" s="263"/>
      <c r="L1784" s="263"/>
      <c r="M1784" s="263"/>
      <c r="N1784" s="263"/>
      <c r="O1784" s="263"/>
      <c r="P1784" s="263"/>
      <c r="Q1784" s="263"/>
      <c r="R1784" s="263"/>
      <c r="S1784" s="263"/>
      <c r="T1784" s="263"/>
      <c r="U1784" s="246"/>
      <c r="V1784" s="246"/>
      <c r="W1784" s="246"/>
      <c r="X1784" s="246"/>
      <c r="Y1784" s="246"/>
      <c r="Z1784" s="246"/>
    </row>
    <row r="1785">
      <c r="A1785" s="263"/>
      <c r="B1785" s="267"/>
      <c r="C1785" s="263"/>
      <c r="D1785" s="263"/>
      <c r="E1785" s="263"/>
      <c r="F1785" s="268"/>
      <c r="G1785" s="263"/>
      <c r="H1785" s="267"/>
      <c r="I1785" s="263"/>
      <c r="J1785" s="263"/>
      <c r="K1785" s="263"/>
      <c r="L1785" s="263"/>
      <c r="M1785" s="263"/>
      <c r="N1785" s="263"/>
      <c r="O1785" s="263"/>
      <c r="P1785" s="263"/>
      <c r="Q1785" s="263"/>
      <c r="R1785" s="263"/>
      <c r="S1785" s="263"/>
      <c r="T1785" s="263"/>
      <c r="U1785" s="246"/>
      <c r="V1785" s="246"/>
      <c r="W1785" s="246"/>
      <c r="X1785" s="246"/>
      <c r="Y1785" s="246"/>
      <c r="Z1785" s="246"/>
    </row>
    <row r="1786">
      <c r="A1786" s="263"/>
      <c r="B1786" s="267"/>
      <c r="C1786" s="263"/>
      <c r="D1786" s="263"/>
      <c r="E1786" s="263"/>
      <c r="F1786" s="268"/>
      <c r="G1786" s="263"/>
      <c r="H1786" s="267"/>
      <c r="I1786" s="263"/>
      <c r="J1786" s="263"/>
      <c r="K1786" s="263"/>
      <c r="L1786" s="263"/>
      <c r="M1786" s="263"/>
      <c r="N1786" s="263"/>
      <c r="O1786" s="263"/>
      <c r="P1786" s="263"/>
      <c r="Q1786" s="263"/>
      <c r="R1786" s="263"/>
      <c r="S1786" s="263"/>
      <c r="T1786" s="263"/>
      <c r="U1786" s="246"/>
      <c r="V1786" s="246"/>
      <c r="W1786" s="246"/>
      <c r="X1786" s="246"/>
      <c r="Y1786" s="246"/>
      <c r="Z1786" s="246"/>
    </row>
    <row r="1787">
      <c r="A1787" s="263"/>
      <c r="B1787" s="267"/>
      <c r="C1787" s="263"/>
      <c r="D1787" s="263"/>
      <c r="E1787" s="263"/>
      <c r="F1787" s="268"/>
      <c r="G1787" s="263"/>
      <c r="H1787" s="267"/>
      <c r="I1787" s="263"/>
      <c r="J1787" s="263"/>
      <c r="K1787" s="263"/>
      <c r="L1787" s="263"/>
      <c r="M1787" s="263"/>
      <c r="N1787" s="263"/>
      <c r="O1787" s="263"/>
      <c r="P1787" s="263"/>
      <c r="Q1787" s="263"/>
      <c r="R1787" s="263"/>
      <c r="S1787" s="263"/>
      <c r="T1787" s="263"/>
      <c r="U1787" s="246"/>
      <c r="V1787" s="246"/>
      <c r="W1787" s="246"/>
      <c r="X1787" s="246"/>
      <c r="Y1787" s="246"/>
      <c r="Z1787" s="246"/>
    </row>
    <row r="1788">
      <c r="A1788" s="263"/>
      <c r="B1788" s="267"/>
      <c r="C1788" s="263"/>
      <c r="D1788" s="263"/>
      <c r="E1788" s="263"/>
      <c r="F1788" s="268"/>
      <c r="G1788" s="263"/>
      <c r="H1788" s="267"/>
      <c r="I1788" s="263"/>
      <c r="J1788" s="263"/>
      <c r="K1788" s="263"/>
      <c r="L1788" s="263"/>
      <c r="M1788" s="263"/>
      <c r="N1788" s="263"/>
      <c r="O1788" s="263"/>
      <c r="P1788" s="263"/>
      <c r="Q1788" s="263"/>
      <c r="R1788" s="263"/>
      <c r="S1788" s="263"/>
      <c r="T1788" s="263"/>
      <c r="U1788" s="246"/>
      <c r="V1788" s="246"/>
      <c r="W1788" s="246"/>
      <c r="X1788" s="246"/>
      <c r="Y1788" s="246"/>
      <c r="Z1788" s="246"/>
    </row>
    <row r="1789">
      <c r="A1789" s="263"/>
      <c r="B1789" s="267"/>
      <c r="C1789" s="263"/>
      <c r="D1789" s="263"/>
      <c r="E1789" s="263"/>
      <c r="F1789" s="268"/>
      <c r="G1789" s="263"/>
      <c r="H1789" s="267"/>
      <c r="I1789" s="263"/>
      <c r="J1789" s="263"/>
      <c r="K1789" s="263"/>
      <c r="L1789" s="263"/>
      <c r="M1789" s="263"/>
      <c r="N1789" s="263"/>
      <c r="O1789" s="263"/>
      <c r="P1789" s="263"/>
      <c r="Q1789" s="263"/>
      <c r="R1789" s="263"/>
      <c r="S1789" s="263"/>
      <c r="T1789" s="263"/>
      <c r="U1789" s="246"/>
      <c r="V1789" s="246"/>
      <c r="W1789" s="246"/>
      <c r="X1789" s="246"/>
      <c r="Y1789" s="246"/>
      <c r="Z1789" s="246"/>
    </row>
    <row r="1790">
      <c r="A1790" s="263"/>
      <c r="B1790" s="267"/>
      <c r="C1790" s="263"/>
      <c r="D1790" s="263"/>
      <c r="E1790" s="263"/>
      <c r="F1790" s="268"/>
      <c r="G1790" s="263"/>
      <c r="H1790" s="267"/>
      <c r="I1790" s="263"/>
      <c r="J1790" s="263"/>
      <c r="K1790" s="263"/>
      <c r="L1790" s="263"/>
      <c r="M1790" s="263"/>
      <c r="N1790" s="263"/>
      <c r="O1790" s="263"/>
      <c r="P1790" s="263"/>
      <c r="Q1790" s="263"/>
      <c r="R1790" s="263"/>
      <c r="S1790" s="263"/>
      <c r="T1790" s="263"/>
      <c r="U1790" s="246"/>
      <c r="V1790" s="246"/>
      <c r="W1790" s="246"/>
      <c r="X1790" s="246"/>
      <c r="Y1790" s="246"/>
      <c r="Z1790" s="246"/>
    </row>
    <row r="1791">
      <c r="A1791" s="263"/>
      <c r="B1791" s="267"/>
      <c r="C1791" s="263"/>
      <c r="D1791" s="263"/>
      <c r="E1791" s="263"/>
      <c r="F1791" s="268"/>
      <c r="G1791" s="263"/>
      <c r="H1791" s="267"/>
      <c r="I1791" s="263"/>
      <c r="J1791" s="263"/>
      <c r="K1791" s="263"/>
      <c r="L1791" s="263"/>
      <c r="M1791" s="263"/>
      <c r="N1791" s="263"/>
      <c r="O1791" s="263"/>
      <c r="P1791" s="263"/>
      <c r="Q1791" s="263"/>
      <c r="R1791" s="263"/>
      <c r="S1791" s="263"/>
      <c r="T1791" s="263"/>
      <c r="U1791" s="246"/>
      <c r="V1791" s="246"/>
      <c r="W1791" s="246"/>
      <c r="X1791" s="246"/>
      <c r="Y1791" s="246"/>
      <c r="Z1791" s="246"/>
    </row>
    <row r="1792">
      <c r="A1792" s="263"/>
      <c r="B1792" s="267"/>
      <c r="C1792" s="263"/>
      <c r="D1792" s="263"/>
      <c r="E1792" s="263"/>
      <c r="F1792" s="268"/>
      <c r="G1792" s="263"/>
      <c r="H1792" s="267"/>
      <c r="I1792" s="263"/>
      <c r="J1792" s="263"/>
      <c r="K1792" s="263"/>
      <c r="L1792" s="263"/>
      <c r="M1792" s="263"/>
      <c r="N1792" s="263"/>
      <c r="O1792" s="263"/>
      <c r="P1792" s="263"/>
      <c r="Q1792" s="263"/>
      <c r="R1792" s="263"/>
      <c r="S1792" s="263"/>
      <c r="T1792" s="263"/>
      <c r="U1792" s="246"/>
      <c r="V1792" s="246"/>
      <c r="W1792" s="246"/>
      <c r="X1792" s="246"/>
      <c r="Y1792" s="246"/>
      <c r="Z1792" s="246"/>
    </row>
    <row r="1793">
      <c r="A1793" s="263"/>
      <c r="B1793" s="267"/>
      <c r="C1793" s="263"/>
      <c r="D1793" s="263"/>
      <c r="E1793" s="263"/>
      <c r="F1793" s="268"/>
      <c r="G1793" s="263"/>
      <c r="H1793" s="267"/>
      <c r="I1793" s="263"/>
      <c r="J1793" s="263"/>
      <c r="K1793" s="263"/>
      <c r="L1793" s="263"/>
      <c r="M1793" s="263"/>
      <c r="N1793" s="263"/>
      <c r="O1793" s="263"/>
      <c r="P1793" s="263"/>
      <c r="Q1793" s="263"/>
      <c r="R1793" s="263"/>
      <c r="S1793" s="263"/>
      <c r="T1793" s="263"/>
      <c r="U1793" s="246"/>
      <c r="V1793" s="246"/>
      <c r="W1793" s="246"/>
      <c r="X1793" s="246"/>
      <c r="Y1793" s="246"/>
      <c r="Z1793" s="246"/>
    </row>
    <row r="1794">
      <c r="A1794" s="263"/>
      <c r="B1794" s="267"/>
      <c r="C1794" s="263"/>
      <c r="D1794" s="263"/>
      <c r="E1794" s="263"/>
      <c r="F1794" s="268"/>
      <c r="G1794" s="263"/>
      <c r="H1794" s="267"/>
      <c r="I1794" s="263"/>
      <c r="J1794" s="263"/>
      <c r="K1794" s="263"/>
      <c r="L1794" s="263"/>
      <c r="M1794" s="263"/>
      <c r="N1794" s="263"/>
      <c r="O1794" s="263"/>
      <c r="P1794" s="263"/>
      <c r="Q1794" s="263"/>
      <c r="R1794" s="263"/>
      <c r="S1794" s="263"/>
      <c r="T1794" s="263"/>
      <c r="U1794" s="246"/>
      <c r="V1794" s="246"/>
      <c r="W1794" s="246"/>
      <c r="X1794" s="246"/>
      <c r="Y1794" s="246"/>
      <c r="Z1794" s="246"/>
    </row>
    <row r="1795">
      <c r="A1795" s="263"/>
      <c r="B1795" s="267"/>
      <c r="C1795" s="263"/>
      <c r="D1795" s="263"/>
      <c r="E1795" s="263"/>
      <c r="F1795" s="268"/>
      <c r="G1795" s="263"/>
      <c r="H1795" s="267"/>
      <c r="I1795" s="263"/>
      <c r="J1795" s="263"/>
      <c r="K1795" s="263"/>
      <c r="L1795" s="263"/>
      <c r="M1795" s="263"/>
      <c r="N1795" s="263"/>
      <c r="O1795" s="263"/>
      <c r="P1795" s="263"/>
      <c r="Q1795" s="263"/>
      <c r="R1795" s="263"/>
      <c r="S1795" s="263"/>
      <c r="T1795" s="263"/>
      <c r="U1795" s="246"/>
      <c r="V1795" s="246"/>
      <c r="W1795" s="246"/>
      <c r="X1795" s="246"/>
      <c r="Y1795" s="246"/>
      <c r="Z1795" s="246"/>
    </row>
    <row r="1796">
      <c r="A1796" s="263"/>
      <c r="B1796" s="267"/>
      <c r="C1796" s="263"/>
      <c r="D1796" s="263"/>
      <c r="E1796" s="263"/>
      <c r="F1796" s="268"/>
      <c r="G1796" s="263"/>
      <c r="H1796" s="267"/>
      <c r="I1796" s="263"/>
      <c r="J1796" s="263"/>
      <c r="K1796" s="263"/>
      <c r="L1796" s="263"/>
      <c r="M1796" s="263"/>
      <c r="N1796" s="263"/>
      <c r="O1796" s="263"/>
      <c r="P1796" s="263"/>
      <c r="Q1796" s="263"/>
      <c r="R1796" s="263"/>
      <c r="S1796" s="263"/>
      <c r="T1796" s="263"/>
      <c r="U1796" s="246"/>
      <c r="V1796" s="246"/>
      <c r="W1796" s="246"/>
      <c r="X1796" s="246"/>
      <c r="Y1796" s="246"/>
      <c r="Z1796" s="246"/>
    </row>
    <row r="1797">
      <c r="A1797" s="263"/>
      <c r="B1797" s="267"/>
      <c r="C1797" s="263"/>
      <c r="D1797" s="263"/>
      <c r="E1797" s="263"/>
      <c r="F1797" s="268"/>
      <c r="G1797" s="263"/>
      <c r="H1797" s="267"/>
      <c r="I1797" s="263"/>
      <c r="J1797" s="263"/>
      <c r="K1797" s="263"/>
      <c r="L1797" s="263"/>
      <c r="M1797" s="263"/>
      <c r="N1797" s="263"/>
      <c r="O1797" s="263"/>
      <c r="P1797" s="263"/>
      <c r="Q1797" s="263"/>
      <c r="R1797" s="263"/>
      <c r="S1797" s="263"/>
      <c r="T1797" s="263"/>
      <c r="U1797" s="246"/>
      <c r="V1797" s="246"/>
      <c r="W1797" s="246"/>
      <c r="X1797" s="246"/>
      <c r="Y1797" s="246"/>
      <c r="Z1797" s="246"/>
    </row>
    <row r="1798">
      <c r="A1798" s="263"/>
      <c r="B1798" s="267"/>
      <c r="C1798" s="263"/>
      <c r="D1798" s="263"/>
      <c r="E1798" s="263"/>
      <c r="F1798" s="268"/>
      <c r="G1798" s="263"/>
      <c r="H1798" s="267"/>
      <c r="I1798" s="263"/>
      <c r="J1798" s="263"/>
      <c r="K1798" s="263"/>
      <c r="L1798" s="263"/>
      <c r="M1798" s="263"/>
      <c r="N1798" s="263"/>
      <c r="O1798" s="263"/>
      <c r="P1798" s="263"/>
      <c r="Q1798" s="263"/>
      <c r="R1798" s="263"/>
      <c r="S1798" s="263"/>
      <c r="T1798" s="263"/>
      <c r="U1798" s="246"/>
      <c r="V1798" s="246"/>
      <c r="W1798" s="246"/>
      <c r="X1798" s="246"/>
      <c r="Y1798" s="246"/>
      <c r="Z1798" s="246"/>
    </row>
    <row r="1799">
      <c r="A1799" s="263"/>
      <c r="B1799" s="267"/>
      <c r="C1799" s="263"/>
      <c r="D1799" s="263"/>
      <c r="E1799" s="263"/>
      <c r="F1799" s="268"/>
      <c r="G1799" s="263"/>
      <c r="H1799" s="267"/>
      <c r="I1799" s="263"/>
      <c r="J1799" s="263"/>
      <c r="K1799" s="263"/>
      <c r="L1799" s="263"/>
      <c r="M1799" s="263"/>
      <c r="N1799" s="263"/>
      <c r="O1799" s="263"/>
      <c r="P1799" s="263"/>
      <c r="Q1799" s="263"/>
      <c r="R1799" s="263"/>
      <c r="S1799" s="263"/>
      <c r="T1799" s="263"/>
      <c r="U1799" s="246"/>
      <c r="V1799" s="246"/>
      <c r="W1799" s="246"/>
      <c r="X1799" s="246"/>
      <c r="Y1799" s="246"/>
      <c r="Z1799" s="246"/>
    </row>
    <row r="1800">
      <c r="A1800" s="263"/>
      <c r="B1800" s="267"/>
      <c r="C1800" s="263"/>
      <c r="D1800" s="263"/>
      <c r="E1800" s="263"/>
      <c r="F1800" s="268"/>
      <c r="G1800" s="263"/>
      <c r="H1800" s="267"/>
      <c r="I1800" s="263"/>
      <c r="J1800" s="263"/>
      <c r="K1800" s="263"/>
      <c r="L1800" s="263"/>
      <c r="M1800" s="263"/>
      <c r="N1800" s="263"/>
      <c r="O1800" s="263"/>
      <c r="P1800" s="263"/>
      <c r="Q1800" s="263"/>
      <c r="R1800" s="263"/>
      <c r="S1800" s="263"/>
      <c r="T1800" s="263"/>
      <c r="U1800" s="246"/>
      <c r="V1800" s="246"/>
      <c r="W1800" s="246"/>
      <c r="X1800" s="246"/>
      <c r="Y1800" s="246"/>
      <c r="Z1800" s="246"/>
    </row>
    <row r="1801">
      <c r="A1801" s="263"/>
      <c r="B1801" s="267"/>
      <c r="C1801" s="263"/>
      <c r="D1801" s="263"/>
      <c r="E1801" s="263"/>
      <c r="F1801" s="268"/>
      <c r="G1801" s="263"/>
      <c r="H1801" s="267"/>
      <c r="I1801" s="263"/>
      <c r="J1801" s="263"/>
      <c r="K1801" s="263"/>
      <c r="L1801" s="263"/>
      <c r="M1801" s="263"/>
      <c r="N1801" s="263"/>
      <c r="O1801" s="263"/>
      <c r="P1801" s="263"/>
      <c r="Q1801" s="263"/>
      <c r="R1801" s="263"/>
      <c r="S1801" s="263"/>
      <c r="T1801" s="263"/>
      <c r="U1801" s="246"/>
      <c r="V1801" s="246"/>
      <c r="W1801" s="246"/>
      <c r="X1801" s="246"/>
      <c r="Y1801" s="246"/>
      <c r="Z1801" s="246"/>
    </row>
    <row r="1802">
      <c r="A1802" s="263"/>
      <c r="B1802" s="267"/>
      <c r="C1802" s="263"/>
      <c r="D1802" s="263"/>
      <c r="E1802" s="263"/>
      <c r="F1802" s="268"/>
      <c r="G1802" s="263"/>
      <c r="H1802" s="267"/>
      <c r="I1802" s="263"/>
      <c r="J1802" s="263"/>
      <c r="K1802" s="263"/>
      <c r="L1802" s="263"/>
      <c r="M1802" s="263"/>
      <c r="N1802" s="263"/>
      <c r="O1802" s="263"/>
      <c r="P1802" s="263"/>
      <c r="Q1802" s="263"/>
      <c r="R1802" s="263"/>
      <c r="S1802" s="263"/>
      <c r="T1802" s="263"/>
      <c r="U1802" s="246"/>
      <c r="V1802" s="246"/>
      <c r="W1802" s="246"/>
      <c r="X1802" s="246"/>
      <c r="Y1802" s="246"/>
      <c r="Z1802" s="246"/>
    </row>
    <row r="1803">
      <c r="A1803" s="263"/>
      <c r="B1803" s="267"/>
      <c r="C1803" s="263"/>
      <c r="D1803" s="263"/>
      <c r="E1803" s="263"/>
      <c r="F1803" s="268"/>
      <c r="G1803" s="263"/>
      <c r="H1803" s="267"/>
      <c r="I1803" s="263"/>
      <c r="J1803" s="263"/>
      <c r="K1803" s="263"/>
      <c r="L1803" s="263"/>
      <c r="M1803" s="263"/>
      <c r="N1803" s="263"/>
      <c r="O1803" s="263"/>
      <c r="P1803" s="263"/>
      <c r="Q1803" s="263"/>
      <c r="R1803" s="263"/>
      <c r="S1803" s="263"/>
      <c r="T1803" s="263"/>
      <c r="U1803" s="246"/>
      <c r="V1803" s="246"/>
      <c r="W1803" s="246"/>
      <c r="X1803" s="246"/>
      <c r="Y1803" s="246"/>
      <c r="Z1803" s="246"/>
    </row>
    <row r="1804">
      <c r="A1804" s="263"/>
      <c r="B1804" s="267"/>
      <c r="C1804" s="263"/>
      <c r="D1804" s="263"/>
      <c r="E1804" s="263"/>
      <c r="F1804" s="268"/>
      <c r="G1804" s="263"/>
      <c r="H1804" s="267"/>
      <c r="I1804" s="263"/>
      <c r="J1804" s="263"/>
      <c r="K1804" s="263"/>
      <c r="L1804" s="263"/>
      <c r="M1804" s="263"/>
      <c r="N1804" s="263"/>
      <c r="O1804" s="263"/>
      <c r="P1804" s="263"/>
      <c r="Q1804" s="263"/>
      <c r="R1804" s="263"/>
      <c r="S1804" s="263"/>
      <c r="T1804" s="263"/>
      <c r="U1804" s="246"/>
      <c r="V1804" s="246"/>
      <c r="W1804" s="246"/>
      <c r="X1804" s="246"/>
      <c r="Y1804" s="246"/>
      <c r="Z1804" s="246"/>
    </row>
    <row r="1805">
      <c r="A1805" s="263"/>
      <c r="B1805" s="267"/>
      <c r="C1805" s="263"/>
      <c r="D1805" s="263"/>
      <c r="E1805" s="263"/>
      <c r="F1805" s="268"/>
      <c r="G1805" s="263"/>
      <c r="H1805" s="267"/>
      <c r="I1805" s="263"/>
      <c r="J1805" s="263"/>
      <c r="K1805" s="263"/>
      <c r="L1805" s="263"/>
      <c r="M1805" s="263"/>
      <c r="N1805" s="263"/>
      <c r="O1805" s="263"/>
      <c r="P1805" s="263"/>
      <c r="Q1805" s="263"/>
      <c r="R1805" s="263"/>
      <c r="S1805" s="263"/>
      <c r="T1805" s="263"/>
      <c r="U1805" s="246"/>
      <c r="V1805" s="246"/>
      <c r="W1805" s="246"/>
      <c r="X1805" s="246"/>
      <c r="Y1805" s="246"/>
      <c r="Z1805" s="246"/>
    </row>
    <row r="1806">
      <c r="A1806" s="263"/>
      <c r="B1806" s="267"/>
      <c r="C1806" s="263"/>
      <c r="D1806" s="263"/>
      <c r="E1806" s="263"/>
      <c r="F1806" s="268"/>
      <c r="G1806" s="263"/>
      <c r="H1806" s="267"/>
      <c r="I1806" s="263"/>
      <c r="J1806" s="263"/>
      <c r="K1806" s="263"/>
      <c r="L1806" s="263"/>
      <c r="M1806" s="263"/>
      <c r="N1806" s="263"/>
      <c r="O1806" s="263"/>
      <c r="P1806" s="263"/>
      <c r="Q1806" s="263"/>
      <c r="R1806" s="263"/>
      <c r="S1806" s="263"/>
      <c r="T1806" s="263"/>
      <c r="U1806" s="246"/>
      <c r="V1806" s="246"/>
      <c r="W1806" s="246"/>
      <c r="X1806" s="246"/>
      <c r="Y1806" s="246"/>
      <c r="Z1806" s="246"/>
    </row>
    <row r="1807">
      <c r="A1807" s="263"/>
      <c r="B1807" s="267"/>
      <c r="C1807" s="263"/>
      <c r="D1807" s="263"/>
      <c r="E1807" s="263"/>
      <c r="F1807" s="268"/>
      <c r="G1807" s="263"/>
      <c r="H1807" s="267"/>
      <c r="I1807" s="263"/>
      <c r="J1807" s="263"/>
      <c r="K1807" s="263"/>
      <c r="L1807" s="263"/>
      <c r="M1807" s="263"/>
      <c r="N1807" s="263"/>
      <c r="O1807" s="263"/>
      <c r="P1807" s="263"/>
      <c r="Q1807" s="263"/>
      <c r="R1807" s="263"/>
      <c r="S1807" s="263"/>
      <c r="T1807" s="263"/>
      <c r="U1807" s="246"/>
      <c r="V1807" s="246"/>
      <c r="W1807" s="246"/>
      <c r="X1807" s="246"/>
      <c r="Y1807" s="246"/>
      <c r="Z1807" s="246"/>
    </row>
    <row r="1808">
      <c r="A1808" s="263"/>
      <c r="B1808" s="267"/>
      <c r="C1808" s="263"/>
      <c r="D1808" s="263"/>
      <c r="E1808" s="263"/>
      <c r="F1808" s="268"/>
      <c r="G1808" s="263"/>
      <c r="H1808" s="267"/>
      <c r="I1808" s="263"/>
      <c r="J1808" s="263"/>
      <c r="K1808" s="263"/>
      <c r="L1808" s="263"/>
      <c r="M1808" s="263"/>
      <c r="N1808" s="263"/>
      <c r="O1808" s="263"/>
      <c r="P1808" s="263"/>
      <c r="Q1808" s="263"/>
      <c r="R1808" s="263"/>
      <c r="S1808" s="263"/>
      <c r="T1808" s="263"/>
      <c r="U1808" s="246"/>
      <c r="V1808" s="246"/>
      <c r="W1808" s="246"/>
      <c r="X1808" s="246"/>
      <c r="Y1808" s="246"/>
      <c r="Z1808" s="246"/>
    </row>
    <row r="1809">
      <c r="A1809" s="263"/>
      <c r="B1809" s="267"/>
      <c r="C1809" s="263"/>
      <c r="D1809" s="263"/>
      <c r="E1809" s="263"/>
      <c r="F1809" s="268"/>
      <c r="G1809" s="263"/>
      <c r="H1809" s="267"/>
      <c r="I1809" s="263"/>
      <c r="J1809" s="263"/>
      <c r="K1809" s="263"/>
      <c r="L1809" s="263"/>
      <c r="M1809" s="263"/>
      <c r="N1809" s="263"/>
      <c r="O1809" s="263"/>
      <c r="P1809" s="263"/>
      <c r="Q1809" s="263"/>
      <c r="R1809" s="263"/>
      <c r="S1809" s="263"/>
      <c r="T1809" s="263"/>
      <c r="U1809" s="246"/>
      <c r="V1809" s="246"/>
      <c r="W1809" s="246"/>
      <c r="X1809" s="246"/>
      <c r="Y1809" s="246"/>
      <c r="Z1809" s="246"/>
    </row>
    <row r="1810">
      <c r="A1810" s="263"/>
      <c r="B1810" s="267"/>
      <c r="C1810" s="263"/>
      <c r="D1810" s="263"/>
      <c r="E1810" s="263"/>
      <c r="F1810" s="268"/>
      <c r="G1810" s="263"/>
      <c r="H1810" s="267"/>
      <c r="I1810" s="263"/>
      <c r="J1810" s="263"/>
      <c r="K1810" s="263"/>
      <c r="L1810" s="263"/>
      <c r="M1810" s="263"/>
      <c r="N1810" s="263"/>
      <c r="O1810" s="263"/>
      <c r="P1810" s="263"/>
      <c r="Q1810" s="263"/>
      <c r="R1810" s="263"/>
      <c r="S1810" s="263"/>
      <c r="T1810" s="263"/>
      <c r="U1810" s="246"/>
      <c r="V1810" s="246"/>
      <c r="W1810" s="246"/>
      <c r="X1810" s="246"/>
      <c r="Y1810" s="246"/>
      <c r="Z1810" s="246"/>
    </row>
    <row r="1811">
      <c r="A1811" s="263"/>
      <c r="B1811" s="267"/>
      <c r="C1811" s="263"/>
      <c r="D1811" s="263"/>
      <c r="E1811" s="263"/>
      <c r="F1811" s="268"/>
      <c r="G1811" s="263"/>
      <c r="H1811" s="267"/>
      <c r="I1811" s="263"/>
      <c r="J1811" s="263"/>
      <c r="K1811" s="263"/>
      <c r="L1811" s="263"/>
      <c r="M1811" s="263"/>
      <c r="N1811" s="263"/>
      <c r="O1811" s="263"/>
      <c r="P1811" s="263"/>
      <c r="Q1811" s="263"/>
      <c r="R1811" s="263"/>
      <c r="S1811" s="263"/>
      <c r="T1811" s="263"/>
      <c r="U1811" s="246"/>
      <c r="V1811" s="246"/>
      <c r="W1811" s="246"/>
      <c r="X1811" s="246"/>
      <c r="Y1811" s="246"/>
      <c r="Z1811" s="246"/>
    </row>
    <row r="1812">
      <c r="A1812" s="263"/>
      <c r="B1812" s="267"/>
      <c r="C1812" s="263"/>
      <c r="D1812" s="263"/>
      <c r="E1812" s="263"/>
      <c r="F1812" s="268"/>
      <c r="G1812" s="263"/>
      <c r="H1812" s="267"/>
      <c r="I1812" s="263"/>
      <c r="J1812" s="263"/>
      <c r="K1812" s="263"/>
      <c r="L1812" s="263"/>
      <c r="M1812" s="263"/>
      <c r="N1812" s="263"/>
      <c r="O1812" s="263"/>
      <c r="P1812" s="263"/>
      <c r="Q1812" s="263"/>
      <c r="R1812" s="263"/>
      <c r="S1812" s="263"/>
      <c r="T1812" s="263"/>
      <c r="U1812" s="246"/>
      <c r="V1812" s="246"/>
      <c r="W1812" s="246"/>
      <c r="X1812" s="246"/>
      <c r="Y1812" s="246"/>
      <c r="Z1812" s="246"/>
    </row>
    <row r="1813">
      <c r="A1813" s="263"/>
      <c r="B1813" s="267"/>
      <c r="C1813" s="263"/>
      <c r="D1813" s="263"/>
      <c r="E1813" s="263"/>
      <c r="F1813" s="268"/>
      <c r="G1813" s="263"/>
      <c r="H1813" s="267"/>
      <c r="I1813" s="263"/>
      <c r="J1813" s="263"/>
      <c r="K1813" s="263"/>
      <c r="L1813" s="263"/>
      <c r="M1813" s="263"/>
      <c r="N1813" s="263"/>
      <c r="O1813" s="263"/>
      <c r="P1813" s="263"/>
      <c r="Q1813" s="263"/>
      <c r="R1813" s="263"/>
      <c r="S1813" s="263"/>
      <c r="T1813" s="263"/>
      <c r="U1813" s="246"/>
      <c r="V1813" s="246"/>
      <c r="W1813" s="246"/>
      <c r="X1813" s="246"/>
      <c r="Y1813" s="246"/>
      <c r="Z1813" s="246"/>
    </row>
    <row r="1814">
      <c r="A1814" s="263"/>
      <c r="B1814" s="267"/>
      <c r="C1814" s="263"/>
      <c r="D1814" s="263"/>
      <c r="E1814" s="263"/>
      <c r="F1814" s="268"/>
      <c r="G1814" s="263"/>
      <c r="H1814" s="267"/>
      <c r="I1814" s="263"/>
      <c r="J1814" s="263"/>
      <c r="K1814" s="263"/>
      <c r="L1814" s="263"/>
      <c r="M1814" s="263"/>
      <c r="N1814" s="263"/>
      <c r="O1814" s="263"/>
      <c r="P1814" s="263"/>
      <c r="Q1814" s="263"/>
      <c r="R1814" s="263"/>
      <c r="S1814" s="263"/>
      <c r="T1814" s="263"/>
      <c r="U1814" s="246"/>
      <c r="V1814" s="246"/>
      <c r="W1814" s="246"/>
      <c r="X1814" s="246"/>
      <c r="Y1814" s="246"/>
      <c r="Z1814" s="246"/>
    </row>
    <row r="1815">
      <c r="A1815" s="263"/>
      <c r="B1815" s="267"/>
      <c r="C1815" s="263"/>
      <c r="D1815" s="263"/>
      <c r="E1815" s="263"/>
      <c r="F1815" s="268"/>
      <c r="G1815" s="263"/>
      <c r="H1815" s="267"/>
      <c r="I1815" s="263"/>
      <c r="J1815" s="263"/>
      <c r="K1815" s="263"/>
      <c r="L1815" s="263"/>
      <c r="M1815" s="263"/>
      <c r="N1815" s="263"/>
      <c r="O1815" s="263"/>
      <c r="P1815" s="263"/>
      <c r="Q1815" s="263"/>
      <c r="R1815" s="263"/>
      <c r="S1815" s="263"/>
      <c r="T1815" s="263"/>
      <c r="U1815" s="246"/>
      <c r="V1815" s="246"/>
      <c r="W1815" s="246"/>
      <c r="X1815" s="246"/>
      <c r="Y1815" s="246"/>
      <c r="Z1815" s="246"/>
    </row>
    <row r="1816">
      <c r="A1816" s="263"/>
      <c r="B1816" s="267"/>
      <c r="C1816" s="263"/>
      <c r="D1816" s="263"/>
      <c r="E1816" s="263"/>
      <c r="F1816" s="268"/>
      <c r="G1816" s="263"/>
      <c r="H1816" s="267"/>
      <c r="I1816" s="263"/>
      <c r="J1816" s="263"/>
      <c r="K1816" s="263"/>
      <c r="L1816" s="263"/>
      <c r="M1816" s="263"/>
      <c r="N1816" s="263"/>
      <c r="O1816" s="263"/>
      <c r="P1816" s="263"/>
      <c r="Q1816" s="263"/>
      <c r="R1816" s="263"/>
      <c r="S1816" s="263"/>
      <c r="T1816" s="263"/>
      <c r="U1816" s="246"/>
      <c r="V1816" s="246"/>
      <c r="W1816" s="246"/>
      <c r="X1816" s="246"/>
      <c r="Y1816" s="246"/>
      <c r="Z1816" s="246"/>
    </row>
    <row r="1817">
      <c r="A1817" s="263"/>
      <c r="B1817" s="267"/>
      <c r="C1817" s="263"/>
      <c r="D1817" s="263"/>
      <c r="E1817" s="263"/>
      <c r="F1817" s="268"/>
      <c r="G1817" s="263"/>
      <c r="H1817" s="267"/>
      <c r="I1817" s="263"/>
      <c r="J1817" s="263"/>
      <c r="K1817" s="263"/>
      <c r="L1817" s="263"/>
      <c r="M1817" s="263"/>
      <c r="N1817" s="263"/>
      <c r="O1817" s="263"/>
      <c r="P1817" s="263"/>
      <c r="Q1817" s="263"/>
      <c r="R1817" s="263"/>
      <c r="S1817" s="263"/>
      <c r="T1817" s="263"/>
      <c r="U1817" s="246"/>
      <c r="V1817" s="246"/>
      <c r="W1817" s="246"/>
      <c r="X1817" s="246"/>
      <c r="Y1817" s="246"/>
      <c r="Z1817" s="246"/>
    </row>
    <row r="1818">
      <c r="A1818" s="263"/>
      <c r="B1818" s="267"/>
      <c r="C1818" s="263"/>
      <c r="D1818" s="263"/>
      <c r="E1818" s="263"/>
      <c r="F1818" s="268"/>
      <c r="G1818" s="263"/>
      <c r="H1818" s="267"/>
      <c r="I1818" s="263"/>
      <c r="J1818" s="263"/>
      <c r="K1818" s="263"/>
      <c r="L1818" s="263"/>
      <c r="M1818" s="263"/>
      <c r="N1818" s="263"/>
      <c r="O1818" s="263"/>
      <c r="P1818" s="263"/>
      <c r="Q1818" s="263"/>
      <c r="R1818" s="263"/>
      <c r="S1818" s="263"/>
      <c r="T1818" s="263"/>
      <c r="U1818" s="246"/>
      <c r="V1818" s="246"/>
      <c r="W1818" s="246"/>
      <c r="X1818" s="246"/>
      <c r="Y1818" s="246"/>
      <c r="Z1818" s="246"/>
    </row>
    <row r="1819">
      <c r="A1819" s="263"/>
      <c r="B1819" s="267"/>
      <c r="C1819" s="263"/>
      <c r="D1819" s="263"/>
      <c r="E1819" s="263"/>
      <c r="F1819" s="268"/>
      <c r="G1819" s="263"/>
      <c r="H1819" s="267"/>
      <c r="I1819" s="263"/>
      <c r="J1819" s="263"/>
      <c r="K1819" s="263"/>
      <c r="L1819" s="263"/>
      <c r="M1819" s="263"/>
      <c r="N1819" s="263"/>
      <c r="O1819" s="263"/>
      <c r="P1819" s="263"/>
      <c r="Q1819" s="263"/>
      <c r="R1819" s="263"/>
      <c r="S1819" s="263"/>
      <c r="T1819" s="263"/>
      <c r="U1819" s="246"/>
      <c r="V1819" s="246"/>
      <c r="W1819" s="246"/>
      <c r="X1819" s="246"/>
      <c r="Y1819" s="246"/>
      <c r="Z1819" s="246"/>
    </row>
    <row r="1820">
      <c r="A1820" s="263"/>
      <c r="B1820" s="267"/>
      <c r="C1820" s="263"/>
      <c r="D1820" s="263"/>
      <c r="E1820" s="263"/>
      <c r="F1820" s="268"/>
      <c r="G1820" s="263"/>
      <c r="H1820" s="267"/>
      <c r="I1820" s="263"/>
      <c r="J1820" s="263"/>
      <c r="K1820" s="263"/>
      <c r="L1820" s="263"/>
      <c r="M1820" s="263"/>
      <c r="N1820" s="263"/>
      <c r="O1820" s="263"/>
      <c r="P1820" s="263"/>
      <c r="Q1820" s="263"/>
      <c r="R1820" s="263"/>
      <c r="S1820" s="263"/>
      <c r="T1820" s="263"/>
      <c r="U1820" s="246"/>
      <c r="V1820" s="246"/>
      <c r="W1820" s="246"/>
      <c r="X1820" s="246"/>
      <c r="Y1820" s="246"/>
      <c r="Z1820" s="246"/>
    </row>
    <row r="1821">
      <c r="A1821" s="263"/>
      <c r="B1821" s="267"/>
      <c r="C1821" s="263"/>
      <c r="D1821" s="263"/>
      <c r="E1821" s="263"/>
      <c r="F1821" s="268"/>
      <c r="G1821" s="263"/>
      <c r="H1821" s="267"/>
      <c r="I1821" s="263"/>
      <c r="J1821" s="263"/>
      <c r="K1821" s="263"/>
      <c r="L1821" s="263"/>
      <c r="M1821" s="263"/>
      <c r="N1821" s="263"/>
      <c r="O1821" s="263"/>
      <c r="P1821" s="263"/>
      <c r="Q1821" s="263"/>
      <c r="R1821" s="263"/>
      <c r="S1821" s="263"/>
      <c r="T1821" s="263"/>
      <c r="U1821" s="246"/>
      <c r="V1821" s="246"/>
      <c r="W1821" s="246"/>
      <c r="X1821" s="246"/>
      <c r="Y1821" s="246"/>
      <c r="Z1821" s="246"/>
    </row>
    <row r="1822">
      <c r="A1822" s="263"/>
      <c r="B1822" s="267"/>
      <c r="C1822" s="263"/>
      <c r="D1822" s="263"/>
      <c r="E1822" s="263"/>
      <c r="F1822" s="268"/>
      <c r="G1822" s="263"/>
      <c r="H1822" s="267"/>
      <c r="I1822" s="263"/>
      <c r="J1822" s="263"/>
      <c r="K1822" s="263"/>
      <c r="L1822" s="263"/>
      <c r="M1822" s="263"/>
      <c r="N1822" s="263"/>
      <c r="O1822" s="263"/>
      <c r="P1822" s="263"/>
      <c r="Q1822" s="263"/>
      <c r="R1822" s="263"/>
      <c r="S1822" s="263"/>
      <c r="T1822" s="263"/>
      <c r="U1822" s="246"/>
      <c r="V1822" s="246"/>
      <c r="W1822" s="246"/>
      <c r="X1822" s="246"/>
      <c r="Y1822" s="246"/>
      <c r="Z1822" s="246"/>
    </row>
    <row r="1823">
      <c r="A1823" s="263"/>
      <c r="B1823" s="267"/>
      <c r="C1823" s="263"/>
      <c r="D1823" s="263"/>
      <c r="E1823" s="263"/>
      <c r="F1823" s="268"/>
      <c r="G1823" s="263"/>
      <c r="H1823" s="267"/>
      <c r="I1823" s="263"/>
      <c r="J1823" s="263"/>
      <c r="K1823" s="263"/>
      <c r="L1823" s="263"/>
      <c r="M1823" s="263"/>
      <c r="N1823" s="263"/>
      <c r="O1823" s="263"/>
      <c r="P1823" s="263"/>
      <c r="Q1823" s="263"/>
      <c r="R1823" s="263"/>
      <c r="S1823" s="263"/>
      <c r="T1823" s="263"/>
      <c r="U1823" s="246"/>
      <c r="V1823" s="246"/>
      <c r="W1823" s="246"/>
      <c r="X1823" s="246"/>
      <c r="Y1823" s="246"/>
      <c r="Z1823" s="246"/>
    </row>
    <row r="1824">
      <c r="A1824" s="263"/>
      <c r="B1824" s="267"/>
      <c r="C1824" s="263"/>
      <c r="D1824" s="263"/>
      <c r="E1824" s="263"/>
      <c r="F1824" s="268"/>
      <c r="G1824" s="263"/>
      <c r="H1824" s="267"/>
      <c r="I1824" s="263"/>
      <c r="J1824" s="263"/>
      <c r="K1824" s="263"/>
      <c r="L1824" s="263"/>
      <c r="M1824" s="263"/>
      <c r="N1824" s="263"/>
      <c r="O1824" s="263"/>
      <c r="P1824" s="263"/>
      <c r="Q1824" s="263"/>
      <c r="R1824" s="263"/>
      <c r="S1824" s="263"/>
      <c r="T1824" s="263"/>
      <c r="U1824" s="246"/>
      <c r="V1824" s="246"/>
      <c r="W1824" s="246"/>
      <c r="X1824" s="246"/>
      <c r="Y1824" s="246"/>
      <c r="Z1824" s="246"/>
    </row>
    <row r="1825">
      <c r="A1825" s="263"/>
      <c r="B1825" s="267"/>
      <c r="C1825" s="263"/>
      <c r="D1825" s="263"/>
      <c r="E1825" s="263"/>
      <c r="F1825" s="268"/>
      <c r="G1825" s="263"/>
      <c r="H1825" s="267"/>
      <c r="I1825" s="263"/>
      <c r="J1825" s="263"/>
      <c r="K1825" s="263"/>
      <c r="L1825" s="263"/>
      <c r="M1825" s="263"/>
      <c r="N1825" s="263"/>
      <c r="O1825" s="263"/>
      <c r="P1825" s="263"/>
      <c r="Q1825" s="263"/>
      <c r="R1825" s="263"/>
      <c r="S1825" s="263"/>
      <c r="T1825" s="263"/>
      <c r="U1825" s="246"/>
      <c r="V1825" s="246"/>
      <c r="W1825" s="246"/>
      <c r="X1825" s="246"/>
      <c r="Y1825" s="246"/>
      <c r="Z1825" s="246"/>
    </row>
    <row r="1826">
      <c r="A1826" s="263"/>
      <c r="B1826" s="267"/>
      <c r="C1826" s="263"/>
      <c r="D1826" s="263"/>
      <c r="E1826" s="263"/>
      <c r="F1826" s="268"/>
      <c r="G1826" s="263"/>
      <c r="H1826" s="267"/>
      <c r="I1826" s="263"/>
      <c r="J1826" s="263"/>
      <c r="K1826" s="263"/>
      <c r="L1826" s="263"/>
      <c r="M1826" s="263"/>
      <c r="N1826" s="263"/>
      <c r="O1826" s="263"/>
      <c r="P1826" s="263"/>
      <c r="Q1826" s="263"/>
      <c r="R1826" s="263"/>
      <c r="S1826" s="263"/>
      <c r="T1826" s="263"/>
      <c r="U1826" s="246"/>
      <c r="V1826" s="246"/>
      <c r="W1826" s="246"/>
      <c r="X1826" s="246"/>
      <c r="Y1826" s="246"/>
      <c r="Z1826" s="246"/>
    </row>
    <row r="1827">
      <c r="A1827" s="263"/>
      <c r="B1827" s="267"/>
      <c r="C1827" s="263"/>
      <c r="D1827" s="263"/>
      <c r="E1827" s="263"/>
      <c r="F1827" s="268"/>
      <c r="G1827" s="263"/>
      <c r="H1827" s="267"/>
      <c r="I1827" s="263"/>
      <c r="J1827" s="263"/>
      <c r="K1827" s="263"/>
      <c r="L1827" s="263"/>
      <c r="M1827" s="263"/>
      <c r="N1827" s="263"/>
      <c r="O1827" s="263"/>
      <c r="P1827" s="263"/>
      <c r="Q1827" s="263"/>
      <c r="R1827" s="263"/>
      <c r="S1827" s="263"/>
      <c r="T1827" s="263"/>
      <c r="U1827" s="246"/>
      <c r="V1827" s="246"/>
      <c r="W1827" s="246"/>
      <c r="X1827" s="246"/>
      <c r="Y1827" s="246"/>
      <c r="Z1827" s="246"/>
    </row>
    <row r="1828">
      <c r="A1828" s="263"/>
      <c r="B1828" s="267"/>
      <c r="C1828" s="263"/>
      <c r="D1828" s="263"/>
      <c r="E1828" s="263"/>
      <c r="F1828" s="268"/>
      <c r="G1828" s="263"/>
      <c r="H1828" s="267"/>
      <c r="I1828" s="263"/>
      <c r="J1828" s="263"/>
      <c r="K1828" s="263"/>
      <c r="L1828" s="263"/>
      <c r="M1828" s="263"/>
      <c r="N1828" s="263"/>
      <c r="O1828" s="263"/>
      <c r="P1828" s="263"/>
      <c r="Q1828" s="263"/>
      <c r="R1828" s="263"/>
      <c r="S1828" s="263"/>
      <c r="T1828" s="263"/>
      <c r="U1828" s="246"/>
      <c r="V1828" s="246"/>
      <c r="W1828" s="246"/>
      <c r="X1828" s="246"/>
      <c r="Y1828" s="246"/>
      <c r="Z1828" s="246"/>
    </row>
    <row r="1829">
      <c r="A1829" s="263"/>
      <c r="B1829" s="267"/>
      <c r="C1829" s="263"/>
      <c r="D1829" s="263"/>
      <c r="E1829" s="263"/>
      <c r="F1829" s="268"/>
      <c r="G1829" s="263"/>
      <c r="H1829" s="267"/>
      <c r="I1829" s="263"/>
      <c r="J1829" s="263"/>
      <c r="K1829" s="263"/>
      <c r="L1829" s="263"/>
      <c r="M1829" s="263"/>
      <c r="N1829" s="263"/>
      <c r="O1829" s="263"/>
      <c r="P1829" s="263"/>
      <c r="Q1829" s="263"/>
      <c r="R1829" s="263"/>
      <c r="S1829" s="263"/>
      <c r="T1829" s="263"/>
      <c r="U1829" s="246"/>
      <c r="V1829" s="246"/>
      <c r="W1829" s="246"/>
      <c r="X1829" s="246"/>
      <c r="Y1829" s="246"/>
      <c r="Z1829" s="246"/>
    </row>
    <row r="1830">
      <c r="A1830" s="263"/>
      <c r="B1830" s="267"/>
      <c r="C1830" s="263"/>
      <c r="D1830" s="263"/>
      <c r="E1830" s="263"/>
      <c r="F1830" s="268"/>
      <c r="G1830" s="263"/>
      <c r="H1830" s="267"/>
      <c r="I1830" s="263"/>
      <c r="J1830" s="263"/>
      <c r="K1830" s="263"/>
      <c r="L1830" s="263"/>
      <c r="M1830" s="263"/>
      <c r="N1830" s="263"/>
      <c r="O1830" s="263"/>
      <c r="P1830" s="263"/>
      <c r="Q1830" s="263"/>
      <c r="R1830" s="263"/>
      <c r="S1830" s="263"/>
      <c r="T1830" s="263"/>
      <c r="U1830" s="246"/>
      <c r="V1830" s="246"/>
      <c r="W1830" s="246"/>
      <c r="X1830" s="246"/>
      <c r="Y1830" s="246"/>
      <c r="Z1830" s="246"/>
    </row>
    <row r="1831">
      <c r="A1831" s="263"/>
      <c r="B1831" s="267"/>
      <c r="C1831" s="263"/>
      <c r="D1831" s="263"/>
      <c r="E1831" s="263"/>
      <c r="F1831" s="268"/>
      <c r="G1831" s="263"/>
      <c r="H1831" s="267"/>
      <c r="I1831" s="263"/>
      <c r="J1831" s="263"/>
      <c r="K1831" s="263"/>
      <c r="L1831" s="263"/>
      <c r="M1831" s="263"/>
      <c r="N1831" s="263"/>
      <c r="O1831" s="263"/>
      <c r="P1831" s="263"/>
      <c r="Q1831" s="263"/>
      <c r="R1831" s="263"/>
      <c r="S1831" s="263"/>
      <c r="T1831" s="263"/>
      <c r="U1831" s="246"/>
      <c r="V1831" s="246"/>
      <c r="W1831" s="246"/>
      <c r="X1831" s="246"/>
      <c r="Y1831" s="246"/>
      <c r="Z1831" s="246"/>
    </row>
    <row r="1832">
      <c r="A1832" s="263"/>
      <c r="B1832" s="267"/>
      <c r="C1832" s="263"/>
      <c r="D1832" s="263"/>
      <c r="E1832" s="263"/>
      <c r="F1832" s="268"/>
      <c r="G1832" s="263"/>
      <c r="H1832" s="267"/>
      <c r="I1832" s="263"/>
      <c r="J1832" s="263"/>
      <c r="K1832" s="263"/>
      <c r="L1832" s="263"/>
      <c r="M1832" s="263"/>
      <c r="N1832" s="263"/>
      <c r="O1832" s="263"/>
      <c r="P1832" s="263"/>
      <c r="Q1832" s="263"/>
      <c r="R1832" s="263"/>
      <c r="S1832" s="263"/>
      <c r="T1832" s="263"/>
      <c r="U1832" s="246"/>
      <c r="V1832" s="246"/>
      <c r="W1832" s="246"/>
      <c r="X1832" s="246"/>
      <c r="Y1832" s="246"/>
      <c r="Z1832" s="246"/>
    </row>
    <row r="1833">
      <c r="A1833" s="263"/>
      <c r="B1833" s="267"/>
      <c r="C1833" s="263"/>
      <c r="D1833" s="263"/>
      <c r="E1833" s="263"/>
      <c r="F1833" s="268"/>
      <c r="G1833" s="263"/>
      <c r="H1833" s="267"/>
      <c r="I1833" s="263"/>
      <c r="J1833" s="263"/>
      <c r="K1833" s="263"/>
      <c r="L1833" s="263"/>
      <c r="M1833" s="263"/>
      <c r="N1833" s="263"/>
      <c r="O1833" s="263"/>
      <c r="P1833" s="263"/>
      <c r="Q1833" s="263"/>
      <c r="R1833" s="263"/>
      <c r="S1833" s="263"/>
      <c r="T1833" s="263"/>
      <c r="U1833" s="246"/>
      <c r="V1833" s="246"/>
      <c r="W1833" s="246"/>
      <c r="X1833" s="246"/>
      <c r="Y1833" s="246"/>
      <c r="Z1833" s="246"/>
    </row>
    <row r="1834">
      <c r="A1834" s="263"/>
      <c r="B1834" s="267"/>
      <c r="C1834" s="263"/>
      <c r="D1834" s="263"/>
      <c r="E1834" s="263"/>
      <c r="F1834" s="268"/>
      <c r="G1834" s="263"/>
      <c r="H1834" s="267"/>
      <c r="I1834" s="263"/>
      <c r="J1834" s="263"/>
      <c r="K1834" s="263"/>
      <c r="L1834" s="263"/>
      <c r="M1834" s="263"/>
      <c r="N1834" s="263"/>
      <c r="O1834" s="263"/>
      <c r="P1834" s="263"/>
      <c r="Q1834" s="263"/>
      <c r="R1834" s="263"/>
      <c r="S1834" s="263"/>
      <c r="T1834" s="263"/>
      <c r="U1834" s="246"/>
      <c r="V1834" s="246"/>
      <c r="W1834" s="246"/>
      <c r="X1834" s="246"/>
      <c r="Y1834" s="246"/>
      <c r="Z1834" s="246"/>
    </row>
    <row r="1835">
      <c r="A1835" s="263"/>
      <c r="B1835" s="267"/>
      <c r="C1835" s="263"/>
      <c r="D1835" s="263"/>
      <c r="E1835" s="263"/>
      <c r="F1835" s="268"/>
      <c r="G1835" s="263"/>
      <c r="H1835" s="267"/>
      <c r="I1835" s="263"/>
      <c r="J1835" s="263"/>
      <c r="K1835" s="263"/>
      <c r="L1835" s="263"/>
      <c r="M1835" s="263"/>
      <c r="N1835" s="263"/>
      <c r="O1835" s="263"/>
      <c r="P1835" s="263"/>
      <c r="Q1835" s="263"/>
      <c r="R1835" s="263"/>
      <c r="S1835" s="263"/>
      <c r="T1835" s="263"/>
      <c r="U1835" s="246"/>
      <c r="V1835" s="246"/>
      <c r="W1835" s="246"/>
      <c r="X1835" s="246"/>
      <c r="Y1835" s="246"/>
      <c r="Z1835" s="246"/>
    </row>
    <row r="1836">
      <c r="A1836" s="263"/>
      <c r="B1836" s="267"/>
      <c r="C1836" s="263"/>
      <c r="D1836" s="263"/>
      <c r="E1836" s="263"/>
      <c r="F1836" s="268"/>
      <c r="G1836" s="263"/>
      <c r="H1836" s="267"/>
      <c r="I1836" s="263"/>
      <c r="J1836" s="263"/>
      <c r="K1836" s="263"/>
      <c r="L1836" s="263"/>
      <c r="M1836" s="263"/>
      <c r="N1836" s="263"/>
      <c r="O1836" s="263"/>
      <c r="P1836" s="263"/>
      <c r="Q1836" s="263"/>
      <c r="R1836" s="263"/>
      <c r="S1836" s="263"/>
      <c r="T1836" s="263"/>
      <c r="U1836" s="246"/>
      <c r="V1836" s="246"/>
      <c r="W1836" s="246"/>
      <c r="X1836" s="246"/>
      <c r="Y1836" s="246"/>
      <c r="Z1836" s="246"/>
    </row>
    <row r="1837">
      <c r="A1837" s="263"/>
      <c r="B1837" s="267"/>
      <c r="C1837" s="263"/>
      <c r="D1837" s="263"/>
      <c r="E1837" s="263"/>
      <c r="F1837" s="268"/>
      <c r="G1837" s="263"/>
      <c r="H1837" s="267"/>
      <c r="I1837" s="263"/>
      <c r="J1837" s="263"/>
      <c r="K1837" s="263"/>
      <c r="L1837" s="263"/>
      <c r="M1837" s="263"/>
      <c r="N1837" s="263"/>
      <c r="O1837" s="263"/>
      <c r="P1837" s="263"/>
      <c r="Q1837" s="263"/>
      <c r="R1837" s="263"/>
      <c r="S1837" s="263"/>
      <c r="T1837" s="263"/>
      <c r="U1837" s="246"/>
      <c r="V1837" s="246"/>
      <c r="W1837" s="246"/>
      <c r="X1837" s="246"/>
      <c r="Y1837" s="246"/>
      <c r="Z1837" s="246"/>
    </row>
    <row r="1838">
      <c r="A1838" s="263"/>
      <c r="B1838" s="267"/>
      <c r="C1838" s="263"/>
      <c r="D1838" s="263"/>
      <c r="E1838" s="263"/>
      <c r="F1838" s="268"/>
      <c r="G1838" s="263"/>
      <c r="H1838" s="267"/>
      <c r="I1838" s="263"/>
      <c r="J1838" s="263"/>
      <c r="K1838" s="263"/>
      <c r="L1838" s="263"/>
      <c r="M1838" s="263"/>
      <c r="N1838" s="263"/>
      <c r="O1838" s="263"/>
      <c r="P1838" s="263"/>
      <c r="Q1838" s="263"/>
      <c r="R1838" s="263"/>
      <c r="S1838" s="263"/>
      <c r="T1838" s="263"/>
      <c r="U1838" s="246"/>
      <c r="V1838" s="246"/>
      <c r="W1838" s="246"/>
      <c r="X1838" s="246"/>
      <c r="Y1838" s="246"/>
      <c r="Z1838" s="246"/>
    </row>
    <row r="1839">
      <c r="A1839" s="263"/>
      <c r="B1839" s="267"/>
      <c r="C1839" s="263"/>
      <c r="D1839" s="263"/>
      <c r="E1839" s="263"/>
      <c r="F1839" s="268"/>
      <c r="G1839" s="263"/>
      <c r="H1839" s="267"/>
      <c r="I1839" s="263"/>
      <c r="J1839" s="263"/>
      <c r="K1839" s="263"/>
      <c r="L1839" s="263"/>
      <c r="M1839" s="263"/>
      <c r="N1839" s="263"/>
      <c r="O1839" s="263"/>
      <c r="P1839" s="263"/>
      <c r="Q1839" s="263"/>
      <c r="R1839" s="263"/>
      <c r="S1839" s="263"/>
      <c r="T1839" s="263"/>
      <c r="U1839" s="246"/>
      <c r="V1839" s="246"/>
      <c r="W1839" s="246"/>
      <c r="X1839" s="246"/>
      <c r="Y1839" s="246"/>
      <c r="Z1839" s="246"/>
    </row>
    <row r="1840">
      <c r="A1840" s="263"/>
      <c r="B1840" s="267"/>
      <c r="C1840" s="263"/>
      <c r="D1840" s="263"/>
      <c r="E1840" s="263"/>
      <c r="F1840" s="268"/>
      <c r="G1840" s="263"/>
      <c r="H1840" s="267"/>
      <c r="I1840" s="263"/>
      <c r="J1840" s="263"/>
      <c r="K1840" s="263"/>
      <c r="L1840" s="263"/>
      <c r="M1840" s="263"/>
      <c r="N1840" s="263"/>
      <c r="O1840" s="263"/>
      <c r="P1840" s="263"/>
      <c r="Q1840" s="263"/>
      <c r="R1840" s="263"/>
      <c r="S1840" s="263"/>
      <c r="T1840" s="263"/>
      <c r="U1840" s="246"/>
      <c r="V1840" s="246"/>
      <c r="W1840" s="246"/>
      <c r="X1840" s="246"/>
      <c r="Y1840" s="246"/>
      <c r="Z1840" s="246"/>
    </row>
    <row r="1841">
      <c r="A1841" s="263"/>
      <c r="B1841" s="267"/>
      <c r="C1841" s="263"/>
      <c r="D1841" s="263"/>
      <c r="E1841" s="263"/>
      <c r="F1841" s="268"/>
      <c r="G1841" s="263"/>
      <c r="H1841" s="267"/>
      <c r="I1841" s="263"/>
      <c r="J1841" s="263"/>
      <c r="K1841" s="263"/>
      <c r="L1841" s="263"/>
      <c r="M1841" s="263"/>
      <c r="N1841" s="263"/>
      <c r="O1841" s="263"/>
      <c r="P1841" s="263"/>
      <c r="Q1841" s="263"/>
      <c r="R1841" s="263"/>
      <c r="S1841" s="263"/>
      <c r="T1841" s="263"/>
      <c r="U1841" s="246"/>
      <c r="V1841" s="246"/>
      <c r="W1841" s="246"/>
      <c r="X1841" s="246"/>
      <c r="Y1841" s="246"/>
      <c r="Z1841" s="246"/>
    </row>
    <row r="1842">
      <c r="A1842" s="263"/>
      <c r="B1842" s="267"/>
      <c r="C1842" s="263"/>
      <c r="D1842" s="263"/>
      <c r="E1842" s="263"/>
      <c r="F1842" s="268"/>
      <c r="G1842" s="263"/>
      <c r="H1842" s="267"/>
      <c r="I1842" s="263"/>
      <c r="J1842" s="263"/>
      <c r="K1842" s="263"/>
      <c r="L1842" s="263"/>
      <c r="M1842" s="263"/>
      <c r="N1842" s="263"/>
      <c r="O1842" s="263"/>
      <c r="P1842" s="263"/>
      <c r="Q1842" s="263"/>
      <c r="R1842" s="263"/>
      <c r="S1842" s="263"/>
      <c r="T1842" s="263"/>
      <c r="U1842" s="246"/>
      <c r="V1842" s="246"/>
      <c r="W1842" s="246"/>
      <c r="X1842" s="246"/>
      <c r="Y1842" s="246"/>
      <c r="Z1842" s="246"/>
    </row>
    <row r="1843">
      <c r="A1843" s="263"/>
      <c r="B1843" s="267"/>
      <c r="C1843" s="263"/>
      <c r="D1843" s="263"/>
      <c r="E1843" s="263"/>
      <c r="F1843" s="268"/>
      <c r="G1843" s="263"/>
      <c r="H1843" s="267"/>
      <c r="I1843" s="263"/>
      <c r="J1843" s="263"/>
      <c r="K1843" s="263"/>
      <c r="L1843" s="263"/>
      <c r="M1843" s="263"/>
      <c r="N1843" s="263"/>
      <c r="O1843" s="263"/>
      <c r="P1843" s="263"/>
      <c r="Q1843" s="263"/>
      <c r="R1843" s="263"/>
      <c r="S1843" s="263"/>
      <c r="T1843" s="263"/>
      <c r="U1843" s="246"/>
      <c r="V1843" s="246"/>
      <c r="W1843" s="246"/>
      <c r="X1843" s="246"/>
      <c r="Y1843" s="246"/>
      <c r="Z1843" s="246"/>
    </row>
    <row r="1844">
      <c r="A1844" s="263"/>
      <c r="B1844" s="267"/>
      <c r="C1844" s="263"/>
      <c r="D1844" s="263"/>
      <c r="E1844" s="263"/>
      <c r="F1844" s="268"/>
      <c r="G1844" s="263"/>
      <c r="H1844" s="267"/>
      <c r="I1844" s="263"/>
      <c r="J1844" s="263"/>
      <c r="K1844" s="263"/>
      <c r="L1844" s="263"/>
      <c r="M1844" s="263"/>
      <c r="N1844" s="263"/>
      <c r="O1844" s="263"/>
      <c r="P1844" s="263"/>
      <c r="Q1844" s="263"/>
      <c r="R1844" s="263"/>
      <c r="S1844" s="263"/>
      <c r="T1844" s="263"/>
      <c r="U1844" s="246"/>
      <c r="V1844" s="246"/>
      <c r="W1844" s="246"/>
      <c r="X1844" s="246"/>
      <c r="Y1844" s="246"/>
      <c r="Z1844" s="246"/>
    </row>
    <row r="1845">
      <c r="A1845" s="263"/>
      <c r="B1845" s="267"/>
      <c r="C1845" s="263"/>
      <c r="D1845" s="263"/>
      <c r="E1845" s="263"/>
      <c r="F1845" s="268"/>
      <c r="G1845" s="263"/>
      <c r="H1845" s="267"/>
      <c r="I1845" s="263"/>
      <c r="J1845" s="263"/>
      <c r="K1845" s="263"/>
      <c r="L1845" s="263"/>
      <c r="M1845" s="263"/>
      <c r="N1845" s="263"/>
      <c r="O1845" s="263"/>
      <c r="P1845" s="263"/>
      <c r="Q1845" s="263"/>
      <c r="R1845" s="263"/>
      <c r="S1845" s="263"/>
      <c r="T1845" s="263"/>
      <c r="U1845" s="246"/>
      <c r="V1845" s="246"/>
      <c r="W1845" s="246"/>
      <c r="X1845" s="246"/>
      <c r="Y1845" s="246"/>
      <c r="Z1845" s="246"/>
    </row>
    <row r="1846">
      <c r="A1846" s="263"/>
      <c r="B1846" s="267"/>
      <c r="C1846" s="263"/>
      <c r="D1846" s="263"/>
      <c r="E1846" s="263"/>
      <c r="F1846" s="268"/>
      <c r="G1846" s="263"/>
      <c r="H1846" s="267"/>
      <c r="I1846" s="263"/>
      <c r="J1846" s="263"/>
      <c r="K1846" s="263"/>
      <c r="L1846" s="263"/>
      <c r="M1846" s="263"/>
      <c r="N1846" s="263"/>
      <c r="O1846" s="263"/>
      <c r="P1846" s="263"/>
      <c r="Q1846" s="263"/>
      <c r="R1846" s="263"/>
      <c r="S1846" s="263"/>
      <c r="T1846" s="263"/>
      <c r="U1846" s="246"/>
      <c r="V1846" s="246"/>
      <c r="W1846" s="246"/>
      <c r="X1846" s="246"/>
      <c r="Y1846" s="246"/>
      <c r="Z1846" s="246"/>
    </row>
    <row r="1847">
      <c r="A1847" s="263"/>
      <c r="B1847" s="267"/>
      <c r="C1847" s="263"/>
      <c r="D1847" s="263"/>
      <c r="E1847" s="263"/>
      <c r="F1847" s="268"/>
      <c r="G1847" s="263"/>
      <c r="H1847" s="267"/>
      <c r="I1847" s="263"/>
      <c r="J1847" s="263"/>
      <c r="K1847" s="263"/>
      <c r="L1847" s="263"/>
      <c r="M1847" s="263"/>
      <c r="N1847" s="263"/>
      <c r="O1847" s="263"/>
      <c r="P1847" s="263"/>
      <c r="Q1847" s="263"/>
      <c r="R1847" s="263"/>
      <c r="S1847" s="263"/>
      <c r="T1847" s="263"/>
      <c r="U1847" s="246"/>
      <c r="V1847" s="246"/>
      <c r="W1847" s="246"/>
      <c r="X1847" s="246"/>
      <c r="Y1847" s="246"/>
      <c r="Z1847" s="246"/>
    </row>
    <row r="1848">
      <c r="A1848" s="263"/>
      <c r="B1848" s="267"/>
      <c r="C1848" s="263"/>
      <c r="D1848" s="263"/>
      <c r="E1848" s="263"/>
      <c r="F1848" s="268"/>
      <c r="G1848" s="263"/>
      <c r="H1848" s="267"/>
      <c r="I1848" s="263"/>
      <c r="J1848" s="263"/>
      <c r="K1848" s="263"/>
      <c r="L1848" s="263"/>
      <c r="M1848" s="263"/>
      <c r="N1848" s="263"/>
      <c r="O1848" s="263"/>
      <c r="P1848" s="263"/>
      <c r="Q1848" s="263"/>
      <c r="R1848" s="263"/>
      <c r="S1848" s="263"/>
      <c r="T1848" s="263"/>
      <c r="U1848" s="246"/>
      <c r="V1848" s="246"/>
      <c r="W1848" s="246"/>
      <c r="X1848" s="246"/>
      <c r="Y1848" s="246"/>
      <c r="Z1848" s="246"/>
    </row>
    <row r="1849">
      <c r="A1849" s="263"/>
      <c r="B1849" s="267"/>
      <c r="C1849" s="263"/>
      <c r="D1849" s="263"/>
      <c r="E1849" s="263"/>
      <c r="F1849" s="268"/>
      <c r="G1849" s="263"/>
      <c r="H1849" s="267"/>
      <c r="I1849" s="263"/>
      <c r="J1849" s="263"/>
      <c r="K1849" s="263"/>
      <c r="L1849" s="263"/>
      <c r="M1849" s="263"/>
      <c r="N1849" s="263"/>
      <c r="O1849" s="263"/>
      <c r="P1849" s="263"/>
      <c r="Q1849" s="263"/>
      <c r="R1849" s="263"/>
      <c r="S1849" s="263"/>
      <c r="T1849" s="263"/>
      <c r="U1849" s="246"/>
      <c r="V1849" s="246"/>
      <c r="W1849" s="246"/>
      <c r="X1849" s="246"/>
      <c r="Y1849" s="246"/>
      <c r="Z1849" s="246"/>
    </row>
    <row r="1850">
      <c r="A1850" s="263"/>
      <c r="B1850" s="267"/>
      <c r="C1850" s="263"/>
      <c r="D1850" s="263"/>
      <c r="E1850" s="263"/>
      <c r="F1850" s="268"/>
      <c r="G1850" s="263"/>
      <c r="H1850" s="267"/>
      <c r="I1850" s="263"/>
      <c r="J1850" s="263"/>
      <c r="K1850" s="263"/>
      <c r="L1850" s="263"/>
      <c r="M1850" s="263"/>
      <c r="N1850" s="263"/>
      <c r="O1850" s="263"/>
      <c r="P1850" s="263"/>
      <c r="Q1850" s="263"/>
      <c r="R1850" s="263"/>
      <c r="S1850" s="263"/>
      <c r="T1850" s="263"/>
      <c r="U1850" s="246"/>
      <c r="V1850" s="246"/>
      <c r="W1850" s="246"/>
      <c r="X1850" s="246"/>
      <c r="Y1850" s="246"/>
      <c r="Z1850" s="246"/>
    </row>
    <row r="1851">
      <c r="A1851" s="263"/>
      <c r="B1851" s="267"/>
      <c r="C1851" s="263"/>
      <c r="D1851" s="263"/>
      <c r="E1851" s="263"/>
      <c r="F1851" s="268"/>
      <c r="G1851" s="263"/>
      <c r="H1851" s="267"/>
      <c r="I1851" s="263"/>
      <c r="J1851" s="263"/>
      <c r="K1851" s="263"/>
      <c r="L1851" s="263"/>
      <c r="M1851" s="263"/>
      <c r="N1851" s="263"/>
      <c r="O1851" s="263"/>
      <c r="P1851" s="263"/>
      <c r="Q1851" s="263"/>
      <c r="R1851" s="263"/>
      <c r="S1851" s="263"/>
      <c r="T1851" s="263"/>
      <c r="U1851" s="246"/>
      <c r="V1851" s="246"/>
      <c r="W1851" s="246"/>
      <c r="X1851" s="246"/>
      <c r="Y1851" s="246"/>
      <c r="Z1851" s="246"/>
    </row>
    <row r="1852">
      <c r="A1852" s="263"/>
      <c r="B1852" s="267"/>
      <c r="C1852" s="263"/>
      <c r="D1852" s="263"/>
      <c r="E1852" s="263"/>
      <c r="F1852" s="268"/>
      <c r="G1852" s="263"/>
      <c r="H1852" s="267"/>
      <c r="I1852" s="263"/>
      <c r="J1852" s="263"/>
      <c r="K1852" s="263"/>
      <c r="L1852" s="263"/>
      <c r="M1852" s="263"/>
      <c r="N1852" s="263"/>
      <c r="O1852" s="263"/>
      <c r="P1852" s="263"/>
      <c r="Q1852" s="263"/>
      <c r="R1852" s="263"/>
      <c r="S1852" s="263"/>
      <c r="T1852" s="263"/>
      <c r="U1852" s="246"/>
      <c r="V1852" s="246"/>
      <c r="W1852" s="246"/>
      <c r="X1852" s="246"/>
      <c r="Y1852" s="246"/>
      <c r="Z1852" s="246"/>
    </row>
    <row r="1853">
      <c r="A1853" s="263"/>
      <c r="B1853" s="267"/>
      <c r="C1853" s="263"/>
      <c r="D1853" s="263"/>
      <c r="E1853" s="263"/>
      <c r="F1853" s="268"/>
      <c r="G1853" s="263"/>
      <c r="H1853" s="267"/>
      <c r="I1853" s="263"/>
      <c r="J1853" s="263"/>
      <c r="K1853" s="263"/>
      <c r="L1853" s="263"/>
      <c r="M1853" s="263"/>
      <c r="N1853" s="263"/>
      <c r="O1853" s="263"/>
      <c r="P1853" s="263"/>
      <c r="Q1853" s="263"/>
      <c r="R1853" s="263"/>
      <c r="S1853" s="263"/>
      <c r="T1853" s="263"/>
      <c r="U1853" s="246"/>
      <c r="V1853" s="246"/>
      <c r="W1853" s="246"/>
      <c r="X1853" s="246"/>
      <c r="Y1853" s="246"/>
      <c r="Z1853" s="246"/>
    </row>
    <row r="1854">
      <c r="A1854" s="263"/>
      <c r="B1854" s="267"/>
      <c r="C1854" s="263"/>
      <c r="D1854" s="263"/>
      <c r="E1854" s="263"/>
      <c r="F1854" s="268"/>
      <c r="G1854" s="263"/>
      <c r="H1854" s="267"/>
      <c r="I1854" s="263"/>
      <c r="J1854" s="263"/>
      <c r="K1854" s="263"/>
      <c r="L1854" s="263"/>
      <c r="M1854" s="263"/>
      <c r="N1854" s="263"/>
      <c r="O1854" s="263"/>
      <c r="P1854" s="263"/>
      <c r="Q1854" s="263"/>
      <c r="R1854" s="263"/>
      <c r="S1854" s="263"/>
      <c r="T1854" s="263"/>
      <c r="U1854" s="246"/>
      <c r="V1854" s="246"/>
      <c r="W1854" s="246"/>
      <c r="X1854" s="246"/>
      <c r="Y1854" s="246"/>
      <c r="Z1854" s="246"/>
    </row>
    <row r="1855">
      <c r="A1855" s="263"/>
      <c r="B1855" s="267"/>
      <c r="C1855" s="263"/>
      <c r="D1855" s="263"/>
      <c r="E1855" s="263"/>
      <c r="F1855" s="268"/>
      <c r="G1855" s="263"/>
      <c r="H1855" s="267"/>
      <c r="I1855" s="263"/>
      <c r="J1855" s="263"/>
      <c r="K1855" s="263"/>
      <c r="L1855" s="263"/>
      <c r="M1855" s="263"/>
      <c r="N1855" s="263"/>
      <c r="O1855" s="263"/>
      <c r="P1855" s="263"/>
      <c r="Q1855" s="263"/>
      <c r="R1855" s="263"/>
      <c r="S1855" s="263"/>
      <c r="T1855" s="263"/>
      <c r="U1855" s="246"/>
      <c r="V1855" s="246"/>
      <c r="W1855" s="246"/>
      <c r="X1855" s="246"/>
      <c r="Y1855" s="246"/>
      <c r="Z1855" s="246"/>
    </row>
    <row r="1856">
      <c r="A1856" s="263"/>
      <c r="B1856" s="267"/>
      <c r="C1856" s="263"/>
      <c r="D1856" s="263"/>
      <c r="E1856" s="263"/>
      <c r="F1856" s="268"/>
      <c r="G1856" s="263"/>
      <c r="H1856" s="267"/>
      <c r="I1856" s="263"/>
      <c r="J1856" s="263"/>
      <c r="K1856" s="263"/>
      <c r="L1856" s="263"/>
      <c r="M1856" s="263"/>
      <c r="N1856" s="263"/>
      <c r="O1856" s="263"/>
      <c r="P1856" s="263"/>
      <c r="Q1856" s="263"/>
      <c r="R1856" s="263"/>
      <c r="S1856" s="263"/>
      <c r="T1856" s="263"/>
      <c r="U1856" s="246"/>
      <c r="V1856" s="246"/>
      <c r="W1856" s="246"/>
      <c r="X1856" s="246"/>
      <c r="Y1856" s="246"/>
      <c r="Z1856" s="246"/>
    </row>
    <row r="1857">
      <c r="A1857" s="263"/>
      <c r="B1857" s="267"/>
      <c r="C1857" s="263"/>
      <c r="D1857" s="263"/>
      <c r="E1857" s="263"/>
      <c r="F1857" s="268"/>
      <c r="G1857" s="263"/>
      <c r="H1857" s="267"/>
      <c r="I1857" s="263"/>
      <c r="J1857" s="263"/>
      <c r="K1857" s="263"/>
      <c r="L1857" s="263"/>
      <c r="M1857" s="263"/>
      <c r="N1857" s="263"/>
      <c r="O1857" s="263"/>
      <c r="P1857" s="263"/>
      <c r="Q1857" s="263"/>
      <c r="R1857" s="263"/>
      <c r="S1857" s="263"/>
      <c r="T1857" s="263"/>
      <c r="U1857" s="246"/>
      <c r="V1857" s="246"/>
      <c r="W1857" s="246"/>
      <c r="X1857" s="246"/>
      <c r="Y1857" s="246"/>
      <c r="Z1857" s="246"/>
    </row>
    <row r="1858">
      <c r="A1858" s="263"/>
      <c r="B1858" s="267"/>
      <c r="C1858" s="263"/>
      <c r="D1858" s="263"/>
      <c r="E1858" s="263"/>
      <c r="F1858" s="268"/>
      <c r="G1858" s="263"/>
      <c r="H1858" s="267"/>
      <c r="I1858" s="263"/>
      <c r="J1858" s="263"/>
      <c r="K1858" s="263"/>
      <c r="L1858" s="263"/>
      <c r="M1858" s="263"/>
      <c r="N1858" s="263"/>
      <c r="O1858" s="263"/>
      <c r="P1858" s="263"/>
      <c r="Q1858" s="263"/>
      <c r="R1858" s="263"/>
      <c r="S1858" s="263"/>
      <c r="T1858" s="263"/>
      <c r="U1858" s="246"/>
      <c r="V1858" s="246"/>
      <c r="W1858" s="246"/>
      <c r="X1858" s="246"/>
      <c r="Y1858" s="246"/>
      <c r="Z1858" s="246"/>
    </row>
    <row r="1859">
      <c r="A1859" s="263"/>
      <c r="B1859" s="267"/>
      <c r="C1859" s="263"/>
      <c r="D1859" s="263"/>
      <c r="E1859" s="263"/>
      <c r="F1859" s="268"/>
      <c r="G1859" s="263"/>
      <c r="H1859" s="267"/>
      <c r="I1859" s="263"/>
      <c r="J1859" s="263"/>
      <c r="K1859" s="263"/>
      <c r="L1859" s="263"/>
      <c r="M1859" s="263"/>
      <c r="N1859" s="263"/>
      <c r="O1859" s="263"/>
      <c r="P1859" s="263"/>
      <c r="Q1859" s="263"/>
      <c r="R1859" s="263"/>
      <c r="S1859" s="263"/>
      <c r="T1859" s="263"/>
      <c r="U1859" s="246"/>
      <c r="V1859" s="246"/>
      <c r="W1859" s="246"/>
      <c r="X1859" s="246"/>
      <c r="Y1859" s="246"/>
      <c r="Z1859" s="246"/>
    </row>
    <row r="1860">
      <c r="A1860" s="263"/>
      <c r="B1860" s="267"/>
      <c r="C1860" s="263"/>
      <c r="D1860" s="263"/>
      <c r="E1860" s="263"/>
      <c r="F1860" s="268"/>
      <c r="G1860" s="263"/>
      <c r="H1860" s="267"/>
      <c r="I1860" s="263"/>
      <c r="J1860" s="263"/>
      <c r="K1860" s="263"/>
      <c r="L1860" s="263"/>
      <c r="M1860" s="263"/>
      <c r="N1860" s="263"/>
      <c r="O1860" s="263"/>
      <c r="P1860" s="263"/>
      <c r="Q1860" s="263"/>
      <c r="R1860" s="263"/>
      <c r="S1860" s="263"/>
      <c r="T1860" s="263"/>
      <c r="U1860" s="246"/>
      <c r="V1860" s="246"/>
      <c r="W1860" s="246"/>
      <c r="X1860" s="246"/>
      <c r="Y1860" s="246"/>
      <c r="Z1860" s="246"/>
    </row>
    <row r="1861">
      <c r="A1861" s="263"/>
      <c r="B1861" s="267"/>
      <c r="C1861" s="263"/>
      <c r="D1861" s="263"/>
      <c r="E1861" s="263"/>
      <c r="F1861" s="268"/>
      <c r="G1861" s="263"/>
      <c r="H1861" s="267"/>
      <c r="I1861" s="263"/>
      <c r="J1861" s="263"/>
      <c r="K1861" s="263"/>
      <c r="L1861" s="263"/>
      <c r="M1861" s="263"/>
      <c r="N1861" s="263"/>
      <c r="O1861" s="263"/>
      <c r="P1861" s="263"/>
      <c r="Q1861" s="263"/>
      <c r="R1861" s="263"/>
      <c r="S1861" s="263"/>
      <c r="T1861" s="263"/>
      <c r="U1861" s="246"/>
      <c r="V1861" s="246"/>
      <c r="W1861" s="246"/>
      <c r="X1861" s="246"/>
      <c r="Y1861" s="246"/>
      <c r="Z1861" s="246"/>
    </row>
    <row r="1862">
      <c r="A1862" s="263"/>
      <c r="B1862" s="267"/>
      <c r="C1862" s="263"/>
      <c r="D1862" s="263"/>
      <c r="E1862" s="263"/>
      <c r="F1862" s="268"/>
      <c r="G1862" s="263"/>
      <c r="H1862" s="267"/>
      <c r="I1862" s="263"/>
      <c r="J1862" s="263"/>
      <c r="K1862" s="263"/>
      <c r="L1862" s="263"/>
      <c r="M1862" s="263"/>
      <c r="N1862" s="263"/>
      <c r="O1862" s="263"/>
      <c r="P1862" s="263"/>
      <c r="Q1862" s="263"/>
      <c r="R1862" s="263"/>
      <c r="S1862" s="263"/>
      <c r="T1862" s="263"/>
      <c r="U1862" s="246"/>
      <c r="V1862" s="246"/>
      <c r="W1862" s="246"/>
      <c r="X1862" s="246"/>
      <c r="Y1862" s="246"/>
      <c r="Z1862" s="246"/>
    </row>
    <row r="1863">
      <c r="A1863" s="263"/>
      <c r="B1863" s="267"/>
      <c r="C1863" s="263"/>
      <c r="D1863" s="263"/>
      <c r="E1863" s="263"/>
      <c r="F1863" s="268"/>
      <c r="G1863" s="263"/>
      <c r="H1863" s="267"/>
      <c r="I1863" s="263"/>
      <c r="J1863" s="263"/>
      <c r="K1863" s="263"/>
      <c r="L1863" s="263"/>
      <c r="M1863" s="263"/>
      <c r="N1863" s="263"/>
      <c r="O1863" s="263"/>
      <c r="P1863" s="263"/>
      <c r="Q1863" s="263"/>
      <c r="R1863" s="263"/>
      <c r="S1863" s="263"/>
      <c r="T1863" s="263"/>
      <c r="U1863" s="246"/>
      <c r="V1863" s="246"/>
      <c r="W1863" s="246"/>
      <c r="X1863" s="246"/>
      <c r="Y1863" s="246"/>
      <c r="Z1863" s="246"/>
    </row>
    <row r="1864">
      <c r="A1864" s="263"/>
      <c r="B1864" s="267"/>
      <c r="C1864" s="263"/>
      <c r="D1864" s="263"/>
      <c r="E1864" s="263"/>
      <c r="F1864" s="268"/>
      <c r="G1864" s="263"/>
      <c r="H1864" s="267"/>
      <c r="I1864" s="263"/>
      <c r="J1864" s="263"/>
      <c r="K1864" s="263"/>
      <c r="L1864" s="263"/>
      <c r="M1864" s="263"/>
      <c r="N1864" s="263"/>
      <c r="O1864" s="263"/>
      <c r="P1864" s="263"/>
      <c r="Q1864" s="263"/>
      <c r="R1864" s="263"/>
      <c r="S1864" s="263"/>
      <c r="T1864" s="263"/>
      <c r="U1864" s="246"/>
      <c r="V1864" s="246"/>
      <c r="W1864" s="246"/>
      <c r="X1864" s="246"/>
      <c r="Y1864" s="246"/>
      <c r="Z1864" s="246"/>
    </row>
    <row r="1865">
      <c r="A1865" s="263"/>
      <c r="B1865" s="267"/>
      <c r="C1865" s="263"/>
      <c r="D1865" s="263"/>
      <c r="E1865" s="263"/>
      <c r="F1865" s="268"/>
      <c r="G1865" s="263"/>
      <c r="H1865" s="267"/>
      <c r="I1865" s="263"/>
      <c r="J1865" s="263"/>
      <c r="K1865" s="263"/>
      <c r="L1865" s="263"/>
      <c r="M1865" s="263"/>
      <c r="N1865" s="263"/>
      <c r="O1865" s="263"/>
      <c r="P1865" s="263"/>
      <c r="Q1865" s="263"/>
      <c r="R1865" s="263"/>
      <c r="S1865" s="263"/>
      <c r="T1865" s="263"/>
      <c r="U1865" s="246"/>
      <c r="V1865" s="246"/>
      <c r="W1865" s="246"/>
      <c r="X1865" s="246"/>
      <c r="Y1865" s="246"/>
      <c r="Z1865" s="246"/>
    </row>
    <row r="1866">
      <c r="A1866" s="263"/>
      <c r="B1866" s="267"/>
      <c r="C1866" s="263"/>
      <c r="D1866" s="263"/>
      <c r="E1866" s="263"/>
      <c r="F1866" s="268"/>
      <c r="G1866" s="263"/>
      <c r="H1866" s="267"/>
      <c r="I1866" s="263"/>
      <c r="J1866" s="263"/>
      <c r="K1866" s="263"/>
      <c r="L1866" s="263"/>
      <c r="M1866" s="263"/>
      <c r="N1866" s="263"/>
      <c r="O1866" s="263"/>
      <c r="P1866" s="263"/>
      <c r="Q1866" s="263"/>
      <c r="R1866" s="263"/>
      <c r="S1866" s="263"/>
      <c r="T1866" s="263"/>
      <c r="U1866" s="246"/>
      <c r="V1866" s="246"/>
      <c r="W1866" s="246"/>
      <c r="X1866" s="246"/>
      <c r="Y1866" s="246"/>
      <c r="Z1866" s="246"/>
    </row>
    <row r="1867">
      <c r="A1867" s="263"/>
      <c r="B1867" s="267"/>
      <c r="C1867" s="263"/>
      <c r="D1867" s="263"/>
      <c r="E1867" s="263"/>
      <c r="F1867" s="268"/>
      <c r="G1867" s="263"/>
      <c r="H1867" s="267"/>
      <c r="I1867" s="263"/>
      <c r="J1867" s="263"/>
      <c r="K1867" s="263"/>
      <c r="L1867" s="263"/>
      <c r="M1867" s="263"/>
      <c r="N1867" s="263"/>
      <c r="O1867" s="263"/>
      <c r="P1867" s="263"/>
      <c r="Q1867" s="263"/>
      <c r="R1867" s="263"/>
      <c r="S1867" s="263"/>
      <c r="T1867" s="263"/>
      <c r="U1867" s="246"/>
      <c r="V1867" s="246"/>
      <c r="W1867" s="246"/>
      <c r="X1867" s="246"/>
      <c r="Y1867" s="246"/>
      <c r="Z1867" s="246"/>
    </row>
    <row r="1868">
      <c r="A1868" s="263"/>
      <c r="B1868" s="267"/>
      <c r="C1868" s="263"/>
      <c r="D1868" s="263"/>
      <c r="E1868" s="263"/>
      <c r="F1868" s="268"/>
      <c r="G1868" s="263"/>
      <c r="H1868" s="267"/>
      <c r="I1868" s="263"/>
      <c r="J1868" s="263"/>
      <c r="K1868" s="263"/>
      <c r="L1868" s="263"/>
      <c r="M1868" s="263"/>
      <c r="N1868" s="263"/>
      <c r="O1868" s="263"/>
      <c r="P1868" s="263"/>
      <c r="Q1868" s="263"/>
      <c r="R1868" s="263"/>
      <c r="S1868" s="263"/>
      <c r="T1868" s="263"/>
      <c r="U1868" s="246"/>
      <c r="V1868" s="246"/>
      <c r="W1868" s="246"/>
      <c r="X1868" s="246"/>
      <c r="Y1868" s="246"/>
      <c r="Z1868" s="246"/>
    </row>
    <row r="1869">
      <c r="A1869" s="263"/>
      <c r="B1869" s="267"/>
      <c r="C1869" s="263"/>
      <c r="D1869" s="263"/>
      <c r="E1869" s="263"/>
      <c r="F1869" s="268"/>
      <c r="G1869" s="263"/>
      <c r="H1869" s="267"/>
      <c r="I1869" s="263"/>
      <c r="J1869" s="263"/>
      <c r="K1869" s="263"/>
      <c r="L1869" s="263"/>
      <c r="M1869" s="263"/>
      <c r="N1869" s="263"/>
      <c r="O1869" s="263"/>
      <c r="P1869" s="263"/>
      <c r="Q1869" s="263"/>
      <c r="R1869" s="263"/>
      <c r="S1869" s="263"/>
      <c r="T1869" s="263"/>
      <c r="U1869" s="246"/>
      <c r="V1869" s="246"/>
      <c r="W1869" s="246"/>
      <c r="X1869" s="246"/>
      <c r="Y1869" s="246"/>
      <c r="Z1869" s="246"/>
    </row>
    <row r="1870">
      <c r="A1870" s="263"/>
      <c r="B1870" s="267"/>
      <c r="C1870" s="263"/>
      <c r="D1870" s="263"/>
      <c r="E1870" s="263"/>
      <c r="F1870" s="268"/>
      <c r="G1870" s="263"/>
      <c r="H1870" s="267"/>
      <c r="I1870" s="263"/>
      <c r="J1870" s="263"/>
      <c r="K1870" s="263"/>
      <c r="L1870" s="263"/>
      <c r="M1870" s="263"/>
      <c r="N1870" s="263"/>
      <c r="O1870" s="263"/>
      <c r="P1870" s="263"/>
      <c r="Q1870" s="263"/>
      <c r="R1870" s="263"/>
      <c r="S1870" s="263"/>
      <c r="T1870" s="263"/>
      <c r="U1870" s="246"/>
      <c r="V1870" s="246"/>
      <c r="W1870" s="246"/>
      <c r="X1870" s="246"/>
      <c r="Y1870" s="246"/>
      <c r="Z1870" s="246"/>
    </row>
    <row r="1871">
      <c r="A1871" s="263"/>
      <c r="B1871" s="267"/>
      <c r="C1871" s="263"/>
      <c r="D1871" s="263"/>
      <c r="E1871" s="263"/>
      <c r="F1871" s="268"/>
      <c r="G1871" s="263"/>
      <c r="H1871" s="267"/>
      <c r="I1871" s="263"/>
      <c r="J1871" s="263"/>
      <c r="K1871" s="263"/>
      <c r="L1871" s="263"/>
      <c r="M1871" s="263"/>
      <c r="N1871" s="263"/>
      <c r="O1871" s="263"/>
      <c r="P1871" s="263"/>
      <c r="Q1871" s="263"/>
      <c r="R1871" s="263"/>
      <c r="S1871" s="263"/>
      <c r="T1871" s="263"/>
      <c r="U1871" s="246"/>
      <c r="V1871" s="246"/>
      <c r="W1871" s="246"/>
      <c r="X1871" s="246"/>
      <c r="Y1871" s="246"/>
      <c r="Z1871" s="246"/>
    </row>
    <row r="1872">
      <c r="A1872" s="263"/>
      <c r="B1872" s="267"/>
      <c r="C1872" s="263"/>
      <c r="D1872" s="263"/>
      <c r="E1872" s="263"/>
      <c r="F1872" s="268"/>
      <c r="G1872" s="263"/>
      <c r="H1872" s="267"/>
      <c r="I1872" s="263"/>
      <c r="J1872" s="263"/>
      <c r="K1872" s="263"/>
      <c r="L1872" s="263"/>
      <c r="M1872" s="263"/>
      <c r="N1872" s="263"/>
      <c r="O1872" s="263"/>
      <c r="P1872" s="263"/>
      <c r="Q1872" s="263"/>
      <c r="R1872" s="263"/>
      <c r="S1872" s="263"/>
      <c r="T1872" s="263"/>
      <c r="U1872" s="246"/>
      <c r="V1872" s="246"/>
      <c r="W1872" s="246"/>
      <c r="X1872" s="246"/>
      <c r="Y1872" s="246"/>
      <c r="Z1872" s="246"/>
    </row>
    <row r="1873">
      <c r="A1873" s="263"/>
      <c r="B1873" s="267"/>
      <c r="C1873" s="263"/>
      <c r="D1873" s="263"/>
      <c r="E1873" s="263"/>
      <c r="F1873" s="268"/>
      <c r="G1873" s="263"/>
      <c r="H1873" s="267"/>
      <c r="I1873" s="263"/>
      <c r="J1873" s="263"/>
      <c r="K1873" s="263"/>
      <c r="L1873" s="263"/>
      <c r="M1873" s="263"/>
      <c r="N1873" s="263"/>
      <c r="O1873" s="263"/>
      <c r="P1873" s="263"/>
      <c r="Q1873" s="263"/>
      <c r="R1873" s="263"/>
      <c r="S1873" s="263"/>
      <c r="T1873" s="263"/>
      <c r="U1873" s="246"/>
      <c r="V1873" s="246"/>
      <c r="W1873" s="246"/>
      <c r="X1873" s="246"/>
      <c r="Y1873" s="246"/>
      <c r="Z1873" s="246"/>
    </row>
    <row r="1874">
      <c r="A1874" s="263"/>
      <c r="B1874" s="267"/>
      <c r="C1874" s="263"/>
      <c r="D1874" s="263"/>
      <c r="E1874" s="263"/>
      <c r="F1874" s="268"/>
      <c r="G1874" s="263"/>
      <c r="H1874" s="267"/>
      <c r="I1874" s="263"/>
      <c r="J1874" s="263"/>
      <c r="K1874" s="263"/>
      <c r="L1874" s="263"/>
      <c r="M1874" s="263"/>
      <c r="N1874" s="263"/>
      <c r="O1874" s="263"/>
      <c r="P1874" s="263"/>
      <c r="Q1874" s="263"/>
      <c r="R1874" s="263"/>
      <c r="S1874" s="263"/>
      <c r="T1874" s="263"/>
      <c r="U1874" s="246"/>
      <c r="V1874" s="246"/>
      <c r="W1874" s="246"/>
      <c r="X1874" s="246"/>
      <c r="Y1874" s="246"/>
      <c r="Z1874" s="246"/>
    </row>
    <row r="1875">
      <c r="A1875" s="263"/>
      <c r="B1875" s="267"/>
      <c r="C1875" s="263"/>
      <c r="D1875" s="263"/>
      <c r="E1875" s="263"/>
      <c r="F1875" s="268"/>
      <c r="G1875" s="263"/>
      <c r="H1875" s="267"/>
      <c r="I1875" s="263"/>
      <c r="J1875" s="263"/>
      <c r="K1875" s="263"/>
      <c r="L1875" s="263"/>
      <c r="M1875" s="263"/>
      <c r="N1875" s="263"/>
      <c r="O1875" s="263"/>
      <c r="P1875" s="263"/>
      <c r="Q1875" s="263"/>
      <c r="R1875" s="263"/>
      <c r="S1875" s="263"/>
      <c r="T1875" s="263"/>
      <c r="U1875" s="246"/>
      <c r="V1875" s="246"/>
      <c r="W1875" s="246"/>
      <c r="X1875" s="246"/>
      <c r="Y1875" s="246"/>
      <c r="Z1875" s="246"/>
    </row>
    <row r="1876">
      <c r="A1876" s="263"/>
      <c r="B1876" s="267"/>
      <c r="C1876" s="263"/>
      <c r="D1876" s="263"/>
      <c r="E1876" s="263"/>
      <c r="F1876" s="268"/>
      <c r="G1876" s="263"/>
      <c r="H1876" s="267"/>
      <c r="I1876" s="263"/>
      <c r="J1876" s="263"/>
      <c r="K1876" s="263"/>
      <c r="L1876" s="263"/>
      <c r="M1876" s="263"/>
      <c r="N1876" s="263"/>
      <c r="O1876" s="263"/>
      <c r="P1876" s="263"/>
      <c r="Q1876" s="263"/>
      <c r="R1876" s="263"/>
      <c r="S1876" s="263"/>
      <c r="T1876" s="263"/>
      <c r="U1876" s="246"/>
      <c r="V1876" s="246"/>
      <c r="W1876" s="246"/>
      <c r="X1876" s="246"/>
      <c r="Y1876" s="246"/>
      <c r="Z1876" s="246"/>
    </row>
    <row r="1877">
      <c r="A1877" s="263"/>
      <c r="B1877" s="267"/>
      <c r="C1877" s="263"/>
      <c r="D1877" s="263"/>
      <c r="E1877" s="263"/>
      <c r="F1877" s="268"/>
      <c r="G1877" s="263"/>
      <c r="H1877" s="267"/>
      <c r="I1877" s="263"/>
      <c r="J1877" s="263"/>
      <c r="K1877" s="263"/>
      <c r="L1877" s="263"/>
      <c r="M1877" s="263"/>
      <c r="N1877" s="263"/>
      <c r="O1877" s="263"/>
      <c r="P1877" s="263"/>
      <c r="Q1877" s="263"/>
      <c r="R1877" s="263"/>
      <c r="S1877" s="263"/>
      <c r="T1877" s="263"/>
      <c r="U1877" s="246"/>
      <c r="V1877" s="246"/>
      <c r="W1877" s="246"/>
      <c r="X1877" s="246"/>
      <c r="Y1877" s="246"/>
      <c r="Z1877" s="246"/>
    </row>
    <row r="1878">
      <c r="A1878" s="263"/>
      <c r="B1878" s="267"/>
      <c r="C1878" s="263"/>
      <c r="D1878" s="263"/>
      <c r="E1878" s="263"/>
      <c r="F1878" s="268"/>
      <c r="G1878" s="263"/>
      <c r="H1878" s="267"/>
      <c r="I1878" s="263"/>
      <c r="J1878" s="263"/>
      <c r="K1878" s="263"/>
      <c r="L1878" s="263"/>
      <c r="M1878" s="263"/>
      <c r="N1878" s="263"/>
      <c r="O1878" s="263"/>
      <c r="P1878" s="263"/>
      <c r="Q1878" s="263"/>
      <c r="R1878" s="263"/>
      <c r="S1878" s="263"/>
      <c r="T1878" s="263"/>
      <c r="U1878" s="246"/>
      <c r="V1878" s="246"/>
      <c r="W1878" s="246"/>
      <c r="X1878" s="246"/>
      <c r="Y1878" s="246"/>
      <c r="Z1878" s="246"/>
    </row>
    <row r="1879">
      <c r="A1879" s="263"/>
      <c r="B1879" s="267"/>
      <c r="C1879" s="263"/>
      <c r="D1879" s="263"/>
      <c r="E1879" s="263"/>
      <c r="F1879" s="268"/>
      <c r="G1879" s="263"/>
      <c r="H1879" s="267"/>
      <c r="I1879" s="263"/>
      <c r="J1879" s="263"/>
      <c r="K1879" s="263"/>
      <c r="L1879" s="263"/>
      <c r="M1879" s="263"/>
      <c r="N1879" s="263"/>
      <c r="O1879" s="263"/>
      <c r="P1879" s="263"/>
      <c r="Q1879" s="263"/>
      <c r="R1879" s="263"/>
      <c r="S1879" s="263"/>
      <c r="T1879" s="263"/>
      <c r="U1879" s="246"/>
      <c r="V1879" s="246"/>
      <c r="W1879" s="246"/>
      <c r="X1879" s="246"/>
      <c r="Y1879" s="246"/>
      <c r="Z1879" s="246"/>
    </row>
    <row r="1880">
      <c r="A1880" s="263"/>
      <c r="B1880" s="267"/>
      <c r="C1880" s="263"/>
      <c r="D1880" s="263"/>
      <c r="E1880" s="263"/>
      <c r="F1880" s="268"/>
      <c r="G1880" s="263"/>
      <c r="H1880" s="267"/>
      <c r="I1880" s="263"/>
      <c r="J1880" s="263"/>
      <c r="K1880" s="263"/>
      <c r="L1880" s="263"/>
      <c r="M1880" s="263"/>
      <c r="N1880" s="263"/>
      <c r="O1880" s="263"/>
      <c r="P1880" s="263"/>
      <c r="Q1880" s="263"/>
      <c r="R1880" s="263"/>
      <c r="S1880" s="263"/>
      <c r="T1880" s="263"/>
      <c r="U1880" s="246"/>
      <c r="V1880" s="246"/>
      <c r="W1880" s="246"/>
      <c r="X1880" s="246"/>
      <c r="Y1880" s="246"/>
      <c r="Z1880" s="246"/>
    </row>
    <row r="1881">
      <c r="A1881" s="263"/>
      <c r="B1881" s="267"/>
      <c r="C1881" s="263"/>
      <c r="D1881" s="263"/>
      <c r="E1881" s="263"/>
      <c r="F1881" s="268"/>
      <c r="G1881" s="263"/>
      <c r="H1881" s="267"/>
      <c r="I1881" s="263"/>
      <c r="J1881" s="263"/>
      <c r="K1881" s="263"/>
      <c r="L1881" s="263"/>
      <c r="M1881" s="263"/>
      <c r="N1881" s="263"/>
      <c r="O1881" s="263"/>
      <c r="P1881" s="263"/>
      <c r="Q1881" s="263"/>
      <c r="R1881" s="263"/>
      <c r="S1881" s="263"/>
      <c r="T1881" s="263"/>
      <c r="U1881" s="246"/>
      <c r="V1881" s="246"/>
      <c r="W1881" s="246"/>
      <c r="X1881" s="246"/>
      <c r="Y1881" s="246"/>
      <c r="Z1881" s="246"/>
    </row>
    <row r="1882">
      <c r="A1882" s="263"/>
      <c r="B1882" s="267"/>
      <c r="C1882" s="263"/>
      <c r="D1882" s="263"/>
      <c r="E1882" s="263"/>
      <c r="F1882" s="268"/>
      <c r="G1882" s="263"/>
      <c r="H1882" s="267"/>
      <c r="I1882" s="263"/>
      <c r="J1882" s="263"/>
      <c r="K1882" s="263"/>
      <c r="L1882" s="263"/>
      <c r="M1882" s="263"/>
      <c r="N1882" s="263"/>
      <c r="O1882" s="263"/>
      <c r="P1882" s="263"/>
      <c r="Q1882" s="263"/>
      <c r="R1882" s="263"/>
      <c r="S1882" s="263"/>
      <c r="T1882" s="263"/>
      <c r="U1882" s="246"/>
      <c r="V1882" s="246"/>
      <c r="W1882" s="246"/>
      <c r="X1882" s="246"/>
      <c r="Y1882" s="246"/>
      <c r="Z1882" s="246"/>
    </row>
    <row r="1883">
      <c r="A1883" s="263"/>
      <c r="B1883" s="267"/>
      <c r="C1883" s="263"/>
      <c r="D1883" s="263"/>
      <c r="E1883" s="263"/>
      <c r="F1883" s="268"/>
      <c r="G1883" s="263"/>
      <c r="H1883" s="267"/>
      <c r="I1883" s="263"/>
      <c r="J1883" s="263"/>
      <c r="K1883" s="263"/>
      <c r="L1883" s="263"/>
      <c r="M1883" s="263"/>
      <c r="N1883" s="263"/>
      <c r="O1883" s="263"/>
      <c r="P1883" s="263"/>
      <c r="Q1883" s="263"/>
      <c r="R1883" s="263"/>
      <c r="S1883" s="263"/>
      <c r="T1883" s="263"/>
      <c r="U1883" s="246"/>
      <c r="V1883" s="246"/>
      <c r="W1883" s="246"/>
      <c r="X1883" s="246"/>
      <c r="Y1883" s="246"/>
      <c r="Z1883" s="246"/>
    </row>
    <row r="1884">
      <c r="A1884" s="263"/>
      <c r="B1884" s="267"/>
      <c r="C1884" s="263"/>
      <c r="D1884" s="263"/>
      <c r="E1884" s="263"/>
      <c r="F1884" s="268"/>
      <c r="G1884" s="263"/>
      <c r="H1884" s="267"/>
      <c r="I1884" s="263"/>
      <c r="J1884" s="263"/>
      <c r="K1884" s="263"/>
      <c r="L1884" s="263"/>
      <c r="M1884" s="263"/>
      <c r="N1884" s="263"/>
      <c r="O1884" s="263"/>
      <c r="P1884" s="263"/>
      <c r="Q1884" s="263"/>
      <c r="R1884" s="263"/>
      <c r="S1884" s="263"/>
      <c r="T1884" s="263"/>
      <c r="U1884" s="246"/>
      <c r="V1884" s="246"/>
      <c r="W1884" s="246"/>
      <c r="X1884" s="246"/>
      <c r="Y1884" s="246"/>
      <c r="Z1884" s="246"/>
    </row>
    <row r="1885">
      <c r="A1885" s="263"/>
      <c r="B1885" s="267"/>
      <c r="C1885" s="263"/>
      <c r="D1885" s="263"/>
      <c r="E1885" s="263"/>
      <c r="F1885" s="268"/>
      <c r="G1885" s="263"/>
      <c r="H1885" s="267"/>
      <c r="I1885" s="263"/>
      <c r="J1885" s="263"/>
      <c r="K1885" s="263"/>
      <c r="L1885" s="263"/>
      <c r="M1885" s="263"/>
      <c r="N1885" s="263"/>
      <c r="O1885" s="263"/>
      <c r="P1885" s="263"/>
      <c r="Q1885" s="263"/>
      <c r="R1885" s="263"/>
      <c r="S1885" s="263"/>
      <c r="T1885" s="263"/>
      <c r="U1885" s="246"/>
      <c r="V1885" s="246"/>
      <c r="W1885" s="246"/>
      <c r="X1885" s="246"/>
      <c r="Y1885" s="246"/>
      <c r="Z1885" s="246"/>
    </row>
    <row r="1886">
      <c r="A1886" s="263"/>
      <c r="B1886" s="267"/>
      <c r="C1886" s="263"/>
      <c r="D1886" s="263"/>
      <c r="E1886" s="263"/>
      <c r="F1886" s="268"/>
      <c r="G1886" s="263"/>
      <c r="H1886" s="267"/>
      <c r="I1886" s="263"/>
      <c r="J1886" s="263"/>
      <c r="K1886" s="263"/>
      <c r="L1886" s="263"/>
      <c r="M1886" s="263"/>
      <c r="N1886" s="263"/>
      <c r="O1886" s="263"/>
      <c r="P1886" s="263"/>
      <c r="Q1886" s="263"/>
      <c r="R1886" s="263"/>
      <c r="S1886" s="263"/>
      <c r="T1886" s="263"/>
      <c r="U1886" s="246"/>
      <c r="V1886" s="246"/>
      <c r="W1886" s="246"/>
      <c r="X1886" s="246"/>
      <c r="Y1886" s="246"/>
      <c r="Z1886" s="246"/>
    </row>
    <row r="1887">
      <c r="A1887" s="263"/>
      <c r="B1887" s="267"/>
      <c r="C1887" s="263"/>
      <c r="D1887" s="263"/>
      <c r="E1887" s="263"/>
      <c r="F1887" s="268"/>
      <c r="G1887" s="263"/>
      <c r="H1887" s="267"/>
      <c r="I1887" s="263"/>
      <c r="J1887" s="263"/>
      <c r="K1887" s="263"/>
      <c r="L1887" s="263"/>
      <c r="M1887" s="263"/>
      <c r="N1887" s="263"/>
      <c r="O1887" s="263"/>
      <c r="P1887" s="263"/>
      <c r="Q1887" s="263"/>
      <c r="R1887" s="263"/>
      <c r="S1887" s="263"/>
      <c r="T1887" s="263"/>
      <c r="U1887" s="246"/>
      <c r="V1887" s="246"/>
      <c r="W1887" s="246"/>
      <c r="X1887" s="246"/>
      <c r="Y1887" s="246"/>
      <c r="Z1887" s="246"/>
    </row>
    <row r="1888">
      <c r="A1888" s="263"/>
      <c r="B1888" s="267"/>
      <c r="C1888" s="263"/>
      <c r="D1888" s="263"/>
      <c r="E1888" s="263"/>
      <c r="F1888" s="268"/>
      <c r="G1888" s="263"/>
      <c r="H1888" s="267"/>
      <c r="I1888" s="263"/>
      <c r="J1888" s="263"/>
      <c r="K1888" s="263"/>
      <c r="L1888" s="263"/>
      <c r="M1888" s="263"/>
      <c r="N1888" s="263"/>
      <c r="O1888" s="263"/>
      <c r="P1888" s="263"/>
      <c r="Q1888" s="263"/>
      <c r="R1888" s="263"/>
      <c r="S1888" s="263"/>
      <c r="T1888" s="263"/>
      <c r="U1888" s="246"/>
      <c r="V1888" s="246"/>
      <c r="W1888" s="246"/>
      <c r="X1888" s="246"/>
      <c r="Y1888" s="246"/>
      <c r="Z1888" s="246"/>
    </row>
    <row r="1889">
      <c r="A1889" s="263"/>
      <c r="B1889" s="267"/>
      <c r="C1889" s="263"/>
      <c r="D1889" s="263"/>
      <c r="E1889" s="263"/>
      <c r="F1889" s="268"/>
      <c r="G1889" s="263"/>
      <c r="H1889" s="267"/>
      <c r="I1889" s="263"/>
      <c r="J1889" s="263"/>
      <c r="K1889" s="263"/>
      <c r="L1889" s="263"/>
      <c r="M1889" s="263"/>
      <c r="N1889" s="263"/>
      <c r="O1889" s="263"/>
      <c r="P1889" s="263"/>
      <c r="Q1889" s="263"/>
      <c r="R1889" s="263"/>
      <c r="S1889" s="263"/>
      <c r="T1889" s="263"/>
      <c r="U1889" s="246"/>
      <c r="V1889" s="246"/>
      <c r="W1889" s="246"/>
      <c r="X1889" s="246"/>
      <c r="Y1889" s="246"/>
      <c r="Z1889" s="246"/>
    </row>
    <row r="1890">
      <c r="A1890" s="263"/>
      <c r="B1890" s="267"/>
      <c r="C1890" s="263"/>
      <c r="D1890" s="263"/>
      <c r="E1890" s="263"/>
      <c r="F1890" s="268"/>
      <c r="G1890" s="263"/>
      <c r="H1890" s="267"/>
      <c r="I1890" s="263"/>
      <c r="J1890" s="263"/>
      <c r="K1890" s="263"/>
      <c r="L1890" s="263"/>
      <c r="M1890" s="263"/>
      <c r="N1890" s="263"/>
      <c r="O1890" s="263"/>
      <c r="P1890" s="263"/>
      <c r="Q1890" s="263"/>
      <c r="R1890" s="263"/>
      <c r="S1890" s="263"/>
      <c r="T1890" s="263"/>
      <c r="U1890" s="246"/>
      <c r="V1890" s="246"/>
      <c r="W1890" s="246"/>
      <c r="X1890" s="246"/>
      <c r="Y1890" s="246"/>
      <c r="Z1890" s="246"/>
    </row>
    <row r="1891">
      <c r="A1891" s="263"/>
      <c r="B1891" s="267"/>
      <c r="C1891" s="263"/>
      <c r="D1891" s="263"/>
      <c r="E1891" s="263"/>
      <c r="F1891" s="268"/>
      <c r="G1891" s="263"/>
      <c r="H1891" s="267"/>
      <c r="I1891" s="263"/>
      <c r="J1891" s="263"/>
      <c r="K1891" s="263"/>
      <c r="L1891" s="263"/>
      <c r="M1891" s="263"/>
      <c r="N1891" s="263"/>
      <c r="O1891" s="263"/>
      <c r="P1891" s="263"/>
      <c r="Q1891" s="263"/>
      <c r="R1891" s="263"/>
      <c r="S1891" s="263"/>
      <c r="T1891" s="263"/>
      <c r="U1891" s="246"/>
      <c r="V1891" s="246"/>
      <c r="W1891" s="246"/>
      <c r="X1891" s="246"/>
      <c r="Y1891" s="246"/>
      <c r="Z1891" s="246"/>
    </row>
    <row r="1892">
      <c r="A1892" s="263"/>
      <c r="B1892" s="267"/>
      <c r="C1892" s="263"/>
      <c r="D1892" s="263"/>
      <c r="E1892" s="263"/>
      <c r="F1892" s="268"/>
      <c r="G1892" s="263"/>
      <c r="H1892" s="267"/>
      <c r="I1892" s="263"/>
      <c r="J1892" s="263"/>
      <c r="K1892" s="263"/>
      <c r="L1892" s="263"/>
      <c r="M1892" s="263"/>
      <c r="N1892" s="263"/>
      <c r="O1892" s="263"/>
      <c r="P1892" s="263"/>
      <c r="Q1892" s="263"/>
      <c r="R1892" s="263"/>
      <c r="S1892" s="263"/>
      <c r="T1892" s="263"/>
      <c r="U1892" s="246"/>
      <c r="V1892" s="246"/>
      <c r="W1892" s="246"/>
      <c r="X1892" s="246"/>
      <c r="Y1892" s="246"/>
      <c r="Z1892" s="246"/>
    </row>
    <row r="1893">
      <c r="A1893" s="263"/>
      <c r="B1893" s="267"/>
      <c r="C1893" s="263"/>
      <c r="D1893" s="263"/>
      <c r="E1893" s="263"/>
      <c r="F1893" s="268"/>
      <c r="G1893" s="263"/>
      <c r="H1893" s="267"/>
      <c r="I1893" s="263"/>
      <c r="J1893" s="263"/>
      <c r="K1893" s="263"/>
      <c r="L1893" s="263"/>
      <c r="M1893" s="263"/>
      <c r="N1893" s="263"/>
      <c r="O1893" s="263"/>
      <c r="P1893" s="263"/>
      <c r="Q1893" s="263"/>
      <c r="R1893" s="263"/>
      <c r="S1893" s="263"/>
      <c r="T1893" s="263"/>
      <c r="U1893" s="246"/>
      <c r="V1893" s="246"/>
      <c r="W1893" s="246"/>
      <c r="X1893" s="246"/>
      <c r="Y1893" s="246"/>
      <c r="Z1893" s="246"/>
    </row>
    <row r="1894">
      <c r="A1894" s="263"/>
      <c r="B1894" s="267"/>
      <c r="C1894" s="263"/>
      <c r="D1894" s="263"/>
      <c r="E1894" s="263"/>
      <c r="F1894" s="268"/>
      <c r="G1894" s="263"/>
      <c r="H1894" s="267"/>
      <c r="I1894" s="263"/>
      <c r="J1894" s="263"/>
      <c r="K1894" s="263"/>
      <c r="L1894" s="263"/>
      <c r="M1894" s="263"/>
      <c r="N1894" s="263"/>
      <c r="O1894" s="263"/>
      <c r="P1894" s="263"/>
      <c r="Q1894" s="263"/>
      <c r="R1894" s="263"/>
      <c r="S1894" s="263"/>
      <c r="T1894" s="263"/>
      <c r="U1894" s="246"/>
      <c r="V1894" s="246"/>
      <c r="W1894" s="246"/>
      <c r="X1894" s="246"/>
      <c r="Y1894" s="246"/>
      <c r="Z1894" s="246"/>
    </row>
    <row r="1895">
      <c r="A1895" s="263"/>
      <c r="B1895" s="267"/>
      <c r="C1895" s="263"/>
      <c r="D1895" s="263"/>
      <c r="E1895" s="263"/>
      <c r="F1895" s="268"/>
      <c r="G1895" s="263"/>
      <c r="H1895" s="267"/>
      <c r="I1895" s="263"/>
      <c r="J1895" s="263"/>
      <c r="K1895" s="263"/>
      <c r="L1895" s="263"/>
      <c r="M1895" s="263"/>
      <c r="N1895" s="263"/>
      <c r="O1895" s="263"/>
      <c r="P1895" s="263"/>
      <c r="Q1895" s="263"/>
      <c r="R1895" s="263"/>
      <c r="S1895" s="263"/>
      <c r="T1895" s="263"/>
      <c r="U1895" s="246"/>
      <c r="V1895" s="246"/>
      <c r="W1895" s="246"/>
      <c r="X1895" s="246"/>
      <c r="Y1895" s="246"/>
      <c r="Z1895" s="246"/>
    </row>
    <row r="1896">
      <c r="A1896" s="263"/>
      <c r="B1896" s="267"/>
      <c r="C1896" s="263"/>
      <c r="D1896" s="263"/>
      <c r="E1896" s="263"/>
      <c r="F1896" s="268"/>
      <c r="G1896" s="263"/>
      <c r="H1896" s="267"/>
      <c r="I1896" s="263"/>
      <c r="J1896" s="263"/>
      <c r="K1896" s="263"/>
      <c r="L1896" s="263"/>
      <c r="M1896" s="263"/>
      <c r="N1896" s="263"/>
      <c r="O1896" s="263"/>
      <c r="P1896" s="263"/>
      <c r="Q1896" s="263"/>
      <c r="R1896" s="263"/>
      <c r="S1896" s="263"/>
      <c r="T1896" s="263"/>
      <c r="U1896" s="246"/>
      <c r="V1896" s="246"/>
      <c r="W1896" s="246"/>
      <c r="X1896" s="246"/>
      <c r="Y1896" s="246"/>
      <c r="Z1896" s="246"/>
    </row>
    <row r="1897">
      <c r="A1897" s="263"/>
      <c r="B1897" s="267"/>
      <c r="C1897" s="263"/>
      <c r="D1897" s="263"/>
      <c r="E1897" s="263"/>
      <c r="F1897" s="268"/>
      <c r="G1897" s="263"/>
      <c r="H1897" s="267"/>
      <c r="I1897" s="263"/>
      <c r="J1897" s="263"/>
      <c r="K1897" s="263"/>
      <c r="L1897" s="263"/>
      <c r="M1897" s="263"/>
      <c r="N1897" s="263"/>
      <c r="O1897" s="263"/>
      <c r="P1897" s="263"/>
      <c r="Q1897" s="263"/>
      <c r="R1897" s="263"/>
      <c r="S1897" s="263"/>
      <c r="T1897" s="263"/>
      <c r="U1897" s="246"/>
      <c r="V1897" s="246"/>
      <c r="W1897" s="246"/>
      <c r="X1897" s="246"/>
      <c r="Y1897" s="246"/>
      <c r="Z1897" s="246"/>
    </row>
    <row r="1898">
      <c r="A1898" s="263"/>
      <c r="B1898" s="267"/>
      <c r="C1898" s="263"/>
      <c r="D1898" s="263"/>
      <c r="E1898" s="263"/>
      <c r="F1898" s="268"/>
      <c r="G1898" s="263"/>
      <c r="H1898" s="267"/>
      <c r="I1898" s="263"/>
      <c r="J1898" s="263"/>
      <c r="K1898" s="263"/>
      <c r="L1898" s="263"/>
      <c r="M1898" s="263"/>
      <c r="N1898" s="263"/>
      <c r="O1898" s="263"/>
      <c r="P1898" s="263"/>
      <c r="Q1898" s="263"/>
      <c r="R1898" s="263"/>
      <c r="S1898" s="263"/>
      <c r="T1898" s="263"/>
      <c r="U1898" s="246"/>
      <c r="V1898" s="246"/>
      <c r="W1898" s="246"/>
      <c r="X1898" s="246"/>
      <c r="Y1898" s="246"/>
      <c r="Z1898" s="246"/>
    </row>
    <row r="1899">
      <c r="A1899" s="263"/>
      <c r="B1899" s="267"/>
      <c r="C1899" s="263"/>
      <c r="D1899" s="263"/>
      <c r="E1899" s="263"/>
      <c r="F1899" s="268"/>
      <c r="G1899" s="263"/>
      <c r="H1899" s="267"/>
      <c r="I1899" s="263"/>
      <c r="J1899" s="263"/>
      <c r="K1899" s="263"/>
      <c r="L1899" s="263"/>
      <c r="M1899" s="263"/>
      <c r="N1899" s="263"/>
      <c r="O1899" s="263"/>
      <c r="P1899" s="263"/>
      <c r="Q1899" s="263"/>
      <c r="R1899" s="263"/>
      <c r="S1899" s="263"/>
      <c r="T1899" s="263"/>
      <c r="U1899" s="246"/>
      <c r="V1899" s="246"/>
      <c r="W1899" s="246"/>
      <c r="X1899" s="246"/>
      <c r="Y1899" s="246"/>
      <c r="Z1899" s="246"/>
    </row>
    <row r="1900">
      <c r="A1900" s="263"/>
      <c r="B1900" s="267"/>
      <c r="C1900" s="263"/>
      <c r="D1900" s="263"/>
      <c r="E1900" s="263"/>
      <c r="F1900" s="268"/>
      <c r="G1900" s="263"/>
      <c r="H1900" s="267"/>
      <c r="I1900" s="263"/>
      <c r="J1900" s="263"/>
      <c r="K1900" s="263"/>
      <c r="L1900" s="263"/>
      <c r="M1900" s="263"/>
      <c r="N1900" s="263"/>
      <c r="O1900" s="263"/>
      <c r="P1900" s="263"/>
      <c r="Q1900" s="263"/>
      <c r="R1900" s="263"/>
      <c r="S1900" s="263"/>
      <c r="T1900" s="263"/>
      <c r="U1900" s="246"/>
      <c r="V1900" s="246"/>
      <c r="W1900" s="246"/>
      <c r="X1900" s="246"/>
      <c r="Y1900" s="246"/>
      <c r="Z1900" s="246"/>
    </row>
    <row r="1901">
      <c r="A1901" s="263"/>
      <c r="B1901" s="267"/>
      <c r="C1901" s="263"/>
      <c r="D1901" s="263"/>
      <c r="E1901" s="263"/>
      <c r="F1901" s="268"/>
      <c r="G1901" s="263"/>
      <c r="H1901" s="267"/>
      <c r="I1901" s="263"/>
      <c r="J1901" s="263"/>
      <c r="K1901" s="263"/>
      <c r="L1901" s="263"/>
      <c r="M1901" s="263"/>
      <c r="N1901" s="263"/>
      <c r="O1901" s="263"/>
      <c r="P1901" s="263"/>
      <c r="Q1901" s="263"/>
      <c r="R1901" s="263"/>
      <c r="S1901" s="263"/>
      <c r="T1901" s="263"/>
      <c r="U1901" s="246"/>
      <c r="V1901" s="246"/>
      <c r="W1901" s="246"/>
      <c r="X1901" s="246"/>
      <c r="Y1901" s="246"/>
      <c r="Z1901" s="246"/>
    </row>
    <row r="1902">
      <c r="A1902" s="263"/>
      <c r="B1902" s="267"/>
      <c r="C1902" s="263"/>
      <c r="D1902" s="263"/>
      <c r="E1902" s="263"/>
      <c r="F1902" s="268"/>
      <c r="G1902" s="263"/>
      <c r="H1902" s="267"/>
      <c r="I1902" s="263"/>
      <c r="J1902" s="263"/>
      <c r="K1902" s="263"/>
      <c r="L1902" s="263"/>
      <c r="M1902" s="263"/>
      <c r="N1902" s="263"/>
      <c r="O1902" s="263"/>
      <c r="P1902" s="263"/>
      <c r="Q1902" s="263"/>
      <c r="R1902" s="263"/>
      <c r="S1902" s="263"/>
      <c r="T1902" s="263"/>
      <c r="U1902" s="246"/>
      <c r="V1902" s="246"/>
      <c r="W1902" s="246"/>
      <c r="X1902" s="246"/>
      <c r="Y1902" s="246"/>
      <c r="Z1902" s="246"/>
    </row>
    <row r="1903">
      <c r="A1903" s="263"/>
      <c r="B1903" s="267"/>
      <c r="C1903" s="263"/>
      <c r="D1903" s="263"/>
      <c r="E1903" s="263"/>
      <c r="F1903" s="268"/>
      <c r="G1903" s="263"/>
      <c r="H1903" s="267"/>
      <c r="I1903" s="263"/>
      <c r="J1903" s="263"/>
      <c r="K1903" s="263"/>
      <c r="L1903" s="263"/>
      <c r="M1903" s="263"/>
      <c r="N1903" s="263"/>
      <c r="O1903" s="263"/>
      <c r="P1903" s="263"/>
      <c r="Q1903" s="263"/>
      <c r="R1903" s="263"/>
      <c r="S1903" s="263"/>
      <c r="T1903" s="263"/>
      <c r="U1903" s="246"/>
      <c r="V1903" s="246"/>
      <c r="W1903" s="246"/>
      <c r="X1903" s="246"/>
      <c r="Y1903" s="246"/>
      <c r="Z1903" s="246"/>
    </row>
    <row r="1904">
      <c r="A1904" s="263"/>
      <c r="B1904" s="267"/>
      <c r="C1904" s="263"/>
      <c r="D1904" s="263"/>
      <c r="E1904" s="263"/>
      <c r="F1904" s="268"/>
      <c r="G1904" s="263"/>
      <c r="H1904" s="267"/>
      <c r="I1904" s="263"/>
      <c r="J1904" s="263"/>
      <c r="K1904" s="263"/>
      <c r="L1904" s="263"/>
      <c r="M1904" s="263"/>
      <c r="N1904" s="263"/>
      <c r="O1904" s="263"/>
      <c r="P1904" s="263"/>
      <c r="Q1904" s="263"/>
      <c r="R1904" s="263"/>
      <c r="S1904" s="263"/>
      <c r="T1904" s="263"/>
      <c r="U1904" s="246"/>
      <c r="V1904" s="246"/>
      <c r="W1904" s="246"/>
      <c r="X1904" s="246"/>
      <c r="Y1904" s="246"/>
      <c r="Z1904" s="246"/>
    </row>
    <row r="1905">
      <c r="A1905" s="263"/>
      <c r="B1905" s="267"/>
      <c r="C1905" s="263"/>
      <c r="D1905" s="263"/>
      <c r="E1905" s="263"/>
      <c r="F1905" s="268"/>
      <c r="G1905" s="263"/>
      <c r="H1905" s="267"/>
      <c r="I1905" s="263"/>
      <c r="J1905" s="263"/>
      <c r="K1905" s="263"/>
      <c r="L1905" s="263"/>
      <c r="M1905" s="263"/>
      <c r="N1905" s="263"/>
      <c r="O1905" s="263"/>
      <c r="P1905" s="263"/>
      <c r="Q1905" s="263"/>
      <c r="R1905" s="263"/>
      <c r="S1905" s="263"/>
      <c r="T1905" s="263"/>
      <c r="U1905" s="246"/>
      <c r="V1905" s="246"/>
      <c r="W1905" s="246"/>
      <c r="X1905" s="246"/>
      <c r="Y1905" s="246"/>
      <c r="Z1905" s="246"/>
    </row>
    <row r="1906">
      <c r="A1906" s="263"/>
      <c r="B1906" s="267"/>
      <c r="C1906" s="263"/>
      <c r="D1906" s="263"/>
      <c r="E1906" s="263"/>
      <c r="F1906" s="268"/>
      <c r="G1906" s="263"/>
      <c r="H1906" s="267"/>
      <c r="I1906" s="263"/>
      <c r="J1906" s="263"/>
      <c r="K1906" s="263"/>
      <c r="L1906" s="263"/>
      <c r="M1906" s="263"/>
      <c r="N1906" s="263"/>
      <c r="O1906" s="263"/>
      <c r="P1906" s="263"/>
      <c r="Q1906" s="263"/>
      <c r="R1906" s="263"/>
      <c r="S1906" s="263"/>
      <c r="T1906" s="263"/>
      <c r="U1906" s="246"/>
      <c r="V1906" s="246"/>
      <c r="W1906" s="246"/>
      <c r="X1906" s="246"/>
      <c r="Y1906" s="246"/>
      <c r="Z1906" s="246"/>
    </row>
    <row r="1907">
      <c r="A1907" s="263"/>
      <c r="B1907" s="267"/>
      <c r="C1907" s="263"/>
      <c r="D1907" s="263"/>
      <c r="E1907" s="263"/>
      <c r="F1907" s="268"/>
      <c r="G1907" s="263"/>
      <c r="H1907" s="267"/>
      <c r="I1907" s="263"/>
      <c r="J1907" s="263"/>
      <c r="K1907" s="263"/>
      <c r="L1907" s="263"/>
      <c r="M1907" s="263"/>
      <c r="N1907" s="263"/>
      <c r="O1907" s="263"/>
      <c r="P1907" s="263"/>
      <c r="Q1907" s="263"/>
      <c r="R1907" s="263"/>
      <c r="S1907" s="263"/>
      <c r="T1907" s="263"/>
      <c r="U1907" s="246"/>
      <c r="V1907" s="246"/>
      <c r="W1907" s="246"/>
      <c r="X1907" s="246"/>
      <c r="Y1907" s="246"/>
      <c r="Z1907" s="246"/>
    </row>
    <row r="1908">
      <c r="A1908" s="263"/>
      <c r="B1908" s="267"/>
      <c r="C1908" s="263"/>
      <c r="D1908" s="263"/>
      <c r="E1908" s="263"/>
      <c r="F1908" s="268"/>
      <c r="G1908" s="263"/>
      <c r="H1908" s="267"/>
      <c r="I1908" s="263"/>
      <c r="J1908" s="263"/>
      <c r="K1908" s="263"/>
      <c r="L1908" s="263"/>
      <c r="M1908" s="263"/>
      <c r="N1908" s="263"/>
      <c r="O1908" s="263"/>
      <c r="P1908" s="263"/>
      <c r="Q1908" s="263"/>
      <c r="R1908" s="263"/>
      <c r="S1908" s="263"/>
      <c r="T1908" s="263"/>
      <c r="U1908" s="246"/>
      <c r="V1908" s="246"/>
      <c r="W1908" s="246"/>
      <c r="X1908" s="246"/>
      <c r="Y1908" s="246"/>
      <c r="Z1908" s="246"/>
    </row>
    <row r="1909">
      <c r="A1909" s="263"/>
      <c r="B1909" s="267"/>
      <c r="C1909" s="263"/>
      <c r="D1909" s="263"/>
      <c r="E1909" s="263"/>
      <c r="F1909" s="268"/>
      <c r="G1909" s="263"/>
      <c r="H1909" s="267"/>
      <c r="I1909" s="263"/>
      <c r="J1909" s="263"/>
      <c r="K1909" s="263"/>
      <c r="L1909" s="263"/>
      <c r="M1909" s="263"/>
      <c r="N1909" s="263"/>
      <c r="O1909" s="263"/>
      <c r="P1909" s="263"/>
      <c r="Q1909" s="263"/>
      <c r="R1909" s="263"/>
      <c r="S1909" s="263"/>
      <c r="T1909" s="263"/>
      <c r="U1909" s="246"/>
      <c r="V1909" s="246"/>
      <c r="W1909" s="246"/>
      <c r="X1909" s="246"/>
      <c r="Y1909" s="246"/>
      <c r="Z1909" s="246"/>
    </row>
    <row r="1910">
      <c r="A1910" s="263"/>
      <c r="B1910" s="267"/>
      <c r="C1910" s="263"/>
      <c r="D1910" s="263"/>
      <c r="E1910" s="263"/>
      <c r="F1910" s="268"/>
      <c r="G1910" s="263"/>
      <c r="H1910" s="267"/>
      <c r="I1910" s="263"/>
      <c r="J1910" s="263"/>
      <c r="K1910" s="263"/>
      <c r="L1910" s="263"/>
      <c r="M1910" s="263"/>
      <c r="N1910" s="263"/>
      <c r="O1910" s="263"/>
      <c r="P1910" s="263"/>
      <c r="Q1910" s="263"/>
      <c r="R1910" s="263"/>
      <c r="S1910" s="263"/>
      <c r="T1910" s="263"/>
      <c r="U1910" s="246"/>
      <c r="V1910" s="246"/>
      <c r="W1910" s="246"/>
      <c r="X1910" s="246"/>
      <c r="Y1910" s="246"/>
      <c r="Z1910" s="246"/>
    </row>
    <row r="1911">
      <c r="A1911" s="263"/>
      <c r="B1911" s="267"/>
      <c r="C1911" s="263"/>
      <c r="D1911" s="263"/>
      <c r="E1911" s="263"/>
      <c r="F1911" s="268"/>
      <c r="G1911" s="263"/>
      <c r="H1911" s="267"/>
      <c r="I1911" s="263"/>
      <c r="J1911" s="263"/>
      <c r="K1911" s="263"/>
      <c r="L1911" s="263"/>
      <c r="M1911" s="263"/>
      <c r="N1911" s="263"/>
      <c r="O1911" s="263"/>
      <c r="P1911" s="263"/>
      <c r="Q1911" s="263"/>
      <c r="R1911" s="263"/>
      <c r="S1911" s="263"/>
      <c r="T1911" s="263"/>
      <c r="U1911" s="246"/>
      <c r="V1911" s="246"/>
      <c r="W1911" s="246"/>
      <c r="X1911" s="246"/>
      <c r="Y1911" s="246"/>
      <c r="Z1911" s="246"/>
    </row>
    <row r="1912">
      <c r="A1912" s="263"/>
      <c r="B1912" s="267"/>
      <c r="C1912" s="263"/>
      <c r="D1912" s="263"/>
      <c r="E1912" s="263"/>
      <c r="F1912" s="268"/>
      <c r="G1912" s="263"/>
      <c r="H1912" s="267"/>
      <c r="I1912" s="263"/>
      <c r="J1912" s="263"/>
      <c r="K1912" s="263"/>
      <c r="L1912" s="263"/>
      <c r="M1912" s="263"/>
      <c r="N1912" s="263"/>
      <c r="O1912" s="263"/>
      <c r="P1912" s="263"/>
      <c r="Q1912" s="263"/>
      <c r="R1912" s="263"/>
      <c r="S1912" s="263"/>
      <c r="T1912" s="263"/>
      <c r="U1912" s="246"/>
      <c r="V1912" s="246"/>
      <c r="W1912" s="246"/>
      <c r="X1912" s="246"/>
      <c r="Y1912" s="246"/>
      <c r="Z1912" s="246"/>
    </row>
    <row r="1913">
      <c r="A1913" s="263"/>
      <c r="B1913" s="267"/>
      <c r="C1913" s="263"/>
      <c r="D1913" s="263"/>
      <c r="E1913" s="263"/>
      <c r="F1913" s="268"/>
      <c r="G1913" s="263"/>
      <c r="H1913" s="267"/>
      <c r="I1913" s="263"/>
      <c r="J1913" s="263"/>
      <c r="K1913" s="263"/>
      <c r="L1913" s="263"/>
      <c r="M1913" s="263"/>
      <c r="N1913" s="263"/>
      <c r="O1913" s="263"/>
      <c r="P1913" s="263"/>
      <c r="Q1913" s="263"/>
      <c r="R1913" s="263"/>
      <c r="S1913" s="263"/>
      <c r="T1913" s="263"/>
      <c r="U1913" s="246"/>
      <c r="V1913" s="246"/>
      <c r="W1913" s="246"/>
      <c r="X1913" s="246"/>
      <c r="Y1913" s="246"/>
      <c r="Z1913" s="246"/>
    </row>
    <row r="1914">
      <c r="A1914" s="263"/>
      <c r="B1914" s="267"/>
      <c r="C1914" s="263"/>
      <c r="D1914" s="263"/>
      <c r="E1914" s="263"/>
      <c r="F1914" s="268"/>
      <c r="G1914" s="263"/>
      <c r="H1914" s="267"/>
      <c r="I1914" s="263"/>
      <c r="J1914" s="263"/>
      <c r="K1914" s="263"/>
      <c r="L1914" s="263"/>
      <c r="M1914" s="263"/>
      <c r="N1914" s="263"/>
      <c r="O1914" s="263"/>
      <c r="P1914" s="263"/>
      <c r="Q1914" s="263"/>
      <c r="R1914" s="263"/>
      <c r="S1914" s="263"/>
      <c r="T1914" s="263"/>
      <c r="U1914" s="246"/>
      <c r="V1914" s="246"/>
      <c r="W1914" s="246"/>
      <c r="X1914" s="246"/>
      <c r="Y1914" s="246"/>
      <c r="Z1914" s="246"/>
    </row>
    <row r="1915">
      <c r="A1915" s="263"/>
      <c r="B1915" s="267"/>
      <c r="C1915" s="263"/>
      <c r="D1915" s="263"/>
      <c r="E1915" s="263"/>
      <c r="F1915" s="268"/>
      <c r="G1915" s="263"/>
      <c r="H1915" s="267"/>
      <c r="I1915" s="263"/>
      <c r="J1915" s="263"/>
      <c r="K1915" s="263"/>
      <c r="L1915" s="263"/>
      <c r="M1915" s="263"/>
      <c r="N1915" s="263"/>
      <c r="O1915" s="263"/>
      <c r="P1915" s="263"/>
      <c r="Q1915" s="263"/>
      <c r="R1915" s="263"/>
      <c r="S1915" s="263"/>
      <c r="T1915" s="263"/>
      <c r="U1915" s="246"/>
      <c r="V1915" s="246"/>
      <c r="W1915" s="246"/>
      <c r="X1915" s="246"/>
      <c r="Y1915" s="246"/>
      <c r="Z1915" s="246"/>
    </row>
    <row r="1916">
      <c r="A1916" s="263"/>
      <c r="B1916" s="267"/>
      <c r="C1916" s="263"/>
      <c r="D1916" s="263"/>
      <c r="E1916" s="263"/>
      <c r="F1916" s="268"/>
      <c r="G1916" s="263"/>
      <c r="H1916" s="267"/>
      <c r="I1916" s="263"/>
      <c r="J1916" s="263"/>
      <c r="K1916" s="263"/>
      <c r="L1916" s="263"/>
      <c r="M1916" s="263"/>
      <c r="N1916" s="263"/>
      <c r="O1916" s="263"/>
      <c r="P1916" s="263"/>
      <c r="Q1916" s="263"/>
      <c r="R1916" s="263"/>
      <c r="S1916" s="263"/>
      <c r="T1916" s="263"/>
      <c r="U1916" s="246"/>
      <c r="V1916" s="246"/>
      <c r="W1916" s="246"/>
      <c r="X1916" s="246"/>
      <c r="Y1916" s="246"/>
      <c r="Z1916" s="246"/>
    </row>
    <row r="1917">
      <c r="A1917" s="263"/>
      <c r="B1917" s="267"/>
      <c r="C1917" s="263"/>
      <c r="D1917" s="263"/>
      <c r="E1917" s="263"/>
      <c r="F1917" s="268"/>
      <c r="G1917" s="263"/>
      <c r="H1917" s="267"/>
      <c r="I1917" s="263"/>
      <c r="J1917" s="263"/>
      <c r="K1917" s="263"/>
      <c r="L1917" s="263"/>
      <c r="M1917" s="263"/>
      <c r="N1917" s="263"/>
      <c r="O1917" s="263"/>
      <c r="P1917" s="263"/>
      <c r="Q1917" s="263"/>
      <c r="R1917" s="263"/>
      <c r="S1917" s="263"/>
      <c r="T1917" s="263"/>
      <c r="U1917" s="246"/>
      <c r="V1917" s="246"/>
      <c r="W1917" s="246"/>
      <c r="X1917" s="246"/>
      <c r="Y1917" s="246"/>
      <c r="Z1917" s="246"/>
    </row>
    <row r="1918">
      <c r="A1918" s="263"/>
      <c r="B1918" s="267"/>
      <c r="C1918" s="263"/>
      <c r="D1918" s="263"/>
      <c r="E1918" s="263"/>
      <c r="F1918" s="268"/>
      <c r="G1918" s="263"/>
      <c r="H1918" s="267"/>
      <c r="I1918" s="263"/>
      <c r="J1918" s="263"/>
      <c r="K1918" s="263"/>
      <c r="L1918" s="263"/>
      <c r="M1918" s="263"/>
      <c r="N1918" s="263"/>
      <c r="O1918" s="263"/>
      <c r="P1918" s="263"/>
      <c r="Q1918" s="263"/>
      <c r="R1918" s="263"/>
      <c r="S1918" s="263"/>
      <c r="T1918" s="263"/>
      <c r="U1918" s="246"/>
      <c r="V1918" s="246"/>
      <c r="W1918" s="246"/>
      <c r="X1918" s="246"/>
      <c r="Y1918" s="246"/>
      <c r="Z1918" s="246"/>
    </row>
    <row r="1919">
      <c r="A1919" s="263"/>
      <c r="B1919" s="267"/>
      <c r="C1919" s="263"/>
      <c r="D1919" s="263"/>
      <c r="E1919" s="263"/>
      <c r="F1919" s="268"/>
      <c r="G1919" s="263"/>
      <c r="H1919" s="267"/>
      <c r="I1919" s="263"/>
      <c r="J1919" s="263"/>
      <c r="K1919" s="263"/>
      <c r="L1919" s="263"/>
      <c r="M1919" s="263"/>
      <c r="N1919" s="263"/>
      <c r="O1919" s="263"/>
      <c r="P1919" s="263"/>
      <c r="Q1919" s="263"/>
      <c r="R1919" s="263"/>
      <c r="S1919" s="263"/>
      <c r="T1919" s="263"/>
      <c r="U1919" s="246"/>
      <c r="V1919" s="246"/>
      <c r="W1919" s="246"/>
      <c r="X1919" s="246"/>
      <c r="Y1919" s="246"/>
      <c r="Z1919" s="246"/>
    </row>
    <row r="1920">
      <c r="A1920" s="263"/>
      <c r="B1920" s="267"/>
      <c r="C1920" s="263"/>
      <c r="D1920" s="263"/>
      <c r="E1920" s="263"/>
      <c r="F1920" s="268"/>
      <c r="G1920" s="263"/>
      <c r="H1920" s="267"/>
      <c r="I1920" s="263"/>
      <c r="J1920" s="263"/>
      <c r="K1920" s="263"/>
      <c r="L1920" s="263"/>
      <c r="M1920" s="263"/>
      <c r="N1920" s="263"/>
      <c r="O1920" s="263"/>
      <c r="P1920" s="263"/>
      <c r="Q1920" s="263"/>
      <c r="R1920" s="263"/>
      <c r="S1920" s="263"/>
      <c r="T1920" s="263"/>
      <c r="U1920" s="246"/>
      <c r="V1920" s="246"/>
      <c r="W1920" s="246"/>
      <c r="X1920" s="246"/>
      <c r="Y1920" s="246"/>
      <c r="Z1920" s="246"/>
    </row>
    <row r="1921">
      <c r="A1921" s="263"/>
      <c r="B1921" s="267"/>
      <c r="C1921" s="263"/>
      <c r="D1921" s="263"/>
      <c r="E1921" s="263"/>
      <c r="F1921" s="268"/>
      <c r="G1921" s="263"/>
      <c r="H1921" s="267"/>
      <c r="I1921" s="263"/>
      <c r="J1921" s="263"/>
      <c r="K1921" s="263"/>
      <c r="L1921" s="263"/>
      <c r="M1921" s="263"/>
      <c r="N1921" s="263"/>
      <c r="O1921" s="263"/>
      <c r="P1921" s="263"/>
      <c r="Q1921" s="263"/>
      <c r="R1921" s="263"/>
      <c r="S1921" s="263"/>
      <c r="T1921" s="263"/>
      <c r="U1921" s="246"/>
      <c r="V1921" s="246"/>
      <c r="W1921" s="246"/>
      <c r="X1921" s="246"/>
      <c r="Y1921" s="246"/>
      <c r="Z1921" s="246"/>
    </row>
    <row r="1922">
      <c r="A1922" s="263"/>
      <c r="B1922" s="267"/>
      <c r="C1922" s="263"/>
      <c r="D1922" s="263"/>
      <c r="E1922" s="263"/>
      <c r="F1922" s="268"/>
      <c r="G1922" s="263"/>
      <c r="H1922" s="267"/>
      <c r="I1922" s="263"/>
      <c r="J1922" s="263"/>
      <c r="K1922" s="263"/>
      <c r="L1922" s="263"/>
      <c r="M1922" s="263"/>
      <c r="N1922" s="263"/>
      <c r="O1922" s="263"/>
      <c r="P1922" s="263"/>
      <c r="Q1922" s="263"/>
      <c r="R1922" s="263"/>
      <c r="S1922" s="263"/>
      <c r="T1922" s="263"/>
      <c r="U1922" s="246"/>
      <c r="V1922" s="246"/>
      <c r="W1922" s="246"/>
      <c r="X1922" s="246"/>
      <c r="Y1922" s="246"/>
      <c r="Z1922" s="246"/>
    </row>
    <row r="1923">
      <c r="A1923" s="263"/>
      <c r="B1923" s="267"/>
      <c r="C1923" s="263"/>
      <c r="D1923" s="263"/>
      <c r="E1923" s="263"/>
      <c r="F1923" s="268"/>
      <c r="G1923" s="263"/>
      <c r="H1923" s="267"/>
      <c r="I1923" s="263"/>
      <c r="J1923" s="263"/>
      <c r="K1923" s="263"/>
      <c r="L1923" s="263"/>
      <c r="M1923" s="263"/>
      <c r="N1923" s="263"/>
      <c r="O1923" s="263"/>
      <c r="P1923" s="263"/>
      <c r="Q1923" s="263"/>
      <c r="R1923" s="263"/>
      <c r="S1923" s="263"/>
      <c r="T1923" s="263"/>
      <c r="U1923" s="246"/>
      <c r="V1923" s="246"/>
      <c r="W1923" s="246"/>
      <c r="X1923" s="246"/>
      <c r="Y1923" s="246"/>
      <c r="Z1923" s="246"/>
    </row>
    <row r="1924">
      <c r="A1924" s="263"/>
      <c r="B1924" s="267"/>
      <c r="C1924" s="263"/>
      <c r="D1924" s="263"/>
      <c r="E1924" s="263"/>
      <c r="F1924" s="268"/>
      <c r="G1924" s="263"/>
      <c r="H1924" s="267"/>
      <c r="I1924" s="263"/>
      <c r="J1924" s="263"/>
      <c r="K1924" s="263"/>
      <c r="L1924" s="263"/>
      <c r="M1924" s="263"/>
      <c r="N1924" s="263"/>
      <c r="O1924" s="263"/>
      <c r="P1924" s="263"/>
      <c r="Q1924" s="263"/>
      <c r="R1924" s="263"/>
      <c r="S1924" s="263"/>
      <c r="T1924" s="263"/>
      <c r="U1924" s="246"/>
      <c r="V1924" s="246"/>
      <c r="W1924" s="246"/>
      <c r="X1924" s="246"/>
      <c r="Y1924" s="246"/>
      <c r="Z1924" s="246"/>
    </row>
    <row r="1925">
      <c r="A1925" s="263"/>
      <c r="B1925" s="267"/>
      <c r="C1925" s="263"/>
      <c r="D1925" s="263"/>
      <c r="E1925" s="263"/>
      <c r="F1925" s="268"/>
      <c r="G1925" s="263"/>
      <c r="H1925" s="267"/>
      <c r="I1925" s="263"/>
      <c r="J1925" s="263"/>
      <c r="K1925" s="263"/>
      <c r="L1925" s="263"/>
      <c r="M1925" s="263"/>
      <c r="N1925" s="263"/>
      <c r="O1925" s="263"/>
      <c r="P1925" s="263"/>
      <c r="Q1925" s="263"/>
      <c r="R1925" s="263"/>
      <c r="S1925" s="263"/>
      <c r="T1925" s="263"/>
      <c r="U1925" s="246"/>
      <c r="V1925" s="246"/>
      <c r="W1925" s="246"/>
      <c r="X1925" s="246"/>
      <c r="Y1925" s="246"/>
      <c r="Z1925" s="246"/>
    </row>
    <row r="1926">
      <c r="A1926" s="263"/>
      <c r="B1926" s="267"/>
      <c r="C1926" s="263"/>
      <c r="D1926" s="263"/>
      <c r="E1926" s="263"/>
      <c r="F1926" s="268"/>
      <c r="G1926" s="263"/>
      <c r="H1926" s="267"/>
      <c r="I1926" s="263"/>
      <c r="J1926" s="263"/>
      <c r="K1926" s="263"/>
      <c r="L1926" s="263"/>
      <c r="M1926" s="263"/>
      <c r="N1926" s="263"/>
      <c r="O1926" s="263"/>
      <c r="P1926" s="263"/>
      <c r="Q1926" s="263"/>
      <c r="R1926" s="263"/>
      <c r="S1926" s="263"/>
      <c r="T1926" s="263"/>
      <c r="U1926" s="246"/>
      <c r="V1926" s="246"/>
      <c r="W1926" s="246"/>
      <c r="X1926" s="246"/>
      <c r="Y1926" s="246"/>
      <c r="Z1926" s="246"/>
    </row>
    <row r="1927">
      <c r="A1927" s="263"/>
      <c r="B1927" s="267"/>
      <c r="C1927" s="263"/>
      <c r="D1927" s="263"/>
      <c r="E1927" s="263"/>
      <c r="F1927" s="268"/>
      <c r="G1927" s="263"/>
      <c r="H1927" s="267"/>
      <c r="I1927" s="263"/>
      <c r="J1927" s="263"/>
      <c r="K1927" s="263"/>
      <c r="L1927" s="263"/>
      <c r="M1927" s="263"/>
      <c r="N1927" s="263"/>
      <c r="O1927" s="263"/>
      <c r="P1927" s="263"/>
      <c r="Q1927" s="263"/>
      <c r="R1927" s="263"/>
      <c r="S1927" s="263"/>
      <c r="T1927" s="263"/>
      <c r="U1927" s="246"/>
      <c r="V1927" s="246"/>
      <c r="W1927" s="246"/>
      <c r="X1927" s="246"/>
      <c r="Y1927" s="246"/>
      <c r="Z1927" s="246"/>
    </row>
    <row r="1928">
      <c r="A1928" s="263"/>
      <c r="B1928" s="267"/>
      <c r="C1928" s="263"/>
      <c r="D1928" s="263"/>
      <c r="E1928" s="263"/>
      <c r="F1928" s="268"/>
      <c r="G1928" s="263"/>
      <c r="H1928" s="267"/>
      <c r="I1928" s="263"/>
      <c r="J1928" s="263"/>
      <c r="K1928" s="263"/>
      <c r="L1928" s="263"/>
      <c r="M1928" s="263"/>
      <c r="N1928" s="263"/>
      <c r="O1928" s="263"/>
      <c r="P1928" s="263"/>
      <c r="Q1928" s="263"/>
      <c r="R1928" s="263"/>
      <c r="S1928" s="263"/>
      <c r="T1928" s="263"/>
      <c r="U1928" s="246"/>
      <c r="V1928" s="246"/>
      <c r="W1928" s="246"/>
      <c r="X1928" s="246"/>
      <c r="Y1928" s="246"/>
      <c r="Z1928" s="246"/>
    </row>
    <row r="1929">
      <c r="A1929" s="263"/>
      <c r="B1929" s="267"/>
      <c r="C1929" s="263"/>
      <c r="D1929" s="263"/>
      <c r="E1929" s="263"/>
      <c r="F1929" s="268"/>
      <c r="G1929" s="263"/>
      <c r="H1929" s="267"/>
      <c r="I1929" s="263"/>
      <c r="J1929" s="263"/>
      <c r="K1929" s="263"/>
      <c r="L1929" s="263"/>
      <c r="M1929" s="263"/>
      <c r="N1929" s="263"/>
      <c r="O1929" s="263"/>
      <c r="P1929" s="263"/>
      <c r="Q1929" s="263"/>
      <c r="R1929" s="263"/>
      <c r="S1929" s="263"/>
      <c r="T1929" s="263"/>
      <c r="U1929" s="246"/>
      <c r="V1929" s="246"/>
      <c r="W1929" s="246"/>
      <c r="X1929" s="246"/>
      <c r="Y1929" s="246"/>
      <c r="Z1929" s="246"/>
    </row>
    <row r="1930">
      <c r="A1930" s="263"/>
      <c r="B1930" s="267"/>
      <c r="C1930" s="263"/>
      <c r="D1930" s="263"/>
      <c r="E1930" s="263"/>
      <c r="F1930" s="268"/>
      <c r="G1930" s="263"/>
      <c r="H1930" s="267"/>
      <c r="I1930" s="263"/>
      <c r="J1930" s="263"/>
      <c r="K1930" s="263"/>
      <c r="L1930" s="263"/>
      <c r="M1930" s="263"/>
      <c r="N1930" s="263"/>
      <c r="O1930" s="263"/>
      <c r="P1930" s="263"/>
      <c r="Q1930" s="263"/>
      <c r="R1930" s="263"/>
      <c r="S1930" s="263"/>
      <c r="T1930" s="263"/>
      <c r="U1930" s="246"/>
      <c r="V1930" s="246"/>
      <c r="W1930" s="246"/>
      <c r="X1930" s="246"/>
      <c r="Y1930" s="246"/>
      <c r="Z1930" s="246"/>
    </row>
    <row r="1931">
      <c r="A1931" s="263"/>
      <c r="B1931" s="267"/>
      <c r="C1931" s="263"/>
      <c r="D1931" s="263"/>
      <c r="E1931" s="263"/>
      <c r="F1931" s="268"/>
      <c r="G1931" s="263"/>
      <c r="H1931" s="267"/>
      <c r="I1931" s="263"/>
      <c r="J1931" s="263"/>
      <c r="K1931" s="263"/>
      <c r="L1931" s="263"/>
      <c r="M1931" s="263"/>
      <c r="N1931" s="263"/>
      <c r="O1931" s="263"/>
      <c r="P1931" s="263"/>
      <c r="Q1931" s="263"/>
      <c r="R1931" s="263"/>
      <c r="S1931" s="263"/>
      <c r="T1931" s="263"/>
      <c r="U1931" s="246"/>
      <c r="V1931" s="246"/>
      <c r="W1931" s="246"/>
      <c r="X1931" s="246"/>
      <c r="Y1931" s="246"/>
      <c r="Z1931" s="246"/>
    </row>
    <row r="1932">
      <c r="A1932" s="263"/>
      <c r="B1932" s="267"/>
      <c r="C1932" s="263"/>
      <c r="D1932" s="263"/>
      <c r="E1932" s="263"/>
      <c r="F1932" s="268"/>
      <c r="G1932" s="263"/>
      <c r="H1932" s="267"/>
      <c r="I1932" s="263"/>
      <c r="J1932" s="263"/>
      <c r="K1932" s="263"/>
      <c r="L1932" s="263"/>
      <c r="M1932" s="263"/>
      <c r="N1932" s="263"/>
      <c r="O1932" s="263"/>
      <c r="P1932" s="263"/>
      <c r="Q1932" s="263"/>
      <c r="R1932" s="263"/>
      <c r="S1932" s="263"/>
      <c r="T1932" s="263"/>
      <c r="U1932" s="246"/>
      <c r="V1932" s="246"/>
      <c r="W1932" s="246"/>
      <c r="X1932" s="246"/>
      <c r="Y1932" s="246"/>
      <c r="Z1932" s="246"/>
    </row>
    <row r="1933">
      <c r="A1933" s="263"/>
      <c r="B1933" s="267"/>
      <c r="C1933" s="263"/>
      <c r="D1933" s="263"/>
      <c r="E1933" s="263"/>
      <c r="F1933" s="268"/>
      <c r="G1933" s="263"/>
      <c r="H1933" s="267"/>
      <c r="I1933" s="263"/>
      <c r="J1933" s="263"/>
      <c r="K1933" s="263"/>
      <c r="L1933" s="263"/>
      <c r="M1933" s="263"/>
      <c r="N1933" s="263"/>
      <c r="O1933" s="263"/>
      <c r="P1933" s="263"/>
      <c r="Q1933" s="263"/>
      <c r="R1933" s="263"/>
      <c r="S1933" s="263"/>
      <c r="T1933" s="263"/>
      <c r="U1933" s="246"/>
      <c r="V1933" s="246"/>
      <c r="W1933" s="246"/>
      <c r="X1933" s="246"/>
      <c r="Y1933" s="246"/>
      <c r="Z1933" s="246"/>
    </row>
    <row r="1934">
      <c r="A1934" s="263"/>
      <c r="B1934" s="267"/>
      <c r="C1934" s="263"/>
      <c r="D1934" s="263"/>
      <c r="E1934" s="263"/>
      <c r="F1934" s="268"/>
      <c r="G1934" s="263"/>
      <c r="H1934" s="267"/>
      <c r="I1934" s="263"/>
      <c r="J1934" s="263"/>
      <c r="K1934" s="263"/>
      <c r="L1934" s="263"/>
      <c r="M1934" s="263"/>
      <c r="N1934" s="263"/>
      <c r="O1934" s="263"/>
      <c r="P1934" s="263"/>
      <c r="Q1934" s="263"/>
      <c r="R1934" s="263"/>
      <c r="S1934" s="263"/>
      <c r="T1934" s="263"/>
      <c r="U1934" s="246"/>
      <c r="V1934" s="246"/>
      <c r="W1934" s="246"/>
      <c r="X1934" s="246"/>
      <c r="Y1934" s="246"/>
      <c r="Z1934" s="246"/>
    </row>
    <row r="1935">
      <c r="A1935" s="263"/>
      <c r="B1935" s="267"/>
      <c r="C1935" s="263"/>
      <c r="D1935" s="263"/>
      <c r="E1935" s="263"/>
      <c r="F1935" s="268"/>
      <c r="G1935" s="263"/>
      <c r="H1935" s="267"/>
      <c r="I1935" s="263"/>
      <c r="J1935" s="263"/>
      <c r="K1935" s="263"/>
      <c r="L1935" s="263"/>
      <c r="M1935" s="263"/>
      <c r="N1935" s="263"/>
      <c r="O1935" s="263"/>
      <c r="P1935" s="263"/>
      <c r="Q1935" s="263"/>
      <c r="R1935" s="263"/>
      <c r="S1935" s="263"/>
      <c r="T1935" s="263"/>
      <c r="U1935" s="246"/>
      <c r="V1935" s="246"/>
      <c r="W1935" s="246"/>
      <c r="X1935" s="246"/>
      <c r="Y1935" s="246"/>
      <c r="Z1935" s="246"/>
    </row>
    <row r="1936">
      <c r="A1936" s="263"/>
      <c r="B1936" s="267"/>
      <c r="C1936" s="263"/>
      <c r="D1936" s="263"/>
      <c r="E1936" s="263"/>
      <c r="F1936" s="268"/>
      <c r="G1936" s="263"/>
      <c r="H1936" s="267"/>
      <c r="I1936" s="263"/>
      <c r="J1936" s="263"/>
      <c r="K1936" s="263"/>
      <c r="L1936" s="263"/>
      <c r="M1936" s="263"/>
      <c r="N1936" s="263"/>
      <c r="O1936" s="263"/>
      <c r="P1936" s="263"/>
      <c r="Q1936" s="263"/>
      <c r="R1936" s="263"/>
      <c r="S1936" s="263"/>
      <c r="T1936" s="263"/>
      <c r="U1936" s="246"/>
      <c r="V1936" s="246"/>
      <c r="W1936" s="246"/>
      <c r="X1936" s="246"/>
      <c r="Y1936" s="246"/>
      <c r="Z1936" s="246"/>
    </row>
    <row r="1937">
      <c r="A1937" s="263"/>
      <c r="B1937" s="267"/>
      <c r="C1937" s="263"/>
      <c r="D1937" s="263"/>
      <c r="E1937" s="263"/>
      <c r="F1937" s="268"/>
      <c r="G1937" s="263"/>
      <c r="H1937" s="267"/>
      <c r="I1937" s="263"/>
      <c r="J1937" s="263"/>
      <c r="K1937" s="263"/>
      <c r="L1937" s="263"/>
      <c r="M1937" s="263"/>
      <c r="N1937" s="263"/>
      <c r="O1937" s="263"/>
      <c r="P1937" s="263"/>
      <c r="Q1937" s="263"/>
      <c r="R1937" s="263"/>
      <c r="S1937" s="263"/>
      <c r="T1937" s="263"/>
      <c r="U1937" s="246"/>
      <c r="V1937" s="246"/>
      <c r="W1937" s="246"/>
      <c r="X1937" s="246"/>
      <c r="Y1937" s="246"/>
      <c r="Z1937" s="246"/>
    </row>
    <row r="1938">
      <c r="A1938" s="263"/>
      <c r="B1938" s="267"/>
      <c r="C1938" s="263"/>
      <c r="D1938" s="263"/>
      <c r="E1938" s="263"/>
      <c r="F1938" s="268"/>
      <c r="G1938" s="263"/>
      <c r="H1938" s="267"/>
      <c r="I1938" s="263"/>
      <c r="J1938" s="263"/>
      <c r="K1938" s="263"/>
      <c r="L1938" s="263"/>
      <c r="M1938" s="263"/>
      <c r="N1938" s="263"/>
      <c r="O1938" s="263"/>
      <c r="P1938" s="263"/>
      <c r="Q1938" s="263"/>
      <c r="R1938" s="263"/>
      <c r="S1938" s="263"/>
      <c r="T1938" s="263"/>
      <c r="U1938" s="246"/>
      <c r="V1938" s="246"/>
      <c r="W1938" s="246"/>
      <c r="X1938" s="246"/>
      <c r="Y1938" s="246"/>
      <c r="Z1938" s="246"/>
    </row>
    <row r="1939">
      <c r="A1939" s="263"/>
      <c r="B1939" s="267"/>
      <c r="C1939" s="263"/>
      <c r="D1939" s="263"/>
      <c r="E1939" s="263"/>
      <c r="F1939" s="268"/>
      <c r="G1939" s="263"/>
      <c r="H1939" s="267"/>
      <c r="I1939" s="263"/>
      <c r="J1939" s="263"/>
      <c r="K1939" s="263"/>
      <c r="L1939" s="263"/>
      <c r="M1939" s="263"/>
      <c r="N1939" s="263"/>
      <c r="O1939" s="263"/>
      <c r="P1939" s="263"/>
      <c r="Q1939" s="263"/>
      <c r="R1939" s="263"/>
      <c r="S1939" s="263"/>
      <c r="T1939" s="263"/>
      <c r="U1939" s="246"/>
      <c r="V1939" s="246"/>
      <c r="W1939" s="246"/>
      <c r="X1939" s="246"/>
      <c r="Y1939" s="246"/>
      <c r="Z1939" s="246"/>
    </row>
    <row r="1940">
      <c r="A1940" s="263"/>
      <c r="B1940" s="267"/>
      <c r="C1940" s="263"/>
      <c r="D1940" s="263"/>
      <c r="E1940" s="263"/>
      <c r="F1940" s="268"/>
      <c r="G1940" s="263"/>
      <c r="H1940" s="267"/>
      <c r="I1940" s="263"/>
      <c r="J1940" s="263"/>
      <c r="K1940" s="263"/>
      <c r="L1940" s="263"/>
      <c r="M1940" s="263"/>
      <c r="N1940" s="263"/>
      <c r="O1940" s="263"/>
      <c r="P1940" s="263"/>
      <c r="Q1940" s="263"/>
      <c r="R1940" s="263"/>
      <c r="S1940" s="263"/>
      <c r="T1940" s="263"/>
      <c r="U1940" s="246"/>
      <c r="V1940" s="246"/>
      <c r="W1940" s="246"/>
      <c r="X1940" s="246"/>
      <c r="Y1940" s="246"/>
      <c r="Z1940" s="246"/>
    </row>
    <row r="1941">
      <c r="A1941" s="263"/>
      <c r="B1941" s="267"/>
      <c r="C1941" s="263"/>
      <c r="D1941" s="263"/>
      <c r="E1941" s="263"/>
      <c r="F1941" s="268"/>
      <c r="G1941" s="263"/>
      <c r="H1941" s="267"/>
      <c r="I1941" s="263"/>
      <c r="J1941" s="263"/>
      <c r="K1941" s="263"/>
      <c r="L1941" s="263"/>
      <c r="M1941" s="263"/>
      <c r="N1941" s="263"/>
      <c r="O1941" s="263"/>
      <c r="P1941" s="263"/>
      <c r="Q1941" s="263"/>
      <c r="R1941" s="263"/>
      <c r="S1941" s="263"/>
      <c r="T1941" s="263"/>
      <c r="U1941" s="246"/>
      <c r="V1941" s="246"/>
      <c r="W1941" s="246"/>
      <c r="X1941" s="246"/>
      <c r="Y1941" s="246"/>
      <c r="Z1941" s="246"/>
    </row>
    <row r="1942">
      <c r="A1942" s="263"/>
      <c r="B1942" s="267"/>
      <c r="C1942" s="263"/>
      <c r="D1942" s="263"/>
      <c r="E1942" s="263"/>
      <c r="F1942" s="268"/>
      <c r="G1942" s="263"/>
      <c r="H1942" s="267"/>
      <c r="I1942" s="263"/>
      <c r="J1942" s="263"/>
      <c r="K1942" s="263"/>
      <c r="L1942" s="263"/>
      <c r="M1942" s="263"/>
      <c r="N1942" s="263"/>
      <c r="O1942" s="263"/>
      <c r="P1942" s="263"/>
      <c r="Q1942" s="263"/>
      <c r="R1942" s="263"/>
      <c r="S1942" s="263"/>
      <c r="T1942" s="263"/>
      <c r="U1942" s="246"/>
      <c r="V1942" s="246"/>
      <c r="W1942" s="246"/>
      <c r="X1942" s="246"/>
      <c r="Y1942" s="246"/>
      <c r="Z1942" s="246"/>
    </row>
    <row r="1943">
      <c r="A1943" s="263"/>
      <c r="B1943" s="267"/>
      <c r="C1943" s="263"/>
      <c r="D1943" s="263"/>
      <c r="E1943" s="263"/>
      <c r="F1943" s="268"/>
      <c r="G1943" s="263"/>
      <c r="H1943" s="267"/>
      <c r="I1943" s="263"/>
      <c r="J1943" s="263"/>
      <c r="K1943" s="263"/>
      <c r="L1943" s="263"/>
      <c r="M1943" s="263"/>
      <c r="N1943" s="263"/>
      <c r="O1943" s="263"/>
      <c r="P1943" s="263"/>
      <c r="Q1943" s="263"/>
      <c r="R1943" s="263"/>
      <c r="S1943" s="263"/>
      <c r="T1943" s="263"/>
      <c r="U1943" s="246"/>
      <c r="V1943" s="246"/>
      <c r="W1943" s="246"/>
      <c r="X1943" s="246"/>
      <c r="Y1943" s="246"/>
      <c r="Z1943" s="246"/>
    </row>
    <row r="1944">
      <c r="A1944" s="263"/>
      <c r="B1944" s="267"/>
      <c r="C1944" s="263"/>
      <c r="D1944" s="263"/>
      <c r="E1944" s="263"/>
      <c r="F1944" s="268"/>
      <c r="G1944" s="263"/>
      <c r="H1944" s="267"/>
      <c r="I1944" s="263"/>
      <c r="J1944" s="263"/>
      <c r="K1944" s="263"/>
      <c r="L1944" s="263"/>
      <c r="M1944" s="263"/>
      <c r="N1944" s="263"/>
      <c r="O1944" s="263"/>
      <c r="P1944" s="263"/>
      <c r="Q1944" s="263"/>
      <c r="R1944" s="263"/>
      <c r="S1944" s="263"/>
      <c r="T1944" s="263"/>
      <c r="U1944" s="246"/>
      <c r="V1944" s="246"/>
      <c r="W1944" s="246"/>
      <c r="X1944" s="246"/>
      <c r="Y1944" s="246"/>
      <c r="Z1944" s="246"/>
    </row>
    <row r="1945">
      <c r="A1945" s="263"/>
      <c r="B1945" s="267"/>
      <c r="C1945" s="263"/>
      <c r="D1945" s="263"/>
      <c r="E1945" s="263"/>
      <c r="F1945" s="268"/>
      <c r="G1945" s="263"/>
      <c r="H1945" s="267"/>
      <c r="I1945" s="263"/>
      <c r="J1945" s="263"/>
      <c r="K1945" s="263"/>
      <c r="L1945" s="263"/>
      <c r="M1945" s="263"/>
      <c r="N1945" s="263"/>
      <c r="O1945" s="263"/>
      <c r="P1945" s="263"/>
      <c r="Q1945" s="263"/>
      <c r="R1945" s="263"/>
      <c r="S1945" s="263"/>
      <c r="T1945" s="263"/>
      <c r="U1945" s="246"/>
      <c r="V1945" s="246"/>
      <c r="W1945" s="246"/>
      <c r="X1945" s="246"/>
      <c r="Y1945" s="246"/>
      <c r="Z1945" s="246"/>
    </row>
    <row r="1946">
      <c r="A1946" s="263"/>
      <c r="B1946" s="267"/>
      <c r="C1946" s="263"/>
      <c r="D1946" s="263"/>
      <c r="E1946" s="263"/>
      <c r="F1946" s="268"/>
      <c r="G1946" s="263"/>
      <c r="H1946" s="267"/>
      <c r="I1946" s="263"/>
      <c r="J1946" s="263"/>
      <c r="K1946" s="263"/>
      <c r="L1946" s="263"/>
      <c r="M1946" s="263"/>
      <c r="N1946" s="263"/>
      <c r="O1946" s="263"/>
      <c r="P1946" s="263"/>
      <c r="Q1946" s="263"/>
      <c r="R1946" s="263"/>
      <c r="S1946" s="263"/>
      <c r="T1946" s="263"/>
      <c r="U1946" s="246"/>
      <c r="V1946" s="246"/>
      <c r="W1946" s="246"/>
      <c r="X1946" s="246"/>
      <c r="Y1946" s="246"/>
      <c r="Z1946" s="246"/>
    </row>
    <row r="1947">
      <c r="A1947" s="263"/>
      <c r="B1947" s="267"/>
      <c r="C1947" s="263"/>
      <c r="D1947" s="263"/>
      <c r="E1947" s="263"/>
      <c r="F1947" s="268"/>
      <c r="G1947" s="263"/>
      <c r="H1947" s="267"/>
      <c r="I1947" s="263"/>
      <c r="J1947" s="263"/>
      <c r="K1947" s="263"/>
      <c r="L1947" s="263"/>
      <c r="M1947" s="263"/>
      <c r="N1947" s="263"/>
      <c r="O1947" s="263"/>
      <c r="P1947" s="263"/>
      <c r="Q1947" s="263"/>
      <c r="R1947" s="263"/>
      <c r="S1947" s="263"/>
      <c r="T1947" s="263"/>
      <c r="U1947" s="246"/>
      <c r="V1947" s="246"/>
      <c r="W1947" s="246"/>
      <c r="X1947" s="246"/>
      <c r="Y1947" s="246"/>
      <c r="Z1947" s="246"/>
    </row>
    <row r="1948">
      <c r="A1948" s="263"/>
      <c r="B1948" s="267"/>
      <c r="C1948" s="263"/>
      <c r="D1948" s="263"/>
      <c r="E1948" s="263"/>
      <c r="F1948" s="268"/>
      <c r="G1948" s="263"/>
      <c r="H1948" s="267"/>
      <c r="I1948" s="263"/>
      <c r="J1948" s="263"/>
      <c r="K1948" s="263"/>
      <c r="L1948" s="263"/>
      <c r="M1948" s="263"/>
      <c r="N1948" s="263"/>
      <c r="O1948" s="263"/>
      <c r="P1948" s="263"/>
      <c r="Q1948" s="263"/>
      <c r="R1948" s="263"/>
      <c r="S1948" s="263"/>
      <c r="T1948" s="263"/>
      <c r="U1948" s="246"/>
      <c r="V1948" s="246"/>
      <c r="W1948" s="246"/>
      <c r="X1948" s="246"/>
      <c r="Y1948" s="246"/>
      <c r="Z1948" s="246"/>
    </row>
    <row r="1949">
      <c r="A1949" s="263"/>
      <c r="B1949" s="267"/>
      <c r="C1949" s="263"/>
      <c r="D1949" s="263"/>
      <c r="E1949" s="263"/>
      <c r="F1949" s="268"/>
      <c r="G1949" s="263"/>
      <c r="H1949" s="267"/>
      <c r="I1949" s="263"/>
      <c r="J1949" s="263"/>
      <c r="K1949" s="263"/>
      <c r="L1949" s="263"/>
      <c r="M1949" s="263"/>
      <c r="N1949" s="263"/>
      <c r="O1949" s="263"/>
      <c r="P1949" s="263"/>
      <c r="Q1949" s="263"/>
      <c r="R1949" s="263"/>
      <c r="S1949" s="263"/>
      <c r="T1949" s="263"/>
      <c r="U1949" s="246"/>
      <c r="V1949" s="246"/>
      <c r="W1949" s="246"/>
      <c r="X1949" s="246"/>
      <c r="Y1949" s="246"/>
      <c r="Z1949" s="246"/>
    </row>
    <row r="1950">
      <c r="A1950" s="263"/>
      <c r="B1950" s="267"/>
      <c r="C1950" s="263"/>
      <c r="D1950" s="263"/>
      <c r="E1950" s="263"/>
      <c r="F1950" s="268"/>
      <c r="G1950" s="263"/>
      <c r="H1950" s="267"/>
      <c r="I1950" s="263"/>
      <c r="J1950" s="263"/>
      <c r="K1950" s="263"/>
      <c r="L1950" s="263"/>
      <c r="M1950" s="263"/>
      <c r="N1950" s="263"/>
      <c r="O1950" s="263"/>
      <c r="P1950" s="263"/>
      <c r="Q1950" s="263"/>
      <c r="R1950" s="263"/>
      <c r="S1950" s="263"/>
      <c r="T1950" s="263"/>
      <c r="U1950" s="246"/>
      <c r="V1950" s="246"/>
      <c r="W1950" s="246"/>
      <c r="X1950" s="246"/>
      <c r="Y1950" s="246"/>
      <c r="Z1950" s="246"/>
    </row>
    <row r="1951">
      <c r="A1951" s="263"/>
      <c r="B1951" s="267"/>
      <c r="C1951" s="263"/>
      <c r="D1951" s="263"/>
      <c r="E1951" s="263"/>
      <c r="F1951" s="268"/>
      <c r="G1951" s="263"/>
      <c r="H1951" s="267"/>
      <c r="I1951" s="263"/>
      <c r="J1951" s="263"/>
      <c r="K1951" s="263"/>
      <c r="L1951" s="263"/>
      <c r="M1951" s="263"/>
      <c r="N1951" s="263"/>
      <c r="O1951" s="263"/>
      <c r="P1951" s="263"/>
      <c r="Q1951" s="263"/>
      <c r="R1951" s="263"/>
      <c r="S1951" s="263"/>
      <c r="T1951" s="263"/>
      <c r="U1951" s="246"/>
      <c r="V1951" s="246"/>
      <c r="W1951" s="246"/>
      <c r="X1951" s="246"/>
      <c r="Y1951" s="246"/>
      <c r="Z1951" s="246"/>
    </row>
    <row r="1952">
      <c r="A1952" s="263"/>
      <c r="B1952" s="267"/>
      <c r="C1952" s="263"/>
      <c r="D1952" s="263"/>
      <c r="E1952" s="263"/>
      <c r="F1952" s="268"/>
      <c r="G1952" s="263"/>
      <c r="H1952" s="267"/>
      <c r="I1952" s="263"/>
      <c r="J1952" s="263"/>
      <c r="K1952" s="263"/>
      <c r="L1952" s="263"/>
      <c r="M1952" s="263"/>
      <c r="N1952" s="263"/>
      <c r="O1952" s="263"/>
      <c r="P1952" s="263"/>
      <c r="Q1952" s="263"/>
      <c r="R1952" s="263"/>
      <c r="S1952" s="263"/>
      <c r="T1952" s="263"/>
      <c r="U1952" s="246"/>
      <c r="V1952" s="246"/>
      <c r="W1952" s="246"/>
      <c r="X1952" s="246"/>
      <c r="Y1952" s="246"/>
      <c r="Z1952" s="246"/>
    </row>
    <row r="1953">
      <c r="A1953" s="263"/>
      <c r="B1953" s="267"/>
      <c r="C1953" s="263"/>
      <c r="D1953" s="263"/>
      <c r="E1953" s="263"/>
      <c r="F1953" s="268"/>
      <c r="G1953" s="263"/>
      <c r="H1953" s="267"/>
      <c r="I1953" s="263"/>
      <c r="J1953" s="263"/>
      <c r="K1953" s="263"/>
      <c r="L1953" s="263"/>
      <c r="M1953" s="263"/>
      <c r="N1953" s="263"/>
      <c r="O1953" s="263"/>
      <c r="P1953" s="263"/>
      <c r="Q1953" s="263"/>
      <c r="R1953" s="263"/>
      <c r="S1953" s="263"/>
      <c r="T1953" s="263"/>
      <c r="U1953" s="246"/>
      <c r="V1953" s="246"/>
      <c r="W1953" s="246"/>
      <c r="X1953" s="246"/>
      <c r="Y1953" s="246"/>
      <c r="Z1953" s="246"/>
    </row>
    <row r="1954">
      <c r="A1954" s="263"/>
      <c r="B1954" s="267"/>
      <c r="C1954" s="263"/>
      <c r="D1954" s="263"/>
      <c r="E1954" s="263"/>
      <c r="F1954" s="268"/>
      <c r="G1954" s="263"/>
      <c r="H1954" s="267"/>
      <c r="I1954" s="263"/>
      <c r="J1954" s="263"/>
      <c r="K1954" s="263"/>
      <c r="L1954" s="263"/>
      <c r="M1954" s="263"/>
      <c r="N1954" s="263"/>
      <c r="O1954" s="263"/>
      <c r="P1954" s="263"/>
      <c r="Q1954" s="263"/>
      <c r="R1954" s="263"/>
      <c r="S1954" s="263"/>
      <c r="T1954" s="263"/>
      <c r="U1954" s="246"/>
      <c r="V1954" s="246"/>
      <c r="W1954" s="246"/>
      <c r="X1954" s="246"/>
      <c r="Y1954" s="246"/>
      <c r="Z1954" s="246"/>
    </row>
    <row r="1955">
      <c r="A1955" s="263"/>
      <c r="B1955" s="267"/>
      <c r="C1955" s="263"/>
      <c r="D1955" s="263"/>
      <c r="E1955" s="263"/>
      <c r="F1955" s="268"/>
      <c r="G1955" s="263"/>
      <c r="H1955" s="267"/>
      <c r="I1955" s="263"/>
      <c r="J1955" s="263"/>
      <c r="K1955" s="263"/>
      <c r="L1955" s="263"/>
      <c r="M1955" s="263"/>
      <c r="N1955" s="263"/>
      <c r="O1955" s="263"/>
      <c r="P1955" s="263"/>
      <c r="Q1955" s="263"/>
      <c r="R1955" s="263"/>
      <c r="S1955" s="263"/>
      <c r="T1955" s="263"/>
      <c r="U1955" s="246"/>
      <c r="V1955" s="246"/>
      <c r="W1955" s="246"/>
      <c r="X1955" s="246"/>
      <c r="Y1955" s="246"/>
      <c r="Z1955" s="246"/>
    </row>
    <row r="1956">
      <c r="A1956" s="263"/>
      <c r="B1956" s="267"/>
      <c r="C1956" s="263"/>
      <c r="D1956" s="263"/>
      <c r="E1956" s="263"/>
      <c r="F1956" s="268"/>
      <c r="G1956" s="263"/>
      <c r="H1956" s="267"/>
      <c r="I1956" s="263"/>
      <c r="J1956" s="263"/>
      <c r="K1956" s="263"/>
      <c r="L1956" s="263"/>
      <c r="M1956" s="263"/>
      <c r="N1956" s="263"/>
      <c r="O1956" s="263"/>
      <c r="P1956" s="263"/>
      <c r="Q1956" s="263"/>
      <c r="R1956" s="263"/>
      <c r="S1956" s="263"/>
      <c r="T1956" s="263"/>
      <c r="U1956" s="246"/>
      <c r="V1956" s="246"/>
      <c r="W1956" s="246"/>
      <c r="X1956" s="246"/>
      <c r="Y1956" s="246"/>
      <c r="Z1956" s="246"/>
    </row>
    <row r="1957">
      <c r="A1957" s="263"/>
      <c r="B1957" s="267"/>
      <c r="C1957" s="263"/>
      <c r="D1957" s="263"/>
      <c r="E1957" s="263"/>
      <c r="F1957" s="268"/>
      <c r="G1957" s="263"/>
      <c r="H1957" s="267"/>
      <c r="I1957" s="263"/>
      <c r="J1957" s="263"/>
      <c r="K1957" s="263"/>
      <c r="L1957" s="263"/>
      <c r="M1957" s="263"/>
      <c r="N1957" s="263"/>
      <c r="O1957" s="263"/>
      <c r="P1957" s="263"/>
      <c r="Q1957" s="263"/>
      <c r="R1957" s="263"/>
      <c r="S1957" s="263"/>
      <c r="T1957" s="263"/>
      <c r="U1957" s="246"/>
      <c r="V1957" s="246"/>
      <c r="W1957" s="246"/>
      <c r="X1957" s="246"/>
      <c r="Y1957" s="246"/>
      <c r="Z1957" s="246"/>
    </row>
    <row r="1958">
      <c r="A1958" s="263"/>
      <c r="B1958" s="267"/>
      <c r="C1958" s="263"/>
      <c r="D1958" s="263"/>
      <c r="E1958" s="263"/>
      <c r="F1958" s="268"/>
      <c r="G1958" s="263"/>
      <c r="H1958" s="267"/>
      <c r="I1958" s="263"/>
      <c r="J1958" s="263"/>
      <c r="K1958" s="263"/>
      <c r="L1958" s="263"/>
      <c r="M1958" s="263"/>
      <c r="N1958" s="263"/>
      <c r="O1958" s="263"/>
      <c r="P1958" s="263"/>
      <c r="Q1958" s="263"/>
      <c r="R1958" s="263"/>
      <c r="S1958" s="263"/>
      <c r="T1958" s="263"/>
      <c r="U1958" s="246"/>
      <c r="V1958" s="246"/>
      <c r="W1958" s="246"/>
      <c r="X1958" s="246"/>
      <c r="Y1958" s="246"/>
      <c r="Z1958" s="246"/>
    </row>
    <row r="1959">
      <c r="A1959" s="263"/>
      <c r="B1959" s="267"/>
      <c r="C1959" s="263"/>
      <c r="D1959" s="263"/>
      <c r="E1959" s="263"/>
      <c r="F1959" s="268"/>
      <c r="G1959" s="263"/>
      <c r="H1959" s="267"/>
      <c r="I1959" s="263"/>
      <c r="J1959" s="263"/>
      <c r="K1959" s="263"/>
      <c r="L1959" s="263"/>
      <c r="M1959" s="263"/>
      <c r="N1959" s="263"/>
      <c r="O1959" s="263"/>
      <c r="P1959" s="263"/>
      <c r="Q1959" s="263"/>
      <c r="R1959" s="263"/>
      <c r="S1959" s="263"/>
      <c r="T1959" s="263"/>
      <c r="U1959" s="246"/>
      <c r="V1959" s="246"/>
      <c r="W1959" s="246"/>
      <c r="X1959" s="246"/>
      <c r="Y1959" s="246"/>
      <c r="Z1959" s="246"/>
    </row>
    <row r="1960">
      <c r="A1960" s="263"/>
      <c r="B1960" s="267"/>
      <c r="C1960" s="263"/>
      <c r="D1960" s="263"/>
      <c r="E1960" s="263"/>
      <c r="F1960" s="268"/>
      <c r="G1960" s="263"/>
      <c r="H1960" s="267"/>
      <c r="I1960" s="263"/>
      <c r="J1960" s="263"/>
      <c r="K1960" s="263"/>
      <c r="L1960" s="263"/>
      <c r="M1960" s="263"/>
      <c r="N1960" s="263"/>
      <c r="O1960" s="263"/>
      <c r="P1960" s="263"/>
      <c r="Q1960" s="263"/>
      <c r="R1960" s="263"/>
      <c r="S1960" s="263"/>
      <c r="T1960" s="263"/>
      <c r="U1960" s="246"/>
      <c r="V1960" s="246"/>
      <c r="W1960" s="246"/>
      <c r="X1960" s="246"/>
      <c r="Y1960" s="246"/>
      <c r="Z1960" s="246"/>
    </row>
    <row r="1961">
      <c r="A1961" s="263"/>
      <c r="B1961" s="267"/>
      <c r="C1961" s="263"/>
      <c r="D1961" s="263"/>
      <c r="E1961" s="263"/>
      <c r="F1961" s="268"/>
      <c r="G1961" s="263"/>
      <c r="H1961" s="267"/>
      <c r="I1961" s="263"/>
      <c r="J1961" s="263"/>
      <c r="K1961" s="263"/>
      <c r="L1961" s="263"/>
      <c r="M1961" s="263"/>
      <c r="N1961" s="263"/>
      <c r="O1961" s="263"/>
      <c r="P1961" s="263"/>
      <c r="Q1961" s="263"/>
      <c r="R1961" s="263"/>
      <c r="S1961" s="263"/>
      <c r="T1961" s="263"/>
      <c r="U1961" s="246"/>
      <c r="V1961" s="246"/>
      <c r="W1961" s="246"/>
      <c r="X1961" s="246"/>
      <c r="Y1961" s="246"/>
      <c r="Z1961" s="246"/>
    </row>
    <row r="1962">
      <c r="A1962" s="263"/>
      <c r="B1962" s="267"/>
      <c r="C1962" s="263"/>
      <c r="D1962" s="263"/>
      <c r="E1962" s="263"/>
      <c r="F1962" s="268"/>
      <c r="G1962" s="263"/>
      <c r="H1962" s="267"/>
      <c r="I1962" s="263"/>
      <c r="J1962" s="263"/>
      <c r="K1962" s="263"/>
      <c r="L1962" s="263"/>
      <c r="M1962" s="263"/>
      <c r="N1962" s="263"/>
      <c r="O1962" s="263"/>
      <c r="P1962" s="263"/>
      <c r="Q1962" s="263"/>
      <c r="R1962" s="263"/>
      <c r="S1962" s="263"/>
      <c r="T1962" s="263"/>
      <c r="U1962" s="246"/>
      <c r="V1962" s="246"/>
      <c r="W1962" s="246"/>
      <c r="X1962" s="246"/>
      <c r="Y1962" s="246"/>
      <c r="Z1962" s="246"/>
    </row>
    <row r="1963">
      <c r="A1963" s="263"/>
      <c r="B1963" s="267"/>
      <c r="C1963" s="263"/>
      <c r="D1963" s="263"/>
      <c r="E1963" s="263"/>
      <c r="F1963" s="268"/>
      <c r="G1963" s="263"/>
      <c r="H1963" s="267"/>
      <c r="I1963" s="263"/>
      <c r="J1963" s="263"/>
      <c r="K1963" s="263"/>
      <c r="L1963" s="263"/>
      <c r="M1963" s="263"/>
      <c r="N1963" s="263"/>
      <c r="O1963" s="263"/>
      <c r="P1963" s="263"/>
      <c r="Q1963" s="263"/>
      <c r="R1963" s="263"/>
      <c r="S1963" s="263"/>
      <c r="T1963" s="263"/>
      <c r="U1963" s="246"/>
      <c r="V1963" s="246"/>
      <c r="W1963" s="246"/>
      <c r="X1963" s="246"/>
      <c r="Y1963" s="246"/>
      <c r="Z1963" s="246"/>
    </row>
    <row r="1964">
      <c r="A1964" s="263"/>
      <c r="B1964" s="267"/>
      <c r="C1964" s="263"/>
      <c r="D1964" s="263"/>
      <c r="E1964" s="263"/>
      <c r="F1964" s="268"/>
      <c r="G1964" s="263"/>
      <c r="H1964" s="267"/>
      <c r="I1964" s="263"/>
      <c r="J1964" s="263"/>
      <c r="K1964" s="263"/>
      <c r="L1964" s="263"/>
      <c r="M1964" s="263"/>
      <c r="N1964" s="263"/>
      <c r="O1964" s="263"/>
      <c r="P1964" s="263"/>
      <c r="Q1964" s="263"/>
      <c r="R1964" s="263"/>
      <c r="S1964" s="263"/>
      <c r="T1964" s="263"/>
      <c r="U1964" s="246"/>
      <c r="V1964" s="246"/>
      <c r="W1964" s="246"/>
      <c r="X1964" s="246"/>
      <c r="Y1964" s="246"/>
      <c r="Z1964" s="246"/>
    </row>
    <row r="1965">
      <c r="A1965" s="263"/>
      <c r="B1965" s="267"/>
      <c r="C1965" s="263"/>
      <c r="D1965" s="263"/>
      <c r="E1965" s="263"/>
      <c r="F1965" s="268"/>
      <c r="G1965" s="263"/>
      <c r="H1965" s="267"/>
      <c r="I1965" s="263"/>
      <c r="J1965" s="263"/>
      <c r="K1965" s="263"/>
      <c r="L1965" s="263"/>
      <c r="M1965" s="263"/>
      <c r="N1965" s="263"/>
      <c r="O1965" s="263"/>
      <c r="P1965" s="263"/>
      <c r="Q1965" s="263"/>
      <c r="R1965" s="263"/>
      <c r="S1965" s="263"/>
      <c r="T1965" s="263"/>
      <c r="U1965" s="246"/>
      <c r="V1965" s="246"/>
      <c r="W1965" s="246"/>
      <c r="X1965" s="246"/>
      <c r="Y1965" s="246"/>
      <c r="Z1965" s="246"/>
    </row>
    <row r="1966">
      <c r="A1966" s="263"/>
      <c r="B1966" s="267"/>
      <c r="C1966" s="263"/>
      <c r="D1966" s="263"/>
      <c r="E1966" s="263"/>
      <c r="F1966" s="268"/>
      <c r="G1966" s="263"/>
      <c r="H1966" s="267"/>
      <c r="I1966" s="263"/>
      <c r="J1966" s="263"/>
      <c r="K1966" s="263"/>
      <c r="L1966" s="263"/>
      <c r="M1966" s="263"/>
      <c r="N1966" s="263"/>
      <c r="O1966" s="263"/>
      <c r="P1966" s="263"/>
      <c r="Q1966" s="263"/>
      <c r="R1966" s="263"/>
      <c r="S1966" s="263"/>
      <c r="T1966" s="263"/>
      <c r="U1966" s="246"/>
      <c r="V1966" s="246"/>
      <c r="W1966" s="246"/>
      <c r="X1966" s="246"/>
      <c r="Y1966" s="246"/>
      <c r="Z1966" s="246"/>
    </row>
    <row r="1967">
      <c r="A1967" s="263"/>
      <c r="B1967" s="267"/>
      <c r="C1967" s="263"/>
      <c r="D1967" s="263"/>
      <c r="E1967" s="263"/>
      <c r="F1967" s="268"/>
      <c r="G1967" s="263"/>
      <c r="H1967" s="267"/>
      <c r="I1967" s="263"/>
      <c r="J1967" s="263"/>
      <c r="K1967" s="263"/>
      <c r="L1967" s="263"/>
      <c r="M1967" s="263"/>
      <c r="N1967" s="263"/>
      <c r="O1967" s="263"/>
      <c r="P1967" s="263"/>
      <c r="Q1967" s="263"/>
      <c r="R1967" s="263"/>
      <c r="S1967" s="263"/>
      <c r="T1967" s="263"/>
      <c r="U1967" s="246"/>
      <c r="V1967" s="246"/>
      <c r="W1967" s="246"/>
      <c r="X1967" s="246"/>
      <c r="Y1967" s="246"/>
      <c r="Z1967" s="246"/>
    </row>
    <row r="1968">
      <c r="A1968" s="263"/>
      <c r="B1968" s="267"/>
      <c r="C1968" s="263"/>
      <c r="D1968" s="263"/>
      <c r="E1968" s="263"/>
      <c r="F1968" s="268"/>
      <c r="G1968" s="263"/>
      <c r="H1968" s="267"/>
      <c r="I1968" s="263"/>
      <c r="J1968" s="263"/>
      <c r="K1968" s="263"/>
      <c r="L1968" s="263"/>
      <c r="M1968" s="263"/>
      <c r="N1968" s="263"/>
      <c r="O1968" s="263"/>
      <c r="P1968" s="263"/>
      <c r="Q1968" s="263"/>
      <c r="R1968" s="263"/>
      <c r="S1968" s="263"/>
      <c r="T1968" s="263"/>
      <c r="U1968" s="246"/>
      <c r="V1968" s="246"/>
      <c r="W1968" s="246"/>
      <c r="X1968" s="246"/>
      <c r="Y1968" s="246"/>
      <c r="Z1968" s="246"/>
    </row>
    <row r="1969">
      <c r="A1969" s="263"/>
      <c r="B1969" s="267"/>
      <c r="C1969" s="263"/>
      <c r="D1969" s="263"/>
      <c r="E1969" s="263"/>
      <c r="F1969" s="268"/>
      <c r="G1969" s="263"/>
      <c r="H1969" s="267"/>
      <c r="I1969" s="263"/>
      <c r="J1969" s="263"/>
      <c r="K1969" s="263"/>
      <c r="L1969" s="263"/>
      <c r="M1969" s="263"/>
      <c r="N1969" s="263"/>
      <c r="O1969" s="263"/>
      <c r="P1969" s="263"/>
      <c r="Q1969" s="263"/>
      <c r="R1969" s="263"/>
      <c r="S1969" s="263"/>
      <c r="T1969" s="263"/>
      <c r="U1969" s="246"/>
      <c r="V1969" s="246"/>
      <c r="W1969" s="246"/>
      <c r="X1969" s="246"/>
      <c r="Y1969" s="246"/>
      <c r="Z1969" s="246"/>
    </row>
    <row r="1970">
      <c r="A1970" s="263"/>
      <c r="B1970" s="267"/>
      <c r="C1970" s="263"/>
      <c r="D1970" s="263"/>
      <c r="E1970" s="263"/>
      <c r="F1970" s="268"/>
      <c r="G1970" s="263"/>
      <c r="H1970" s="267"/>
      <c r="I1970" s="263"/>
      <c r="J1970" s="263"/>
      <c r="K1970" s="263"/>
      <c r="L1970" s="263"/>
      <c r="M1970" s="263"/>
      <c r="N1970" s="263"/>
      <c r="O1970" s="263"/>
      <c r="P1970" s="263"/>
      <c r="Q1970" s="263"/>
      <c r="R1970" s="263"/>
      <c r="S1970" s="263"/>
      <c r="T1970" s="263"/>
      <c r="U1970" s="246"/>
      <c r="V1970" s="246"/>
      <c r="W1970" s="246"/>
      <c r="X1970" s="246"/>
      <c r="Y1970" s="246"/>
      <c r="Z1970" s="246"/>
    </row>
    <row r="1971">
      <c r="A1971" s="263"/>
      <c r="B1971" s="267"/>
      <c r="C1971" s="263"/>
      <c r="D1971" s="263"/>
      <c r="E1971" s="263"/>
      <c r="F1971" s="268"/>
      <c r="G1971" s="263"/>
      <c r="H1971" s="267"/>
      <c r="I1971" s="263"/>
      <c r="J1971" s="263"/>
      <c r="K1971" s="263"/>
      <c r="L1971" s="263"/>
      <c r="M1971" s="263"/>
      <c r="N1971" s="263"/>
      <c r="O1971" s="263"/>
      <c r="P1971" s="263"/>
      <c r="Q1971" s="263"/>
      <c r="R1971" s="263"/>
      <c r="S1971" s="263"/>
      <c r="T1971" s="263"/>
      <c r="U1971" s="246"/>
      <c r="V1971" s="246"/>
      <c r="W1971" s="246"/>
      <c r="X1971" s="246"/>
      <c r="Y1971" s="246"/>
      <c r="Z1971" s="246"/>
    </row>
    <row r="1972">
      <c r="A1972" s="263"/>
      <c r="B1972" s="267"/>
      <c r="C1972" s="263"/>
      <c r="D1972" s="263"/>
      <c r="E1972" s="263"/>
      <c r="F1972" s="268"/>
      <c r="G1972" s="263"/>
      <c r="H1972" s="267"/>
      <c r="I1972" s="263"/>
      <c r="J1972" s="263"/>
      <c r="K1972" s="263"/>
      <c r="L1972" s="263"/>
      <c r="M1972" s="263"/>
      <c r="N1972" s="263"/>
      <c r="O1972" s="263"/>
      <c r="P1972" s="263"/>
      <c r="Q1972" s="263"/>
      <c r="R1972" s="263"/>
      <c r="S1972" s="263"/>
      <c r="T1972" s="263"/>
      <c r="U1972" s="246"/>
      <c r="V1972" s="246"/>
      <c r="W1972" s="246"/>
      <c r="X1972" s="246"/>
      <c r="Y1972" s="246"/>
      <c r="Z1972" s="246"/>
    </row>
    <row r="1973">
      <c r="A1973" s="263"/>
      <c r="B1973" s="267"/>
      <c r="C1973" s="263"/>
      <c r="D1973" s="263"/>
      <c r="E1973" s="263"/>
      <c r="F1973" s="268"/>
      <c r="G1973" s="263"/>
      <c r="H1973" s="267"/>
      <c r="I1973" s="263"/>
      <c r="J1973" s="263"/>
      <c r="K1973" s="263"/>
      <c r="L1973" s="263"/>
      <c r="M1973" s="263"/>
      <c r="N1973" s="263"/>
      <c r="O1973" s="263"/>
      <c r="P1973" s="263"/>
      <c r="Q1973" s="263"/>
      <c r="R1973" s="263"/>
      <c r="S1973" s="263"/>
      <c r="T1973" s="263"/>
      <c r="U1973" s="246"/>
      <c r="V1973" s="246"/>
      <c r="W1973" s="246"/>
      <c r="X1973" s="246"/>
      <c r="Y1973" s="246"/>
      <c r="Z1973" s="246"/>
    </row>
    <row r="1974">
      <c r="A1974" s="263"/>
      <c r="B1974" s="267"/>
      <c r="C1974" s="263"/>
      <c r="D1974" s="263"/>
      <c r="E1974" s="263"/>
      <c r="F1974" s="268"/>
      <c r="G1974" s="263"/>
      <c r="H1974" s="267"/>
      <c r="I1974" s="263"/>
      <c r="J1974" s="263"/>
      <c r="K1974" s="263"/>
      <c r="L1974" s="263"/>
      <c r="M1974" s="263"/>
      <c r="N1974" s="263"/>
      <c r="O1974" s="263"/>
      <c r="P1974" s="263"/>
      <c r="Q1974" s="263"/>
      <c r="R1974" s="263"/>
      <c r="S1974" s="263"/>
      <c r="T1974" s="263"/>
      <c r="U1974" s="246"/>
      <c r="V1974" s="246"/>
      <c r="W1974" s="246"/>
      <c r="X1974" s="246"/>
      <c r="Y1974" s="246"/>
      <c r="Z1974" s="246"/>
    </row>
    <row r="1975">
      <c r="A1975" s="263"/>
      <c r="B1975" s="267"/>
      <c r="C1975" s="263"/>
      <c r="D1975" s="263"/>
      <c r="E1975" s="263"/>
      <c r="F1975" s="268"/>
      <c r="G1975" s="263"/>
      <c r="H1975" s="267"/>
      <c r="I1975" s="263"/>
      <c r="J1975" s="263"/>
      <c r="K1975" s="263"/>
      <c r="L1975" s="263"/>
      <c r="M1975" s="263"/>
      <c r="N1975" s="263"/>
      <c r="O1975" s="263"/>
      <c r="P1975" s="263"/>
      <c r="Q1975" s="263"/>
      <c r="R1975" s="263"/>
      <c r="S1975" s="263"/>
      <c r="T1975" s="263"/>
      <c r="U1975" s="246"/>
      <c r="V1975" s="246"/>
      <c r="W1975" s="246"/>
      <c r="X1975" s="246"/>
      <c r="Y1975" s="246"/>
      <c r="Z1975" s="246"/>
    </row>
    <row r="1976">
      <c r="A1976" s="263"/>
      <c r="B1976" s="267"/>
      <c r="C1976" s="263"/>
      <c r="D1976" s="263"/>
      <c r="E1976" s="263"/>
      <c r="F1976" s="268"/>
      <c r="G1976" s="263"/>
      <c r="H1976" s="267"/>
      <c r="I1976" s="263"/>
      <c r="J1976" s="263"/>
      <c r="K1976" s="263"/>
      <c r="L1976" s="263"/>
      <c r="M1976" s="263"/>
      <c r="N1976" s="263"/>
      <c r="O1976" s="263"/>
      <c r="P1976" s="263"/>
      <c r="Q1976" s="263"/>
      <c r="R1976" s="263"/>
      <c r="S1976" s="263"/>
      <c r="T1976" s="263"/>
      <c r="U1976" s="246"/>
      <c r="V1976" s="246"/>
      <c r="W1976" s="246"/>
      <c r="X1976" s="246"/>
      <c r="Y1976" s="246"/>
      <c r="Z1976" s="246"/>
    </row>
    <row r="1977">
      <c r="A1977" s="263"/>
      <c r="B1977" s="267"/>
      <c r="C1977" s="263"/>
      <c r="D1977" s="263"/>
      <c r="E1977" s="263"/>
      <c r="F1977" s="268"/>
      <c r="G1977" s="263"/>
      <c r="H1977" s="267"/>
      <c r="I1977" s="263"/>
      <c r="J1977" s="263"/>
      <c r="K1977" s="263"/>
      <c r="L1977" s="263"/>
      <c r="M1977" s="263"/>
      <c r="N1977" s="263"/>
      <c r="O1977" s="263"/>
      <c r="P1977" s="263"/>
      <c r="Q1977" s="263"/>
      <c r="R1977" s="263"/>
      <c r="S1977" s="263"/>
      <c r="T1977" s="263"/>
      <c r="U1977" s="246"/>
      <c r="V1977" s="246"/>
      <c r="W1977" s="246"/>
      <c r="X1977" s="246"/>
      <c r="Y1977" s="246"/>
      <c r="Z1977" s="246"/>
    </row>
    <row r="1978">
      <c r="A1978" s="263"/>
      <c r="B1978" s="267"/>
      <c r="C1978" s="263"/>
      <c r="D1978" s="263"/>
      <c r="E1978" s="263"/>
      <c r="F1978" s="268"/>
      <c r="G1978" s="263"/>
      <c r="H1978" s="267"/>
      <c r="I1978" s="263"/>
      <c r="J1978" s="263"/>
      <c r="K1978" s="263"/>
      <c r="L1978" s="263"/>
      <c r="M1978" s="263"/>
      <c r="N1978" s="263"/>
      <c r="O1978" s="263"/>
      <c r="P1978" s="263"/>
      <c r="Q1978" s="263"/>
      <c r="R1978" s="263"/>
      <c r="S1978" s="263"/>
      <c r="T1978" s="263"/>
      <c r="U1978" s="246"/>
      <c r="V1978" s="246"/>
      <c r="W1978" s="246"/>
      <c r="X1978" s="246"/>
      <c r="Y1978" s="246"/>
      <c r="Z1978" s="246"/>
    </row>
    <row r="1979">
      <c r="A1979" s="263"/>
      <c r="B1979" s="267"/>
      <c r="C1979" s="263"/>
      <c r="D1979" s="263"/>
      <c r="E1979" s="263"/>
      <c r="F1979" s="268"/>
      <c r="G1979" s="263"/>
      <c r="H1979" s="267"/>
      <c r="I1979" s="263"/>
      <c r="J1979" s="263"/>
      <c r="K1979" s="263"/>
      <c r="L1979" s="263"/>
      <c r="M1979" s="263"/>
      <c r="N1979" s="263"/>
      <c r="O1979" s="263"/>
      <c r="P1979" s="263"/>
      <c r="Q1979" s="263"/>
      <c r="R1979" s="263"/>
      <c r="S1979" s="263"/>
      <c r="T1979" s="263"/>
      <c r="U1979" s="246"/>
      <c r="V1979" s="246"/>
      <c r="W1979" s="246"/>
      <c r="X1979" s="246"/>
      <c r="Y1979" s="246"/>
      <c r="Z1979" s="246"/>
    </row>
    <row r="1980">
      <c r="A1980" s="263"/>
      <c r="B1980" s="267"/>
      <c r="C1980" s="263"/>
      <c r="D1980" s="263"/>
      <c r="E1980" s="263"/>
      <c r="F1980" s="268"/>
      <c r="G1980" s="263"/>
      <c r="H1980" s="267"/>
      <c r="I1980" s="263"/>
      <c r="J1980" s="263"/>
      <c r="K1980" s="263"/>
      <c r="L1980" s="263"/>
      <c r="M1980" s="263"/>
      <c r="N1980" s="263"/>
      <c r="O1980" s="263"/>
      <c r="P1980" s="263"/>
      <c r="Q1980" s="263"/>
      <c r="R1980" s="263"/>
      <c r="S1980" s="263"/>
      <c r="T1980" s="263"/>
      <c r="U1980" s="246"/>
      <c r="V1980" s="246"/>
      <c r="W1980" s="246"/>
      <c r="X1980" s="246"/>
      <c r="Y1980" s="246"/>
      <c r="Z1980" s="246"/>
    </row>
    <row r="1981">
      <c r="A1981" s="263"/>
      <c r="B1981" s="267"/>
      <c r="C1981" s="263"/>
      <c r="D1981" s="263"/>
      <c r="E1981" s="263"/>
      <c r="F1981" s="268"/>
      <c r="G1981" s="263"/>
      <c r="H1981" s="267"/>
      <c r="I1981" s="263"/>
      <c r="J1981" s="263"/>
      <c r="K1981" s="263"/>
      <c r="L1981" s="263"/>
      <c r="M1981" s="263"/>
      <c r="N1981" s="263"/>
      <c r="O1981" s="263"/>
      <c r="P1981" s="263"/>
      <c r="Q1981" s="263"/>
      <c r="R1981" s="263"/>
      <c r="S1981" s="263"/>
      <c r="T1981" s="263"/>
      <c r="U1981" s="246"/>
      <c r="V1981" s="246"/>
      <c r="W1981" s="246"/>
      <c r="X1981" s="246"/>
      <c r="Y1981" s="246"/>
      <c r="Z1981" s="246"/>
    </row>
    <row r="1982">
      <c r="A1982" s="263"/>
      <c r="B1982" s="267"/>
      <c r="C1982" s="263"/>
      <c r="D1982" s="263"/>
      <c r="E1982" s="263"/>
      <c r="F1982" s="268"/>
      <c r="G1982" s="263"/>
      <c r="H1982" s="267"/>
      <c r="I1982" s="263"/>
      <c r="J1982" s="263"/>
      <c r="K1982" s="263"/>
      <c r="L1982" s="263"/>
      <c r="M1982" s="263"/>
      <c r="N1982" s="263"/>
      <c r="O1982" s="263"/>
      <c r="P1982" s="263"/>
      <c r="Q1982" s="263"/>
      <c r="R1982" s="263"/>
      <c r="S1982" s="263"/>
      <c r="T1982" s="263"/>
      <c r="U1982" s="246"/>
      <c r="V1982" s="246"/>
      <c r="W1982" s="246"/>
      <c r="X1982" s="246"/>
      <c r="Y1982" s="246"/>
      <c r="Z1982" s="246"/>
    </row>
    <row r="1983">
      <c r="A1983" s="263"/>
      <c r="B1983" s="267"/>
      <c r="C1983" s="263"/>
      <c r="D1983" s="263"/>
      <c r="E1983" s="263"/>
      <c r="F1983" s="268"/>
      <c r="G1983" s="263"/>
      <c r="H1983" s="267"/>
      <c r="I1983" s="263"/>
      <c r="J1983" s="263"/>
      <c r="K1983" s="263"/>
      <c r="L1983" s="263"/>
      <c r="M1983" s="263"/>
      <c r="N1983" s="263"/>
      <c r="O1983" s="263"/>
      <c r="P1983" s="263"/>
      <c r="Q1983" s="263"/>
      <c r="R1983" s="263"/>
      <c r="S1983" s="263"/>
      <c r="T1983" s="263"/>
      <c r="U1983" s="246"/>
      <c r="V1983" s="246"/>
      <c r="W1983" s="246"/>
      <c r="X1983" s="246"/>
      <c r="Y1983" s="246"/>
      <c r="Z1983" s="246"/>
    </row>
    <row r="1984">
      <c r="A1984" s="263"/>
      <c r="B1984" s="267"/>
      <c r="C1984" s="263"/>
      <c r="D1984" s="263"/>
      <c r="E1984" s="263"/>
      <c r="F1984" s="268"/>
      <c r="G1984" s="263"/>
      <c r="H1984" s="267"/>
      <c r="I1984" s="263"/>
      <c r="J1984" s="263"/>
      <c r="K1984" s="263"/>
      <c r="L1984" s="263"/>
      <c r="M1984" s="263"/>
      <c r="N1984" s="263"/>
      <c r="O1984" s="263"/>
      <c r="P1984" s="263"/>
      <c r="Q1984" s="263"/>
      <c r="R1984" s="263"/>
      <c r="S1984" s="263"/>
      <c r="T1984" s="263"/>
      <c r="U1984" s="246"/>
      <c r="V1984" s="246"/>
      <c r="W1984" s="246"/>
      <c r="X1984" s="246"/>
      <c r="Y1984" s="246"/>
      <c r="Z1984" s="246"/>
    </row>
    <row r="1985">
      <c r="A1985" s="263"/>
      <c r="B1985" s="267"/>
      <c r="C1985" s="263"/>
      <c r="D1985" s="263"/>
      <c r="E1985" s="263"/>
      <c r="F1985" s="268"/>
      <c r="G1985" s="263"/>
      <c r="H1985" s="267"/>
      <c r="I1985" s="263"/>
      <c r="J1985" s="263"/>
      <c r="K1985" s="263"/>
      <c r="L1985" s="263"/>
      <c r="M1985" s="263"/>
      <c r="N1985" s="263"/>
      <c r="O1985" s="263"/>
      <c r="P1985" s="263"/>
      <c r="Q1985" s="263"/>
      <c r="R1985" s="263"/>
      <c r="S1985" s="263"/>
      <c r="T1985" s="263"/>
      <c r="U1985" s="246"/>
      <c r="V1985" s="246"/>
      <c r="W1985" s="246"/>
      <c r="X1985" s="246"/>
      <c r="Y1985" s="246"/>
      <c r="Z1985" s="246"/>
    </row>
    <row r="1986">
      <c r="A1986" s="263"/>
      <c r="B1986" s="267"/>
      <c r="C1986" s="263"/>
      <c r="D1986" s="263"/>
      <c r="E1986" s="263"/>
      <c r="F1986" s="268"/>
      <c r="G1986" s="263"/>
      <c r="H1986" s="267"/>
      <c r="I1986" s="263"/>
      <c r="J1986" s="263"/>
      <c r="K1986" s="263"/>
      <c r="L1986" s="263"/>
      <c r="M1986" s="263"/>
      <c r="N1986" s="263"/>
      <c r="O1986" s="263"/>
      <c r="P1986" s="263"/>
      <c r="Q1986" s="263"/>
      <c r="R1986" s="263"/>
      <c r="S1986" s="263"/>
      <c r="T1986" s="263"/>
      <c r="U1986" s="246"/>
      <c r="V1986" s="246"/>
      <c r="W1986" s="246"/>
      <c r="X1986" s="246"/>
      <c r="Y1986" s="246"/>
      <c r="Z1986" s="246"/>
    </row>
    <row r="1987">
      <c r="A1987" s="263"/>
      <c r="B1987" s="267"/>
      <c r="C1987" s="263"/>
      <c r="D1987" s="263"/>
      <c r="E1987" s="263"/>
      <c r="F1987" s="268"/>
      <c r="G1987" s="263"/>
      <c r="H1987" s="267"/>
      <c r="I1987" s="263"/>
      <c r="J1987" s="263"/>
      <c r="K1987" s="263"/>
      <c r="L1987" s="263"/>
      <c r="M1987" s="263"/>
      <c r="N1987" s="263"/>
      <c r="O1987" s="263"/>
      <c r="P1987" s="263"/>
      <c r="Q1987" s="263"/>
      <c r="R1987" s="263"/>
      <c r="S1987" s="263"/>
      <c r="T1987" s="263"/>
      <c r="U1987" s="246"/>
      <c r="V1987" s="246"/>
      <c r="W1987" s="246"/>
      <c r="X1987" s="246"/>
      <c r="Y1987" s="246"/>
      <c r="Z1987" s="246"/>
    </row>
    <row r="1988">
      <c r="A1988" s="263"/>
      <c r="B1988" s="267"/>
      <c r="C1988" s="263"/>
      <c r="D1988" s="263"/>
      <c r="E1988" s="263"/>
      <c r="F1988" s="268"/>
      <c r="G1988" s="263"/>
      <c r="H1988" s="267"/>
      <c r="I1988" s="263"/>
      <c r="J1988" s="263"/>
      <c r="K1988" s="263"/>
      <c r="L1988" s="263"/>
      <c r="M1988" s="263"/>
      <c r="N1988" s="263"/>
      <c r="O1988" s="263"/>
      <c r="P1988" s="263"/>
      <c r="Q1988" s="263"/>
      <c r="R1988" s="263"/>
      <c r="S1988" s="263"/>
      <c r="T1988" s="263"/>
      <c r="U1988" s="246"/>
      <c r="V1988" s="246"/>
      <c r="W1988" s="246"/>
      <c r="X1988" s="246"/>
      <c r="Y1988" s="246"/>
      <c r="Z1988" s="246"/>
    </row>
    <row r="1989">
      <c r="A1989" s="263"/>
      <c r="B1989" s="267"/>
      <c r="C1989" s="263"/>
      <c r="D1989" s="263"/>
      <c r="E1989" s="263"/>
      <c r="F1989" s="268"/>
      <c r="G1989" s="263"/>
      <c r="H1989" s="267"/>
      <c r="I1989" s="263"/>
      <c r="J1989" s="263"/>
      <c r="K1989" s="263"/>
      <c r="L1989" s="263"/>
      <c r="M1989" s="263"/>
      <c r="N1989" s="263"/>
      <c r="O1989" s="263"/>
      <c r="P1989" s="263"/>
      <c r="Q1989" s="263"/>
      <c r="R1989" s="263"/>
      <c r="S1989" s="263"/>
      <c r="T1989" s="263"/>
      <c r="U1989" s="246"/>
      <c r="V1989" s="246"/>
      <c r="W1989" s="246"/>
      <c r="X1989" s="246"/>
      <c r="Y1989" s="246"/>
      <c r="Z1989" s="246"/>
    </row>
    <row r="1990">
      <c r="A1990" s="263"/>
      <c r="B1990" s="267"/>
      <c r="C1990" s="263"/>
      <c r="D1990" s="263"/>
      <c r="E1990" s="263"/>
      <c r="F1990" s="268"/>
      <c r="G1990" s="263"/>
      <c r="H1990" s="267"/>
      <c r="I1990" s="263"/>
      <c r="J1990" s="263"/>
      <c r="K1990" s="263"/>
      <c r="L1990" s="263"/>
      <c r="M1990" s="263"/>
      <c r="N1990" s="263"/>
      <c r="O1990" s="263"/>
      <c r="P1990" s="263"/>
      <c r="Q1990" s="263"/>
      <c r="R1990" s="263"/>
      <c r="S1990" s="263"/>
      <c r="T1990" s="263"/>
      <c r="U1990" s="246"/>
      <c r="V1990" s="246"/>
      <c r="W1990" s="246"/>
      <c r="X1990" s="246"/>
      <c r="Y1990" s="246"/>
      <c r="Z1990" s="246"/>
    </row>
    <row r="1991">
      <c r="A1991" s="263"/>
      <c r="B1991" s="267"/>
      <c r="C1991" s="263"/>
      <c r="D1991" s="263"/>
      <c r="E1991" s="263"/>
      <c r="F1991" s="268"/>
      <c r="G1991" s="263"/>
      <c r="H1991" s="267"/>
      <c r="I1991" s="263"/>
      <c r="J1991" s="263"/>
      <c r="K1991" s="263"/>
      <c r="L1991" s="263"/>
      <c r="M1991" s="263"/>
      <c r="N1991" s="263"/>
      <c r="O1991" s="263"/>
      <c r="P1991" s="263"/>
      <c r="Q1991" s="263"/>
      <c r="R1991" s="263"/>
      <c r="S1991" s="263"/>
      <c r="T1991" s="263"/>
      <c r="U1991" s="246"/>
      <c r="V1991" s="246"/>
      <c r="W1991" s="246"/>
      <c r="X1991" s="246"/>
      <c r="Y1991" s="246"/>
      <c r="Z1991" s="246"/>
    </row>
    <row r="1992">
      <c r="A1992" s="263"/>
      <c r="B1992" s="267"/>
      <c r="C1992" s="263"/>
      <c r="D1992" s="263"/>
      <c r="E1992" s="263"/>
      <c r="F1992" s="268"/>
      <c r="G1992" s="263"/>
      <c r="H1992" s="267"/>
      <c r="I1992" s="263"/>
      <c r="J1992" s="263"/>
      <c r="K1992" s="263"/>
      <c r="L1992" s="263"/>
      <c r="M1992" s="263"/>
      <c r="N1992" s="263"/>
      <c r="O1992" s="263"/>
      <c r="P1992" s="263"/>
      <c r="Q1992" s="263"/>
      <c r="R1992" s="263"/>
      <c r="S1992" s="263"/>
      <c r="T1992" s="263"/>
      <c r="U1992" s="246"/>
      <c r="V1992" s="246"/>
      <c r="W1992" s="246"/>
      <c r="X1992" s="246"/>
      <c r="Y1992" s="246"/>
      <c r="Z1992" s="246"/>
    </row>
    <row r="1993">
      <c r="A1993" s="263"/>
      <c r="B1993" s="267"/>
      <c r="C1993" s="263"/>
      <c r="D1993" s="263"/>
      <c r="E1993" s="263"/>
      <c r="F1993" s="268"/>
      <c r="G1993" s="263"/>
      <c r="H1993" s="267"/>
      <c r="I1993" s="263"/>
      <c r="J1993" s="263"/>
      <c r="K1993" s="263"/>
      <c r="L1993" s="263"/>
      <c r="M1993" s="263"/>
      <c r="N1993" s="263"/>
      <c r="O1993" s="263"/>
      <c r="P1993" s="263"/>
      <c r="Q1993" s="263"/>
      <c r="R1993" s="263"/>
      <c r="S1993" s="263"/>
      <c r="T1993" s="263"/>
      <c r="U1993" s="246"/>
      <c r="V1993" s="246"/>
      <c r="W1993" s="246"/>
      <c r="X1993" s="246"/>
      <c r="Y1993" s="246"/>
      <c r="Z1993" s="246"/>
    </row>
    <row r="1994">
      <c r="A1994" s="263"/>
      <c r="B1994" s="267"/>
      <c r="C1994" s="263"/>
      <c r="D1994" s="263"/>
      <c r="E1994" s="263"/>
      <c r="F1994" s="268"/>
      <c r="G1994" s="263"/>
      <c r="H1994" s="267"/>
      <c r="I1994" s="263"/>
      <c r="J1994" s="263"/>
      <c r="K1994" s="263"/>
      <c r="L1994" s="263"/>
      <c r="M1994" s="263"/>
      <c r="N1994" s="263"/>
      <c r="O1994" s="263"/>
      <c r="P1994" s="263"/>
      <c r="Q1994" s="263"/>
      <c r="R1994" s="263"/>
      <c r="S1994" s="263"/>
      <c r="T1994" s="263"/>
      <c r="U1994" s="246"/>
      <c r="V1994" s="246"/>
      <c r="W1994" s="246"/>
      <c r="X1994" s="246"/>
      <c r="Y1994" s="246"/>
      <c r="Z1994" s="246"/>
    </row>
    <row r="1995">
      <c r="A1995" s="263"/>
      <c r="B1995" s="267"/>
      <c r="C1995" s="263"/>
      <c r="D1995" s="263"/>
      <c r="E1995" s="263"/>
      <c r="F1995" s="268"/>
      <c r="G1995" s="263"/>
      <c r="H1995" s="267"/>
      <c r="I1995" s="263"/>
      <c r="J1995" s="263"/>
      <c r="K1995" s="263"/>
      <c r="L1995" s="263"/>
      <c r="M1995" s="263"/>
      <c r="N1995" s="263"/>
      <c r="O1995" s="263"/>
      <c r="P1995" s="263"/>
      <c r="Q1995" s="263"/>
      <c r="R1995" s="263"/>
      <c r="S1995" s="263"/>
      <c r="T1995" s="263"/>
      <c r="U1995" s="246"/>
      <c r="V1995" s="246"/>
      <c r="W1995" s="246"/>
      <c r="X1995" s="246"/>
      <c r="Y1995" s="246"/>
      <c r="Z1995" s="246"/>
    </row>
    <row r="1996">
      <c r="A1996" s="263"/>
      <c r="B1996" s="267"/>
      <c r="C1996" s="263"/>
      <c r="D1996" s="263"/>
      <c r="E1996" s="263"/>
      <c r="F1996" s="268"/>
      <c r="G1996" s="263"/>
      <c r="H1996" s="267"/>
      <c r="I1996" s="263"/>
      <c r="J1996" s="263"/>
      <c r="K1996" s="263"/>
      <c r="L1996" s="263"/>
      <c r="M1996" s="263"/>
      <c r="N1996" s="263"/>
      <c r="O1996" s="263"/>
      <c r="P1996" s="263"/>
      <c r="Q1996" s="263"/>
      <c r="R1996" s="263"/>
      <c r="S1996" s="263"/>
      <c r="T1996" s="263"/>
      <c r="U1996" s="246"/>
      <c r="V1996" s="246"/>
      <c r="W1996" s="246"/>
      <c r="X1996" s="246"/>
      <c r="Y1996" s="246"/>
      <c r="Z1996" s="246"/>
    </row>
    <row r="1997">
      <c r="A1997" s="263"/>
      <c r="B1997" s="267"/>
      <c r="C1997" s="263"/>
      <c r="D1997" s="263"/>
      <c r="E1997" s="263"/>
      <c r="F1997" s="268"/>
      <c r="G1997" s="263"/>
      <c r="H1997" s="267"/>
      <c r="I1997" s="263"/>
      <c r="J1997" s="263"/>
      <c r="K1997" s="263"/>
      <c r="L1997" s="263"/>
      <c r="M1997" s="263"/>
      <c r="N1997" s="263"/>
      <c r="O1997" s="263"/>
      <c r="P1997" s="263"/>
      <c r="Q1997" s="263"/>
      <c r="R1997" s="263"/>
      <c r="S1997" s="263"/>
      <c r="T1997" s="263"/>
      <c r="U1997" s="246"/>
      <c r="V1997" s="246"/>
      <c r="W1997" s="246"/>
      <c r="X1997" s="246"/>
      <c r="Y1997" s="246"/>
      <c r="Z1997" s="246"/>
    </row>
    <row r="1998">
      <c r="A1998" s="263"/>
      <c r="B1998" s="267"/>
      <c r="C1998" s="263"/>
      <c r="D1998" s="263"/>
      <c r="E1998" s="263"/>
      <c r="F1998" s="268"/>
      <c r="G1998" s="263"/>
      <c r="H1998" s="267"/>
      <c r="I1998" s="263"/>
      <c r="J1998" s="263"/>
      <c r="K1998" s="263"/>
      <c r="L1998" s="263"/>
      <c r="M1998" s="263"/>
      <c r="N1998" s="263"/>
      <c r="O1998" s="263"/>
      <c r="P1998" s="263"/>
      <c r="Q1998" s="263"/>
      <c r="R1998" s="263"/>
      <c r="S1998" s="263"/>
      <c r="T1998" s="263"/>
      <c r="U1998" s="246"/>
      <c r="V1998" s="246"/>
      <c r="W1998" s="246"/>
      <c r="X1998" s="246"/>
      <c r="Y1998" s="246"/>
      <c r="Z1998" s="246"/>
    </row>
    <row r="1999">
      <c r="A1999" s="263"/>
      <c r="B1999" s="267"/>
      <c r="C1999" s="263"/>
      <c r="D1999" s="263"/>
      <c r="E1999" s="263"/>
      <c r="F1999" s="268"/>
      <c r="G1999" s="263"/>
      <c r="H1999" s="267"/>
      <c r="I1999" s="263"/>
      <c r="J1999" s="263"/>
      <c r="K1999" s="263"/>
      <c r="L1999" s="263"/>
      <c r="M1999" s="263"/>
      <c r="N1999" s="263"/>
      <c r="O1999" s="263"/>
      <c r="P1999" s="263"/>
      <c r="Q1999" s="263"/>
      <c r="R1999" s="263"/>
      <c r="S1999" s="263"/>
      <c r="T1999" s="263"/>
      <c r="U1999" s="246"/>
      <c r="V1999" s="246"/>
      <c r="W1999" s="246"/>
      <c r="X1999" s="246"/>
      <c r="Y1999" s="246"/>
      <c r="Z1999" s="246"/>
    </row>
    <row r="2000">
      <c r="A2000" s="263"/>
      <c r="B2000" s="267"/>
      <c r="C2000" s="263"/>
      <c r="D2000" s="263"/>
      <c r="E2000" s="263"/>
      <c r="F2000" s="268"/>
      <c r="G2000" s="263"/>
      <c r="H2000" s="267"/>
      <c r="I2000" s="263"/>
      <c r="J2000" s="263"/>
      <c r="K2000" s="263"/>
      <c r="L2000" s="263"/>
      <c r="M2000" s="263"/>
      <c r="N2000" s="263"/>
      <c r="O2000" s="263"/>
      <c r="P2000" s="263"/>
      <c r="Q2000" s="263"/>
      <c r="R2000" s="263"/>
      <c r="S2000" s="263"/>
      <c r="T2000" s="263"/>
      <c r="U2000" s="246"/>
      <c r="V2000" s="246"/>
      <c r="W2000" s="246"/>
      <c r="X2000" s="246"/>
      <c r="Y2000" s="246"/>
      <c r="Z2000" s="246"/>
    </row>
    <row r="2001">
      <c r="A2001" s="263"/>
      <c r="B2001" s="267"/>
      <c r="C2001" s="263"/>
      <c r="D2001" s="263"/>
      <c r="E2001" s="263"/>
      <c r="F2001" s="268"/>
      <c r="G2001" s="263"/>
      <c r="H2001" s="267"/>
      <c r="I2001" s="263"/>
      <c r="J2001" s="263"/>
      <c r="K2001" s="263"/>
      <c r="L2001" s="263"/>
      <c r="M2001" s="263"/>
      <c r="N2001" s="263"/>
      <c r="O2001" s="263"/>
      <c r="P2001" s="263"/>
      <c r="Q2001" s="263"/>
      <c r="R2001" s="263"/>
      <c r="S2001" s="263"/>
      <c r="T2001" s="263"/>
      <c r="U2001" s="246"/>
      <c r="V2001" s="246"/>
      <c r="W2001" s="246"/>
      <c r="X2001" s="246"/>
      <c r="Y2001" s="246"/>
      <c r="Z2001" s="246"/>
    </row>
    <row r="2002">
      <c r="A2002" s="263"/>
      <c r="B2002" s="267"/>
      <c r="C2002" s="263"/>
      <c r="D2002" s="263"/>
      <c r="E2002" s="263"/>
      <c r="F2002" s="268"/>
      <c r="G2002" s="263"/>
      <c r="H2002" s="267"/>
      <c r="I2002" s="263"/>
      <c r="J2002" s="263"/>
      <c r="K2002" s="263"/>
      <c r="L2002" s="263"/>
      <c r="M2002" s="263"/>
      <c r="N2002" s="263"/>
      <c r="O2002" s="263"/>
      <c r="P2002" s="263"/>
      <c r="Q2002" s="263"/>
      <c r="R2002" s="263"/>
      <c r="S2002" s="263"/>
      <c r="T2002" s="263"/>
      <c r="U2002" s="246"/>
      <c r="V2002" s="246"/>
      <c r="W2002" s="246"/>
      <c r="X2002" s="246"/>
      <c r="Y2002" s="246"/>
      <c r="Z2002" s="246"/>
    </row>
    <row r="2003">
      <c r="A2003" s="263"/>
      <c r="B2003" s="267"/>
      <c r="C2003" s="263"/>
      <c r="D2003" s="263"/>
      <c r="E2003" s="263"/>
      <c r="F2003" s="268"/>
      <c r="G2003" s="263"/>
      <c r="H2003" s="267"/>
      <c r="I2003" s="263"/>
      <c r="J2003" s="263"/>
      <c r="K2003" s="263"/>
      <c r="L2003" s="263"/>
      <c r="M2003" s="263"/>
      <c r="N2003" s="263"/>
      <c r="O2003" s="263"/>
      <c r="P2003" s="263"/>
      <c r="Q2003" s="263"/>
      <c r="R2003" s="263"/>
      <c r="S2003" s="263"/>
      <c r="T2003" s="263"/>
      <c r="U2003" s="246"/>
      <c r="V2003" s="246"/>
      <c r="W2003" s="246"/>
      <c r="X2003" s="246"/>
      <c r="Y2003" s="246"/>
      <c r="Z2003" s="246"/>
    </row>
    <row r="2004">
      <c r="A2004" s="263"/>
      <c r="B2004" s="267"/>
      <c r="C2004" s="263"/>
      <c r="D2004" s="263"/>
      <c r="E2004" s="263"/>
      <c r="F2004" s="268"/>
      <c r="G2004" s="263"/>
      <c r="H2004" s="267"/>
      <c r="I2004" s="263"/>
      <c r="J2004" s="263"/>
      <c r="K2004" s="263"/>
      <c r="L2004" s="263"/>
      <c r="M2004" s="263"/>
      <c r="N2004" s="263"/>
      <c r="O2004" s="263"/>
      <c r="P2004" s="263"/>
      <c r="Q2004" s="263"/>
      <c r="R2004" s="263"/>
      <c r="S2004" s="263"/>
      <c r="T2004" s="263"/>
      <c r="U2004" s="246"/>
      <c r="V2004" s="246"/>
      <c r="W2004" s="246"/>
      <c r="X2004" s="246"/>
      <c r="Y2004" s="246"/>
      <c r="Z2004" s="246"/>
    </row>
    <row r="2005">
      <c r="A2005" s="263"/>
      <c r="B2005" s="267"/>
      <c r="C2005" s="263"/>
      <c r="D2005" s="263"/>
      <c r="E2005" s="263"/>
      <c r="F2005" s="268"/>
      <c r="G2005" s="263"/>
      <c r="H2005" s="267"/>
      <c r="I2005" s="263"/>
      <c r="J2005" s="263"/>
      <c r="K2005" s="263"/>
      <c r="L2005" s="263"/>
      <c r="M2005" s="263"/>
      <c r="N2005" s="263"/>
      <c r="O2005" s="263"/>
      <c r="P2005" s="263"/>
      <c r="Q2005" s="263"/>
      <c r="R2005" s="263"/>
      <c r="S2005" s="263"/>
      <c r="T2005" s="263"/>
      <c r="U2005" s="246"/>
      <c r="V2005" s="246"/>
      <c r="W2005" s="246"/>
      <c r="X2005" s="246"/>
      <c r="Y2005" s="246"/>
      <c r="Z2005" s="246"/>
    </row>
    <row r="2006">
      <c r="A2006" s="263"/>
      <c r="B2006" s="267"/>
      <c r="C2006" s="263"/>
      <c r="D2006" s="263"/>
      <c r="E2006" s="263"/>
      <c r="F2006" s="268"/>
      <c r="G2006" s="263"/>
      <c r="H2006" s="267"/>
      <c r="I2006" s="263"/>
      <c r="J2006" s="263"/>
      <c r="K2006" s="263"/>
      <c r="L2006" s="263"/>
      <c r="M2006" s="263"/>
      <c r="N2006" s="263"/>
      <c r="O2006" s="263"/>
      <c r="P2006" s="263"/>
      <c r="Q2006" s="263"/>
      <c r="R2006" s="263"/>
      <c r="S2006" s="263"/>
      <c r="T2006" s="263"/>
      <c r="U2006" s="246"/>
      <c r="V2006" s="246"/>
      <c r="W2006" s="246"/>
      <c r="X2006" s="246"/>
      <c r="Y2006" s="246"/>
      <c r="Z2006" s="246"/>
    </row>
    <row r="2007">
      <c r="A2007" s="263"/>
      <c r="B2007" s="267"/>
      <c r="C2007" s="263"/>
      <c r="D2007" s="263"/>
      <c r="E2007" s="263"/>
      <c r="F2007" s="268"/>
      <c r="G2007" s="263"/>
      <c r="H2007" s="267"/>
      <c r="I2007" s="263"/>
      <c r="J2007" s="263"/>
      <c r="K2007" s="263"/>
      <c r="L2007" s="263"/>
      <c r="M2007" s="263"/>
      <c r="N2007" s="263"/>
      <c r="O2007" s="263"/>
      <c r="P2007" s="263"/>
      <c r="Q2007" s="263"/>
      <c r="R2007" s="263"/>
      <c r="S2007" s="263"/>
      <c r="T2007" s="263"/>
      <c r="U2007" s="246"/>
      <c r="V2007" s="246"/>
      <c r="W2007" s="246"/>
      <c r="X2007" s="246"/>
      <c r="Y2007" s="246"/>
      <c r="Z2007" s="246"/>
    </row>
    <row r="2008">
      <c r="A2008" s="263"/>
      <c r="B2008" s="267"/>
      <c r="C2008" s="263"/>
      <c r="D2008" s="263"/>
      <c r="E2008" s="263"/>
      <c r="F2008" s="268"/>
      <c r="G2008" s="263"/>
      <c r="H2008" s="267"/>
      <c r="I2008" s="263"/>
      <c r="J2008" s="263"/>
      <c r="K2008" s="263"/>
      <c r="L2008" s="263"/>
      <c r="M2008" s="263"/>
      <c r="N2008" s="263"/>
      <c r="O2008" s="263"/>
      <c r="P2008" s="263"/>
      <c r="Q2008" s="263"/>
      <c r="R2008" s="263"/>
      <c r="S2008" s="263"/>
      <c r="T2008" s="263"/>
      <c r="U2008" s="246"/>
      <c r="V2008" s="246"/>
      <c r="W2008" s="246"/>
      <c r="X2008" s="246"/>
      <c r="Y2008" s="246"/>
      <c r="Z2008" s="246"/>
    </row>
    <row r="2009">
      <c r="A2009" s="263"/>
      <c r="B2009" s="267"/>
      <c r="C2009" s="263"/>
      <c r="D2009" s="263"/>
      <c r="E2009" s="263"/>
      <c r="F2009" s="268"/>
      <c r="G2009" s="263"/>
      <c r="H2009" s="267"/>
      <c r="I2009" s="263"/>
      <c r="J2009" s="263"/>
      <c r="K2009" s="263"/>
      <c r="L2009" s="263"/>
      <c r="M2009" s="263"/>
      <c r="N2009" s="263"/>
      <c r="O2009" s="263"/>
      <c r="P2009" s="263"/>
      <c r="Q2009" s="263"/>
      <c r="R2009" s="263"/>
      <c r="S2009" s="263"/>
      <c r="T2009" s="263"/>
      <c r="U2009" s="246"/>
      <c r="V2009" s="246"/>
      <c r="W2009" s="246"/>
      <c r="X2009" s="246"/>
      <c r="Y2009" s="246"/>
      <c r="Z2009" s="246"/>
    </row>
    <row r="2010">
      <c r="A2010" s="263"/>
      <c r="B2010" s="267"/>
      <c r="C2010" s="263"/>
      <c r="D2010" s="263"/>
      <c r="E2010" s="263"/>
      <c r="F2010" s="268"/>
      <c r="G2010" s="263"/>
      <c r="H2010" s="267"/>
      <c r="I2010" s="263"/>
      <c r="J2010" s="263"/>
      <c r="K2010" s="263"/>
      <c r="L2010" s="263"/>
      <c r="M2010" s="263"/>
      <c r="N2010" s="263"/>
      <c r="O2010" s="263"/>
      <c r="P2010" s="263"/>
      <c r="Q2010" s="263"/>
      <c r="R2010" s="263"/>
      <c r="S2010" s="263"/>
      <c r="T2010" s="263"/>
      <c r="U2010" s="246"/>
      <c r="V2010" s="246"/>
      <c r="W2010" s="246"/>
      <c r="X2010" s="246"/>
      <c r="Y2010" s="246"/>
      <c r="Z2010" s="246"/>
    </row>
    <row r="2011">
      <c r="A2011" s="263"/>
      <c r="B2011" s="267"/>
      <c r="C2011" s="263"/>
      <c r="D2011" s="263"/>
      <c r="E2011" s="263"/>
      <c r="F2011" s="268"/>
      <c r="G2011" s="263"/>
      <c r="H2011" s="267"/>
      <c r="I2011" s="263"/>
      <c r="J2011" s="263"/>
      <c r="K2011" s="263"/>
      <c r="L2011" s="263"/>
      <c r="M2011" s="263"/>
      <c r="N2011" s="263"/>
      <c r="O2011" s="263"/>
      <c r="P2011" s="263"/>
      <c r="Q2011" s="263"/>
      <c r="R2011" s="263"/>
      <c r="S2011" s="263"/>
      <c r="T2011" s="263"/>
      <c r="U2011" s="246"/>
      <c r="V2011" s="246"/>
      <c r="W2011" s="246"/>
      <c r="X2011" s="246"/>
      <c r="Y2011" s="246"/>
      <c r="Z2011" s="246"/>
    </row>
    <row r="2012">
      <c r="A2012" s="263"/>
      <c r="B2012" s="267"/>
      <c r="C2012" s="263"/>
      <c r="D2012" s="263"/>
      <c r="E2012" s="263"/>
      <c r="F2012" s="268"/>
      <c r="G2012" s="263"/>
      <c r="H2012" s="267"/>
      <c r="I2012" s="263"/>
      <c r="J2012" s="263"/>
      <c r="K2012" s="263"/>
      <c r="L2012" s="263"/>
      <c r="M2012" s="263"/>
      <c r="N2012" s="263"/>
      <c r="O2012" s="263"/>
      <c r="P2012" s="263"/>
      <c r="Q2012" s="263"/>
      <c r="R2012" s="263"/>
      <c r="S2012" s="263"/>
      <c r="T2012" s="263"/>
      <c r="U2012" s="246"/>
      <c r="V2012" s="246"/>
      <c r="W2012" s="246"/>
      <c r="X2012" s="246"/>
      <c r="Y2012" s="246"/>
      <c r="Z2012" s="246"/>
    </row>
    <row r="2013">
      <c r="A2013" s="263"/>
      <c r="B2013" s="267"/>
      <c r="C2013" s="263"/>
      <c r="D2013" s="263"/>
      <c r="E2013" s="263"/>
      <c r="F2013" s="268"/>
      <c r="G2013" s="263"/>
      <c r="H2013" s="267"/>
      <c r="I2013" s="263"/>
      <c r="J2013" s="263"/>
      <c r="K2013" s="263"/>
      <c r="L2013" s="263"/>
      <c r="M2013" s="263"/>
      <c r="N2013" s="263"/>
      <c r="O2013" s="263"/>
      <c r="P2013" s="263"/>
      <c r="Q2013" s="263"/>
      <c r="R2013" s="263"/>
      <c r="S2013" s="263"/>
      <c r="T2013" s="263"/>
      <c r="U2013" s="246"/>
      <c r="V2013" s="246"/>
      <c r="W2013" s="246"/>
      <c r="X2013" s="246"/>
      <c r="Y2013" s="246"/>
      <c r="Z2013" s="246"/>
    </row>
    <row r="2014">
      <c r="A2014" s="263"/>
      <c r="B2014" s="267"/>
      <c r="C2014" s="263"/>
      <c r="D2014" s="263"/>
      <c r="E2014" s="263"/>
      <c r="F2014" s="268"/>
      <c r="G2014" s="263"/>
      <c r="H2014" s="267"/>
      <c r="I2014" s="263"/>
      <c r="J2014" s="263"/>
      <c r="K2014" s="263"/>
      <c r="L2014" s="263"/>
      <c r="M2014" s="263"/>
      <c r="N2014" s="263"/>
      <c r="O2014" s="263"/>
      <c r="P2014" s="263"/>
      <c r="Q2014" s="263"/>
      <c r="R2014" s="263"/>
      <c r="S2014" s="263"/>
      <c r="T2014" s="263"/>
      <c r="U2014" s="246"/>
      <c r="V2014" s="246"/>
      <c r="W2014" s="246"/>
      <c r="X2014" s="246"/>
      <c r="Y2014" s="246"/>
      <c r="Z2014" s="246"/>
    </row>
    <row r="2015">
      <c r="A2015" s="263"/>
      <c r="B2015" s="267"/>
      <c r="C2015" s="263"/>
      <c r="D2015" s="263"/>
      <c r="E2015" s="263"/>
      <c r="F2015" s="268"/>
      <c r="G2015" s="263"/>
      <c r="H2015" s="267"/>
      <c r="I2015" s="263"/>
      <c r="J2015" s="263"/>
      <c r="K2015" s="263"/>
      <c r="L2015" s="263"/>
      <c r="M2015" s="263"/>
      <c r="N2015" s="263"/>
      <c r="O2015" s="263"/>
      <c r="P2015" s="263"/>
      <c r="Q2015" s="263"/>
      <c r="R2015" s="263"/>
      <c r="S2015" s="263"/>
      <c r="T2015" s="263"/>
      <c r="U2015" s="246"/>
      <c r="V2015" s="246"/>
      <c r="W2015" s="246"/>
      <c r="X2015" s="246"/>
      <c r="Y2015" s="246"/>
      <c r="Z2015" s="246"/>
    </row>
    <row r="2016">
      <c r="A2016" s="263"/>
      <c r="B2016" s="267"/>
      <c r="C2016" s="263"/>
      <c r="D2016" s="263"/>
      <c r="E2016" s="263"/>
      <c r="F2016" s="268"/>
      <c r="G2016" s="263"/>
      <c r="H2016" s="267"/>
      <c r="I2016" s="263"/>
      <c r="J2016" s="263"/>
      <c r="K2016" s="263"/>
      <c r="L2016" s="263"/>
      <c r="M2016" s="263"/>
      <c r="N2016" s="263"/>
      <c r="O2016" s="263"/>
      <c r="P2016" s="263"/>
      <c r="Q2016" s="263"/>
      <c r="R2016" s="263"/>
      <c r="S2016" s="263"/>
      <c r="T2016" s="263"/>
      <c r="U2016" s="246"/>
      <c r="V2016" s="246"/>
      <c r="W2016" s="246"/>
      <c r="X2016" s="246"/>
      <c r="Y2016" s="246"/>
      <c r="Z2016" s="246"/>
    </row>
    <row r="2017">
      <c r="A2017" s="263"/>
      <c r="B2017" s="267"/>
      <c r="C2017" s="263"/>
      <c r="D2017" s="263"/>
      <c r="E2017" s="263"/>
      <c r="F2017" s="268"/>
      <c r="G2017" s="263"/>
      <c r="H2017" s="267"/>
      <c r="I2017" s="263"/>
      <c r="J2017" s="263"/>
      <c r="K2017" s="263"/>
      <c r="L2017" s="263"/>
      <c r="M2017" s="263"/>
      <c r="N2017" s="263"/>
      <c r="O2017" s="263"/>
      <c r="P2017" s="263"/>
      <c r="Q2017" s="263"/>
      <c r="R2017" s="263"/>
      <c r="S2017" s="263"/>
      <c r="T2017" s="263"/>
      <c r="U2017" s="246"/>
      <c r="V2017" s="246"/>
      <c r="W2017" s="246"/>
      <c r="X2017" s="246"/>
      <c r="Y2017" s="246"/>
      <c r="Z2017" s="246"/>
    </row>
    <row r="2018">
      <c r="A2018" s="263"/>
      <c r="B2018" s="267"/>
      <c r="C2018" s="263"/>
      <c r="D2018" s="263"/>
      <c r="E2018" s="263"/>
      <c r="F2018" s="268"/>
      <c r="G2018" s="263"/>
      <c r="H2018" s="267"/>
      <c r="I2018" s="263"/>
      <c r="J2018" s="263"/>
      <c r="K2018" s="263"/>
      <c r="L2018" s="263"/>
      <c r="M2018" s="263"/>
      <c r="N2018" s="263"/>
      <c r="O2018" s="263"/>
      <c r="P2018" s="263"/>
      <c r="Q2018" s="263"/>
      <c r="R2018" s="263"/>
      <c r="S2018" s="263"/>
      <c r="T2018" s="263"/>
      <c r="U2018" s="246"/>
      <c r="V2018" s="246"/>
      <c r="W2018" s="246"/>
      <c r="X2018" s="246"/>
      <c r="Y2018" s="246"/>
      <c r="Z2018" s="246"/>
    </row>
    <row r="2019">
      <c r="A2019" s="263"/>
      <c r="B2019" s="267"/>
      <c r="C2019" s="263"/>
      <c r="D2019" s="263"/>
      <c r="E2019" s="263"/>
      <c r="F2019" s="268"/>
      <c r="G2019" s="263"/>
      <c r="H2019" s="267"/>
      <c r="I2019" s="263"/>
      <c r="J2019" s="263"/>
      <c r="K2019" s="263"/>
      <c r="L2019" s="263"/>
      <c r="M2019" s="263"/>
      <c r="N2019" s="263"/>
      <c r="O2019" s="263"/>
      <c r="P2019" s="263"/>
      <c r="Q2019" s="263"/>
      <c r="R2019" s="263"/>
      <c r="S2019" s="263"/>
      <c r="T2019" s="263"/>
      <c r="U2019" s="246"/>
      <c r="V2019" s="246"/>
      <c r="W2019" s="246"/>
      <c r="X2019" s="246"/>
      <c r="Y2019" s="246"/>
      <c r="Z2019" s="246"/>
    </row>
    <row r="2020">
      <c r="A2020" s="263"/>
      <c r="B2020" s="267"/>
      <c r="C2020" s="263"/>
      <c r="D2020" s="263"/>
      <c r="E2020" s="263"/>
      <c r="F2020" s="268"/>
      <c r="G2020" s="263"/>
      <c r="H2020" s="267"/>
      <c r="I2020" s="263"/>
      <c r="J2020" s="263"/>
      <c r="K2020" s="263"/>
      <c r="L2020" s="263"/>
      <c r="M2020" s="263"/>
      <c r="N2020" s="263"/>
      <c r="O2020" s="263"/>
      <c r="P2020" s="263"/>
      <c r="Q2020" s="263"/>
      <c r="R2020" s="263"/>
      <c r="S2020" s="263"/>
      <c r="T2020" s="263"/>
      <c r="U2020" s="246"/>
      <c r="V2020" s="246"/>
      <c r="W2020" s="246"/>
      <c r="X2020" s="246"/>
      <c r="Y2020" s="246"/>
      <c r="Z2020" s="246"/>
    </row>
    <row r="2021">
      <c r="A2021" s="263"/>
      <c r="B2021" s="267"/>
      <c r="C2021" s="263"/>
      <c r="D2021" s="263"/>
      <c r="E2021" s="263"/>
      <c r="F2021" s="268"/>
      <c r="G2021" s="263"/>
      <c r="H2021" s="267"/>
      <c r="I2021" s="263"/>
      <c r="J2021" s="263"/>
      <c r="K2021" s="263"/>
      <c r="L2021" s="263"/>
      <c r="M2021" s="263"/>
      <c r="N2021" s="263"/>
      <c r="O2021" s="263"/>
      <c r="P2021" s="263"/>
      <c r="Q2021" s="263"/>
      <c r="R2021" s="263"/>
      <c r="S2021" s="263"/>
      <c r="T2021" s="263"/>
      <c r="U2021" s="246"/>
      <c r="V2021" s="246"/>
      <c r="W2021" s="246"/>
      <c r="X2021" s="246"/>
      <c r="Y2021" s="246"/>
      <c r="Z2021" s="246"/>
    </row>
    <row r="2022">
      <c r="A2022" s="263"/>
      <c r="B2022" s="267"/>
      <c r="C2022" s="263"/>
      <c r="D2022" s="263"/>
      <c r="E2022" s="263"/>
      <c r="F2022" s="268"/>
      <c r="G2022" s="263"/>
      <c r="H2022" s="267"/>
      <c r="I2022" s="263"/>
      <c r="J2022" s="263"/>
      <c r="K2022" s="263"/>
      <c r="L2022" s="263"/>
      <c r="M2022" s="263"/>
      <c r="N2022" s="263"/>
      <c r="O2022" s="263"/>
      <c r="P2022" s="263"/>
      <c r="Q2022" s="263"/>
      <c r="R2022" s="263"/>
      <c r="S2022" s="263"/>
      <c r="T2022" s="263"/>
      <c r="U2022" s="246"/>
      <c r="V2022" s="246"/>
      <c r="W2022" s="246"/>
      <c r="X2022" s="246"/>
      <c r="Y2022" s="246"/>
      <c r="Z2022" s="246"/>
    </row>
    <row r="2023">
      <c r="A2023" s="263"/>
      <c r="B2023" s="267"/>
      <c r="C2023" s="263"/>
      <c r="D2023" s="263"/>
      <c r="E2023" s="263"/>
      <c r="F2023" s="268"/>
      <c r="G2023" s="263"/>
      <c r="H2023" s="267"/>
      <c r="I2023" s="263"/>
      <c r="J2023" s="263"/>
      <c r="K2023" s="263"/>
      <c r="L2023" s="263"/>
      <c r="M2023" s="263"/>
      <c r="N2023" s="263"/>
      <c r="O2023" s="263"/>
      <c r="P2023" s="263"/>
      <c r="Q2023" s="263"/>
      <c r="R2023" s="263"/>
      <c r="S2023" s="263"/>
      <c r="T2023" s="263"/>
      <c r="U2023" s="246"/>
      <c r="V2023" s="246"/>
      <c r="W2023" s="246"/>
      <c r="X2023" s="246"/>
      <c r="Y2023" s="246"/>
      <c r="Z2023" s="246"/>
    </row>
    <row r="2024">
      <c r="A2024" s="263"/>
      <c r="B2024" s="267"/>
      <c r="C2024" s="263"/>
      <c r="D2024" s="263"/>
      <c r="E2024" s="263"/>
      <c r="F2024" s="268"/>
      <c r="G2024" s="263"/>
      <c r="H2024" s="267"/>
      <c r="I2024" s="263"/>
      <c r="J2024" s="263"/>
      <c r="K2024" s="263"/>
      <c r="L2024" s="263"/>
      <c r="M2024" s="263"/>
      <c r="N2024" s="263"/>
      <c r="O2024" s="263"/>
      <c r="P2024" s="263"/>
      <c r="Q2024" s="263"/>
      <c r="R2024" s="263"/>
      <c r="S2024" s="263"/>
      <c r="T2024" s="263"/>
      <c r="U2024" s="246"/>
      <c r="V2024" s="246"/>
      <c r="W2024" s="246"/>
      <c r="X2024" s="246"/>
      <c r="Y2024" s="246"/>
      <c r="Z2024" s="246"/>
    </row>
    <row r="2025">
      <c r="A2025" s="263"/>
      <c r="B2025" s="267"/>
      <c r="C2025" s="263"/>
      <c r="D2025" s="263"/>
      <c r="E2025" s="263"/>
      <c r="F2025" s="268"/>
      <c r="G2025" s="263"/>
      <c r="H2025" s="267"/>
      <c r="I2025" s="263"/>
      <c r="J2025" s="263"/>
      <c r="K2025" s="263"/>
      <c r="L2025" s="263"/>
      <c r="M2025" s="263"/>
      <c r="N2025" s="263"/>
      <c r="O2025" s="263"/>
      <c r="P2025" s="263"/>
      <c r="Q2025" s="263"/>
      <c r="R2025" s="263"/>
      <c r="S2025" s="263"/>
      <c r="T2025" s="263"/>
      <c r="U2025" s="246"/>
      <c r="V2025" s="246"/>
      <c r="W2025" s="246"/>
      <c r="X2025" s="246"/>
      <c r="Y2025" s="246"/>
      <c r="Z2025" s="246"/>
    </row>
    <row r="2026">
      <c r="A2026" s="263"/>
      <c r="B2026" s="267"/>
      <c r="C2026" s="263"/>
      <c r="D2026" s="263"/>
      <c r="E2026" s="263"/>
      <c r="F2026" s="268"/>
      <c r="G2026" s="263"/>
      <c r="H2026" s="267"/>
      <c r="I2026" s="263"/>
      <c r="J2026" s="263"/>
      <c r="K2026" s="263"/>
      <c r="L2026" s="263"/>
      <c r="M2026" s="263"/>
      <c r="N2026" s="263"/>
      <c r="O2026" s="263"/>
      <c r="P2026" s="263"/>
      <c r="Q2026" s="263"/>
      <c r="R2026" s="263"/>
      <c r="S2026" s="263"/>
      <c r="T2026" s="263"/>
      <c r="U2026" s="246"/>
      <c r="V2026" s="246"/>
      <c r="W2026" s="246"/>
      <c r="X2026" s="246"/>
      <c r="Y2026" s="246"/>
      <c r="Z2026" s="246"/>
    </row>
    <row r="2027">
      <c r="A2027" s="263"/>
      <c r="B2027" s="267"/>
      <c r="C2027" s="263"/>
      <c r="D2027" s="263"/>
      <c r="E2027" s="263"/>
      <c r="F2027" s="268"/>
      <c r="G2027" s="263"/>
      <c r="H2027" s="267"/>
      <c r="I2027" s="263"/>
      <c r="J2027" s="263"/>
      <c r="K2027" s="263"/>
      <c r="L2027" s="263"/>
      <c r="M2027" s="263"/>
      <c r="N2027" s="263"/>
      <c r="O2027" s="263"/>
      <c r="P2027" s="263"/>
      <c r="Q2027" s="263"/>
      <c r="R2027" s="263"/>
      <c r="S2027" s="263"/>
      <c r="T2027" s="263"/>
      <c r="U2027" s="246"/>
      <c r="V2027" s="246"/>
      <c r="W2027" s="246"/>
      <c r="X2027" s="246"/>
      <c r="Y2027" s="246"/>
      <c r="Z2027" s="246"/>
    </row>
    <row r="2028">
      <c r="A2028" s="263"/>
      <c r="B2028" s="267"/>
      <c r="C2028" s="263"/>
      <c r="D2028" s="263"/>
      <c r="E2028" s="263"/>
      <c r="F2028" s="268"/>
      <c r="G2028" s="263"/>
      <c r="H2028" s="267"/>
      <c r="I2028" s="263"/>
      <c r="J2028" s="263"/>
      <c r="K2028" s="263"/>
      <c r="L2028" s="263"/>
      <c r="M2028" s="263"/>
      <c r="N2028" s="263"/>
      <c r="O2028" s="263"/>
      <c r="P2028" s="263"/>
      <c r="Q2028" s="263"/>
      <c r="R2028" s="263"/>
      <c r="S2028" s="263"/>
      <c r="T2028" s="263"/>
      <c r="U2028" s="246"/>
      <c r="V2028" s="246"/>
      <c r="W2028" s="246"/>
      <c r="X2028" s="246"/>
      <c r="Y2028" s="246"/>
      <c r="Z2028" s="246"/>
    </row>
    <row r="2029">
      <c r="A2029" s="263"/>
      <c r="B2029" s="267"/>
      <c r="C2029" s="263"/>
      <c r="D2029" s="263"/>
      <c r="E2029" s="263"/>
      <c r="F2029" s="268"/>
      <c r="G2029" s="263"/>
      <c r="H2029" s="267"/>
      <c r="I2029" s="263"/>
      <c r="J2029" s="263"/>
      <c r="K2029" s="263"/>
      <c r="L2029" s="263"/>
      <c r="M2029" s="263"/>
      <c r="N2029" s="263"/>
      <c r="O2029" s="263"/>
      <c r="P2029" s="263"/>
      <c r="Q2029" s="263"/>
      <c r="R2029" s="263"/>
      <c r="S2029" s="263"/>
      <c r="T2029" s="263"/>
      <c r="U2029" s="246"/>
      <c r="V2029" s="246"/>
      <c r="W2029" s="246"/>
      <c r="X2029" s="246"/>
      <c r="Y2029" s="246"/>
      <c r="Z2029" s="246"/>
    </row>
    <row r="2030">
      <c r="A2030" s="263"/>
      <c r="B2030" s="267"/>
      <c r="C2030" s="263"/>
      <c r="D2030" s="263"/>
      <c r="E2030" s="263"/>
      <c r="F2030" s="268"/>
      <c r="G2030" s="263"/>
      <c r="H2030" s="267"/>
      <c r="I2030" s="263"/>
      <c r="J2030" s="263"/>
      <c r="K2030" s="263"/>
      <c r="L2030" s="263"/>
      <c r="M2030" s="263"/>
      <c r="N2030" s="263"/>
      <c r="O2030" s="263"/>
      <c r="P2030" s="263"/>
      <c r="Q2030" s="263"/>
      <c r="R2030" s="263"/>
      <c r="S2030" s="263"/>
      <c r="T2030" s="263"/>
      <c r="U2030" s="246"/>
      <c r="V2030" s="246"/>
      <c r="W2030" s="246"/>
      <c r="X2030" s="246"/>
      <c r="Y2030" s="246"/>
      <c r="Z2030" s="246"/>
    </row>
    <row r="2031">
      <c r="A2031" s="263"/>
      <c r="B2031" s="267"/>
      <c r="C2031" s="263"/>
      <c r="D2031" s="263"/>
      <c r="E2031" s="263"/>
      <c r="F2031" s="268"/>
      <c r="G2031" s="263"/>
      <c r="H2031" s="267"/>
      <c r="I2031" s="263"/>
      <c r="J2031" s="263"/>
      <c r="K2031" s="263"/>
      <c r="L2031" s="263"/>
      <c r="M2031" s="263"/>
      <c r="N2031" s="263"/>
      <c r="O2031" s="263"/>
      <c r="P2031" s="263"/>
      <c r="Q2031" s="263"/>
      <c r="R2031" s="263"/>
      <c r="S2031" s="263"/>
      <c r="T2031" s="263"/>
      <c r="U2031" s="246"/>
      <c r="V2031" s="246"/>
      <c r="W2031" s="246"/>
      <c r="X2031" s="246"/>
      <c r="Y2031" s="246"/>
      <c r="Z2031" s="246"/>
    </row>
    <row r="2032">
      <c r="A2032" s="263"/>
      <c r="B2032" s="267"/>
      <c r="C2032" s="263"/>
      <c r="D2032" s="263"/>
      <c r="E2032" s="263"/>
      <c r="F2032" s="268"/>
      <c r="G2032" s="263"/>
      <c r="H2032" s="267"/>
      <c r="I2032" s="263"/>
      <c r="J2032" s="263"/>
      <c r="K2032" s="263"/>
      <c r="L2032" s="263"/>
      <c r="M2032" s="263"/>
      <c r="N2032" s="263"/>
      <c r="O2032" s="263"/>
      <c r="P2032" s="263"/>
      <c r="Q2032" s="263"/>
      <c r="R2032" s="263"/>
      <c r="S2032" s="263"/>
      <c r="T2032" s="263"/>
      <c r="U2032" s="246"/>
      <c r="V2032" s="246"/>
      <c r="W2032" s="246"/>
      <c r="X2032" s="246"/>
      <c r="Y2032" s="246"/>
      <c r="Z2032" s="246"/>
    </row>
    <row r="2033">
      <c r="A2033" s="263"/>
      <c r="B2033" s="267"/>
      <c r="C2033" s="263"/>
      <c r="D2033" s="263"/>
      <c r="E2033" s="263"/>
      <c r="F2033" s="268"/>
      <c r="G2033" s="263"/>
      <c r="H2033" s="267"/>
      <c r="I2033" s="263"/>
      <c r="J2033" s="263"/>
      <c r="K2033" s="263"/>
      <c r="L2033" s="263"/>
      <c r="M2033" s="263"/>
      <c r="N2033" s="263"/>
      <c r="O2033" s="263"/>
      <c r="P2033" s="263"/>
      <c r="Q2033" s="263"/>
      <c r="R2033" s="263"/>
      <c r="S2033" s="263"/>
      <c r="T2033" s="263"/>
      <c r="U2033" s="246"/>
      <c r="V2033" s="246"/>
      <c r="W2033" s="246"/>
      <c r="X2033" s="246"/>
      <c r="Y2033" s="246"/>
      <c r="Z2033" s="246"/>
    </row>
    <row r="2034">
      <c r="A2034" s="263"/>
      <c r="B2034" s="267"/>
      <c r="C2034" s="263"/>
      <c r="D2034" s="263"/>
      <c r="E2034" s="263"/>
      <c r="F2034" s="268"/>
      <c r="G2034" s="263"/>
      <c r="H2034" s="267"/>
      <c r="I2034" s="263"/>
      <c r="J2034" s="263"/>
      <c r="K2034" s="263"/>
      <c r="L2034" s="263"/>
      <c r="M2034" s="263"/>
      <c r="N2034" s="263"/>
      <c r="O2034" s="263"/>
      <c r="P2034" s="263"/>
      <c r="Q2034" s="263"/>
      <c r="R2034" s="263"/>
      <c r="S2034" s="263"/>
      <c r="T2034" s="263"/>
      <c r="U2034" s="246"/>
      <c r="V2034" s="246"/>
      <c r="W2034" s="246"/>
      <c r="X2034" s="246"/>
      <c r="Y2034" s="246"/>
      <c r="Z2034" s="246"/>
    </row>
    <row r="2035">
      <c r="A2035" s="263"/>
      <c r="B2035" s="267"/>
      <c r="C2035" s="263"/>
      <c r="D2035" s="263"/>
      <c r="E2035" s="263"/>
      <c r="F2035" s="268"/>
      <c r="G2035" s="263"/>
      <c r="H2035" s="267"/>
      <c r="I2035" s="263"/>
      <c r="J2035" s="263"/>
      <c r="K2035" s="263"/>
      <c r="L2035" s="263"/>
      <c r="M2035" s="263"/>
      <c r="N2035" s="263"/>
      <c r="O2035" s="263"/>
      <c r="P2035" s="263"/>
      <c r="Q2035" s="263"/>
      <c r="R2035" s="263"/>
      <c r="S2035" s="263"/>
      <c r="T2035" s="263"/>
      <c r="U2035" s="246"/>
      <c r="V2035" s="246"/>
      <c r="W2035" s="246"/>
      <c r="X2035" s="246"/>
      <c r="Y2035" s="246"/>
      <c r="Z2035" s="246"/>
    </row>
    <row r="2036">
      <c r="A2036" s="263"/>
      <c r="B2036" s="267"/>
      <c r="C2036" s="263"/>
      <c r="D2036" s="263"/>
      <c r="E2036" s="263"/>
      <c r="F2036" s="268"/>
      <c r="G2036" s="263"/>
      <c r="H2036" s="267"/>
      <c r="I2036" s="263"/>
      <c r="J2036" s="263"/>
      <c r="K2036" s="263"/>
      <c r="L2036" s="263"/>
      <c r="M2036" s="263"/>
      <c r="N2036" s="263"/>
      <c r="O2036" s="263"/>
      <c r="P2036" s="263"/>
      <c r="Q2036" s="263"/>
      <c r="R2036" s="263"/>
      <c r="S2036" s="263"/>
      <c r="T2036" s="263"/>
      <c r="U2036" s="246"/>
      <c r="V2036" s="246"/>
      <c r="W2036" s="246"/>
      <c r="X2036" s="246"/>
      <c r="Y2036" s="246"/>
      <c r="Z2036" s="246"/>
    </row>
    <row r="2037">
      <c r="A2037" s="263"/>
      <c r="B2037" s="267"/>
      <c r="C2037" s="263"/>
      <c r="D2037" s="263"/>
      <c r="E2037" s="263"/>
      <c r="F2037" s="268"/>
      <c r="G2037" s="263"/>
      <c r="H2037" s="267"/>
      <c r="I2037" s="263"/>
      <c r="J2037" s="263"/>
      <c r="K2037" s="263"/>
      <c r="L2037" s="263"/>
      <c r="M2037" s="263"/>
      <c r="N2037" s="263"/>
      <c r="O2037" s="263"/>
      <c r="P2037" s="263"/>
      <c r="Q2037" s="263"/>
      <c r="R2037" s="263"/>
      <c r="S2037" s="263"/>
      <c r="T2037" s="263"/>
      <c r="U2037" s="246"/>
      <c r="V2037" s="246"/>
      <c r="W2037" s="246"/>
      <c r="X2037" s="246"/>
      <c r="Y2037" s="246"/>
      <c r="Z2037" s="246"/>
    </row>
    <row r="2038">
      <c r="A2038" s="263"/>
      <c r="B2038" s="267"/>
      <c r="C2038" s="263"/>
      <c r="D2038" s="263"/>
      <c r="E2038" s="263"/>
      <c r="F2038" s="268"/>
      <c r="G2038" s="263"/>
      <c r="H2038" s="267"/>
      <c r="I2038" s="263"/>
      <c r="J2038" s="263"/>
      <c r="K2038" s="263"/>
      <c r="L2038" s="263"/>
      <c r="M2038" s="263"/>
      <c r="N2038" s="263"/>
      <c r="O2038" s="263"/>
      <c r="P2038" s="263"/>
      <c r="Q2038" s="263"/>
      <c r="R2038" s="263"/>
      <c r="S2038" s="263"/>
      <c r="T2038" s="263"/>
      <c r="U2038" s="246"/>
      <c r="V2038" s="246"/>
      <c r="W2038" s="246"/>
      <c r="X2038" s="246"/>
      <c r="Y2038" s="246"/>
      <c r="Z2038" s="246"/>
    </row>
    <row r="2039">
      <c r="A2039" s="263"/>
      <c r="B2039" s="267"/>
      <c r="C2039" s="263"/>
      <c r="D2039" s="263"/>
      <c r="E2039" s="263"/>
      <c r="F2039" s="268"/>
      <c r="G2039" s="263"/>
      <c r="H2039" s="267"/>
      <c r="I2039" s="263"/>
      <c r="J2039" s="263"/>
      <c r="K2039" s="263"/>
      <c r="L2039" s="263"/>
      <c r="M2039" s="263"/>
      <c r="N2039" s="263"/>
      <c r="O2039" s="263"/>
      <c r="P2039" s="263"/>
      <c r="Q2039" s="263"/>
      <c r="R2039" s="263"/>
      <c r="S2039" s="263"/>
      <c r="T2039" s="263"/>
      <c r="U2039" s="246"/>
      <c r="V2039" s="246"/>
      <c r="W2039" s="246"/>
      <c r="X2039" s="246"/>
      <c r="Y2039" s="246"/>
      <c r="Z2039" s="246"/>
    </row>
    <row r="2040">
      <c r="A2040" s="263"/>
      <c r="B2040" s="267"/>
      <c r="C2040" s="263"/>
      <c r="D2040" s="263"/>
      <c r="E2040" s="263"/>
      <c r="F2040" s="268"/>
      <c r="G2040" s="263"/>
      <c r="H2040" s="267"/>
      <c r="I2040" s="263"/>
      <c r="J2040" s="263"/>
      <c r="K2040" s="263"/>
      <c r="L2040" s="263"/>
      <c r="M2040" s="263"/>
      <c r="N2040" s="263"/>
      <c r="O2040" s="263"/>
      <c r="P2040" s="263"/>
      <c r="Q2040" s="263"/>
      <c r="R2040" s="263"/>
      <c r="S2040" s="263"/>
      <c r="T2040" s="263"/>
      <c r="U2040" s="246"/>
      <c r="V2040" s="246"/>
      <c r="W2040" s="246"/>
      <c r="X2040" s="246"/>
      <c r="Y2040" s="246"/>
      <c r="Z2040" s="246"/>
    </row>
    <row r="2041">
      <c r="A2041" s="263"/>
      <c r="B2041" s="267"/>
      <c r="C2041" s="263"/>
      <c r="D2041" s="263"/>
      <c r="E2041" s="263"/>
      <c r="F2041" s="268"/>
      <c r="G2041" s="263"/>
      <c r="H2041" s="267"/>
      <c r="I2041" s="263"/>
      <c r="J2041" s="263"/>
      <c r="K2041" s="263"/>
      <c r="L2041" s="263"/>
      <c r="M2041" s="263"/>
      <c r="N2041" s="263"/>
      <c r="O2041" s="263"/>
      <c r="P2041" s="263"/>
      <c r="Q2041" s="263"/>
      <c r="R2041" s="263"/>
      <c r="S2041" s="263"/>
      <c r="T2041" s="263"/>
      <c r="U2041" s="246"/>
      <c r="V2041" s="246"/>
      <c r="W2041" s="246"/>
      <c r="X2041" s="246"/>
      <c r="Y2041" s="246"/>
      <c r="Z2041" s="246"/>
    </row>
    <row r="2042">
      <c r="A2042" s="263"/>
      <c r="B2042" s="267"/>
      <c r="C2042" s="263"/>
      <c r="D2042" s="263"/>
      <c r="E2042" s="263"/>
      <c r="F2042" s="268"/>
      <c r="G2042" s="263"/>
      <c r="H2042" s="267"/>
      <c r="I2042" s="263"/>
      <c r="J2042" s="263"/>
      <c r="K2042" s="263"/>
      <c r="L2042" s="263"/>
      <c r="M2042" s="263"/>
      <c r="N2042" s="263"/>
      <c r="O2042" s="263"/>
      <c r="P2042" s="263"/>
      <c r="Q2042" s="263"/>
      <c r="R2042" s="263"/>
      <c r="S2042" s="263"/>
      <c r="T2042" s="263"/>
      <c r="U2042" s="246"/>
      <c r="V2042" s="246"/>
      <c r="W2042" s="246"/>
      <c r="X2042" s="246"/>
      <c r="Y2042" s="246"/>
      <c r="Z2042" s="246"/>
    </row>
    <row r="2043">
      <c r="A2043" s="263"/>
      <c r="B2043" s="267"/>
      <c r="C2043" s="263"/>
      <c r="D2043" s="263"/>
      <c r="E2043" s="263"/>
      <c r="F2043" s="268"/>
      <c r="G2043" s="263"/>
      <c r="H2043" s="267"/>
      <c r="I2043" s="263"/>
      <c r="J2043" s="263"/>
      <c r="K2043" s="263"/>
      <c r="L2043" s="263"/>
      <c r="M2043" s="263"/>
      <c r="N2043" s="263"/>
      <c r="O2043" s="263"/>
      <c r="P2043" s="263"/>
      <c r="Q2043" s="263"/>
      <c r="R2043" s="263"/>
      <c r="S2043" s="263"/>
      <c r="T2043" s="263"/>
      <c r="U2043" s="246"/>
      <c r="V2043" s="246"/>
      <c r="W2043" s="246"/>
      <c r="X2043" s="246"/>
      <c r="Y2043" s="246"/>
      <c r="Z2043" s="246"/>
    </row>
    <row r="2044">
      <c r="A2044" s="263"/>
      <c r="B2044" s="267"/>
      <c r="C2044" s="263"/>
      <c r="D2044" s="263"/>
      <c r="E2044" s="263"/>
      <c r="F2044" s="268"/>
      <c r="G2044" s="263"/>
      <c r="H2044" s="267"/>
      <c r="I2044" s="263"/>
      <c r="J2044" s="263"/>
      <c r="K2044" s="263"/>
      <c r="L2044" s="263"/>
      <c r="M2044" s="263"/>
      <c r="N2044" s="263"/>
      <c r="O2044" s="263"/>
      <c r="P2044" s="263"/>
      <c r="Q2044" s="263"/>
      <c r="R2044" s="263"/>
      <c r="S2044" s="263"/>
      <c r="T2044" s="263"/>
      <c r="U2044" s="246"/>
      <c r="V2044" s="246"/>
      <c r="W2044" s="246"/>
      <c r="X2044" s="246"/>
      <c r="Y2044" s="246"/>
      <c r="Z2044" s="246"/>
    </row>
    <row r="2045">
      <c r="A2045" s="263"/>
      <c r="B2045" s="267"/>
      <c r="C2045" s="263"/>
      <c r="D2045" s="263"/>
      <c r="E2045" s="263"/>
      <c r="F2045" s="268"/>
      <c r="G2045" s="263"/>
      <c r="H2045" s="267"/>
      <c r="I2045" s="263"/>
      <c r="J2045" s="263"/>
      <c r="K2045" s="263"/>
      <c r="L2045" s="263"/>
      <c r="M2045" s="263"/>
      <c r="N2045" s="263"/>
      <c r="O2045" s="263"/>
      <c r="P2045" s="263"/>
      <c r="Q2045" s="263"/>
      <c r="R2045" s="263"/>
      <c r="S2045" s="263"/>
      <c r="T2045" s="263"/>
      <c r="U2045" s="246"/>
      <c r="V2045" s="246"/>
      <c r="W2045" s="246"/>
      <c r="X2045" s="246"/>
      <c r="Y2045" s="246"/>
      <c r="Z2045" s="246"/>
    </row>
    <row r="2046">
      <c r="A2046" s="263"/>
      <c r="B2046" s="267"/>
      <c r="C2046" s="263"/>
      <c r="D2046" s="263"/>
      <c r="E2046" s="263"/>
      <c r="F2046" s="268"/>
      <c r="G2046" s="263"/>
      <c r="H2046" s="267"/>
      <c r="I2046" s="263"/>
      <c r="J2046" s="263"/>
      <c r="K2046" s="263"/>
      <c r="L2046" s="263"/>
      <c r="M2046" s="263"/>
      <c r="N2046" s="263"/>
      <c r="O2046" s="263"/>
      <c r="P2046" s="263"/>
      <c r="Q2046" s="263"/>
      <c r="R2046" s="263"/>
      <c r="S2046" s="263"/>
      <c r="T2046" s="263"/>
      <c r="U2046" s="246"/>
      <c r="V2046" s="246"/>
      <c r="W2046" s="246"/>
      <c r="X2046" s="246"/>
      <c r="Y2046" s="246"/>
      <c r="Z2046" s="246"/>
    </row>
    <row r="2047">
      <c r="A2047" s="263"/>
      <c r="B2047" s="267"/>
      <c r="C2047" s="263"/>
      <c r="D2047" s="263"/>
      <c r="E2047" s="263"/>
      <c r="F2047" s="268"/>
      <c r="G2047" s="263"/>
      <c r="H2047" s="267"/>
      <c r="I2047" s="263"/>
      <c r="J2047" s="263"/>
      <c r="K2047" s="263"/>
      <c r="L2047" s="263"/>
      <c r="M2047" s="263"/>
      <c r="N2047" s="263"/>
      <c r="O2047" s="263"/>
      <c r="P2047" s="263"/>
      <c r="Q2047" s="263"/>
      <c r="R2047" s="263"/>
      <c r="S2047" s="263"/>
      <c r="T2047" s="263"/>
      <c r="U2047" s="246"/>
      <c r="V2047" s="246"/>
      <c r="W2047" s="246"/>
      <c r="X2047" s="246"/>
      <c r="Y2047" s="246"/>
      <c r="Z2047" s="246"/>
    </row>
    <row r="2048">
      <c r="A2048" s="263"/>
      <c r="B2048" s="267"/>
      <c r="C2048" s="263"/>
      <c r="D2048" s="263"/>
      <c r="E2048" s="263"/>
      <c r="F2048" s="268"/>
      <c r="G2048" s="263"/>
      <c r="H2048" s="267"/>
      <c r="I2048" s="263"/>
      <c r="J2048" s="263"/>
      <c r="K2048" s="263"/>
      <c r="L2048" s="263"/>
      <c r="M2048" s="263"/>
      <c r="N2048" s="263"/>
      <c r="O2048" s="263"/>
      <c r="P2048" s="263"/>
      <c r="Q2048" s="263"/>
      <c r="R2048" s="263"/>
      <c r="S2048" s="263"/>
      <c r="T2048" s="263"/>
      <c r="U2048" s="246"/>
      <c r="V2048" s="246"/>
      <c r="W2048" s="246"/>
      <c r="X2048" s="246"/>
      <c r="Y2048" s="246"/>
      <c r="Z2048" s="246"/>
    </row>
    <row r="2049">
      <c r="A2049" s="263"/>
      <c r="B2049" s="267"/>
      <c r="C2049" s="263"/>
      <c r="D2049" s="263"/>
      <c r="E2049" s="263"/>
      <c r="F2049" s="268"/>
      <c r="G2049" s="263"/>
      <c r="H2049" s="267"/>
      <c r="I2049" s="263"/>
      <c r="J2049" s="263"/>
      <c r="K2049" s="263"/>
      <c r="L2049" s="263"/>
      <c r="M2049" s="263"/>
      <c r="N2049" s="263"/>
      <c r="O2049" s="263"/>
      <c r="P2049" s="263"/>
      <c r="Q2049" s="263"/>
      <c r="R2049" s="263"/>
      <c r="S2049" s="263"/>
      <c r="T2049" s="263"/>
      <c r="U2049" s="246"/>
      <c r="V2049" s="246"/>
      <c r="W2049" s="246"/>
      <c r="X2049" s="246"/>
      <c r="Y2049" s="246"/>
      <c r="Z2049" s="246"/>
    </row>
    <row r="2050">
      <c r="A2050" s="263"/>
      <c r="B2050" s="267"/>
      <c r="C2050" s="263"/>
      <c r="D2050" s="263"/>
      <c r="E2050" s="263"/>
      <c r="F2050" s="268"/>
      <c r="G2050" s="263"/>
      <c r="H2050" s="267"/>
      <c r="I2050" s="263"/>
      <c r="J2050" s="263"/>
      <c r="K2050" s="263"/>
      <c r="L2050" s="263"/>
      <c r="M2050" s="263"/>
      <c r="N2050" s="263"/>
      <c r="O2050" s="263"/>
      <c r="P2050" s="263"/>
      <c r="Q2050" s="263"/>
      <c r="R2050" s="263"/>
      <c r="S2050" s="263"/>
      <c r="T2050" s="263"/>
      <c r="U2050" s="246"/>
      <c r="V2050" s="246"/>
      <c r="W2050" s="246"/>
      <c r="X2050" s="246"/>
      <c r="Y2050" s="246"/>
      <c r="Z2050" s="246"/>
    </row>
    <row r="2051">
      <c r="A2051" s="263"/>
      <c r="B2051" s="267"/>
      <c r="C2051" s="263"/>
      <c r="D2051" s="263"/>
      <c r="E2051" s="263"/>
      <c r="F2051" s="268"/>
      <c r="G2051" s="263"/>
      <c r="H2051" s="267"/>
      <c r="I2051" s="263"/>
      <c r="J2051" s="263"/>
      <c r="K2051" s="263"/>
      <c r="L2051" s="263"/>
      <c r="M2051" s="263"/>
      <c r="N2051" s="263"/>
      <c r="O2051" s="263"/>
      <c r="P2051" s="263"/>
      <c r="Q2051" s="263"/>
      <c r="R2051" s="263"/>
      <c r="S2051" s="263"/>
      <c r="T2051" s="263"/>
      <c r="U2051" s="246"/>
      <c r="V2051" s="246"/>
      <c r="W2051" s="246"/>
      <c r="X2051" s="246"/>
      <c r="Y2051" s="246"/>
      <c r="Z2051" s="246"/>
    </row>
    <row r="2052">
      <c r="A2052" s="263"/>
      <c r="B2052" s="267"/>
      <c r="C2052" s="263"/>
      <c r="D2052" s="263"/>
      <c r="E2052" s="263"/>
      <c r="F2052" s="268"/>
      <c r="G2052" s="263"/>
      <c r="H2052" s="267"/>
      <c r="I2052" s="263"/>
      <c r="J2052" s="263"/>
      <c r="K2052" s="263"/>
      <c r="L2052" s="263"/>
      <c r="M2052" s="263"/>
      <c r="N2052" s="263"/>
      <c r="O2052" s="263"/>
      <c r="P2052" s="263"/>
      <c r="Q2052" s="263"/>
      <c r="R2052" s="263"/>
      <c r="S2052" s="263"/>
      <c r="T2052" s="263"/>
      <c r="U2052" s="246"/>
      <c r="V2052" s="246"/>
      <c r="W2052" s="246"/>
      <c r="X2052" s="246"/>
      <c r="Y2052" s="246"/>
      <c r="Z2052" s="246"/>
    </row>
    <row r="2053">
      <c r="A2053" s="263"/>
      <c r="B2053" s="267"/>
      <c r="C2053" s="263"/>
      <c r="D2053" s="263"/>
      <c r="E2053" s="263"/>
      <c r="F2053" s="268"/>
      <c r="G2053" s="263"/>
      <c r="H2053" s="267"/>
      <c r="I2053" s="263"/>
      <c r="J2053" s="263"/>
      <c r="K2053" s="263"/>
      <c r="L2053" s="263"/>
      <c r="M2053" s="263"/>
      <c r="N2053" s="263"/>
      <c r="O2053" s="263"/>
      <c r="P2053" s="263"/>
      <c r="Q2053" s="263"/>
      <c r="R2053" s="263"/>
      <c r="S2053" s="263"/>
      <c r="T2053" s="263"/>
      <c r="U2053" s="246"/>
      <c r="V2053" s="246"/>
      <c r="W2053" s="246"/>
      <c r="X2053" s="246"/>
      <c r="Y2053" s="246"/>
      <c r="Z2053" s="246"/>
    </row>
    <row r="2054">
      <c r="A2054" s="263"/>
      <c r="B2054" s="267"/>
      <c r="C2054" s="263"/>
      <c r="D2054" s="263"/>
      <c r="E2054" s="263"/>
      <c r="F2054" s="268"/>
      <c r="G2054" s="263"/>
      <c r="H2054" s="267"/>
      <c r="I2054" s="263"/>
      <c r="J2054" s="263"/>
      <c r="K2054" s="263"/>
      <c r="L2054" s="263"/>
      <c r="M2054" s="263"/>
      <c r="N2054" s="263"/>
      <c r="O2054" s="263"/>
      <c r="P2054" s="263"/>
      <c r="Q2054" s="263"/>
      <c r="R2054" s="263"/>
      <c r="S2054" s="263"/>
      <c r="T2054" s="263"/>
      <c r="U2054" s="246"/>
      <c r="V2054" s="246"/>
      <c r="W2054" s="246"/>
      <c r="X2054" s="246"/>
      <c r="Y2054" s="246"/>
      <c r="Z2054" s="246"/>
    </row>
    <row r="2055">
      <c r="A2055" s="263"/>
      <c r="B2055" s="267"/>
      <c r="C2055" s="263"/>
      <c r="D2055" s="263"/>
      <c r="E2055" s="263"/>
      <c r="F2055" s="268"/>
      <c r="G2055" s="263"/>
      <c r="H2055" s="267"/>
      <c r="I2055" s="263"/>
      <c r="J2055" s="263"/>
      <c r="K2055" s="263"/>
      <c r="L2055" s="263"/>
      <c r="M2055" s="263"/>
      <c r="N2055" s="263"/>
      <c r="O2055" s="263"/>
      <c r="P2055" s="263"/>
      <c r="Q2055" s="263"/>
      <c r="R2055" s="263"/>
      <c r="S2055" s="263"/>
      <c r="T2055" s="263"/>
      <c r="U2055" s="246"/>
      <c r="V2055" s="246"/>
      <c r="W2055" s="246"/>
      <c r="X2055" s="246"/>
      <c r="Y2055" s="246"/>
      <c r="Z2055" s="246"/>
    </row>
    <row r="2056">
      <c r="A2056" s="263"/>
      <c r="B2056" s="267"/>
      <c r="C2056" s="263"/>
      <c r="D2056" s="263"/>
      <c r="E2056" s="263"/>
      <c r="F2056" s="268"/>
      <c r="G2056" s="263"/>
      <c r="H2056" s="267"/>
      <c r="I2056" s="263"/>
      <c r="J2056" s="263"/>
      <c r="K2056" s="263"/>
      <c r="L2056" s="263"/>
      <c r="M2056" s="263"/>
      <c r="N2056" s="263"/>
      <c r="O2056" s="263"/>
      <c r="P2056" s="263"/>
      <c r="Q2056" s="263"/>
      <c r="R2056" s="263"/>
      <c r="S2056" s="263"/>
      <c r="T2056" s="263"/>
      <c r="U2056" s="246"/>
      <c r="V2056" s="246"/>
      <c r="W2056" s="246"/>
      <c r="X2056" s="246"/>
      <c r="Y2056" s="246"/>
      <c r="Z2056" s="246"/>
    </row>
    <row r="2057">
      <c r="A2057" s="263"/>
      <c r="B2057" s="267"/>
      <c r="C2057" s="263"/>
      <c r="D2057" s="263"/>
      <c r="E2057" s="263"/>
      <c r="F2057" s="268"/>
      <c r="G2057" s="263"/>
      <c r="H2057" s="267"/>
      <c r="I2057" s="263"/>
      <c r="J2057" s="263"/>
      <c r="K2057" s="263"/>
      <c r="L2057" s="263"/>
      <c r="M2057" s="263"/>
      <c r="N2057" s="263"/>
      <c r="O2057" s="263"/>
      <c r="P2057" s="263"/>
      <c r="Q2057" s="263"/>
      <c r="R2057" s="263"/>
      <c r="S2057" s="263"/>
      <c r="T2057" s="263"/>
      <c r="U2057" s="246"/>
      <c r="V2057" s="246"/>
      <c r="W2057" s="246"/>
      <c r="X2057" s="246"/>
      <c r="Y2057" s="246"/>
      <c r="Z2057" s="246"/>
    </row>
    <row r="2058">
      <c r="A2058" s="263"/>
      <c r="B2058" s="267"/>
      <c r="C2058" s="263"/>
      <c r="D2058" s="263"/>
      <c r="E2058" s="263"/>
      <c r="F2058" s="268"/>
      <c r="G2058" s="263"/>
      <c r="H2058" s="267"/>
      <c r="I2058" s="263"/>
      <c r="J2058" s="263"/>
      <c r="K2058" s="263"/>
      <c r="L2058" s="263"/>
      <c r="M2058" s="263"/>
      <c r="N2058" s="263"/>
      <c r="O2058" s="263"/>
      <c r="P2058" s="263"/>
      <c r="Q2058" s="263"/>
      <c r="R2058" s="263"/>
      <c r="S2058" s="263"/>
      <c r="T2058" s="263"/>
      <c r="U2058" s="246"/>
      <c r="V2058" s="246"/>
      <c r="W2058" s="246"/>
      <c r="X2058" s="246"/>
      <c r="Y2058" s="246"/>
      <c r="Z2058" s="246"/>
    </row>
    <row r="2059">
      <c r="A2059" s="263"/>
      <c r="B2059" s="267"/>
      <c r="C2059" s="263"/>
      <c r="D2059" s="263"/>
      <c r="E2059" s="263"/>
      <c r="F2059" s="268"/>
      <c r="G2059" s="263"/>
      <c r="H2059" s="267"/>
      <c r="I2059" s="263"/>
      <c r="J2059" s="263"/>
      <c r="K2059" s="263"/>
      <c r="L2059" s="263"/>
      <c r="M2059" s="263"/>
      <c r="N2059" s="263"/>
      <c r="O2059" s="263"/>
      <c r="P2059" s="263"/>
      <c r="Q2059" s="263"/>
      <c r="R2059" s="263"/>
      <c r="S2059" s="263"/>
      <c r="T2059" s="263"/>
      <c r="U2059" s="246"/>
      <c r="V2059" s="246"/>
      <c r="W2059" s="246"/>
      <c r="X2059" s="246"/>
      <c r="Y2059" s="246"/>
      <c r="Z2059" s="246"/>
    </row>
    <row r="2060">
      <c r="A2060" s="263"/>
      <c r="B2060" s="267"/>
      <c r="C2060" s="263"/>
      <c r="D2060" s="263"/>
      <c r="E2060" s="263"/>
      <c r="F2060" s="268"/>
      <c r="G2060" s="263"/>
      <c r="H2060" s="267"/>
      <c r="I2060" s="263"/>
      <c r="J2060" s="263"/>
      <c r="K2060" s="263"/>
      <c r="L2060" s="263"/>
      <c r="M2060" s="263"/>
      <c r="N2060" s="263"/>
      <c r="O2060" s="263"/>
      <c r="P2060" s="263"/>
      <c r="Q2060" s="263"/>
      <c r="R2060" s="263"/>
      <c r="S2060" s="263"/>
      <c r="T2060" s="263"/>
      <c r="U2060" s="246"/>
      <c r="V2060" s="246"/>
      <c r="W2060" s="246"/>
      <c r="X2060" s="246"/>
      <c r="Y2060" s="246"/>
      <c r="Z2060" s="246"/>
    </row>
    <row r="2061">
      <c r="A2061" s="263"/>
      <c r="B2061" s="267"/>
      <c r="C2061" s="263"/>
      <c r="D2061" s="263"/>
      <c r="E2061" s="263"/>
      <c r="F2061" s="268"/>
      <c r="G2061" s="263"/>
      <c r="H2061" s="267"/>
      <c r="I2061" s="263"/>
      <c r="J2061" s="263"/>
      <c r="K2061" s="263"/>
      <c r="L2061" s="263"/>
      <c r="M2061" s="263"/>
      <c r="N2061" s="263"/>
      <c r="O2061" s="263"/>
      <c r="P2061" s="263"/>
      <c r="Q2061" s="263"/>
      <c r="R2061" s="263"/>
      <c r="S2061" s="263"/>
      <c r="T2061" s="263"/>
      <c r="U2061" s="246"/>
      <c r="V2061" s="246"/>
      <c r="W2061" s="246"/>
      <c r="X2061" s="246"/>
      <c r="Y2061" s="246"/>
      <c r="Z2061" s="246"/>
    </row>
    <row r="2062">
      <c r="A2062" s="263"/>
      <c r="B2062" s="267"/>
      <c r="C2062" s="263"/>
      <c r="D2062" s="263"/>
      <c r="E2062" s="263"/>
      <c r="F2062" s="268"/>
      <c r="G2062" s="263"/>
      <c r="H2062" s="267"/>
      <c r="I2062" s="263"/>
      <c r="J2062" s="263"/>
      <c r="K2062" s="263"/>
      <c r="L2062" s="263"/>
      <c r="M2062" s="263"/>
      <c r="N2062" s="263"/>
      <c r="O2062" s="263"/>
      <c r="P2062" s="263"/>
      <c r="Q2062" s="263"/>
      <c r="R2062" s="263"/>
      <c r="S2062" s="263"/>
      <c r="T2062" s="263"/>
      <c r="U2062" s="246"/>
      <c r="V2062" s="246"/>
      <c r="W2062" s="246"/>
      <c r="X2062" s="246"/>
      <c r="Y2062" s="246"/>
      <c r="Z2062" s="246"/>
    </row>
    <row r="2063">
      <c r="A2063" s="263"/>
      <c r="B2063" s="267"/>
      <c r="C2063" s="263"/>
      <c r="D2063" s="263"/>
      <c r="E2063" s="263"/>
      <c r="F2063" s="268"/>
      <c r="G2063" s="263"/>
      <c r="H2063" s="267"/>
      <c r="I2063" s="263"/>
      <c r="J2063" s="263"/>
      <c r="K2063" s="263"/>
      <c r="L2063" s="263"/>
      <c r="M2063" s="263"/>
      <c r="N2063" s="263"/>
      <c r="O2063" s="263"/>
      <c r="P2063" s="263"/>
      <c r="Q2063" s="263"/>
      <c r="R2063" s="263"/>
      <c r="S2063" s="263"/>
      <c r="T2063" s="263"/>
      <c r="U2063" s="246"/>
      <c r="V2063" s="246"/>
      <c r="W2063" s="246"/>
      <c r="X2063" s="246"/>
      <c r="Y2063" s="246"/>
      <c r="Z2063" s="246"/>
    </row>
    <row r="2064">
      <c r="A2064" s="263"/>
      <c r="B2064" s="267"/>
      <c r="C2064" s="263"/>
      <c r="D2064" s="263"/>
      <c r="E2064" s="263"/>
      <c r="F2064" s="268"/>
      <c r="G2064" s="263"/>
      <c r="H2064" s="267"/>
      <c r="I2064" s="263"/>
      <c r="J2064" s="263"/>
      <c r="K2064" s="263"/>
      <c r="L2064" s="263"/>
      <c r="M2064" s="263"/>
      <c r="N2064" s="263"/>
      <c r="O2064" s="263"/>
      <c r="P2064" s="263"/>
      <c r="Q2064" s="263"/>
      <c r="R2064" s="263"/>
      <c r="S2064" s="263"/>
      <c r="T2064" s="263"/>
      <c r="U2064" s="246"/>
      <c r="V2064" s="246"/>
      <c r="W2064" s="246"/>
      <c r="X2064" s="246"/>
      <c r="Y2064" s="246"/>
      <c r="Z2064" s="246"/>
    </row>
    <row r="2065">
      <c r="A2065" s="263"/>
      <c r="B2065" s="267"/>
      <c r="C2065" s="263"/>
      <c r="D2065" s="263"/>
      <c r="E2065" s="263"/>
      <c r="F2065" s="268"/>
      <c r="G2065" s="263"/>
      <c r="H2065" s="267"/>
      <c r="I2065" s="263"/>
      <c r="J2065" s="263"/>
      <c r="K2065" s="263"/>
      <c r="L2065" s="263"/>
      <c r="M2065" s="263"/>
      <c r="N2065" s="263"/>
      <c r="O2065" s="263"/>
      <c r="P2065" s="263"/>
      <c r="Q2065" s="263"/>
      <c r="R2065" s="263"/>
      <c r="S2065" s="263"/>
      <c r="T2065" s="263"/>
      <c r="U2065" s="246"/>
      <c r="V2065" s="246"/>
      <c r="W2065" s="246"/>
      <c r="X2065" s="246"/>
      <c r="Y2065" s="246"/>
      <c r="Z2065" s="246"/>
    </row>
    <row r="2066">
      <c r="A2066" s="263"/>
      <c r="B2066" s="267"/>
      <c r="C2066" s="263"/>
      <c r="D2066" s="263"/>
      <c r="E2066" s="263"/>
      <c r="F2066" s="268"/>
      <c r="G2066" s="263"/>
      <c r="H2066" s="267"/>
      <c r="I2066" s="263"/>
      <c r="J2066" s="263"/>
      <c r="K2066" s="263"/>
      <c r="L2066" s="263"/>
      <c r="M2066" s="263"/>
      <c r="N2066" s="263"/>
      <c r="O2066" s="263"/>
      <c r="P2066" s="263"/>
      <c r="Q2066" s="263"/>
      <c r="R2066" s="263"/>
      <c r="S2066" s="263"/>
      <c r="T2066" s="263"/>
      <c r="U2066" s="246"/>
      <c r="V2066" s="246"/>
      <c r="W2066" s="246"/>
      <c r="X2066" s="246"/>
      <c r="Y2066" s="246"/>
      <c r="Z2066" s="246"/>
    </row>
    <row r="2067">
      <c r="A2067" s="263"/>
      <c r="B2067" s="267"/>
      <c r="C2067" s="263"/>
      <c r="D2067" s="263"/>
      <c r="E2067" s="263"/>
      <c r="F2067" s="268"/>
      <c r="G2067" s="263"/>
      <c r="H2067" s="267"/>
      <c r="I2067" s="263"/>
      <c r="J2067" s="263"/>
      <c r="K2067" s="263"/>
      <c r="L2067" s="263"/>
      <c r="M2067" s="263"/>
      <c r="N2067" s="263"/>
      <c r="O2067" s="263"/>
      <c r="P2067" s="263"/>
      <c r="Q2067" s="263"/>
      <c r="R2067" s="263"/>
      <c r="S2067" s="263"/>
      <c r="T2067" s="263"/>
      <c r="U2067" s="246"/>
      <c r="V2067" s="246"/>
      <c r="W2067" s="246"/>
      <c r="X2067" s="246"/>
      <c r="Y2067" s="246"/>
      <c r="Z2067" s="246"/>
    </row>
    <row r="2068">
      <c r="A2068" s="263"/>
      <c r="B2068" s="267"/>
      <c r="C2068" s="263"/>
      <c r="D2068" s="263"/>
      <c r="E2068" s="263"/>
      <c r="F2068" s="268"/>
      <c r="G2068" s="263"/>
      <c r="H2068" s="267"/>
      <c r="I2068" s="263"/>
      <c r="J2068" s="263"/>
      <c r="K2068" s="263"/>
      <c r="L2068" s="263"/>
      <c r="M2068" s="263"/>
      <c r="N2068" s="263"/>
      <c r="O2068" s="263"/>
      <c r="P2068" s="263"/>
      <c r="Q2068" s="263"/>
      <c r="R2068" s="263"/>
      <c r="S2068" s="263"/>
      <c r="T2068" s="263"/>
      <c r="U2068" s="246"/>
      <c r="V2068" s="246"/>
      <c r="W2068" s="246"/>
      <c r="X2068" s="246"/>
      <c r="Y2068" s="246"/>
      <c r="Z2068" s="246"/>
    </row>
    <row r="2069">
      <c r="A2069" s="263"/>
      <c r="B2069" s="267"/>
      <c r="C2069" s="263"/>
      <c r="D2069" s="263"/>
      <c r="E2069" s="263"/>
      <c r="F2069" s="268"/>
      <c r="G2069" s="263"/>
      <c r="H2069" s="267"/>
      <c r="I2069" s="263"/>
      <c r="J2069" s="263"/>
      <c r="K2069" s="263"/>
      <c r="L2069" s="263"/>
      <c r="M2069" s="263"/>
      <c r="N2069" s="263"/>
      <c r="O2069" s="263"/>
      <c r="P2069" s="263"/>
      <c r="Q2069" s="263"/>
      <c r="R2069" s="263"/>
      <c r="S2069" s="263"/>
      <c r="T2069" s="263"/>
      <c r="U2069" s="246"/>
      <c r="V2069" s="246"/>
      <c r="W2069" s="246"/>
      <c r="X2069" s="246"/>
      <c r="Y2069" s="246"/>
      <c r="Z2069" s="246"/>
    </row>
    <row r="2070">
      <c r="A2070" s="263"/>
      <c r="B2070" s="267"/>
      <c r="C2070" s="263"/>
      <c r="D2070" s="263"/>
      <c r="E2070" s="263"/>
      <c r="F2070" s="268"/>
      <c r="G2070" s="263"/>
      <c r="H2070" s="267"/>
      <c r="I2070" s="263"/>
      <c r="J2070" s="263"/>
      <c r="K2070" s="263"/>
      <c r="L2070" s="263"/>
      <c r="M2070" s="263"/>
      <c r="N2070" s="263"/>
      <c r="O2070" s="263"/>
      <c r="P2070" s="263"/>
      <c r="Q2070" s="263"/>
      <c r="R2070" s="263"/>
      <c r="S2070" s="263"/>
      <c r="T2070" s="263"/>
      <c r="U2070" s="246"/>
      <c r="V2070" s="246"/>
      <c r="W2070" s="246"/>
      <c r="X2070" s="246"/>
      <c r="Y2070" s="246"/>
      <c r="Z2070" s="246"/>
    </row>
    <row r="2071">
      <c r="A2071" s="263"/>
      <c r="B2071" s="267"/>
      <c r="C2071" s="263"/>
      <c r="D2071" s="263"/>
      <c r="E2071" s="263"/>
      <c r="F2071" s="268"/>
      <c r="G2071" s="263"/>
      <c r="H2071" s="267"/>
      <c r="I2071" s="263"/>
      <c r="J2071" s="263"/>
      <c r="K2071" s="263"/>
      <c r="L2071" s="263"/>
      <c r="M2071" s="263"/>
      <c r="N2071" s="263"/>
      <c r="O2071" s="263"/>
      <c r="P2071" s="263"/>
      <c r="Q2071" s="263"/>
      <c r="R2071" s="263"/>
      <c r="S2071" s="263"/>
      <c r="T2071" s="263"/>
      <c r="U2071" s="246"/>
      <c r="V2071" s="246"/>
      <c r="W2071" s="246"/>
      <c r="X2071" s="246"/>
      <c r="Y2071" s="246"/>
      <c r="Z2071" s="246"/>
    </row>
    <row r="2072">
      <c r="A2072" s="263"/>
      <c r="B2072" s="267"/>
      <c r="C2072" s="263"/>
      <c r="D2072" s="263"/>
      <c r="E2072" s="263"/>
      <c r="F2072" s="268"/>
      <c r="G2072" s="263"/>
      <c r="H2072" s="267"/>
      <c r="I2072" s="263"/>
      <c r="J2072" s="263"/>
      <c r="K2072" s="263"/>
      <c r="L2072" s="263"/>
      <c r="M2072" s="263"/>
      <c r="N2072" s="263"/>
      <c r="O2072" s="263"/>
      <c r="P2072" s="263"/>
      <c r="Q2072" s="263"/>
      <c r="R2072" s="263"/>
      <c r="S2072" s="263"/>
      <c r="T2072" s="263"/>
      <c r="U2072" s="246"/>
      <c r="V2072" s="246"/>
      <c r="W2072" s="246"/>
      <c r="X2072" s="246"/>
      <c r="Y2072" s="246"/>
      <c r="Z2072" s="246"/>
    </row>
    <row r="2073">
      <c r="A2073" s="263"/>
      <c r="B2073" s="267"/>
      <c r="C2073" s="263"/>
      <c r="D2073" s="263"/>
      <c r="E2073" s="263"/>
      <c r="F2073" s="268"/>
      <c r="G2073" s="263"/>
      <c r="H2073" s="267"/>
      <c r="I2073" s="263"/>
      <c r="J2073" s="263"/>
      <c r="K2073" s="263"/>
      <c r="L2073" s="263"/>
      <c r="M2073" s="263"/>
      <c r="N2073" s="263"/>
      <c r="O2073" s="263"/>
      <c r="P2073" s="263"/>
      <c r="Q2073" s="263"/>
      <c r="R2073" s="263"/>
      <c r="S2073" s="263"/>
      <c r="T2073" s="263"/>
      <c r="U2073" s="246"/>
      <c r="V2073" s="246"/>
      <c r="W2073" s="246"/>
      <c r="X2073" s="246"/>
      <c r="Y2073" s="246"/>
      <c r="Z2073" s="246"/>
    </row>
    <row r="2074">
      <c r="A2074" s="263"/>
      <c r="B2074" s="267"/>
      <c r="C2074" s="263"/>
      <c r="D2074" s="263"/>
      <c r="E2074" s="263"/>
      <c r="F2074" s="268"/>
      <c r="G2074" s="263"/>
      <c r="H2074" s="267"/>
      <c r="I2074" s="263"/>
      <c r="J2074" s="263"/>
      <c r="K2074" s="263"/>
      <c r="L2074" s="263"/>
      <c r="M2074" s="263"/>
      <c r="N2074" s="263"/>
      <c r="O2074" s="263"/>
      <c r="P2074" s="263"/>
      <c r="Q2074" s="263"/>
      <c r="R2074" s="263"/>
      <c r="S2074" s="263"/>
      <c r="T2074" s="263"/>
      <c r="U2074" s="246"/>
      <c r="V2074" s="246"/>
      <c r="W2074" s="246"/>
      <c r="X2074" s="246"/>
      <c r="Y2074" s="246"/>
      <c r="Z2074" s="246"/>
    </row>
    <row r="2075">
      <c r="A2075" s="263"/>
      <c r="B2075" s="267"/>
      <c r="C2075" s="263"/>
      <c r="D2075" s="263"/>
      <c r="E2075" s="263"/>
      <c r="F2075" s="268"/>
      <c r="G2075" s="263"/>
      <c r="H2075" s="267"/>
      <c r="I2075" s="263"/>
      <c r="J2075" s="263"/>
      <c r="K2075" s="263"/>
      <c r="L2075" s="263"/>
      <c r="M2075" s="263"/>
      <c r="N2075" s="263"/>
      <c r="O2075" s="263"/>
      <c r="P2075" s="263"/>
      <c r="Q2075" s="263"/>
      <c r="R2075" s="263"/>
      <c r="S2075" s="263"/>
      <c r="T2075" s="263"/>
      <c r="U2075" s="246"/>
      <c r="V2075" s="246"/>
      <c r="W2075" s="246"/>
      <c r="X2075" s="246"/>
      <c r="Y2075" s="246"/>
      <c r="Z2075" s="246"/>
    </row>
    <row r="2076">
      <c r="A2076" s="263"/>
      <c r="B2076" s="267"/>
      <c r="C2076" s="263"/>
      <c r="D2076" s="263"/>
      <c r="E2076" s="263"/>
      <c r="F2076" s="268"/>
      <c r="G2076" s="263"/>
      <c r="H2076" s="267"/>
      <c r="I2076" s="263"/>
      <c r="J2076" s="263"/>
      <c r="K2076" s="263"/>
      <c r="L2076" s="263"/>
      <c r="M2076" s="263"/>
      <c r="N2076" s="263"/>
      <c r="O2076" s="263"/>
      <c r="P2076" s="263"/>
      <c r="Q2076" s="263"/>
      <c r="R2076" s="263"/>
      <c r="S2076" s="263"/>
      <c r="T2076" s="263"/>
      <c r="U2076" s="246"/>
      <c r="V2076" s="246"/>
      <c r="W2076" s="246"/>
      <c r="X2076" s="246"/>
      <c r="Y2076" s="246"/>
      <c r="Z2076" s="246"/>
    </row>
    <row r="2077">
      <c r="A2077" s="263"/>
      <c r="B2077" s="267"/>
      <c r="C2077" s="263"/>
      <c r="D2077" s="263"/>
      <c r="E2077" s="263"/>
      <c r="F2077" s="268"/>
      <c r="G2077" s="263"/>
      <c r="H2077" s="267"/>
      <c r="I2077" s="263"/>
      <c r="J2077" s="263"/>
      <c r="K2077" s="263"/>
      <c r="L2077" s="263"/>
      <c r="M2077" s="263"/>
      <c r="N2077" s="263"/>
      <c r="O2077" s="263"/>
      <c r="P2077" s="263"/>
      <c r="Q2077" s="263"/>
      <c r="R2077" s="263"/>
      <c r="S2077" s="263"/>
      <c r="T2077" s="263"/>
      <c r="U2077" s="246"/>
      <c r="V2077" s="246"/>
      <c r="W2077" s="246"/>
      <c r="X2077" s="246"/>
      <c r="Y2077" s="246"/>
      <c r="Z2077" s="246"/>
    </row>
    <row r="2078">
      <c r="A2078" s="263"/>
      <c r="B2078" s="267"/>
      <c r="C2078" s="263"/>
      <c r="D2078" s="263"/>
      <c r="E2078" s="263"/>
      <c r="F2078" s="268"/>
      <c r="G2078" s="263"/>
      <c r="H2078" s="267"/>
      <c r="I2078" s="263"/>
      <c r="J2078" s="263"/>
      <c r="K2078" s="263"/>
      <c r="L2078" s="263"/>
      <c r="M2078" s="263"/>
      <c r="N2078" s="263"/>
      <c r="O2078" s="263"/>
      <c r="P2078" s="263"/>
      <c r="Q2078" s="263"/>
      <c r="R2078" s="263"/>
      <c r="S2078" s="263"/>
      <c r="T2078" s="263"/>
      <c r="U2078" s="246"/>
      <c r="V2078" s="246"/>
      <c r="W2078" s="246"/>
      <c r="X2078" s="246"/>
      <c r="Y2078" s="246"/>
      <c r="Z2078" s="246"/>
    </row>
    <row r="2079">
      <c r="A2079" s="263"/>
      <c r="B2079" s="267"/>
      <c r="C2079" s="263"/>
      <c r="D2079" s="263"/>
      <c r="E2079" s="263"/>
      <c r="F2079" s="268"/>
      <c r="G2079" s="263"/>
      <c r="H2079" s="267"/>
      <c r="I2079" s="263"/>
      <c r="J2079" s="263"/>
      <c r="K2079" s="263"/>
      <c r="L2079" s="263"/>
      <c r="M2079" s="263"/>
      <c r="N2079" s="263"/>
      <c r="O2079" s="263"/>
      <c r="P2079" s="263"/>
      <c r="Q2079" s="263"/>
      <c r="R2079" s="263"/>
      <c r="S2079" s="263"/>
      <c r="T2079" s="263"/>
      <c r="U2079" s="246"/>
      <c r="V2079" s="246"/>
      <c r="W2079" s="246"/>
      <c r="X2079" s="246"/>
      <c r="Y2079" s="246"/>
      <c r="Z2079" s="246"/>
    </row>
    <row r="2080">
      <c r="A2080" s="263"/>
      <c r="B2080" s="267"/>
      <c r="C2080" s="263"/>
      <c r="D2080" s="263"/>
      <c r="E2080" s="263"/>
      <c r="F2080" s="268"/>
      <c r="G2080" s="263"/>
      <c r="H2080" s="267"/>
      <c r="I2080" s="263"/>
      <c r="J2080" s="263"/>
      <c r="K2080" s="263"/>
      <c r="L2080" s="263"/>
      <c r="M2080" s="263"/>
      <c r="N2080" s="263"/>
      <c r="O2080" s="263"/>
      <c r="P2080" s="263"/>
      <c r="Q2080" s="263"/>
      <c r="R2080" s="263"/>
      <c r="S2080" s="263"/>
      <c r="T2080" s="263"/>
      <c r="U2080" s="246"/>
      <c r="V2080" s="246"/>
      <c r="W2080" s="246"/>
      <c r="X2080" s="246"/>
      <c r="Y2080" s="246"/>
      <c r="Z2080" s="246"/>
    </row>
    <row r="2081">
      <c r="A2081" s="263"/>
      <c r="B2081" s="267"/>
      <c r="C2081" s="263"/>
      <c r="D2081" s="263"/>
      <c r="E2081" s="263"/>
      <c r="F2081" s="268"/>
      <c r="G2081" s="263"/>
      <c r="H2081" s="267"/>
      <c r="I2081" s="263"/>
      <c r="J2081" s="263"/>
      <c r="K2081" s="263"/>
      <c r="L2081" s="263"/>
      <c r="M2081" s="263"/>
      <c r="N2081" s="263"/>
      <c r="O2081" s="263"/>
      <c r="P2081" s="263"/>
      <c r="Q2081" s="263"/>
      <c r="R2081" s="263"/>
      <c r="S2081" s="263"/>
      <c r="T2081" s="263"/>
      <c r="U2081" s="246"/>
      <c r="V2081" s="246"/>
      <c r="W2081" s="246"/>
      <c r="X2081" s="246"/>
      <c r="Y2081" s="246"/>
      <c r="Z2081" s="246"/>
    </row>
    <row r="2082">
      <c r="A2082" s="263"/>
      <c r="B2082" s="267"/>
      <c r="C2082" s="263"/>
      <c r="D2082" s="263"/>
      <c r="E2082" s="263"/>
      <c r="F2082" s="268"/>
      <c r="G2082" s="263"/>
      <c r="H2082" s="267"/>
      <c r="I2082" s="263"/>
      <c r="J2082" s="263"/>
      <c r="K2082" s="263"/>
      <c r="L2082" s="263"/>
      <c r="M2082" s="263"/>
      <c r="N2082" s="263"/>
      <c r="O2082" s="263"/>
      <c r="P2082" s="263"/>
      <c r="Q2082" s="263"/>
      <c r="R2082" s="263"/>
      <c r="S2082" s="263"/>
      <c r="T2082" s="263"/>
      <c r="U2082" s="246"/>
      <c r="V2082" s="246"/>
      <c r="W2082" s="246"/>
      <c r="X2082" s="246"/>
      <c r="Y2082" s="246"/>
      <c r="Z2082" s="246"/>
    </row>
    <row r="2083">
      <c r="A2083" s="263"/>
      <c r="B2083" s="267"/>
      <c r="C2083" s="263"/>
      <c r="D2083" s="263"/>
      <c r="E2083" s="263"/>
      <c r="F2083" s="268"/>
      <c r="G2083" s="263"/>
      <c r="H2083" s="267"/>
      <c r="I2083" s="263"/>
      <c r="J2083" s="263"/>
      <c r="K2083" s="263"/>
      <c r="L2083" s="263"/>
      <c r="M2083" s="263"/>
      <c r="N2083" s="263"/>
      <c r="O2083" s="263"/>
      <c r="P2083" s="263"/>
      <c r="Q2083" s="263"/>
      <c r="R2083" s="263"/>
      <c r="S2083" s="263"/>
      <c r="T2083" s="263"/>
      <c r="U2083" s="246"/>
      <c r="V2083" s="246"/>
      <c r="W2083" s="246"/>
      <c r="X2083" s="246"/>
      <c r="Y2083" s="246"/>
      <c r="Z2083" s="246"/>
    </row>
    <row r="2084">
      <c r="A2084" s="263"/>
      <c r="B2084" s="267"/>
      <c r="C2084" s="263"/>
      <c r="D2084" s="263"/>
      <c r="E2084" s="263"/>
      <c r="F2084" s="268"/>
      <c r="G2084" s="263"/>
      <c r="H2084" s="267"/>
      <c r="I2084" s="263"/>
      <c r="J2084" s="263"/>
      <c r="K2084" s="263"/>
      <c r="L2084" s="263"/>
      <c r="M2084" s="263"/>
      <c r="N2084" s="263"/>
      <c r="O2084" s="263"/>
      <c r="P2084" s="263"/>
      <c r="Q2084" s="263"/>
      <c r="R2084" s="263"/>
      <c r="S2084" s="263"/>
      <c r="T2084" s="263"/>
      <c r="U2084" s="246"/>
      <c r="V2084" s="246"/>
      <c r="W2084" s="246"/>
      <c r="X2084" s="246"/>
      <c r="Y2084" s="246"/>
      <c r="Z2084" s="246"/>
    </row>
    <row r="2085">
      <c r="A2085" s="263"/>
      <c r="B2085" s="267"/>
      <c r="C2085" s="263"/>
      <c r="D2085" s="263"/>
      <c r="E2085" s="263"/>
      <c r="F2085" s="268"/>
      <c r="G2085" s="263"/>
      <c r="H2085" s="267"/>
      <c r="I2085" s="263"/>
      <c r="J2085" s="263"/>
      <c r="K2085" s="263"/>
      <c r="L2085" s="263"/>
      <c r="M2085" s="263"/>
      <c r="N2085" s="263"/>
      <c r="O2085" s="263"/>
      <c r="P2085" s="263"/>
      <c r="Q2085" s="263"/>
      <c r="R2085" s="263"/>
      <c r="S2085" s="263"/>
      <c r="T2085" s="263"/>
      <c r="U2085" s="246"/>
      <c r="V2085" s="246"/>
      <c r="W2085" s="246"/>
      <c r="X2085" s="246"/>
      <c r="Y2085" s="246"/>
      <c r="Z2085" s="246"/>
    </row>
    <row r="2086">
      <c r="A2086" s="263"/>
      <c r="B2086" s="267"/>
      <c r="C2086" s="263"/>
      <c r="D2086" s="263"/>
      <c r="E2086" s="263"/>
      <c r="F2086" s="268"/>
      <c r="G2086" s="263"/>
      <c r="H2086" s="267"/>
      <c r="I2086" s="263"/>
      <c r="J2086" s="263"/>
      <c r="K2086" s="263"/>
      <c r="L2086" s="263"/>
      <c r="M2086" s="263"/>
      <c r="N2086" s="263"/>
      <c r="O2086" s="263"/>
      <c r="P2086" s="263"/>
      <c r="Q2086" s="263"/>
      <c r="R2086" s="263"/>
      <c r="S2086" s="263"/>
      <c r="T2086" s="263"/>
      <c r="U2086" s="246"/>
      <c r="V2086" s="246"/>
      <c r="W2086" s="246"/>
      <c r="X2086" s="246"/>
      <c r="Y2086" s="246"/>
      <c r="Z2086" s="246"/>
    </row>
    <row r="2087">
      <c r="A2087" s="263"/>
      <c r="B2087" s="267"/>
      <c r="C2087" s="263"/>
      <c r="D2087" s="263"/>
      <c r="E2087" s="263"/>
      <c r="F2087" s="268"/>
      <c r="G2087" s="263"/>
      <c r="H2087" s="267"/>
      <c r="I2087" s="263"/>
      <c r="J2087" s="263"/>
      <c r="K2087" s="263"/>
      <c r="L2087" s="263"/>
      <c r="M2087" s="263"/>
      <c r="N2087" s="263"/>
      <c r="O2087" s="263"/>
      <c r="P2087" s="263"/>
      <c r="Q2087" s="263"/>
      <c r="R2087" s="263"/>
      <c r="S2087" s="263"/>
      <c r="T2087" s="263"/>
      <c r="U2087" s="246"/>
      <c r="V2087" s="246"/>
      <c r="W2087" s="246"/>
      <c r="X2087" s="246"/>
      <c r="Y2087" s="246"/>
      <c r="Z2087" s="246"/>
    </row>
    <row r="2088">
      <c r="A2088" s="263"/>
      <c r="B2088" s="267"/>
      <c r="C2088" s="263"/>
      <c r="D2088" s="263"/>
      <c r="E2088" s="263"/>
      <c r="F2088" s="268"/>
      <c r="G2088" s="263"/>
      <c r="H2088" s="267"/>
      <c r="I2088" s="263"/>
      <c r="J2088" s="263"/>
      <c r="K2088" s="263"/>
      <c r="L2088" s="263"/>
      <c r="M2088" s="263"/>
      <c r="N2088" s="263"/>
      <c r="O2088" s="263"/>
      <c r="P2088" s="263"/>
      <c r="Q2088" s="263"/>
      <c r="R2088" s="263"/>
      <c r="S2088" s="263"/>
      <c r="T2088" s="263"/>
      <c r="U2088" s="246"/>
      <c r="V2088" s="246"/>
      <c r="W2088" s="246"/>
      <c r="X2088" s="246"/>
      <c r="Y2088" s="246"/>
      <c r="Z2088" s="246"/>
    </row>
    <row r="2089">
      <c r="A2089" s="263"/>
      <c r="B2089" s="267"/>
      <c r="C2089" s="263"/>
      <c r="D2089" s="263"/>
      <c r="E2089" s="263"/>
      <c r="F2089" s="268"/>
      <c r="G2089" s="263"/>
      <c r="H2089" s="267"/>
      <c r="I2089" s="263"/>
      <c r="J2089" s="263"/>
      <c r="K2089" s="263"/>
      <c r="L2089" s="263"/>
      <c r="M2089" s="263"/>
      <c r="N2089" s="263"/>
      <c r="O2089" s="263"/>
      <c r="P2089" s="263"/>
      <c r="Q2089" s="263"/>
      <c r="R2089" s="263"/>
      <c r="S2089" s="263"/>
      <c r="T2089" s="263"/>
      <c r="U2089" s="246"/>
      <c r="V2089" s="246"/>
      <c r="W2089" s="246"/>
      <c r="X2089" s="246"/>
      <c r="Y2089" s="246"/>
      <c r="Z2089" s="246"/>
    </row>
    <row r="2090">
      <c r="A2090" s="263"/>
      <c r="B2090" s="267"/>
      <c r="C2090" s="263"/>
      <c r="D2090" s="263"/>
      <c r="E2090" s="263"/>
      <c r="F2090" s="268"/>
      <c r="G2090" s="263"/>
      <c r="H2090" s="267"/>
      <c r="I2090" s="263"/>
      <c r="J2090" s="263"/>
      <c r="K2090" s="263"/>
      <c r="L2090" s="263"/>
      <c r="M2090" s="263"/>
      <c r="N2090" s="263"/>
      <c r="O2090" s="263"/>
      <c r="P2090" s="263"/>
      <c r="Q2090" s="263"/>
      <c r="R2090" s="263"/>
      <c r="S2090" s="263"/>
      <c r="T2090" s="263"/>
      <c r="U2090" s="246"/>
      <c r="V2090" s="246"/>
      <c r="W2090" s="246"/>
      <c r="X2090" s="246"/>
      <c r="Y2090" s="246"/>
      <c r="Z2090" s="246"/>
    </row>
    <row r="2091">
      <c r="A2091" s="263"/>
      <c r="B2091" s="267"/>
      <c r="C2091" s="263"/>
      <c r="D2091" s="263"/>
      <c r="E2091" s="263"/>
      <c r="F2091" s="268"/>
      <c r="G2091" s="263"/>
      <c r="H2091" s="267"/>
      <c r="I2091" s="263"/>
      <c r="J2091" s="263"/>
      <c r="K2091" s="263"/>
      <c r="L2091" s="263"/>
      <c r="M2091" s="263"/>
      <c r="N2091" s="263"/>
      <c r="O2091" s="263"/>
      <c r="P2091" s="263"/>
      <c r="Q2091" s="263"/>
      <c r="R2091" s="263"/>
      <c r="S2091" s="263"/>
      <c r="T2091" s="263"/>
      <c r="U2091" s="246"/>
      <c r="V2091" s="246"/>
      <c r="W2091" s="246"/>
      <c r="X2091" s="246"/>
      <c r="Y2091" s="246"/>
      <c r="Z2091" s="246"/>
    </row>
    <row r="2092">
      <c r="A2092" s="263"/>
      <c r="B2092" s="267"/>
      <c r="C2092" s="263"/>
      <c r="D2092" s="263"/>
      <c r="E2092" s="263"/>
      <c r="F2092" s="268"/>
      <c r="G2092" s="263"/>
      <c r="H2092" s="267"/>
      <c r="I2092" s="263"/>
      <c r="J2092" s="263"/>
      <c r="K2092" s="263"/>
      <c r="L2092" s="263"/>
      <c r="M2092" s="263"/>
      <c r="N2092" s="263"/>
      <c r="O2092" s="263"/>
      <c r="P2092" s="263"/>
      <c r="Q2092" s="263"/>
      <c r="R2092" s="263"/>
      <c r="S2092" s="263"/>
      <c r="T2092" s="263"/>
      <c r="U2092" s="246"/>
      <c r="V2092" s="246"/>
      <c r="W2092" s="246"/>
      <c r="X2092" s="246"/>
      <c r="Y2092" s="246"/>
      <c r="Z2092" s="246"/>
    </row>
    <row r="2093">
      <c r="A2093" s="263"/>
      <c r="B2093" s="267"/>
      <c r="C2093" s="263"/>
      <c r="D2093" s="263"/>
      <c r="E2093" s="263"/>
      <c r="F2093" s="268"/>
      <c r="G2093" s="263"/>
      <c r="H2093" s="267"/>
      <c r="I2093" s="263"/>
      <c r="J2093" s="263"/>
      <c r="K2093" s="263"/>
      <c r="L2093" s="263"/>
      <c r="M2093" s="263"/>
      <c r="N2093" s="263"/>
      <c r="O2093" s="263"/>
      <c r="P2093" s="263"/>
      <c r="Q2093" s="263"/>
      <c r="R2093" s="263"/>
      <c r="S2093" s="263"/>
      <c r="T2093" s="263"/>
      <c r="U2093" s="246"/>
      <c r="V2093" s="246"/>
      <c r="W2093" s="246"/>
      <c r="X2093" s="246"/>
      <c r="Y2093" s="246"/>
      <c r="Z2093" s="246"/>
    </row>
    <row r="2094">
      <c r="A2094" s="263"/>
      <c r="B2094" s="267"/>
      <c r="C2094" s="263"/>
      <c r="D2094" s="263"/>
      <c r="E2094" s="263"/>
      <c r="F2094" s="268"/>
      <c r="G2094" s="263"/>
      <c r="H2094" s="267"/>
      <c r="I2094" s="263"/>
      <c r="J2094" s="263"/>
      <c r="K2094" s="263"/>
      <c r="L2094" s="263"/>
      <c r="M2094" s="263"/>
      <c r="N2094" s="263"/>
      <c r="O2094" s="263"/>
      <c r="P2094" s="263"/>
      <c r="Q2094" s="263"/>
      <c r="R2094" s="263"/>
      <c r="S2094" s="263"/>
      <c r="T2094" s="263"/>
      <c r="U2094" s="246"/>
      <c r="V2094" s="246"/>
      <c r="W2094" s="246"/>
      <c r="X2094" s="246"/>
      <c r="Y2094" s="246"/>
      <c r="Z2094" s="246"/>
    </row>
    <row r="2095">
      <c r="A2095" s="263"/>
      <c r="B2095" s="267"/>
      <c r="C2095" s="263"/>
      <c r="D2095" s="263"/>
      <c r="E2095" s="263"/>
      <c r="F2095" s="268"/>
      <c r="G2095" s="263"/>
      <c r="H2095" s="267"/>
      <c r="I2095" s="263"/>
      <c r="J2095" s="263"/>
      <c r="K2095" s="263"/>
      <c r="L2095" s="263"/>
      <c r="M2095" s="263"/>
      <c r="N2095" s="263"/>
      <c r="O2095" s="263"/>
      <c r="P2095" s="263"/>
      <c r="Q2095" s="263"/>
      <c r="R2095" s="263"/>
      <c r="S2095" s="263"/>
      <c r="T2095" s="263"/>
      <c r="U2095" s="246"/>
      <c r="V2095" s="246"/>
      <c r="W2095" s="246"/>
      <c r="X2095" s="246"/>
      <c r="Y2095" s="246"/>
      <c r="Z2095" s="246"/>
    </row>
    <row r="2096">
      <c r="A2096" s="263"/>
      <c r="B2096" s="267"/>
      <c r="C2096" s="263"/>
      <c r="D2096" s="263"/>
      <c r="E2096" s="263"/>
      <c r="F2096" s="268"/>
      <c r="G2096" s="263"/>
      <c r="H2096" s="267"/>
      <c r="I2096" s="263"/>
      <c r="J2096" s="263"/>
      <c r="K2096" s="263"/>
      <c r="L2096" s="263"/>
      <c r="M2096" s="263"/>
      <c r="N2096" s="263"/>
      <c r="O2096" s="263"/>
      <c r="P2096" s="263"/>
      <c r="Q2096" s="263"/>
      <c r="R2096" s="263"/>
      <c r="S2096" s="263"/>
      <c r="T2096" s="263"/>
      <c r="U2096" s="246"/>
      <c r="V2096" s="246"/>
      <c r="W2096" s="246"/>
      <c r="X2096" s="246"/>
      <c r="Y2096" s="246"/>
      <c r="Z2096" s="246"/>
    </row>
    <row r="2097">
      <c r="A2097" s="263"/>
      <c r="B2097" s="267"/>
      <c r="C2097" s="263"/>
      <c r="D2097" s="263"/>
      <c r="E2097" s="263"/>
      <c r="F2097" s="268"/>
      <c r="G2097" s="263"/>
      <c r="H2097" s="267"/>
      <c r="I2097" s="263"/>
      <c r="J2097" s="263"/>
      <c r="K2097" s="263"/>
      <c r="L2097" s="263"/>
      <c r="M2097" s="263"/>
      <c r="N2097" s="263"/>
      <c r="O2097" s="263"/>
      <c r="P2097" s="263"/>
      <c r="Q2097" s="263"/>
      <c r="R2097" s="263"/>
      <c r="S2097" s="263"/>
      <c r="T2097" s="263"/>
      <c r="U2097" s="246"/>
      <c r="V2097" s="246"/>
      <c r="W2097" s="246"/>
      <c r="X2097" s="246"/>
      <c r="Y2097" s="246"/>
      <c r="Z2097" s="246"/>
    </row>
    <row r="2098">
      <c r="A2098" s="263"/>
      <c r="B2098" s="267"/>
      <c r="C2098" s="263"/>
      <c r="D2098" s="263"/>
      <c r="E2098" s="263"/>
      <c r="F2098" s="268"/>
      <c r="G2098" s="263"/>
      <c r="H2098" s="267"/>
      <c r="I2098" s="263"/>
      <c r="J2098" s="263"/>
      <c r="K2098" s="263"/>
      <c r="L2098" s="263"/>
      <c r="M2098" s="263"/>
      <c r="N2098" s="263"/>
      <c r="O2098" s="263"/>
      <c r="P2098" s="263"/>
      <c r="Q2098" s="263"/>
      <c r="R2098" s="263"/>
      <c r="S2098" s="263"/>
      <c r="T2098" s="263"/>
      <c r="U2098" s="246"/>
      <c r="V2098" s="246"/>
      <c r="W2098" s="246"/>
      <c r="X2098" s="246"/>
      <c r="Y2098" s="246"/>
      <c r="Z2098" s="246"/>
    </row>
    <row r="2099">
      <c r="A2099" s="263"/>
      <c r="B2099" s="267"/>
      <c r="C2099" s="263"/>
      <c r="D2099" s="263"/>
      <c r="E2099" s="263"/>
      <c r="F2099" s="268"/>
      <c r="G2099" s="263"/>
      <c r="H2099" s="267"/>
      <c r="I2099" s="263"/>
      <c r="J2099" s="263"/>
      <c r="K2099" s="263"/>
      <c r="L2099" s="263"/>
      <c r="M2099" s="263"/>
      <c r="N2099" s="263"/>
      <c r="O2099" s="263"/>
      <c r="P2099" s="263"/>
      <c r="Q2099" s="263"/>
      <c r="R2099" s="263"/>
      <c r="S2099" s="263"/>
      <c r="T2099" s="263"/>
      <c r="U2099" s="246"/>
      <c r="V2099" s="246"/>
      <c r="W2099" s="246"/>
      <c r="X2099" s="246"/>
      <c r="Y2099" s="246"/>
      <c r="Z2099" s="246"/>
    </row>
    <row r="2100">
      <c r="A2100" s="263"/>
      <c r="B2100" s="267"/>
      <c r="C2100" s="263"/>
      <c r="D2100" s="263"/>
      <c r="E2100" s="263"/>
      <c r="F2100" s="268"/>
      <c r="G2100" s="263"/>
      <c r="H2100" s="267"/>
      <c r="I2100" s="263"/>
      <c r="J2100" s="263"/>
      <c r="K2100" s="263"/>
      <c r="L2100" s="263"/>
      <c r="M2100" s="263"/>
      <c r="N2100" s="263"/>
      <c r="O2100" s="263"/>
      <c r="P2100" s="263"/>
      <c r="Q2100" s="263"/>
      <c r="R2100" s="263"/>
      <c r="S2100" s="263"/>
      <c r="T2100" s="263"/>
      <c r="U2100" s="246"/>
      <c r="V2100" s="246"/>
      <c r="W2100" s="246"/>
      <c r="X2100" s="246"/>
      <c r="Y2100" s="246"/>
      <c r="Z2100" s="246"/>
    </row>
    <row r="2101">
      <c r="A2101" s="263"/>
      <c r="B2101" s="267"/>
      <c r="C2101" s="263"/>
      <c r="D2101" s="263"/>
      <c r="E2101" s="263"/>
      <c r="F2101" s="268"/>
      <c r="G2101" s="263"/>
      <c r="H2101" s="267"/>
      <c r="I2101" s="263"/>
      <c r="J2101" s="263"/>
      <c r="K2101" s="263"/>
      <c r="L2101" s="263"/>
      <c r="M2101" s="263"/>
      <c r="N2101" s="263"/>
      <c r="O2101" s="263"/>
      <c r="P2101" s="263"/>
      <c r="Q2101" s="263"/>
      <c r="R2101" s="263"/>
      <c r="S2101" s="263"/>
      <c r="T2101" s="263"/>
      <c r="U2101" s="246"/>
      <c r="V2101" s="246"/>
      <c r="W2101" s="246"/>
      <c r="X2101" s="246"/>
      <c r="Y2101" s="246"/>
      <c r="Z2101" s="246"/>
    </row>
    <row r="2102">
      <c r="A2102" s="263"/>
      <c r="B2102" s="267"/>
      <c r="C2102" s="263"/>
      <c r="D2102" s="263"/>
      <c r="E2102" s="263"/>
      <c r="F2102" s="268"/>
      <c r="G2102" s="263"/>
      <c r="H2102" s="267"/>
      <c r="I2102" s="263"/>
      <c r="J2102" s="263"/>
      <c r="K2102" s="263"/>
      <c r="L2102" s="263"/>
      <c r="M2102" s="263"/>
      <c r="N2102" s="263"/>
      <c r="O2102" s="263"/>
      <c r="P2102" s="263"/>
      <c r="Q2102" s="263"/>
      <c r="R2102" s="263"/>
      <c r="S2102" s="263"/>
      <c r="T2102" s="263"/>
      <c r="U2102" s="246"/>
      <c r="V2102" s="246"/>
      <c r="W2102" s="246"/>
      <c r="X2102" s="246"/>
      <c r="Y2102" s="246"/>
      <c r="Z2102" s="246"/>
    </row>
    <row r="2103">
      <c r="A2103" s="263"/>
      <c r="B2103" s="267"/>
      <c r="C2103" s="263"/>
      <c r="D2103" s="263"/>
      <c r="E2103" s="263"/>
      <c r="F2103" s="268"/>
      <c r="G2103" s="263"/>
      <c r="H2103" s="267"/>
      <c r="I2103" s="263"/>
      <c r="J2103" s="263"/>
      <c r="K2103" s="263"/>
      <c r="L2103" s="263"/>
      <c r="M2103" s="263"/>
      <c r="N2103" s="263"/>
      <c r="O2103" s="263"/>
      <c r="P2103" s="263"/>
      <c r="Q2103" s="263"/>
      <c r="R2103" s="263"/>
      <c r="S2103" s="263"/>
      <c r="T2103" s="263"/>
      <c r="U2103" s="246"/>
      <c r="V2103" s="246"/>
      <c r="W2103" s="246"/>
      <c r="X2103" s="246"/>
      <c r="Y2103" s="246"/>
      <c r="Z2103" s="246"/>
    </row>
    <row r="2104">
      <c r="A2104" s="263"/>
      <c r="B2104" s="267"/>
      <c r="C2104" s="263"/>
      <c r="D2104" s="263"/>
      <c r="E2104" s="263"/>
      <c r="F2104" s="268"/>
      <c r="G2104" s="263"/>
      <c r="H2104" s="267"/>
      <c r="I2104" s="263"/>
      <c r="J2104" s="263"/>
      <c r="K2104" s="263"/>
      <c r="L2104" s="263"/>
      <c r="M2104" s="263"/>
      <c r="N2104" s="263"/>
      <c r="O2104" s="263"/>
      <c r="P2104" s="263"/>
      <c r="Q2104" s="263"/>
      <c r="R2104" s="263"/>
      <c r="S2104" s="263"/>
      <c r="T2104" s="263"/>
      <c r="U2104" s="246"/>
      <c r="V2104" s="246"/>
      <c r="W2104" s="246"/>
      <c r="X2104" s="246"/>
      <c r="Y2104" s="246"/>
      <c r="Z2104" s="246"/>
    </row>
    <row r="2105">
      <c r="A2105" s="263"/>
      <c r="B2105" s="267"/>
      <c r="C2105" s="263"/>
      <c r="D2105" s="263"/>
      <c r="E2105" s="263"/>
      <c r="F2105" s="268"/>
      <c r="G2105" s="263"/>
      <c r="H2105" s="267"/>
      <c r="I2105" s="263"/>
      <c r="J2105" s="263"/>
      <c r="K2105" s="263"/>
      <c r="L2105" s="263"/>
      <c r="M2105" s="263"/>
      <c r="N2105" s="263"/>
      <c r="O2105" s="263"/>
      <c r="P2105" s="263"/>
      <c r="Q2105" s="263"/>
      <c r="R2105" s="263"/>
      <c r="S2105" s="263"/>
      <c r="T2105" s="263"/>
      <c r="U2105" s="246"/>
      <c r="V2105" s="246"/>
      <c r="W2105" s="246"/>
      <c r="X2105" s="246"/>
      <c r="Y2105" s="246"/>
      <c r="Z2105" s="246"/>
    </row>
    <row r="2106">
      <c r="A2106" s="263"/>
      <c r="B2106" s="267"/>
      <c r="C2106" s="263"/>
      <c r="D2106" s="263"/>
      <c r="E2106" s="263"/>
      <c r="F2106" s="268"/>
      <c r="G2106" s="263"/>
      <c r="H2106" s="267"/>
      <c r="I2106" s="263"/>
      <c r="J2106" s="263"/>
      <c r="K2106" s="263"/>
      <c r="L2106" s="263"/>
      <c r="M2106" s="263"/>
      <c r="N2106" s="263"/>
      <c r="O2106" s="263"/>
      <c r="P2106" s="263"/>
      <c r="Q2106" s="263"/>
      <c r="R2106" s="263"/>
      <c r="S2106" s="263"/>
      <c r="T2106" s="263"/>
      <c r="U2106" s="246"/>
      <c r="V2106" s="246"/>
      <c r="W2106" s="246"/>
      <c r="X2106" s="246"/>
      <c r="Y2106" s="246"/>
      <c r="Z2106" s="246"/>
    </row>
    <row r="2107">
      <c r="A2107" s="263"/>
      <c r="B2107" s="267"/>
      <c r="C2107" s="263"/>
      <c r="D2107" s="263"/>
      <c r="E2107" s="263"/>
      <c r="F2107" s="268"/>
      <c r="G2107" s="263"/>
      <c r="H2107" s="267"/>
      <c r="I2107" s="263"/>
      <c r="J2107" s="263"/>
      <c r="K2107" s="263"/>
      <c r="L2107" s="263"/>
      <c r="M2107" s="263"/>
      <c r="N2107" s="263"/>
      <c r="O2107" s="263"/>
      <c r="P2107" s="263"/>
      <c r="Q2107" s="263"/>
      <c r="R2107" s="263"/>
      <c r="S2107" s="263"/>
      <c r="T2107" s="263"/>
      <c r="U2107" s="246"/>
      <c r="V2107" s="246"/>
      <c r="W2107" s="246"/>
      <c r="X2107" s="246"/>
      <c r="Y2107" s="246"/>
      <c r="Z2107" s="246"/>
    </row>
    <row r="2108">
      <c r="A2108" s="263"/>
      <c r="B2108" s="267"/>
      <c r="C2108" s="263"/>
      <c r="D2108" s="263"/>
      <c r="E2108" s="263"/>
      <c r="F2108" s="268"/>
      <c r="G2108" s="263"/>
      <c r="H2108" s="267"/>
      <c r="I2108" s="263"/>
      <c r="J2108" s="263"/>
      <c r="K2108" s="263"/>
      <c r="L2108" s="263"/>
      <c r="M2108" s="263"/>
      <c r="N2108" s="263"/>
      <c r="O2108" s="263"/>
      <c r="P2108" s="263"/>
      <c r="Q2108" s="263"/>
      <c r="R2108" s="263"/>
      <c r="S2108" s="263"/>
      <c r="T2108" s="263"/>
      <c r="U2108" s="246"/>
      <c r="V2108" s="246"/>
      <c r="W2108" s="246"/>
      <c r="X2108" s="246"/>
      <c r="Y2108" s="246"/>
      <c r="Z2108" s="246"/>
    </row>
    <row r="2109">
      <c r="A2109" s="263"/>
      <c r="B2109" s="267"/>
      <c r="C2109" s="263"/>
      <c r="D2109" s="263"/>
      <c r="E2109" s="263"/>
      <c r="F2109" s="268"/>
      <c r="G2109" s="263"/>
      <c r="H2109" s="267"/>
      <c r="I2109" s="263"/>
      <c r="J2109" s="263"/>
      <c r="K2109" s="263"/>
      <c r="L2109" s="263"/>
      <c r="M2109" s="263"/>
      <c r="N2109" s="263"/>
      <c r="O2109" s="263"/>
      <c r="P2109" s="263"/>
      <c r="Q2109" s="263"/>
      <c r="R2109" s="263"/>
      <c r="S2109" s="263"/>
      <c r="T2109" s="263"/>
      <c r="U2109" s="246"/>
      <c r="V2109" s="246"/>
      <c r="W2109" s="246"/>
      <c r="X2109" s="246"/>
      <c r="Y2109" s="246"/>
      <c r="Z2109" s="246"/>
    </row>
    <row r="2110">
      <c r="A2110" s="263"/>
      <c r="B2110" s="267"/>
      <c r="C2110" s="263"/>
      <c r="D2110" s="263"/>
      <c r="E2110" s="263"/>
      <c r="F2110" s="268"/>
      <c r="G2110" s="263"/>
      <c r="H2110" s="267"/>
      <c r="I2110" s="263"/>
      <c r="J2110" s="263"/>
      <c r="K2110" s="263"/>
      <c r="L2110" s="263"/>
      <c r="M2110" s="263"/>
      <c r="N2110" s="263"/>
      <c r="O2110" s="263"/>
      <c r="P2110" s="263"/>
      <c r="Q2110" s="263"/>
      <c r="R2110" s="263"/>
      <c r="S2110" s="263"/>
      <c r="T2110" s="263"/>
      <c r="U2110" s="246"/>
      <c r="V2110" s="246"/>
      <c r="W2110" s="246"/>
      <c r="X2110" s="246"/>
      <c r="Y2110" s="246"/>
      <c r="Z2110" s="246"/>
    </row>
    <row r="2111">
      <c r="A2111" s="263"/>
      <c r="B2111" s="267"/>
      <c r="C2111" s="263"/>
      <c r="D2111" s="263"/>
      <c r="E2111" s="263"/>
      <c r="F2111" s="268"/>
      <c r="G2111" s="263"/>
      <c r="H2111" s="267"/>
      <c r="I2111" s="263"/>
      <c r="J2111" s="263"/>
      <c r="K2111" s="263"/>
      <c r="L2111" s="263"/>
      <c r="M2111" s="263"/>
      <c r="N2111" s="263"/>
      <c r="O2111" s="263"/>
      <c r="P2111" s="263"/>
      <c r="Q2111" s="263"/>
      <c r="R2111" s="263"/>
      <c r="S2111" s="263"/>
      <c r="T2111" s="263"/>
      <c r="U2111" s="246"/>
      <c r="V2111" s="246"/>
      <c r="W2111" s="246"/>
      <c r="X2111" s="246"/>
      <c r="Y2111" s="246"/>
      <c r="Z2111" s="246"/>
    </row>
    <row r="2112">
      <c r="A2112" s="263"/>
      <c r="B2112" s="267"/>
      <c r="C2112" s="263"/>
      <c r="D2112" s="263"/>
      <c r="E2112" s="263"/>
      <c r="F2112" s="268"/>
      <c r="G2112" s="263"/>
      <c r="H2112" s="267"/>
      <c r="I2112" s="263"/>
      <c r="J2112" s="263"/>
      <c r="K2112" s="263"/>
      <c r="L2112" s="263"/>
      <c r="M2112" s="263"/>
      <c r="N2112" s="263"/>
      <c r="O2112" s="263"/>
      <c r="P2112" s="263"/>
      <c r="Q2112" s="263"/>
      <c r="R2112" s="263"/>
      <c r="S2112" s="263"/>
      <c r="T2112" s="263"/>
      <c r="U2112" s="246"/>
      <c r="V2112" s="246"/>
      <c r="W2112" s="246"/>
      <c r="X2112" s="246"/>
      <c r="Y2112" s="246"/>
      <c r="Z2112" s="246"/>
    </row>
    <row r="2113">
      <c r="A2113" s="263"/>
      <c r="B2113" s="267"/>
      <c r="C2113" s="263"/>
      <c r="D2113" s="263"/>
      <c r="E2113" s="263"/>
      <c r="F2113" s="268"/>
      <c r="G2113" s="263"/>
      <c r="H2113" s="267"/>
      <c r="I2113" s="263"/>
      <c r="J2113" s="263"/>
      <c r="K2113" s="263"/>
      <c r="L2113" s="263"/>
      <c r="M2113" s="263"/>
      <c r="N2113" s="263"/>
      <c r="O2113" s="263"/>
      <c r="P2113" s="263"/>
      <c r="Q2113" s="263"/>
      <c r="R2113" s="263"/>
      <c r="S2113" s="263"/>
      <c r="T2113" s="263"/>
      <c r="U2113" s="246"/>
      <c r="V2113" s="246"/>
      <c r="W2113" s="246"/>
      <c r="X2113" s="246"/>
      <c r="Y2113" s="246"/>
      <c r="Z2113" s="246"/>
    </row>
    <row r="2114">
      <c r="A2114" s="263"/>
      <c r="B2114" s="267"/>
      <c r="C2114" s="263"/>
      <c r="D2114" s="263"/>
      <c r="E2114" s="263"/>
      <c r="F2114" s="268"/>
      <c r="G2114" s="263"/>
      <c r="H2114" s="267"/>
      <c r="I2114" s="263"/>
      <c r="J2114" s="263"/>
      <c r="K2114" s="263"/>
      <c r="L2114" s="263"/>
      <c r="M2114" s="263"/>
      <c r="N2114" s="263"/>
      <c r="O2114" s="263"/>
      <c r="P2114" s="263"/>
      <c r="Q2114" s="263"/>
      <c r="R2114" s="263"/>
      <c r="S2114" s="263"/>
      <c r="T2114" s="263"/>
      <c r="U2114" s="246"/>
      <c r="V2114" s="246"/>
      <c r="W2114" s="246"/>
      <c r="X2114" s="246"/>
      <c r="Y2114" s="246"/>
      <c r="Z2114" s="246"/>
    </row>
    <row r="2115">
      <c r="A2115" s="263"/>
      <c r="B2115" s="267"/>
      <c r="C2115" s="263"/>
      <c r="D2115" s="263"/>
      <c r="E2115" s="263"/>
      <c r="F2115" s="268"/>
      <c r="G2115" s="263"/>
      <c r="H2115" s="267"/>
      <c r="I2115" s="263"/>
      <c r="J2115" s="263"/>
      <c r="K2115" s="263"/>
      <c r="L2115" s="263"/>
      <c r="M2115" s="263"/>
      <c r="N2115" s="263"/>
      <c r="O2115" s="263"/>
      <c r="P2115" s="263"/>
      <c r="Q2115" s="263"/>
      <c r="R2115" s="263"/>
      <c r="S2115" s="263"/>
      <c r="T2115" s="263"/>
      <c r="U2115" s="246"/>
      <c r="V2115" s="246"/>
      <c r="W2115" s="246"/>
      <c r="X2115" s="246"/>
      <c r="Y2115" s="246"/>
      <c r="Z2115" s="246"/>
    </row>
    <row r="2116">
      <c r="A2116" s="263"/>
      <c r="B2116" s="267"/>
      <c r="C2116" s="263"/>
      <c r="D2116" s="263"/>
      <c r="E2116" s="263"/>
      <c r="F2116" s="268"/>
      <c r="G2116" s="263"/>
      <c r="H2116" s="267"/>
      <c r="I2116" s="263"/>
      <c r="J2116" s="263"/>
      <c r="K2116" s="263"/>
      <c r="L2116" s="263"/>
      <c r="M2116" s="263"/>
      <c r="N2116" s="263"/>
      <c r="O2116" s="263"/>
      <c r="P2116" s="263"/>
      <c r="Q2116" s="263"/>
      <c r="R2116" s="263"/>
      <c r="S2116" s="263"/>
      <c r="T2116" s="263"/>
      <c r="U2116" s="246"/>
      <c r="V2116" s="246"/>
      <c r="W2116" s="246"/>
      <c r="X2116" s="246"/>
      <c r="Y2116" s="246"/>
      <c r="Z2116" s="246"/>
    </row>
    <row r="2117">
      <c r="A2117" s="263"/>
      <c r="B2117" s="267"/>
      <c r="C2117" s="263"/>
      <c r="D2117" s="263"/>
      <c r="E2117" s="263"/>
      <c r="F2117" s="268"/>
      <c r="G2117" s="263"/>
      <c r="H2117" s="267"/>
      <c r="I2117" s="263"/>
      <c r="J2117" s="263"/>
      <c r="K2117" s="263"/>
      <c r="L2117" s="263"/>
      <c r="M2117" s="263"/>
      <c r="N2117" s="263"/>
      <c r="O2117" s="263"/>
      <c r="P2117" s="263"/>
      <c r="Q2117" s="263"/>
      <c r="R2117" s="263"/>
      <c r="S2117" s="263"/>
      <c r="T2117" s="263"/>
      <c r="U2117" s="246"/>
      <c r="V2117" s="246"/>
      <c r="W2117" s="246"/>
      <c r="X2117" s="246"/>
      <c r="Y2117" s="246"/>
      <c r="Z2117" s="246"/>
    </row>
    <row r="2118">
      <c r="A2118" s="263"/>
      <c r="B2118" s="267"/>
      <c r="C2118" s="263"/>
      <c r="D2118" s="263"/>
      <c r="E2118" s="263"/>
      <c r="F2118" s="268"/>
      <c r="G2118" s="263"/>
      <c r="H2118" s="267"/>
      <c r="I2118" s="263"/>
      <c r="J2118" s="263"/>
      <c r="K2118" s="263"/>
      <c r="L2118" s="263"/>
      <c r="M2118" s="263"/>
      <c r="N2118" s="263"/>
      <c r="O2118" s="263"/>
      <c r="P2118" s="263"/>
      <c r="Q2118" s="263"/>
      <c r="R2118" s="263"/>
      <c r="S2118" s="263"/>
      <c r="T2118" s="263"/>
      <c r="U2118" s="246"/>
      <c r="V2118" s="246"/>
      <c r="W2118" s="246"/>
      <c r="X2118" s="246"/>
      <c r="Y2118" s="246"/>
      <c r="Z2118" s="246"/>
    </row>
    <row r="2119">
      <c r="A2119" s="263"/>
      <c r="B2119" s="267"/>
      <c r="C2119" s="263"/>
      <c r="D2119" s="263"/>
      <c r="E2119" s="263"/>
      <c r="F2119" s="268"/>
      <c r="G2119" s="263"/>
      <c r="H2119" s="267"/>
      <c r="I2119" s="263"/>
      <c r="J2119" s="263"/>
      <c r="K2119" s="263"/>
      <c r="L2119" s="263"/>
      <c r="M2119" s="263"/>
      <c r="N2119" s="263"/>
      <c r="O2119" s="263"/>
      <c r="P2119" s="263"/>
      <c r="Q2119" s="263"/>
      <c r="R2119" s="263"/>
      <c r="S2119" s="263"/>
      <c r="T2119" s="263"/>
      <c r="U2119" s="246"/>
      <c r="V2119" s="246"/>
      <c r="W2119" s="246"/>
      <c r="X2119" s="246"/>
      <c r="Y2119" s="246"/>
      <c r="Z2119" s="246"/>
    </row>
    <row r="2120">
      <c r="A2120" s="263"/>
      <c r="B2120" s="267"/>
      <c r="C2120" s="263"/>
      <c r="D2120" s="263"/>
      <c r="E2120" s="263"/>
      <c r="F2120" s="268"/>
      <c r="G2120" s="263"/>
      <c r="H2120" s="267"/>
      <c r="I2120" s="263"/>
      <c r="J2120" s="263"/>
      <c r="K2120" s="263"/>
      <c r="L2120" s="263"/>
      <c r="M2120" s="263"/>
      <c r="N2120" s="263"/>
      <c r="O2120" s="263"/>
      <c r="P2120" s="263"/>
      <c r="Q2120" s="263"/>
      <c r="R2120" s="263"/>
      <c r="S2120" s="263"/>
      <c r="T2120" s="263"/>
      <c r="U2120" s="246"/>
      <c r="V2120" s="246"/>
      <c r="W2120" s="246"/>
      <c r="X2120" s="246"/>
      <c r="Y2120" s="246"/>
      <c r="Z2120" s="246"/>
    </row>
    <row r="2121">
      <c r="A2121" s="263"/>
      <c r="B2121" s="267"/>
      <c r="C2121" s="263"/>
      <c r="D2121" s="263"/>
      <c r="E2121" s="263"/>
      <c r="F2121" s="268"/>
      <c r="G2121" s="263"/>
      <c r="H2121" s="267"/>
      <c r="I2121" s="263"/>
      <c r="J2121" s="263"/>
      <c r="K2121" s="263"/>
      <c r="L2121" s="263"/>
      <c r="M2121" s="263"/>
      <c r="N2121" s="263"/>
      <c r="O2121" s="263"/>
      <c r="P2121" s="263"/>
      <c r="Q2121" s="263"/>
      <c r="R2121" s="263"/>
      <c r="S2121" s="263"/>
      <c r="T2121" s="263"/>
      <c r="U2121" s="246"/>
      <c r="V2121" s="246"/>
      <c r="W2121" s="246"/>
      <c r="X2121" s="246"/>
      <c r="Y2121" s="246"/>
      <c r="Z2121" s="246"/>
    </row>
    <row r="2122">
      <c r="A2122" s="263"/>
      <c r="B2122" s="267"/>
      <c r="C2122" s="263"/>
      <c r="D2122" s="263"/>
      <c r="E2122" s="263"/>
      <c r="F2122" s="268"/>
      <c r="G2122" s="263"/>
      <c r="H2122" s="267"/>
      <c r="I2122" s="263"/>
      <c r="J2122" s="263"/>
      <c r="K2122" s="263"/>
      <c r="L2122" s="263"/>
      <c r="M2122" s="263"/>
      <c r="N2122" s="263"/>
      <c r="O2122" s="263"/>
      <c r="P2122" s="263"/>
      <c r="Q2122" s="263"/>
      <c r="R2122" s="263"/>
      <c r="S2122" s="263"/>
      <c r="T2122" s="263"/>
      <c r="U2122" s="246"/>
      <c r="V2122" s="246"/>
      <c r="W2122" s="246"/>
      <c r="X2122" s="246"/>
      <c r="Y2122" s="246"/>
      <c r="Z2122" s="246"/>
    </row>
    <row r="2123">
      <c r="A2123" s="263"/>
      <c r="B2123" s="267"/>
      <c r="C2123" s="263"/>
      <c r="D2123" s="263"/>
      <c r="E2123" s="263"/>
      <c r="F2123" s="268"/>
      <c r="G2123" s="263"/>
      <c r="H2123" s="267"/>
      <c r="I2123" s="263"/>
      <c r="J2123" s="263"/>
      <c r="K2123" s="263"/>
      <c r="L2123" s="263"/>
      <c r="M2123" s="263"/>
      <c r="N2123" s="263"/>
      <c r="O2123" s="263"/>
      <c r="P2123" s="263"/>
      <c r="Q2123" s="263"/>
      <c r="R2123" s="263"/>
      <c r="S2123" s="263"/>
      <c r="T2123" s="263"/>
      <c r="U2123" s="246"/>
      <c r="V2123" s="246"/>
      <c r="W2123" s="246"/>
      <c r="X2123" s="246"/>
      <c r="Y2123" s="246"/>
      <c r="Z2123" s="246"/>
    </row>
    <row r="2124">
      <c r="A2124" s="263"/>
      <c r="B2124" s="267"/>
      <c r="C2124" s="263"/>
      <c r="D2124" s="263"/>
      <c r="E2124" s="263"/>
      <c r="F2124" s="268"/>
      <c r="G2124" s="263"/>
      <c r="H2124" s="267"/>
      <c r="I2124" s="263"/>
      <c r="J2124" s="263"/>
      <c r="K2124" s="263"/>
      <c r="L2124" s="263"/>
      <c r="M2124" s="263"/>
      <c r="N2124" s="263"/>
      <c r="O2124" s="263"/>
      <c r="P2124" s="263"/>
      <c r="Q2124" s="263"/>
      <c r="R2124" s="263"/>
      <c r="S2124" s="263"/>
      <c r="T2124" s="263"/>
      <c r="U2124" s="246"/>
      <c r="V2124" s="246"/>
      <c r="W2124" s="246"/>
      <c r="X2124" s="246"/>
      <c r="Y2124" s="246"/>
      <c r="Z2124" s="246"/>
    </row>
    <row r="2125">
      <c r="A2125" s="263"/>
      <c r="B2125" s="267"/>
      <c r="C2125" s="263"/>
      <c r="D2125" s="263"/>
      <c r="E2125" s="263"/>
      <c r="F2125" s="268"/>
      <c r="G2125" s="263"/>
      <c r="H2125" s="267"/>
      <c r="I2125" s="263"/>
      <c r="J2125" s="263"/>
      <c r="K2125" s="263"/>
      <c r="L2125" s="263"/>
      <c r="M2125" s="263"/>
      <c r="N2125" s="263"/>
      <c r="O2125" s="263"/>
      <c r="P2125" s="263"/>
      <c r="Q2125" s="263"/>
      <c r="R2125" s="263"/>
      <c r="S2125" s="263"/>
      <c r="T2125" s="263"/>
      <c r="U2125" s="246"/>
      <c r="V2125" s="246"/>
      <c r="W2125" s="246"/>
      <c r="X2125" s="246"/>
      <c r="Y2125" s="246"/>
      <c r="Z2125" s="246"/>
    </row>
    <row r="2126">
      <c r="A2126" s="263"/>
      <c r="B2126" s="267"/>
      <c r="C2126" s="263"/>
      <c r="D2126" s="263"/>
      <c r="E2126" s="263"/>
      <c r="F2126" s="268"/>
      <c r="G2126" s="263"/>
      <c r="H2126" s="267"/>
      <c r="I2126" s="263"/>
      <c r="J2126" s="263"/>
      <c r="K2126" s="263"/>
      <c r="L2126" s="263"/>
      <c r="M2126" s="263"/>
      <c r="N2126" s="263"/>
      <c r="O2126" s="263"/>
      <c r="P2126" s="263"/>
      <c r="Q2126" s="263"/>
      <c r="R2126" s="263"/>
      <c r="S2126" s="263"/>
      <c r="T2126" s="263"/>
      <c r="U2126" s="246"/>
      <c r="V2126" s="246"/>
      <c r="W2126" s="246"/>
      <c r="X2126" s="246"/>
      <c r="Y2126" s="246"/>
      <c r="Z2126" s="246"/>
    </row>
    <row r="2127">
      <c r="A2127" s="263"/>
      <c r="B2127" s="267"/>
      <c r="C2127" s="263"/>
      <c r="D2127" s="263"/>
      <c r="E2127" s="263"/>
      <c r="F2127" s="268"/>
      <c r="G2127" s="263"/>
      <c r="H2127" s="267"/>
      <c r="I2127" s="263"/>
      <c r="J2127" s="263"/>
      <c r="K2127" s="263"/>
      <c r="L2127" s="263"/>
      <c r="M2127" s="263"/>
      <c r="N2127" s="263"/>
      <c r="O2127" s="263"/>
      <c r="P2127" s="263"/>
      <c r="Q2127" s="263"/>
      <c r="R2127" s="263"/>
      <c r="S2127" s="263"/>
      <c r="T2127" s="263"/>
      <c r="U2127" s="246"/>
      <c r="V2127" s="246"/>
      <c r="W2127" s="246"/>
      <c r="X2127" s="246"/>
      <c r="Y2127" s="246"/>
      <c r="Z2127" s="246"/>
    </row>
    <row r="2128">
      <c r="A2128" s="263"/>
      <c r="B2128" s="267"/>
      <c r="C2128" s="263"/>
      <c r="D2128" s="263"/>
      <c r="E2128" s="263"/>
      <c r="F2128" s="268"/>
      <c r="G2128" s="263"/>
      <c r="H2128" s="267"/>
      <c r="I2128" s="263"/>
      <c r="J2128" s="263"/>
      <c r="K2128" s="263"/>
      <c r="L2128" s="263"/>
      <c r="M2128" s="263"/>
      <c r="N2128" s="263"/>
      <c r="O2128" s="263"/>
      <c r="P2128" s="263"/>
      <c r="Q2128" s="263"/>
      <c r="R2128" s="263"/>
      <c r="S2128" s="263"/>
      <c r="T2128" s="263"/>
      <c r="U2128" s="246"/>
      <c r="V2128" s="246"/>
      <c r="W2128" s="246"/>
      <c r="X2128" s="246"/>
      <c r="Y2128" s="246"/>
      <c r="Z2128" s="246"/>
    </row>
    <row r="2129">
      <c r="A2129" s="263"/>
      <c r="B2129" s="267"/>
      <c r="C2129" s="263"/>
      <c r="D2129" s="263"/>
      <c r="E2129" s="263"/>
      <c r="F2129" s="268"/>
      <c r="G2129" s="263"/>
      <c r="H2129" s="267"/>
      <c r="I2129" s="263"/>
      <c r="J2129" s="263"/>
      <c r="K2129" s="263"/>
      <c r="L2129" s="263"/>
      <c r="M2129" s="263"/>
      <c r="N2129" s="263"/>
      <c r="O2129" s="263"/>
      <c r="P2129" s="263"/>
      <c r="Q2129" s="263"/>
      <c r="R2129" s="263"/>
      <c r="S2129" s="263"/>
      <c r="T2129" s="263"/>
      <c r="U2129" s="246"/>
      <c r="V2129" s="246"/>
      <c r="W2129" s="246"/>
      <c r="X2129" s="246"/>
      <c r="Y2129" s="246"/>
      <c r="Z2129" s="246"/>
    </row>
    <row r="2130">
      <c r="A2130" s="263"/>
      <c r="B2130" s="267"/>
      <c r="C2130" s="263"/>
      <c r="D2130" s="263"/>
      <c r="E2130" s="263"/>
      <c r="F2130" s="268"/>
      <c r="G2130" s="263"/>
      <c r="H2130" s="267"/>
      <c r="I2130" s="263"/>
      <c r="J2130" s="263"/>
      <c r="K2130" s="263"/>
      <c r="L2130" s="263"/>
      <c r="M2130" s="263"/>
      <c r="N2130" s="263"/>
      <c r="O2130" s="263"/>
      <c r="P2130" s="263"/>
      <c r="Q2130" s="263"/>
      <c r="R2130" s="263"/>
      <c r="S2130" s="263"/>
      <c r="T2130" s="263"/>
      <c r="U2130" s="246"/>
      <c r="V2130" s="246"/>
      <c r="W2130" s="246"/>
      <c r="X2130" s="246"/>
      <c r="Y2130" s="246"/>
      <c r="Z2130" s="246"/>
    </row>
    <row r="2131">
      <c r="A2131" s="263"/>
      <c r="B2131" s="267"/>
      <c r="C2131" s="263"/>
      <c r="D2131" s="263"/>
      <c r="E2131" s="263"/>
      <c r="F2131" s="268"/>
      <c r="G2131" s="263"/>
      <c r="H2131" s="267"/>
      <c r="I2131" s="263"/>
      <c r="J2131" s="263"/>
      <c r="K2131" s="263"/>
      <c r="L2131" s="263"/>
      <c r="M2131" s="263"/>
      <c r="N2131" s="263"/>
      <c r="O2131" s="263"/>
      <c r="P2131" s="263"/>
      <c r="Q2131" s="263"/>
      <c r="R2131" s="263"/>
      <c r="S2131" s="263"/>
      <c r="T2131" s="263"/>
      <c r="U2131" s="246"/>
      <c r="V2131" s="246"/>
      <c r="W2131" s="246"/>
      <c r="X2131" s="246"/>
      <c r="Y2131" s="246"/>
      <c r="Z2131" s="246"/>
    </row>
    <row r="2132">
      <c r="A2132" s="263"/>
      <c r="B2132" s="267"/>
      <c r="C2132" s="263"/>
      <c r="D2132" s="263"/>
      <c r="E2132" s="263"/>
      <c r="F2132" s="268"/>
      <c r="G2132" s="263"/>
      <c r="H2132" s="267"/>
      <c r="I2132" s="263"/>
      <c r="J2132" s="263"/>
      <c r="K2132" s="263"/>
      <c r="L2132" s="263"/>
      <c r="M2132" s="263"/>
      <c r="N2132" s="263"/>
      <c r="O2132" s="263"/>
      <c r="P2132" s="263"/>
      <c r="Q2132" s="263"/>
      <c r="R2132" s="263"/>
      <c r="S2132" s="263"/>
      <c r="T2132" s="263"/>
      <c r="U2132" s="246"/>
      <c r="V2132" s="246"/>
      <c r="W2132" s="246"/>
      <c r="X2132" s="246"/>
      <c r="Y2132" s="246"/>
      <c r="Z2132" s="246"/>
    </row>
    <row r="2133">
      <c r="A2133" s="263"/>
      <c r="B2133" s="267"/>
      <c r="C2133" s="263"/>
      <c r="D2133" s="263"/>
      <c r="E2133" s="263"/>
      <c r="F2133" s="268"/>
      <c r="G2133" s="263"/>
      <c r="H2133" s="267"/>
      <c r="I2133" s="263"/>
      <c r="J2133" s="263"/>
      <c r="K2133" s="263"/>
      <c r="L2133" s="263"/>
      <c r="M2133" s="263"/>
      <c r="N2133" s="263"/>
      <c r="O2133" s="263"/>
      <c r="P2133" s="263"/>
      <c r="Q2133" s="263"/>
      <c r="R2133" s="263"/>
      <c r="S2133" s="263"/>
      <c r="T2133" s="263"/>
      <c r="U2133" s="246"/>
      <c r="V2133" s="246"/>
      <c r="W2133" s="246"/>
      <c r="X2133" s="246"/>
      <c r="Y2133" s="246"/>
      <c r="Z2133" s="246"/>
    </row>
    <row r="2134">
      <c r="A2134" s="263"/>
      <c r="B2134" s="267"/>
      <c r="C2134" s="263"/>
      <c r="D2134" s="263"/>
      <c r="E2134" s="263"/>
      <c r="F2134" s="268"/>
      <c r="G2134" s="263"/>
      <c r="H2134" s="267"/>
      <c r="I2134" s="263"/>
      <c r="J2134" s="263"/>
      <c r="K2134" s="263"/>
      <c r="L2134" s="263"/>
      <c r="M2134" s="263"/>
      <c r="N2134" s="263"/>
      <c r="O2134" s="263"/>
      <c r="P2134" s="263"/>
      <c r="Q2134" s="263"/>
      <c r="R2134" s="263"/>
      <c r="S2134" s="263"/>
      <c r="T2134" s="263"/>
      <c r="U2134" s="246"/>
      <c r="V2134" s="246"/>
      <c r="W2134" s="246"/>
      <c r="X2134" s="246"/>
      <c r="Y2134" s="246"/>
      <c r="Z2134" s="246"/>
    </row>
    <row r="2135">
      <c r="A2135" s="263"/>
      <c r="B2135" s="267"/>
      <c r="C2135" s="263"/>
      <c r="D2135" s="263"/>
      <c r="E2135" s="263"/>
      <c r="F2135" s="268"/>
      <c r="G2135" s="263"/>
      <c r="H2135" s="267"/>
      <c r="I2135" s="263"/>
      <c r="J2135" s="263"/>
      <c r="K2135" s="263"/>
      <c r="L2135" s="263"/>
      <c r="M2135" s="263"/>
      <c r="N2135" s="263"/>
      <c r="O2135" s="263"/>
      <c r="P2135" s="263"/>
      <c r="Q2135" s="263"/>
      <c r="R2135" s="263"/>
      <c r="S2135" s="263"/>
      <c r="T2135" s="263"/>
      <c r="U2135" s="246"/>
      <c r="V2135" s="246"/>
      <c r="W2135" s="246"/>
      <c r="X2135" s="246"/>
      <c r="Y2135" s="246"/>
      <c r="Z2135" s="246"/>
    </row>
    <row r="2136">
      <c r="A2136" s="263"/>
      <c r="B2136" s="267"/>
      <c r="C2136" s="263"/>
      <c r="D2136" s="263"/>
      <c r="E2136" s="263"/>
      <c r="F2136" s="268"/>
      <c r="G2136" s="263"/>
      <c r="H2136" s="267"/>
      <c r="I2136" s="263"/>
      <c r="J2136" s="263"/>
      <c r="K2136" s="263"/>
      <c r="L2136" s="263"/>
      <c r="M2136" s="263"/>
      <c r="N2136" s="263"/>
      <c r="O2136" s="263"/>
      <c r="P2136" s="263"/>
      <c r="Q2136" s="263"/>
      <c r="R2136" s="263"/>
      <c r="S2136" s="263"/>
      <c r="T2136" s="263"/>
      <c r="U2136" s="246"/>
      <c r="V2136" s="246"/>
      <c r="W2136" s="246"/>
      <c r="X2136" s="246"/>
      <c r="Y2136" s="246"/>
      <c r="Z2136" s="246"/>
    </row>
    <row r="2137">
      <c r="A2137" s="263"/>
      <c r="B2137" s="267"/>
      <c r="C2137" s="263"/>
      <c r="D2137" s="263"/>
      <c r="E2137" s="263"/>
      <c r="F2137" s="268"/>
      <c r="G2137" s="263"/>
      <c r="H2137" s="267"/>
      <c r="I2137" s="263"/>
      <c r="J2137" s="263"/>
      <c r="K2137" s="263"/>
      <c r="L2137" s="263"/>
      <c r="M2137" s="263"/>
      <c r="N2137" s="263"/>
      <c r="O2137" s="263"/>
      <c r="P2137" s="263"/>
      <c r="Q2137" s="263"/>
      <c r="R2137" s="263"/>
      <c r="S2137" s="263"/>
      <c r="T2137" s="263"/>
      <c r="U2137" s="246"/>
      <c r="V2137" s="246"/>
      <c r="W2137" s="246"/>
      <c r="X2137" s="246"/>
      <c r="Y2137" s="246"/>
      <c r="Z2137" s="246"/>
    </row>
    <row r="2138">
      <c r="A2138" s="263"/>
      <c r="B2138" s="267"/>
      <c r="C2138" s="263"/>
      <c r="D2138" s="263"/>
      <c r="E2138" s="263"/>
      <c r="F2138" s="268"/>
      <c r="G2138" s="263"/>
      <c r="H2138" s="267"/>
      <c r="I2138" s="263"/>
      <c r="J2138" s="263"/>
      <c r="K2138" s="263"/>
      <c r="L2138" s="263"/>
      <c r="M2138" s="263"/>
      <c r="N2138" s="263"/>
      <c r="O2138" s="263"/>
      <c r="P2138" s="263"/>
      <c r="Q2138" s="263"/>
      <c r="R2138" s="263"/>
      <c r="S2138" s="263"/>
      <c r="T2138" s="263"/>
      <c r="U2138" s="246"/>
      <c r="V2138" s="246"/>
      <c r="W2138" s="246"/>
      <c r="X2138" s="246"/>
      <c r="Y2138" s="246"/>
      <c r="Z2138" s="246"/>
    </row>
    <row r="2139">
      <c r="A2139" s="263"/>
      <c r="B2139" s="267"/>
      <c r="C2139" s="263"/>
      <c r="D2139" s="263"/>
      <c r="E2139" s="263"/>
      <c r="F2139" s="268"/>
      <c r="G2139" s="263"/>
      <c r="H2139" s="267"/>
      <c r="I2139" s="263"/>
      <c r="J2139" s="263"/>
      <c r="K2139" s="263"/>
      <c r="L2139" s="263"/>
      <c r="M2139" s="263"/>
      <c r="N2139" s="263"/>
      <c r="O2139" s="263"/>
      <c r="P2139" s="263"/>
      <c r="Q2139" s="263"/>
      <c r="R2139" s="263"/>
      <c r="S2139" s="263"/>
      <c r="T2139" s="263"/>
      <c r="U2139" s="246"/>
      <c r="V2139" s="246"/>
      <c r="W2139" s="246"/>
      <c r="X2139" s="246"/>
      <c r="Y2139" s="246"/>
      <c r="Z2139" s="246"/>
    </row>
    <row r="2140">
      <c r="A2140" s="263"/>
      <c r="B2140" s="267"/>
      <c r="C2140" s="263"/>
      <c r="D2140" s="263"/>
      <c r="E2140" s="263"/>
      <c r="F2140" s="268"/>
      <c r="G2140" s="263"/>
      <c r="H2140" s="267"/>
      <c r="I2140" s="263"/>
      <c r="J2140" s="263"/>
      <c r="K2140" s="263"/>
      <c r="L2140" s="263"/>
      <c r="M2140" s="263"/>
      <c r="N2140" s="263"/>
      <c r="O2140" s="263"/>
      <c r="P2140" s="263"/>
      <c r="Q2140" s="263"/>
      <c r="R2140" s="263"/>
      <c r="S2140" s="263"/>
      <c r="T2140" s="263"/>
      <c r="U2140" s="246"/>
      <c r="V2140" s="246"/>
      <c r="W2140" s="246"/>
      <c r="X2140" s="246"/>
      <c r="Y2140" s="246"/>
      <c r="Z2140" s="246"/>
    </row>
    <row r="2141">
      <c r="A2141" s="263"/>
      <c r="B2141" s="267"/>
      <c r="C2141" s="263"/>
      <c r="D2141" s="263"/>
      <c r="E2141" s="263"/>
      <c r="F2141" s="268"/>
      <c r="G2141" s="263"/>
      <c r="H2141" s="267"/>
      <c r="I2141" s="263"/>
      <c r="J2141" s="263"/>
      <c r="K2141" s="263"/>
      <c r="L2141" s="263"/>
      <c r="M2141" s="263"/>
      <c r="N2141" s="263"/>
      <c r="O2141" s="263"/>
      <c r="P2141" s="263"/>
      <c r="Q2141" s="263"/>
      <c r="R2141" s="263"/>
      <c r="S2141" s="263"/>
      <c r="T2141" s="263"/>
      <c r="U2141" s="246"/>
      <c r="V2141" s="246"/>
      <c r="W2141" s="246"/>
      <c r="X2141" s="246"/>
      <c r="Y2141" s="246"/>
      <c r="Z2141" s="246"/>
    </row>
    <row r="2142">
      <c r="A2142" s="263"/>
      <c r="B2142" s="267"/>
      <c r="C2142" s="263"/>
      <c r="D2142" s="263"/>
      <c r="E2142" s="263"/>
      <c r="F2142" s="268"/>
      <c r="G2142" s="263"/>
      <c r="H2142" s="267"/>
      <c r="I2142" s="263"/>
      <c r="J2142" s="263"/>
      <c r="K2142" s="263"/>
      <c r="L2142" s="263"/>
      <c r="M2142" s="263"/>
      <c r="N2142" s="263"/>
      <c r="O2142" s="263"/>
      <c r="P2142" s="263"/>
      <c r="Q2142" s="263"/>
      <c r="R2142" s="263"/>
      <c r="S2142" s="263"/>
      <c r="T2142" s="263"/>
      <c r="U2142" s="246"/>
      <c r="V2142" s="246"/>
      <c r="W2142" s="246"/>
      <c r="X2142" s="246"/>
      <c r="Y2142" s="246"/>
      <c r="Z2142" s="246"/>
    </row>
    <row r="2143">
      <c r="A2143" s="263"/>
      <c r="B2143" s="267"/>
      <c r="C2143" s="263"/>
      <c r="D2143" s="263"/>
      <c r="E2143" s="263"/>
      <c r="F2143" s="268"/>
      <c r="G2143" s="263"/>
      <c r="H2143" s="267"/>
      <c r="I2143" s="263"/>
      <c r="J2143" s="263"/>
      <c r="K2143" s="263"/>
      <c r="L2143" s="263"/>
      <c r="M2143" s="263"/>
      <c r="N2143" s="263"/>
      <c r="O2143" s="263"/>
      <c r="P2143" s="263"/>
      <c r="Q2143" s="263"/>
      <c r="R2143" s="263"/>
      <c r="S2143" s="263"/>
      <c r="T2143" s="263"/>
      <c r="U2143" s="246"/>
      <c r="V2143" s="246"/>
      <c r="W2143" s="246"/>
      <c r="X2143" s="246"/>
      <c r="Y2143" s="246"/>
      <c r="Z2143" s="246"/>
    </row>
    <row r="2144">
      <c r="A2144" s="263"/>
      <c r="B2144" s="267"/>
      <c r="C2144" s="263"/>
      <c r="D2144" s="263"/>
      <c r="E2144" s="263"/>
      <c r="F2144" s="268"/>
      <c r="G2144" s="263"/>
      <c r="H2144" s="267"/>
      <c r="I2144" s="263"/>
      <c r="J2144" s="263"/>
      <c r="K2144" s="263"/>
      <c r="L2144" s="263"/>
      <c r="M2144" s="263"/>
      <c r="N2144" s="263"/>
      <c r="O2144" s="263"/>
      <c r="P2144" s="263"/>
      <c r="Q2144" s="263"/>
      <c r="R2144" s="263"/>
      <c r="S2144" s="263"/>
      <c r="T2144" s="263"/>
      <c r="U2144" s="246"/>
      <c r="V2144" s="246"/>
      <c r="W2144" s="246"/>
      <c r="X2144" s="246"/>
      <c r="Y2144" s="246"/>
      <c r="Z2144" s="246"/>
    </row>
    <row r="2145">
      <c r="A2145" s="263"/>
      <c r="B2145" s="267"/>
      <c r="C2145" s="263"/>
      <c r="D2145" s="263"/>
      <c r="E2145" s="263"/>
      <c r="F2145" s="268"/>
      <c r="G2145" s="263"/>
      <c r="H2145" s="267"/>
      <c r="I2145" s="263"/>
      <c r="J2145" s="263"/>
      <c r="K2145" s="263"/>
      <c r="L2145" s="263"/>
      <c r="M2145" s="263"/>
      <c r="N2145" s="263"/>
      <c r="O2145" s="263"/>
      <c r="P2145" s="263"/>
      <c r="Q2145" s="263"/>
      <c r="R2145" s="263"/>
      <c r="S2145" s="263"/>
      <c r="T2145" s="263"/>
      <c r="U2145" s="246"/>
      <c r="V2145" s="246"/>
      <c r="W2145" s="246"/>
      <c r="X2145" s="246"/>
      <c r="Y2145" s="246"/>
      <c r="Z2145" s="246"/>
    </row>
    <row r="2146">
      <c r="A2146" s="263"/>
      <c r="B2146" s="267"/>
      <c r="C2146" s="263"/>
      <c r="D2146" s="263"/>
      <c r="E2146" s="263"/>
      <c r="F2146" s="268"/>
      <c r="G2146" s="263"/>
      <c r="H2146" s="267"/>
      <c r="I2146" s="263"/>
      <c r="J2146" s="263"/>
      <c r="K2146" s="263"/>
      <c r="L2146" s="263"/>
      <c r="M2146" s="263"/>
      <c r="N2146" s="263"/>
      <c r="O2146" s="263"/>
      <c r="P2146" s="263"/>
      <c r="Q2146" s="263"/>
      <c r="R2146" s="263"/>
      <c r="S2146" s="263"/>
      <c r="T2146" s="263"/>
      <c r="U2146" s="246"/>
      <c r="V2146" s="246"/>
      <c r="W2146" s="246"/>
      <c r="X2146" s="246"/>
      <c r="Y2146" s="246"/>
      <c r="Z2146" s="246"/>
    </row>
    <row r="2147">
      <c r="A2147" s="263"/>
      <c r="B2147" s="267"/>
      <c r="C2147" s="263"/>
      <c r="D2147" s="263"/>
      <c r="E2147" s="263"/>
      <c r="F2147" s="268"/>
      <c r="G2147" s="263"/>
      <c r="H2147" s="267"/>
      <c r="I2147" s="263"/>
      <c r="J2147" s="263"/>
      <c r="K2147" s="263"/>
      <c r="L2147" s="263"/>
      <c r="M2147" s="263"/>
      <c r="N2147" s="263"/>
      <c r="O2147" s="263"/>
      <c r="P2147" s="263"/>
      <c r="Q2147" s="263"/>
      <c r="R2147" s="263"/>
      <c r="S2147" s="263"/>
      <c r="T2147" s="263"/>
      <c r="U2147" s="246"/>
      <c r="V2147" s="246"/>
      <c r="W2147" s="246"/>
      <c r="X2147" s="246"/>
      <c r="Y2147" s="246"/>
      <c r="Z2147" s="246"/>
    </row>
    <row r="2148">
      <c r="A2148" s="263"/>
      <c r="B2148" s="267"/>
      <c r="C2148" s="263"/>
      <c r="D2148" s="263"/>
      <c r="E2148" s="263"/>
      <c r="F2148" s="268"/>
      <c r="G2148" s="263"/>
      <c r="H2148" s="267"/>
      <c r="I2148" s="263"/>
      <c r="J2148" s="263"/>
      <c r="K2148" s="263"/>
      <c r="L2148" s="263"/>
      <c r="M2148" s="263"/>
      <c r="N2148" s="263"/>
      <c r="O2148" s="263"/>
      <c r="P2148" s="263"/>
      <c r="Q2148" s="263"/>
      <c r="R2148" s="263"/>
      <c r="S2148" s="263"/>
      <c r="T2148" s="263"/>
      <c r="U2148" s="246"/>
      <c r="V2148" s="246"/>
      <c r="W2148" s="246"/>
      <c r="X2148" s="246"/>
      <c r="Y2148" s="246"/>
      <c r="Z2148" s="246"/>
    </row>
    <row r="2149">
      <c r="A2149" s="263"/>
      <c r="B2149" s="267"/>
      <c r="C2149" s="263"/>
      <c r="D2149" s="263"/>
      <c r="E2149" s="263"/>
      <c r="F2149" s="268"/>
      <c r="G2149" s="263"/>
      <c r="H2149" s="267"/>
      <c r="I2149" s="263"/>
      <c r="J2149" s="263"/>
      <c r="K2149" s="263"/>
      <c r="L2149" s="263"/>
      <c r="M2149" s="263"/>
      <c r="N2149" s="263"/>
      <c r="O2149" s="263"/>
      <c r="P2149" s="263"/>
      <c r="Q2149" s="263"/>
      <c r="R2149" s="263"/>
      <c r="S2149" s="263"/>
      <c r="T2149" s="263"/>
      <c r="U2149" s="246"/>
      <c r="V2149" s="246"/>
      <c r="W2149" s="246"/>
      <c r="X2149" s="246"/>
      <c r="Y2149" s="246"/>
      <c r="Z2149" s="246"/>
    </row>
    <row r="2150">
      <c r="A2150" s="263"/>
      <c r="B2150" s="267"/>
      <c r="C2150" s="263"/>
      <c r="D2150" s="263"/>
      <c r="E2150" s="263"/>
      <c r="F2150" s="268"/>
      <c r="G2150" s="263"/>
      <c r="H2150" s="267"/>
      <c r="I2150" s="263"/>
      <c r="J2150" s="263"/>
      <c r="K2150" s="263"/>
      <c r="L2150" s="263"/>
      <c r="M2150" s="263"/>
      <c r="N2150" s="263"/>
      <c r="O2150" s="263"/>
      <c r="P2150" s="263"/>
      <c r="Q2150" s="263"/>
      <c r="R2150" s="263"/>
      <c r="S2150" s="263"/>
      <c r="T2150" s="263"/>
      <c r="U2150" s="246"/>
      <c r="V2150" s="246"/>
      <c r="W2150" s="246"/>
      <c r="X2150" s="246"/>
      <c r="Y2150" s="246"/>
      <c r="Z2150" s="246"/>
    </row>
    <row r="2151">
      <c r="A2151" s="263"/>
      <c r="B2151" s="267"/>
      <c r="C2151" s="263"/>
      <c r="D2151" s="263"/>
      <c r="E2151" s="263"/>
      <c r="F2151" s="268"/>
      <c r="G2151" s="263"/>
      <c r="H2151" s="267"/>
      <c r="I2151" s="263"/>
      <c r="J2151" s="263"/>
      <c r="K2151" s="263"/>
      <c r="L2151" s="263"/>
      <c r="M2151" s="263"/>
      <c r="N2151" s="263"/>
      <c r="O2151" s="263"/>
      <c r="P2151" s="263"/>
      <c r="Q2151" s="263"/>
      <c r="R2151" s="263"/>
      <c r="S2151" s="263"/>
      <c r="T2151" s="263"/>
      <c r="U2151" s="246"/>
      <c r="V2151" s="246"/>
      <c r="W2151" s="246"/>
      <c r="X2151" s="246"/>
      <c r="Y2151" s="246"/>
      <c r="Z2151" s="246"/>
    </row>
    <row r="2152">
      <c r="A2152" s="263"/>
      <c r="B2152" s="267"/>
      <c r="C2152" s="263"/>
      <c r="D2152" s="263"/>
      <c r="E2152" s="263"/>
      <c r="F2152" s="268"/>
      <c r="G2152" s="263"/>
      <c r="H2152" s="267"/>
      <c r="I2152" s="263"/>
      <c r="J2152" s="263"/>
      <c r="K2152" s="263"/>
      <c r="L2152" s="263"/>
      <c r="M2152" s="263"/>
      <c r="N2152" s="263"/>
      <c r="O2152" s="263"/>
      <c r="P2152" s="263"/>
      <c r="Q2152" s="263"/>
      <c r="R2152" s="263"/>
      <c r="S2152" s="263"/>
      <c r="T2152" s="263"/>
      <c r="U2152" s="246"/>
      <c r="V2152" s="246"/>
      <c r="W2152" s="246"/>
      <c r="X2152" s="246"/>
      <c r="Y2152" s="246"/>
      <c r="Z2152" s="246"/>
    </row>
    <row r="2153">
      <c r="A2153" s="263"/>
      <c r="B2153" s="267"/>
      <c r="C2153" s="263"/>
      <c r="D2153" s="263"/>
      <c r="E2153" s="263"/>
      <c r="F2153" s="268"/>
      <c r="G2153" s="263"/>
      <c r="H2153" s="267"/>
      <c r="I2153" s="263"/>
      <c r="J2153" s="263"/>
      <c r="K2153" s="263"/>
      <c r="L2153" s="263"/>
      <c r="M2153" s="263"/>
      <c r="N2153" s="263"/>
      <c r="O2153" s="263"/>
      <c r="P2153" s="263"/>
      <c r="Q2153" s="263"/>
      <c r="R2153" s="263"/>
      <c r="S2153" s="263"/>
      <c r="T2153" s="263"/>
      <c r="U2153" s="246"/>
      <c r="V2153" s="246"/>
      <c r="W2153" s="246"/>
      <c r="X2153" s="246"/>
      <c r="Y2153" s="246"/>
      <c r="Z2153" s="246"/>
    </row>
    <row r="2154">
      <c r="A2154" s="263"/>
      <c r="B2154" s="267"/>
      <c r="C2154" s="263"/>
      <c r="D2154" s="263"/>
      <c r="E2154" s="263"/>
      <c r="F2154" s="268"/>
      <c r="G2154" s="263"/>
      <c r="H2154" s="267"/>
      <c r="I2154" s="263"/>
      <c r="J2154" s="263"/>
      <c r="K2154" s="263"/>
      <c r="L2154" s="263"/>
      <c r="M2154" s="263"/>
      <c r="N2154" s="263"/>
      <c r="O2154" s="263"/>
      <c r="P2154" s="263"/>
      <c r="Q2154" s="263"/>
      <c r="R2154" s="263"/>
      <c r="S2154" s="263"/>
      <c r="T2154" s="263"/>
      <c r="U2154" s="246"/>
      <c r="V2154" s="246"/>
      <c r="W2154" s="246"/>
      <c r="X2154" s="246"/>
      <c r="Y2154" s="246"/>
      <c r="Z2154" s="246"/>
    </row>
    <row r="2155">
      <c r="A2155" s="263"/>
      <c r="B2155" s="267"/>
      <c r="C2155" s="263"/>
      <c r="D2155" s="263"/>
      <c r="E2155" s="263"/>
      <c r="F2155" s="268"/>
      <c r="G2155" s="263"/>
      <c r="H2155" s="267"/>
      <c r="I2155" s="263"/>
      <c r="J2155" s="263"/>
      <c r="K2155" s="263"/>
      <c r="L2155" s="263"/>
      <c r="M2155" s="263"/>
      <c r="N2155" s="263"/>
      <c r="O2155" s="263"/>
      <c r="P2155" s="263"/>
      <c r="Q2155" s="263"/>
      <c r="R2155" s="263"/>
      <c r="S2155" s="263"/>
      <c r="T2155" s="263"/>
      <c r="U2155" s="246"/>
      <c r="V2155" s="246"/>
      <c r="W2155" s="246"/>
      <c r="X2155" s="246"/>
      <c r="Y2155" s="246"/>
      <c r="Z2155" s="246"/>
    </row>
    <row r="2156">
      <c r="A2156" s="263"/>
      <c r="B2156" s="267"/>
      <c r="C2156" s="263"/>
      <c r="D2156" s="263"/>
      <c r="E2156" s="263"/>
      <c r="F2156" s="268"/>
      <c r="G2156" s="263"/>
      <c r="H2156" s="267"/>
      <c r="I2156" s="263"/>
      <c r="J2156" s="263"/>
      <c r="K2156" s="263"/>
      <c r="L2156" s="263"/>
      <c r="M2156" s="263"/>
      <c r="N2156" s="263"/>
      <c r="O2156" s="263"/>
      <c r="P2156" s="263"/>
      <c r="Q2156" s="263"/>
      <c r="R2156" s="263"/>
      <c r="S2156" s="263"/>
      <c r="T2156" s="263"/>
      <c r="U2156" s="246"/>
      <c r="V2156" s="246"/>
      <c r="W2156" s="246"/>
      <c r="X2156" s="246"/>
      <c r="Y2156" s="246"/>
      <c r="Z2156" s="246"/>
    </row>
    <row r="2157">
      <c r="A2157" s="263"/>
      <c r="B2157" s="267"/>
      <c r="C2157" s="263"/>
      <c r="D2157" s="263"/>
      <c r="E2157" s="263"/>
      <c r="F2157" s="268"/>
      <c r="G2157" s="263"/>
      <c r="H2157" s="267"/>
      <c r="I2157" s="263"/>
      <c r="J2157" s="263"/>
      <c r="K2157" s="263"/>
      <c r="L2157" s="263"/>
      <c r="M2157" s="263"/>
      <c r="N2157" s="263"/>
      <c r="O2157" s="263"/>
      <c r="P2157" s="263"/>
      <c r="Q2157" s="263"/>
      <c r="R2157" s="263"/>
      <c r="S2157" s="263"/>
      <c r="T2157" s="263"/>
      <c r="U2157" s="246"/>
      <c r="V2157" s="246"/>
      <c r="W2157" s="246"/>
      <c r="X2157" s="246"/>
      <c r="Y2157" s="246"/>
      <c r="Z2157" s="246"/>
    </row>
    <row r="2158">
      <c r="A2158" s="263"/>
      <c r="B2158" s="267"/>
      <c r="C2158" s="263"/>
      <c r="D2158" s="263"/>
      <c r="E2158" s="263"/>
      <c r="F2158" s="268"/>
      <c r="G2158" s="263"/>
      <c r="H2158" s="267"/>
      <c r="I2158" s="263"/>
      <c r="J2158" s="263"/>
      <c r="K2158" s="263"/>
      <c r="L2158" s="263"/>
      <c r="M2158" s="263"/>
      <c r="N2158" s="263"/>
      <c r="O2158" s="263"/>
      <c r="P2158" s="263"/>
      <c r="Q2158" s="263"/>
      <c r="R2158" s="263"/>
      <c r="S2158" s="263"/>
      <c r="T2158" s="263"/>
      <c r="U2158" s="246"/>
      <c r="V2158" s="246"/>
      <c r="W2158" s="246"/>
      <c r="X2158" s="246"/>
      <c r="Y2158" s="246"/>
      <c r="Z2158" s="246"/>
    </row>
    <row r="2159">
      <c r="A2159" s="263"/>
      <c r="B2159" s="267"/>
      <c r="C2159" s="263"/>
      <c r="D2159" s="263"/>
      <c r="E2159" s="263"/>
      <c r="F2159" s="268"/>
      <c r="G2159" s="263"/>
      <c r="H2159" s="267"/>
      <c r="I2159" s="263"/>
      <c r="J2159" s="263"/>
      <c r="K2159" s="263"/>
      <c r="L2159" s="263"/>
      <c r="M2159" s="263"/>
      <c r="N2159" s="263"/>
      <c r="O2159" s="263"/>
      <c r="P2159" s="263"/>
      <c r="Q2159" s="263"/>
      <c r="R2159" s="263"/>
      <c r="S2159" s="263"/>
      <c r="T2159" s="263"/>
      <c r="U2159" s="246"/>
      <c r="V2159" s="246"/>
      <c r="W2159" s="246"/>
      <c r="X2159" s="246"/>
      <c r="Y2159" s="246"/>
      <c r="Z2159" s="246"/>
    </row>
    <row r="2160">
      <c r="A2160" s="263"/>
      <c r="B2160" s="267"/>
      <c r="C2160" s="263"/>
      <c r="D2160" s="263"/>
      <c r="E2160" s="263"/>
      <c r="F2160" s="268"/>
      <c r="G2160" s="263"/>
      <c r="H2160" s="267"/>
      <c r="I2160" s="263"/>
      <c r="J2160" s="263"/>
      <c r="K2160" s="263"/>
      <c r="L2160" s="263"/>
      <c r="M2160" s="263"/>
      <c r="N2160" s="263"/>
      <c r="O2160" s="263"/>
      <c r="P2160" s="263"/>
      <c r="Q2160" s="263"/>
      <c r="R2160" s="263"/>
      <c r="S2160" s="263"/>
      <c r="T2160" s="263"/>
      <c r="U2160" s="246"/>
      <c r="V2160" s="246"/>
      <c r="W2160" s="246"/>
      <c r="X2160" s="246"/>
      <c r="Y2160" s="246"/>
      <c r="Z2160" s="246"/>
    </row>
    <row r="2161">
      <c r="A2161" s="263"/>
      <c r="B2161" s="267"/>
      <c r="C2161" s="263"/>
      <c r="D2161" s="263"/>
      <c r="E2161" s="263"/>
      <c r="F2161" s="268"/>
      <c r="G2161" s="263"/>
      <c r="H2161" s="267"/>
      <c r="I2161" s="263"/>
      <c r="J2161" s="263"/>
      <c r="K2161" s="263"/>
      <c r="L2161" s="263"/>
      <c r="M2161" s="263"/>
      <c r="N2161" s="263"/>
      <c r="O2161" s="263"/>
      <c r="P2161" s="263"/>
      <c r="Q2161" s="263"/>
      <c r="R2161" s="263"/>
      <c r="S2161" s="263"/>
      <c r="T2161" s="263"/>
      <c r="U2161" s="246"/>
      <c r="V2161" s="246"/>
      <c r="W2161" s="246"/>
      <c r="X2161" s="246"/>
      <c r="Y2161" s="246"/>
      <c r="Z2161" s="246"/>
    </row>
    <row r="2162">
      <c r="A2162" s="263"/>
      <c r="B2162" s="267"/>
      <c r="C2162" s="263"/>
      <c r="D2162" s="263"/>
      <c r="E2162" s="263"/>
      <c r="F2162" s="268"/>
      <c r="G2162" s="263"/>
      <c r="H2162" s="267"/>
      <c r="I2162" s="263"/>
      <c r="J2162" s="263"/>
      <c r="K2162" s="263"/>
      <c r="L2162" s="263"/>
      <c r="M2162" s="263"/>
      <c r="N2162" s="263"/>
      <c r="O2162" s="263"/>
      <c r="P2162" s="263"/>
      <c r="Q2162" s="263"/>
      <c r="R2162" s="263"/>
      <c r="S2162" s="263"/>
      <c r="T2162" s="263"/>
      <c r="U2162" s="246"/>
      <c r="V2162" s="246"/>
      <c r="W2162" s="246"/>
      <c r="X2162" s="246"/>
      <c r="Y2162" s="246"/>
      <c r="Z2162" s="246"/>
    </row>
    <row r="2163">
      <c r="A2163" s="263"/>
      <c r="B2163" s="267"/>
      <c r="C2163" s="263"/>
      <c r="D2163" s="263"/>
      <c r="E2163" s="263"/>
      <c r="F2163" s="268"/>
      <c r="G2163" s="263"/>
      <c r="H2163" s="267"/>
      <c r="I2163" s="263"/>
      <c r="J2163" s="263"/>
      <c r="K2163" s="263"/>
      <c r="L2163" s="263"/>
      <c r="M2163" s="263"/>
      <c r="N2163" s="263"/>
      <c r="O2163" s="263"/>
      <c r="P2163" s="263"/>
      <c r="Q2163" s="263"/>
      <c r="R2163" s="263"/>
      <c r="S2163" s="263"/>
      <c r="T2163" s="263"/>
      <c r="U2163" s="246"/>
      <c r="V2163" s="246"/>
      <c r="W2163" s="246"/>
      <c r="X2163" s="246"/>
      <c r="Y2163" s="246"/>
      <c r="Z2163" s="246"/>
    </row>
    <row r="2164">
      <c r="A2164" s="263"/>
      <c r="B2164" s="267"/>
      <c r="C2164" s="263"/>
      <c r="D2164" s="263"/>
      <c r="E2164" s="263"/>
      <c r="F2164" s="268"/>
      <c r="G2164" s="263"/>
      <c r="H2164" s="267"/>
      <c r="I2164" s="263"/>
      <c r="J2164" s="263"/>
      <c r="K2164" s="263"/>
      <c r="L2164" s="263"/>
      <c r="M2164" s="263"/>
      <c r="N2164" s="263"/>
      <c r="O2164" s="263"/>
      <c r="P2164" s="263"/>
      <c r="Q2164" s="263"/>
      <c r="R2164" s="263"/>
      <c r="S2164" s="263"/>
      <c r="T2164" s="263"/>
      <c r="U2164" s="246"/>
      <c r="V2164" s="246"/>
      <c r="W2164" s="246"/>
      <c r="X2164" s="246"/>
      <c r="Y2164" s="246"/>
      <c r="Z2164" s="246"/>
    </row>
    <row r="2165">
      <c r="A2165" s="263"/>
      <c r="B2165" s="267"/>
      <c r="C2165" s="263"/>
      <c r="D2165" s="263"/>
      <c r="E2165" s="263"/>
      <c r="F2165" s="268"/>
      <c r="G2165" s="263"/>
      <c r="H2165" s="267"/>
      <c r="I2165" s="263"/>
      <c r="J2165" s="263"/>
      <c r="K2165" s="263"/>
      <c r="L2165" s="263"/>
      <c r="M2165" s="263"/>
      <c r="N2165" s="263"/>
      <c r="O2165" s="263"/>
      <c r="P2165" s="263"/>
      <c r="Q2165" s="263"/>
      <c r="R2165" s="263"/>
      <c r="S2165" s="263"/>
      <c r="T2165" s="263"/>
      <c r="U2165" s="246"/>
      <c r="V2165" s="246"/>
      <c r="W2165" s="246"/>
      <c r="X2165" s="246"/>
      <c r="Y2165" s="246"/>
      <c r="Z2165" s="246"/>
    </row>
    <row r="2166">
      <c r="A2166" s="263"/>
      <c r="B2166" s="267"/>
      <c r="C2166" s="263"/>
      <c r="D2166" s="263"/>
      <c r="E2166" s="263"/>
      <c r="F2166" s="268"/>
      <c r="G2166" s="263"/>
      <c r="H2166" s="267"/>
      <c r="I2166" s="263"/>
      <c r="J2166" s="263"/>
      <c r="K2166" s="263"/>
      <c r="L2166" s="263"/>
      <c r="M2166" s="263"/>
      <c r="N2166" s="263"/>
      <c r="O2166" s="263"/>
      <c r="P2166" s="263"/>
      <c r="Q2166" s="263"/>
      <c r="R2166" s="263"/>
      <c r="S2166" s="263"/>
      <c r="T2166" s="263"/>
      <c r="U2166" s="246"/>
      <c r="V2166" s="246"/>
      <c r="W2166" s="246"/>
      <c r="X2166" s="246"/>
      <c r="Y2166" s="246"/>
      <c r="Z2166" s="246"/>
    </row>
    <row r="2167">
      <c r="A2167" s="263"/>
      <c r="B2167" s="267"/>
      <c r="C2167" s="263"/>
      <c r="D2167" s="263"/>
      <c r="E2167" s="263"/>
      <c r="F2167" s="268"/>
      <c r="G2167" s="263"/>
      <c r="H2167" s="267"/>
      <c r="I2167" s="263"/>
      <c r="J2167" s="263"/>
      <c r="K2167" s="263"/>
      <c r="L2167" s="263"/>
      <c r="M2167" s="263"/>
      <c r="N2167" s="263"/>
      <c r="O2167" s="263"/>
      <c r="P2167" s="263"/>
      <c r="Q2167" s="263"/>
      <c r="R2167" s="263"/>
      <c r="S2167" s="263"/>
      <c r="T2167" s="263"/>
      <c r="U2167" s="246"/>
      <c r="V2167" s="246"/>
      <c r="W2167" s="246"/>
      <c r="X2167" s="246"/>
      <c r="Y2167" s="246"/>
      <c r="Z2167" s="246"/>
    </row>
    <row r="2168">
      <c r="A2168" s="263"/>
      <c r="B2168" s="267"/>
      <c r="C2168" s="263"/>
      <c r="D2168" s="263"/>
      <c r="E2168" s="263"/>
      <c r="F2168" s="268"/>
      <c r="G2168" s="263"/>
      <c r="H2168" s="267"/>
      <c r="I2168" s="263"/>
      <c r="J2168" s="263"/>
      <c r="K2168" s="263"/>
      <c r="L2168" s="263"/>
      <c r="M2168" s="263"/>
      <c r="N2168" s="263"/>
      <c r="O2168" s="263"/>
      <c r="P2168" s="263"/>
      <c r="Q2168" s="263"/>
      <c r="R2168" s="263"/>
      <c r="S2168" s="263"/>
      <c r="T2168" s="263"/>
      <c r="U2168" s="246"/>
      <c r="V2168" s="246"/>
      <c r="W2168" s="246"/>
      <c r="X2168" s="246"/>
      <c r="Y2168" s="246"/>
      <c r="Z2168" s="246"/>
    </row>
    <row r="2169">
      <c r="A2169" s="263"/>
      <c r="B2169" s="267"/>
      <c r="C2169" s="263"/>
      <c r="D2169" s="263"/>
      <c r="E2169" s="263"/>
      <c r="F2169" s="268"/>
      <c r="G2169" s="263"/>
      <c r="H2169" s="267"/>
      <c r="I2169" s="263"/>
      <c r="J2169" s="263"/>
      <c r="K2169" s="263"/>
      <c r="L2169" s="263"/>
      <c r="M2169" s="263"/>
      <c r="N2169" s="263"/>
      <c r="O2169" s="263"/>
      <c r="P2169" s="263"/>
      <c r="Q2169" s="263"/>
      <c r="R2169" s="263"/>
      <c r="S2169" s="263"/>
      <c r="T2169" s="263"/>
      <c r="U2169" s="246"/>
      <c r="V2169" s="246"/>
      <c r="W2169" s="246"/>
      <c r="X2169" s="246"/>
      <c r="Y2169" s="246"/>
      <c r="Z2169" s="246"/>
    </row>
    <row r="2170">
      <c r="A2170" s="263"/>
      <c r="B2170" s="267"/>
      <c r="C2170" s="263"/>
      <c r="D2170" s="263"/>
      <c r="E2170" s="263"/>
      <c r="F2170" s="268"/>
      <c r="G2170" s="263"/>
      <c r="H2170" s="267"/>
      <c r="I2170" s="263"/>
      <c r="J2170" s="263"/>
      <c r="K2170" s="263"/>
      <c r="L2170" s="263"/>
      <c r="M2170" s="263"/>
      <c r="N2170" s="263"/>
      <c r="O2170" s="263"/>
      <c r="P2170" s="263"/>
      <c r="Q2170" s="263"/>
      <c r="R2170" s="263"/>
      <c r="S2170" s="263"/>
      <c r="T2170" s="263"/>
      <c r="U2170" s="246"/>
      <c r="V2170" s="246"/>
      <c r="W2170" s="246"/>
      <c r="X2170" s="246"/>
      <c r="Y2170" s="246"/>
      <c r="Z2170" s="246"/>
    </row>
    <row r="2171">
      <c r="A2171" s="263"/>
      <c r="B2171" s="267"/>
      <c r="C2171" s="263"/>
      <c r="D2171" s="263"/>
      <c r="E2171" s="263"/>
      <c r="F2171" s="268"/>
      <c r="G2171" s="263"/>
      <c r="H2171" s="267"/>
      <c r="I2171" s="263"/>
      <c r="J2171" s="263"/>
      <c r="K2171" s="263"/>
      <c r="L2171" s="263"/>
      <c r="M2171" s="263"/>
      <c r="N2171" s="263"/>
      <c r="O2171" s="263"/>
      <c r="P2171" s="263"/>
      <c r="Q2171" s="263"/>
      <c r="R2171" s="263"/>
      <c r="S2171" s="263"/>
      <c r="T2171" s="263"/>
      <c r="U2171" s="246"/>
      <c r="V2171" s="246"/>
      <c r="W2171" s="246"/>
      <c r="X2171" s="246"/>
      <c r="Y2171" s="246"/>
      <c r="Z2171" s="246"/>
    </row>
    <row r="2172">
      <c r="A2172" s="263"/>
      <c r="B2172" s="267"/>
      <c r="C2172" s="263"/>
      <c r="D2172" s="263"/>
      <c r="E2172" s="263"/>
      <c r="F2172" s="268"/>
      <c r="G2172" s="263"/>
      <c r="H2172" s="267"/>
      <c r="I2172" s="263"/>
      <c r="J2172" s="263"/>
      <c r="K2172" s="263"/>
      <c r="L2172" s="263"/>
      <c r="M2172" s="263"/>
      <c r="N2172" s="263"/>
      <c r="O2172" s="263"/>
      <c r="P2172" s="263"/>
      <c r="Q2172" s="263"/>
      <c r="R2172" s="263"/>
      <c r="S2172" s="263"/>
      <c r="T2172" s="263"/>
      <c r="U2172" s="246"/>
      <c r="V2172" s="246"/>
      <c r="W2172" s="246"/>
      <c r="X2172" s="246"/>
      <c r="Y2172" s="246"/>
      <c r="Z2172" s="246"/>
    </row>
    <row r="2173">
      <c r="A2173" s="263"/>
      <c r="B2173" s="267"/>
      <c r="C2173" s="263"/>
      <c r="D2173" s="263"/>
      <c r="E2173" s="263"/>
      <c r="F2173" s="268"/>
      <c r="G2173" s="263"/>
      <c r="H2173" s="267"/>
      <c r="I2173" s="263"/>
      <c r="J2173" s="263"/>
      <c r="K2173" s="263"/>
      <c r="L2173" s="263"/>
      <c r="M2173" s="263"/>
      <c r="N2173" s="263"/>
      <c r="O2173" s="263"/>
      <c r="P2173" s="263"/>
      <c r="Q2173" s="263"/>
      <c r="R2173" s="263"/>
      <c r="S2173" s="263"/>
      <c r="T2173" s="263"/>
      <c r="U2173" s="246"/>
      <c r="V2173" s="246"/>
      <c r="W2173" s="246"/>
      <c r="X2173" s="246"/>
      <c r="Y2173" s="246"/>
      <c r="Z2173" s="246"/>
    </row>
    <row r="2174">
      <c r="A2174" s="263"/>
      <c r="B2174" s="267"/>
      <c r="C2174" s="263"/>
      <c r="D2174" s="263"/>
      <c r="E2174" s="263"/>
      <c r="F2174" s="268"/>
      <c r="G2174" s="263"/>
      <c r="H2174" s="267"/>
      <c r="I2174" s="263"/>
      <c r="J2174" s="263"/>
      <c r="K2174" s="263"/>
      <c r="L2174" s="263"/>
      <c r="M2174" s="263"/>
      <c r="N2174" s="263"/>
      <c r="O2174" s="263"/>
      <c r="P2174" s="263"/>
      <c r="Q2174" s="263"/>
      <c r="R2174" s="263"/>
      <c r="S2174" s="263"/>
      <c r="T2174" s="263"/>
      <c r="U2174" s="246"/>
      <c r="V2174" s="246"/>
      <c r="W2174" s="246"/>
      <c r="X2174" s="246"/>
      <c r="Y2174" s="246"/>
      <c r="Z2174" s="246"/>
    </row>
    <row r="2175">
      <c r="A2175" s="263"/>
      <c r="B2175" s="267"/>
      <c r="C2175" s="263"/>
      <c r="D2175" s="263"/>
      <c r="E2175" s="263"/>
      <c r="F2175" s="268"/>
      <c r="G2175" s="263"/>
      <c r="H2175" s="267"/>
      <c r="I2175" s="263"/>
      <c r="J2175" s="263"/>
      <c r="K2175" s="263"/>
      <c r="L2175" s="263"/>
      <c r="M2175" s="263"/>
      <c r="N2175" s="263"/>
      <c r="O2175" s="263"/>
      <c r="P2175" s="263"/>
      <c r="Q2175" s="263"/>
      <c r="R2175" s="263"/>
      <c r="S2175" s="263"/>
      <c r="T2175" s="263"/>
      <c r="U2175" s="246"/>
      <c r="V2175" s="246"/>
      <c r="W2175" s="246"/>
      <c r="X2175" s="246"/>
      <c r="Y2175" s="246"/>
      <c r="Z2175" s="246"/>
    </row>
    <row r="2176">
      <c r="A2176" s="263"/>
      <c r="B2176" s="267"/>
      <c r="C2176" s="263"/>
      <c r="D2176" s="263"/>
      <c r="E2176" s="263"/>
      <c r="F2176" s="268"/>
      <c r="G2176" s="263"/>
      <c r="H2176" s="267"/>
      <c r="I2176" s="263"/>
      <c r="J2176" s="263"/>
      <c r="K2176" s="263"/>
      <c r="L2176" s="263"/>
      <c r="M2176" s="263"/>
      <c r="N2176" s="263"/>
      <c r="O2176" s="263"/>
      <c r="P2176" s="263"/>
      <c r="Q2176" s="263"/>
      <c r="R2176" s="263"/>
      <c r="S2176" s="263"/>
      <c r="T2176" s="263"/>
      <c r="U2176" s="246"/>
      <c r="V2176" s="246"/>
      <c r="W2176" s="246"/>
      <c r="X2176" s="246"/>
      <c r="Y2176" s="246"/>
      <c r="Z2176" s="246"/>
    </row>
    <row r="2177">
      <c r="A2177" s="263"/>
      <c r="B2177" s="267"/>
      <c r="C2177" s="263"/>
      <c r="D2177" s="263"/>
      <c r="E2177" s="263"/>
      <c r="F2177" s="268"/>
      <c r="G2177" s="263"/>
      <c r="H2177" s="267"/>
      <c r="I2177" s="263"/>
      <c r="J2177" s="263"/>
      <c r="K2177" s="263"/>
      <c r="L2177" s="263"/>
      <c r="M2177" s="263"/>
      <c r="N2177" s="263"/>
      <c r="O2177" s="263"/>
      <c r="P2177" s="263"/>
      <c r="Q2177" s="263"/>
      <c r="R2177" s="263"/>
      <c r="S2177" s="263"/>
      <c r="T2177" s="263"/>
      <c r="U2177" s="246"/>
      <c r="V2177" s="246"/>
      <c r="W2177" s="246"/>
      <c r="X2177" s="246"/>
      <c r="Y2177" s="246"/>
      <c r="Z2177" s="246"/>
    </row>
    <row r="2178">
      <c r="A2178" s="263"/>
      <c r="B2178" s="267"/>
      <c r="C2178" s="263"/>
      <c r="D2178" s="263"/>
      <c r="E2178" s="263"/>
      <c r="F2178" s="268"/>
      <c r="G2178" s="263"/>
      <c r="H2178" s="267"/>
      <c r="I2178" s="263"/>
      <c r="J2178" s="263"/>
      <c r="K2178" s="263"/>
      <c r="L2178" s="263"/>
      <c r="M2178" s="263"/>
      <c r="N2178" s="263"/>
      <c r="O2178" s="263"/>
      <c r="P2178" s="263"/>
      <c r="Q2178" s="263"/>
      <c r="R2178" s="263"/>
      <c r="S2178" s="263"/>
      <c r="T2178" s="263"/>
      <c r="U2178" s="246"/>
      <c r="V2178" s="246"/>
      <c r="W2178" s="246"/>
      <c r="X2178" s="246"/>
      <c r="Y2178" s="246"/>
      <c r="Z2178" s="246"/>
    </row>
    <row r="2179">
      <c r="A2179" s="263"/>
      <c r="B2179" s="267"/>
      <c r="C2179" s="263"/>
      <c r="D2179" s="263"/>
      <c r="E2179" s="263"/>
      <c r="F2179" s="268"/>
      <c r="G2179" s="263"/>
      <c r="H2179" s="267"/>
      <c r="I2179" s="263"/>
      <c r="J2179" s="263"/>
      <c r="K2179" s="263"/>
      <c r="L2179" s="263"/>
      <c r="M2179" s="263"/>
      <c r="N2179" s="263"/>
      <c r="O2179" s="263"/>
      <c r="P2179" s="263"/>
      <c r="Q2179" s="263"/>
      <c r="R2179" s="263"/>
      <c r="S2179" s="263"/>
      <c r="T2179" s="263"/>
      <c r="U2179" s="246"/>
      <c r="V2179" s="246"/>
      <c r="W2179" s="246"/>
      <c r="X2179" s="246"/>
      <c r="Y2179" s="246"/>
      <c r="Z2179" s="246"/>
    </row>
    <row r="2180">
      <c r="A2180" s="263"/>
      <c r="B2180" s="267"/>
      <c r="C2180" s="263"/>
      <c r="D2180" s="263"/>
      <c r="E2180" s="263"/>
      <c r="F2180" s="268"/>
      <c r="G2180" s="263"/>
      <c r="H2180" s="267"/>
      <c r="I2180" s="263"/>
      <c r="J2180" s="263"/>
      <c r="K2180" s="263"/>
      <c r="L2180" s="263"/>
      <c r="M2180" s="263"/>
      <c r="N2180" s="263"/>
      <c r="O2180" s="263"/>
      <c r="P2180" s="263"/>
      <c r="Q2180" s="263"/>
      <c r="R2180" s="263"/>
      <c r="S2180" s="263"/>
      <c r="T2180" s="263"/>
      <c r="U2180" s="246"/>
      <c r="V2180" s="246"/>
      <c r="W2180" s="246"/>
      <c r="X2180" s="246"/>
      <c r="Y2180" s="246"/>
      <c r="Z2180" s="246"/>
    </row>
    <row r="2181">
      <c r="A2181" s="263"/>
      <c r="B2181" s="267"/>
      <c r="C2181" s="263"/>
      <c r="D2181" s="263"/>
      <c r="E2181" s="263"/>
      <c r="F2181" s="268"/>
      <c r="G2181" s="263"/>
      <c r="H2181" s="267"/>
      <c r="I2181" s="263"/>
      <c r="J2181" s="263"/>
      <c r="K2181" s="263"/>
      <c r="L2181" s="263"/>
      <c r="M2181" s="263"/>
      <c r="N2181" s="263"/>
      <c r="O2181" s="263"/>
      <c r="P2181" s="263"/>
      <c r="Q2181" s="263"/>
      <c r="R2181" s="263"/>
      <c r="S2181" s="263"/>
      <c r="T2181" s="263"/>
      <c r="U2181" s="246"/>
      <c r="V2181" s="246"/>
      <c r="W2181" s="246"/>
      <c r="X2181" s="246"/>
      <c r="Y2181" s="246"/>
      <c r="Z2181" s="246"/>
    </row>
    <row r="2182">
      <c r="A2182" s="263"/>
      <c r="B2182" s="267"/>
      <c r="C2182" s="263"/>
      <c r="D2182" s="263"/>
      <c r="E2182" s="263"/>
      <c r="F2182" s="268"/>
      <c r="G2182" s="263"/>
      <c r="H2182" s="267"/>
      <c r="I2182" s="263"/>
      <c r="J2182" s="263"/>
      <c r="K2182" s="263"/>
      <c r="L2182" s="263"/>
      <c r="M2182" s="263"/>
      <c r="N2182" s="263"/>
      <c r="O2182" s="263"/>
      <c r="P2182" s="263"/>
      <c r="Q2182" s="263"/>
      <c r="R2182" s="263"/>
      <c r="S2182" s="263"/>
      <c r="T2182" s="263"/>
      <c r="U2182" s="246"/>
      <c r="V2182" s="246"/>
      <c r="W2182" s="246"/>
      <c r="X2182" s="246"/>
      <c r="Y2182" s="246"/>
      <c r="Z2182" s="246"/>
    </row>
    <row r="2183">
      <c r="A2183" s="263"/>
      <c r="B2183" s="267"/>
      <c r="C2183" s="263"/>
      <c r="D2183" s="263"/>
      <c r="E2183" s="263"/>
      <c r="F2183" s="268"/>
      <c r="G2183" s="263"/>
      <c r="H2183" s="267"/>
      <c r="I2183" s="263"/>
      <c r="J2183" s="263"/>
      <c r="K2183" s="263"/>
      <c r="L2183" s="263"/>
      <c r="M2183" s="263"/>
      <c r="N2183" s="263"/>
      <c r="O2183" s="263"/>
      <c r="P2183" s="263"/>
      <c r="Q2183" s="263"/>
      <c r="R2183" s="263"/>
      <c r="S2183" s="263"/>
      <c r="T2183" s="263"/>
      <c r="U2183" s="246"/>
      <c r="V2183" s="246"/>
      <c r="W2183" s="246"/>
      <c r="X2183" s="246"/>
      <c r="Y2183" s="246"/>
      <c r="Z2183" s="246"/>
    </row>
    <row r="2184">
      <c r="A2184" s="263"/>
      <c r="B2184" s="267"/>
      <c r="C2184" s="263"/>
      <c r="D2184" s="263"/>
      <c r="E2184" s="263"/>
      <c r="F2184" s="268"/>
      <c r="G2184" s="263"/>
      <c r="H2184" s="267"/>
      <c r="I2184" s="263"/>
      <c r="J2184" s="263"/>
      <c r="K2184" s="263"/>
      <c r="L2184" s="263"/>
      <c r="M2184" s="263"/>
      <c r="N2184" s="263"/>
      <c r="O2184" s="263"/>
      <c r="P2184" s="263"/>
      <c r="Q2184" s="263"/>
      <c r="R2184" s="263"/>
      <c r="S2184" s="263"/>
      <c r="T2184" s="263"/>
      <c r="U2184" s="246"/>
      <c r="V2184" s="246"/>
      <c r="W2184" s="246"/>
      <c r="X2184" s="246"/>
      <c r="Y2184" s="246"/>
      <c r="Z2184" s="246"/>
    </row>
    <row r="2185">
      <c r="A2185" s="263"/>
      <c r="B2185" s="267"/>
      <c r="C2185" s="263"/>
      <c r="D2185" s="263"/>
      <c r="E2185" s="263"/>
      <c r="F2185" s="268"/>
      <c r="G2185" s="263"/>
      <c r="H2185" s="267"/>
      <c r="I2185" s="263"/>
      <c r="J2185" s="263"/>
      <c r="K2185" s="263"/>
      <c r="L2185" s="263"/>
      <c r="M2185" s="263"/>
      <c r="N2185" s="263"/>
      <c r="O2185" s="263"/>
      <c r="P2185" s="263"/>
      <c r="Q2185" s="263"/>
      <c r="R2185" s="263"/>
      <c r="S2185" s="263"/>
      <c r="T2185" s="263"/>
      <c r="U2185" s="246"/>
      <c r="V2185" s="246"/>
      <c r="W2185" s="246"/>
      <c r="X2185" s="246"/>
      <c r="Y2185" s="246"/>
      <c r="Z2185" s="246"/>
    </row>
    <row r="2186">
      <c r="A2186" s="263"/>
      <c r="B2186" s="267"/>
      <c r="C2186" s="263"/>
      <c r="D2186" s="263"/>
      <c r="E2186" s="263"/>
      <c r="F2186" s="268"/>
      <c r="G2186" s="263"/>
      <c r="H2186" s="267"/>
      <c r="I2186" s="263"/>
      <c r="J2186" s="263"/>
      <c r="K2186" s="263"/>
      <c r="L2186" s="263"/>
      <c r="M2186" s="263"/>
      <c r="N2186" s="263"/>
      <c r="O2186" s="263"/>
      <c r="P2186" s="263"/>
      <c r="Q2186" s="263"/>
      <c r="R2186" s="263"/>
      <c r="S2186" s="263"/>
      <c r="T2186" s="263"/>
      <c r="U2186" s="246"/>
      <c r="V2186" s="246"/>
      <c r="W2186" s="246"/>
      <c r="X2186" s="246"/>
      <c r="Y2186" s="246"/>
      <c r="Z2186" s="246"/>
    </row>
    <row r="2187">
      <c r="A2187" s="263"/>
      <c r="B2187" s="267"/>
      <c r="C2187" s="263"/>
      <c r="D2187" s="263"/>
      <c r="E2187" s="263"/>
      <c r="F2187" s="268"/>
      <c r="G2187" s="263"/>
      <c r="H2187" s="267"/>
      <c r="I2187" s="263"/>
      <c r="J2187" s="263"/>
      <c r="K2187" s="263"/>
      <c r="L2187" s="263"/>
      <c r="M2187" s="263"/>
      <c r="N2187" s="263"/>
      <c r="O2187" s="263"/>
      <c r="P2187" s="263"/>
      <c r="Q2187" s="263"/>
      <c r="R2187" s="263"/>
      <c r="S2187" s="263"/>
      <c r="T2187" s="263"/>
      <c r="U2187" s="246"/>
      <c r="V2187" s="246"/>
      <c r="W2187" s="246"/>
      <c r="X2187" s="246"/>
      <c r="Y2187" s="246"/>
      <c r="Z2187" s="246"/>
    </row>
    <row r="2188">
      <c r="A2188" s="263"/>
      <c r="B2188" s="267"/>
      <c r="C2188" s="263"/>
      <c r="D2188" s="263"/>
      <c r="E2188" s="263"/>
      <c r="F2188" s="268"/>
      <c r="G2188" s="263"/>
      <c r="H2188" s="267"/>
      <c r="I2188" s="263"/>
      <c r="J2188" s="263"/>
      <c r="K2188" s="263"/>
      <c r="L2188" s="263"/>
      <c r="M2188" s="263"/>
      <c r="N2188" s="263"/>
      <c r="O2188" s="263"/>
      <c r="P2188" s="263"/>
      <c r="Q2188" s="263"/>
      <c r="R2188" s="263"/>
      <c r="S2188" s="263"/>
      <c r="T2188" s="263"/>
      <c r="U2188" s="246"/>
      <c r="V2188" s="246"/>
      <c r="W2188" s="246"/>
      <c r="X2188" s="246"/>
      <c r="Y2188" s="246"/>
      <c r="Z2188" s="246"/>
    </row>
    <row r="2189">
      <c r="A2189" s="263"/>
      <c r="B2189" s="267"/>
      <c r="C2189" s="263"/>
      <c r="D2189" s="263"/>
      <c r="E2189" s="263"/>
      <c r="F2189" s="268"/>
      <c r="G2189" s="263"/>
      <c r="H2189" s="267"/>
      <c r="I2189" s="263"/>
      <c r="J2189" s="263"/>
      <c r="K2189" s="263"/>
      <c r="L2189" s="263"/>
      <c r="M2189" s="263"/>
      <c r="N2189" s="263"/>
      <c r="O2189" s="263"/>
      <c r="P2189" s="263"/>
      <c r="Q2189" s="263"/>
      <c r="R2189" s="263"/>
      <c r="S2189" s="263"/>
      <c r="T2189" s="263"/>
      <c r="U2189" s="246"/>
      <c r="V2189" s="246"/>
      <c r="W2189" s="246"/>
      <c r="X2189" s="246"/>
      <c r="Y2189" s="246"/>
      <c r="Z2189" s="246"/>
    </row>
    <row r="2190">
      <c r="A2190" s="263"/>
      <c r="B2190" s="267"/>
      <c r="C2190" s="263"/>
      <c r="D2190" s="263"/>
      <c r="E2190" s="263"/>
      <c r="F2190" s="268"/>
      <c r="G2190" s="263"/>
      <c r="H2190" s="267"/>
      <c r="I2190" s="263"/>
      <c r="J2190" s="263"/>
      <c r="K2190" s="263"/>
      <c r="L2190" s="263"/>
      <c r="M2190" s="263"/>
      <c r="N2190" s="263"/>
      <c r="O2190" s="263"/>
      <c r="P2190" s="263"/>
      <c r="Q2190" s="263"/>
      <c r="R2190" s="263"/>
      <c r="S2190" s="263"/>
      <c r="T2190" s="263"/>
      <c r="U2190" s="246"/>
      <c r="V2190" s="246"/>
      <c r="W2190" s="246"/>
      <c r="X2190" s="246"/>
      <c r="Y2190" s="246"/>
      <c r="Z2190" s="246"/>
    </row>
    <row r="2191">
      <c r="A2191" s="263"/>
      <c r="B2191" s="267"/>
      <c r="C2191" s="263"/>
      <c r="D2191" s="263"/>
      <c r="E2191" s="263"/>
      <c r="F2191" s="268"/>
      <c r="G2191" s="263"/>
      <c r="H2191" s="267"/>
      <c r="I2191" s="263"/>
      <c r="J2191" s="263"/>
      <c r="K2191" s="263"/>
      <c r="L2191" s="263"/>
      <c r="M2191" s="263"/>
      <c r="N2191" s="263"/>
      <c r="O2191" s="263"/>
      <c r="P2191" s="263"/>
      <c r="Q2191" s="263"/>
      <c r="R2191" s="263"/>
      <c r="S2191" s="263"/>
      <c r="T2191" s="263"/>
      <c r="U2191" s="246"/>
      <c r="V2191" s="246"/>
      <c r="W2191" s="246"/>
      <c r="X2191" s="246"/>
      <c r="Y2191" s="246"/>
      <c r="Z2191" s="246"/>
    </row>
    <row r="2192">
      <c r="A2192" s="263"/>
      <c r="B2192" s="267"/>
      <c r="C2192" s="263"/>
      <c r="D2192" s="263"/>
      <c r="E2192" s="263"/>
      <c r="F2192" s="268"/>
      <c r="G2192" s="263"/>
      <c r="H2192" s="267"/>
      <c r="I2192" s="263"/>
      <c r="J2192" s="263"/>
      <c r="K2192" s="263"/>
      <c r="L2192" s="263"/>
      <c r="M2192" s="263"/>
      <c r="N2192" s="263"/>
      <c r="O2192" s="263"/>
      <c r="P2192" s="263"/>
      <c r="Q2192" s="263"/>
      <c r="R2192" s="263"/>
      <c r="S2192" s="263"/>
      <c r="T2192" s="263"/>
      <c r="U2192" s="246"/>
      <c r="V2192" s="246"/>
      <c r="W2192" s="246"/>
      <c r="X2192" s="246"/>
      <c r="Y2192" s="246"/>
      <c r="Z2192" s="246"/>
    </row>
    <row r="2193">
      <c r="A2193" s="263"/>
      <c r="B2193" s="267"/>
      <c r="C2193" s="263"/>
      <c r="D2193" s="263"/>
      <c r="E2193" s="263"/>
      <c r="F2193" s="268"/>
      <c r="G2193" s="263"/>
      <c r="H2193" s="267"/>
      <c r="I2193" s="263"/>
      <c r="J2193" s="263"/>
      <c r="K2193" s="263"/>
      <c r="L2193" s="263"/>
      <c r="M2193" s="263"/>
      <c r="N2193" s="263"/>
      <c r="O2193" s="263"/>
      <c r="P2193" s="263"/>
      <c r="Q2193" s="263"/>
      <c r="R2193" s="263"/>
      <c r="S2193" s="263"/>
      <c r="T2193" s="263"/>
      <c r="U2193" s="246"/>
      <c r="V2193" s="246"/>
      <c r="W2193" s="246"/>
      <c r="X2193" s="246"/>
      <c r="Y2193" s="246"/>
      <c r="Z2193" s="246"/>
    </row>
    <row r="2194">
      <c r="A2194" s="263"/>
      <c r="B2194" s="267"/>
      <c r="C2194" s="263"/>
      <c r="D2194" s="263"/>
      <c r="E2194" s="263"/>
      <c r="F2194" s="268"/>
      <c r="G2194" s="263"/>
      <c r="H2194" s="267"/>
      <c r="I2194" s="263"/>
      <c r="J2194" s="263"/>
      <c r="K2194" s="263"/>
      <c r="L2194" s="263"/>
      <c r="M2194" s="263"/>
      <c r="N2194" s="263"/>
      <c r="O2194" s="263"/>
      <c r="P2194" s="263"/>
      <c r="Q2194" s="263"/>
      <c r="R2194" s="263"/>
      <c r="S2194" s="263"/>
      <c r="T2194" s="263"/>
      <c r="U2194" s="246"/>
      <c r="V2194" s="246"/>
      <c r="W2194" s="246"/>
      <c r="X2194" s="246"/>
      <c r="Y2194" s="246"/>
      <c r="Z2194" s="246"/>
    </row>
    <row r="2195">
      <c r="A2195" s="263"/>
      <c r="B2195" s="267"/>
      <c r="C2195" s="263"/>
      <c r="D2195" s="263"/>
      <c r="E2195" s="263"/>
      <c r="F2195" s="268"/>
      <c r="G2195" s="263"/>
      <c r="H2195" s="267"/>
      <c r="I2195" s="263"/>
      <c r="J2195" s="263"/>
      <c r="K2195" s="263"/>
      <c r="L2195" s="263"/>
      <c r="M2195" s="263"/>
      <c r="N2195" s="263"/>
      <c r="O2195" s="263"/>
      <c r="P2195" s="263"/>
      <c r="Q2195" s="263"/>
      <c r="R2195" s="263"/>
      <c r="S2195" s="263"/>
      <c r="T2195" s="263"/>
      <c r="U2195" s="246"/>
      <c r="V2195" s="246"/>
      <c r="W2195" s="246"/>
      <c r="X2195" s="246"/>
      <c r="Y2195" s="246"/>
      <c r="Z2195" s="246"/>
    </row>
    <row r="2196">
      <c r="A2196" s="263"/>
      <c r="B2196" s="267"/>
      <c r="C2196" s="263"/>
      <c r="D2196" s="263"/>
      <c r="E2196" s="263"/>
      <c r="F2196" s="268"/>
      <c r="G2196" s="263"/>
      <c r="H2196" s="267"/>
      <c r="I2196" s="263"/>
      <c r="J2196" s="263"/>
      <c r="K2196" s="263"/>
      <c r="L2196" s="263"/>
      <c r="M2196" s="263"/>
      <c r="N2196" s="263"/>
      <c r="O2196" s="263"/>
      <c r="P2196" s="263"/>
      <c r="Q2196" s="263"/>
      <c r="R2196" s="263"/>
      <c r="S2196" s="263"/>
      <c r="T2196" s="263"/>
      <c r="U2196" s="246"/>
      <c r="V2196" s="246"/>
      <c r="W2196" s="246"/>
      <c r="X2196" s="246"/>
      <c r="Y2196" s="246"/>
      <c r="Z2196" s="246"/>
    </row>
    <row r="2197">
      <c r="A2197" s="263"/>
      <c r="B2197" s="267"/>
      <c r="C2197" s="263"/>
      <c r="D2197" s="263"/>
      <c r="E2197" s="263"/>
      <c r="F2197" s="268"/>
      <c r="G2197" s="263"/>
      <c r="H2197" s="267"/>
      <c r="I2197" s="263"/>
      <c r="J2197" s="263"/>
      <c r="K2197" s="263"/>
      <c r="L2197" s="263"/>
      <c r="M2197" s="263"/>
      <c r="N2197" s="263"/>
      <c r="O2197" s="263"/>
      <c r="P2197" s="263"/>
      <c r="Q2197" s="263"/>
      <c r="R2197" s="263"/>
      <c r="S2197" s="263"/>
      <c r="T2197" s="263"/>
      <c r="U2197" s="246"/>
      <c r="V2197" s="246"/>
      <c r="W2197" s="246"/>
      <c r="X2197" s="246"/>
      <c r="Y2197" s="246"/>
      <c r="Z2197" s="246"/>
    </row>
    <row r="2198">
      <c r="A2198" s="263"/>
      <c r="B2198" s="267"/>
      <c r="C2198" s="263"/>
      <c r="D2198" s="263"/>
      <c r="E2198" s="263"/>
      <c r="F2198" s="268"/>
      <c r="G2198" s="263"/>
      <c r="H2198" s="267"/>
      <c r="I2198" s="263"/>
      <c r="J2198" s="263"/>
      <c r="K2198" s="263"/>
      <c r="L2198" s="263"/>
      <c r="M2198" s="263"/>
      <c r="N2198" s="263"/>
      <c r="O2198" s="263"/>
      <c r="P2198" s="263"/>
      <c r="Q2198" s="263"/>
      <c r="R2198" s="263"/>
      <c r="S2198" s="263"/>
      <c r="T2198" s="263"/>
      <c r="U2198" s="246"/>
      <c r="V2198" s="246"/>
      <c r="W2198" s="246"/>
      <c r="X2198" s="246"/>
      <c r="Y2198" s="246"/>
      <c r="Z2198" s="246"/>
    </row>
    <row r="2199">
      <c r="A2199" s="263"/>
      <c r="B2199" s="267"/>
      <c r="C2199" s="263"/>
      <c r="D2199" s="263"/>
      <c r="E2199" s="263"/>
      <c r="F2199" s="268"/>
      <c r="G2199" s="263"/>
      <c r="H2199" s="267"/>
      <c r="I2199" s="263"/>
      <c r="J2199" s="263"/>
      <c r="K2199" s="263"/>
      <c r="L2199" s="263"/>
      <c r="M2199" s="263"/>
      <c r="N2199" s="263"/>
      <c r="O2199" s="263"/>
      <c r="P2199" s="263"/>
      <c r="Q2199" s="263"/>
      <c r="R2199" s="263"/>
      <c r="S2199" s="263"/>
      <c r="T2199" s="263"/>
      <c r="U2199" s="246"/>
      <c r="V2199" s="246"/>
      <c r="W2199" s="246"/>
      <c r="X2199" s="246"/>
      <c r="Y2199" s="246"/>
      <c r="Z2199" s="246"/>
    </row>
    <row r="2200">
      <c r="A2200" s="263"/>
      <c r="B2200" s="267"/>
      <c r="C2200" s="263"/>
      <c r="D2200" s="263"/>
      <c r="E2200" s="263"/>
      <c r="F2200" s="268"/>
      <c r="G2200" s="263"/>
      <c r="H2200" s="267"/>
      <c r="I2200" s="263"/>
      <c r="J2200" s="263"/>
      <c r="K2200" s="263"/>
      <c r="L2200" s="263"/>
      <c r="M2200" s="263"/>
      <c r="N2200" s="263"/>
      <c r="O2200" s="263"/>
      <c r="P2200" s="263"/>
      <c r="Q2200" s="263"/>
      <c r="R2200" s="263"/>
      <c r="S2200" s="263"/>
      <c r="T2200" s="263"/>
      <c r="U2200" s="246"/>
      <c r="V2200" s="246"/>
      <c r="W2200" s="246"/>
      <c r="X2200" s="246"/>
      <c r="Y2200" s="246"/>
      <c r="Z2200" s="246"/>
    </row>
    <row r="2201">
      <c r="A2201" s="263"/>
      <c r="B2201" s="267"/>
      <c r="C2201" s="263"/>
      <c r="D2201" s="263"/>
      <c r="E2201" s="263"/>
      <c r="F2201" s="268"/>
      <c r="G2201" s="263"/>
      <c r="H2201" s="267"/>
      <c r="I2201" s="263"/>
      <c r="J2201" s="263"/>
      <c r="K2201" s="263"/>
      <c r="L2201" s="263"/>
      <c r="M2201" s="263"/>
      <c r="N2201" s="263"/>
      <c r="O2201" s="263"/>
      <c r="P2201" s="263"/>
      <c r="Q2201" s="263"/>
      <c r="R2201" s="263"/>
      <c r="S2201" s="263"/>
      <c r="T2201" s="263"/>
      <c r="U2201" s="246"/>
      <c r="V2201" s="246"/>
      <c r="W2201" s="246"/>
      <c r="X2201" s="246"/>
      <c r="Y2201" s="246"/>
      <c r="Z2201" s="246"/>
    </row>
    <row r="2202">
      <c r="A2202" s="263"/>
      <c r="B2202" s="267"/>
      <c r="C2202" s="263"/>
      <c r="D2202" s="263"/>
      <c r="E2202" s="263"/>
      <c r="F2202" s="268"/>
      <c r="G2202" s="263"/>
      <c r="H2202" s="267"/>
      <c r="I2202" s="263"/>
      <c r="J2202" s="263"/>
      <c r="K2202" s="263"/>
      <c r="L2202" s="263"/>
      <c r="M2202" s="263"/>
      <c r="N2202" s="263"/>
      <c r="O2202" s="263"/>
      <c r="P2202" s="263"/>
      <c r="Q2202" s="263"/>
      <c r="R2202" s="263"/>
      <c r="S2202" s="263"/>
      <c r="T2202" s="263"/>
      <c r="U2202" s="246"/>
      <c r="V2202" s="246"/>
      <c r="W2202" s="246"/>
      <c r="X2202" s="246"/>
      <c r="Y2202" s="246"/>
      <c r="Z2202" s="246"/>
    </row>
    <row r="2203">
      <c r="A2203" s="263"/>
      <c r="B2203" s="267"/>
      <c r="C2203" s="263"/>
      <c r="D2203" s="263"/>
      <c r="E2203" s="263"/>
      <c r="F2203" s="268"/>
      <c r="G2203" s="263"/>
      <c r="H2203" s="267"/>
      <c r="I2203" s="263"/>
      <c r="J2203" s="263"/>
      <c r="K2203" s="263"/>
      <c r="L2203" s="263"/>
      <c r="M2203" s="263"/>
      <c r="N2203" s="263"/>
      <c r="O2203" s="263"/>
      <c r="P2203" s="263"/>
      <c r="Q2203" s="263"/>
      <c r="R2203" s="263"/>
      <c r="S2203" s="263"/>
      <c r="T2203" s="263"/>
      <c r="U2203" s="246"/>
      <c r="V2203" s="246"/>
      <c r="W2203" s="246"/>
      <c r="X2203" s="246"/>
      <c r="Y2203" s="246"/>
      <c r="Z2203" s="246"/>
    </row>
    <row r="2204">
      <c r="A2204" s="263"/>
      <c r="B2204" s="267"/>
      <c r="C2204" s="263"/>
      <c r="D2204" s="263"/>
      <c r="E2204" s="263"/>
      <c r="F2204" s="268"/>
      <c r="G2204" s="263"/>
      <c r="H2204" s="267"/>
      <c r="I2204" s="263"/>
      <c r="J2204" s="263"/>
      <c r="K2204" s="263"/>
      <c r="L2204" s="263"/>
      <c r="M2204" s="263"/>
      <c r="N2204" s="263"/>
      <c r="O2204" s="263"/>
      <c r="P2204" s="263"/>
      <c r="Q2204" s="263"/>
      <c r="R2204" s="263"/>
      <c r="S2204" s="263"/>
      <c r="T2204" s="263"/>
      <c r="U2204" s="246"/>
      <c r="V2204" s="246"/>
      <c r="W2204" s="246"/>
      <c r="X2204" s="246"/>
      <c r="Y2204" s="246"/>
      <c r="Z2204" s="246"/>
    </row>
    <row r="2205">
      <c r="A2205" s="263"/>
      <c r="B2205" s="267"/>
      <c r="C2205" s="263"/>
      <c r="D2205" s="263"/>
      <c r="E2205" s="263"/>
      <c r="F2205" s="268"/>
      <c r="G2205" s="263"/>
      <c r="H2205" s="267"/>
      <c r="I2205" s="263"/>
      <c r="J2205" s="263"/>
      <c r="K2205" s="263"/>
      <c r="L2205" s="263"/>
      <c r="M2205" s="263"/>
      <c r="N2205" s="263"/>
      <c r="O2205" s="263"/>
      <c r="P2205" s="263"/>
      <c r="Q2205" s="263"/>
      <c r="R2205" s="263"/>
      <c r="S2205" s="263"/>
      <c r="T2205" s="263"/>
      <c r="U2205" s="246"/>
      <c r="V2205" s="246"/>
      <c r="W2205" s="246"/>
      <c r="X2205" s="246"/>
      <c r="Y2205" s="246"/>
      <c r="Z2205" s="246"/>
    </row>
    <row r="2206">
      <c r="A2206" s="263"/>
      <c r="B2206" s="267"/>
      <c r="C2206" s="263"/>
      <c r="D2206" s="263"/>
      <c r="E2206" s="263"/>
      <c r="F2206" s="268"/>
      <c r="G2206" s="263"/>
      <c r="H2206" s="267"/>
      <c r="I2206" s="263"/>
      <c r="J2206" s="263"/>
      <c r="K2206" s="263"/>
      <c r="L2206" s="263"/>
      <c r="M2206" s="263"/>
      <c r="N2206" s="263"/>
      <c r="O2206" s="263"/>
      <c r="P2206" s="263"/>
      <c r="Q2206" s="263"/>
      <c r="R2206" s="263"/>
      <c r="S2206" s="263"/>
      <c r="T2206" s="263"/>
      <c r="U2206" s="246"/>
      <c r="V2206" s="246"/>
      <c r="W2206" s="246"/>
      <c r="X2206" s="246"/>
      <c r="Y2206" s="246"/>
      <c r="Z2206" s="246"/>
    </row>
    <row r="2207">
      <c r="A2207" s="263"/>
      <c r="B2207" s="267"/>
      <c r="C2207" s="263"/>
      <c r="D2207" s="263"/>
      <c r="E2207" s="263"/>
      <c r="F2207" s="268"/>
      <c r="G2207" s="263"/>
      <c r="H2207" s="267"/>
      <c r="I2207" s="263"/>
      <c r="J2207" s="263"/>
      <c r="K2207" s="263"/>
      <c r="L2207" s="263"/>
      <c r="M2207" s="263"/>
      <c r="N2207" s="263"/>
      <c r="O2207" s="263"/>
      <c r="P2207" s="263"/>
      <c r="Q2207" s="263"/>
      <c r="R2207" s="263"/>
      <c r="S2207" s="263"/>
      <c r="T2207" s="263"/>
      <c r="U2207" s="246"/>
      <c r="V2207" s="246"/>
      <c r="W2207" s="246"/>
      <c r="X2207" s="246"/>
      <c r="Y2207" s="246"/>
      <c r="Z2207" s="246"/>
    </row>
    <row r="2208">
      <c r="A2208" s="263"/>
      <c r="B2208" s="267"/>
      <c r="C2208" s="263"/>
      <c r="D2208" s="263"/>
      <c r="E2208" s="263"/>
      <c r="F2208" s="268"/>
      <c r="G2208" s="263"/>
      <c r="H2208" s="267"/>
      <c r="I2208" s="263"/>
      <c r="J2208" s="263"/>
      <c r="K2208" s="263"/>
      <c r="L2208" s="263"/>
      <c r="M2208" s="263"/>
      <c r="N2208" s="263"/>
      <c r="O2208" s="263"/>
      <c r="P2208" s="263"/>
      <c r="Q2208" s="263"/>
      <c r="R2208" s="263"/>
      <c r="S2208" s="263"/>
      <c r="T2208" s="263"/>
      <c r="U2208" s="246"/>
      <c r="V2208" s="246"/>
      <c r="W2208" s="246"/>
      <c r="X2208" s="246"/>
      <c r="Y2208" s="246"/>
      <c r="Z2208" s="246"/>
    </row>
    <row r="2209">
      <c r="A2209" s="263"/>
      <c r="B2209" s="267"/>
      <c r="C2209" s="263"/>
      <c r="D2209" s="263"/>
      <c r="E2209" s="263"/>
      <c r="F2209" s="268"/>
      <c r="G2209" s="263"/>
      <c r="H2209" s="267"/>
      <c r="I2209" s="263"/>
      <c r="J2209" s="263"/>
      <c r="K2209" s="263"/>
      <c r="L2209" s="263"/>
      <c r="M2209" s="263"/>
      <c r="N2209" s="263"/>
      <c r="O2209" s="263"/>
      <c r="P2209" s="263"/>
      <c r="Q2209" s="263"/>
      <c r="R2209" s="263"/>
      <c r="S2209" s="263"/>
      <c r="T2209" s="263"/>
      <c r="U2209" s="246"/>
      <c r="V2209" s="246"/>
      <c r="W2209" s="246"/>
      <c r="X2209" s="246"/>
      <c r="Y2209" s="246"/>
      <c r="Z2209" s="246"/>
    </row>
    <row r="2210">
      <c r="A2210" s="263"/>
      <c r="B2210" s="267"/>
      <c r="C2210" s="263"/>
      <c r="D2210" s="263"/>
      <c r="E2210" s="263"/>
      <c r="F2210" s="268"/>
      <c r="G2210" s="263"/>
      <c r="H2210" s="267"/>
      <c r="I2210" s="263"/>
      <c r="J2210" s="263"/>
      <c r="K2210" s="263"/>
      <c r="L2210" s="263"/>
      <c r="M2210" s="263"/>
      <c r="N2210" s="263"/>
      <c r="O2210" s="263"/>
      <c r="P2210" s="263"/>
      <c r="Q2210" s="263"/>
      <c r="R2210" s="263"/>
      <c r="S2210" s="263"/>
      <c r="T2210" s="263"/>
      <c r="U2210" s="246"/>
      <c r="V2210" s="246"/>
      <c r="W2210" s="246"/>
      <c r="X2210" s="246"/>
      <c r="Y2210" s="246"/>
      <c r="Z2210" s="246"/>
    </row>
    <row r="2211">
      <c r="A2211" s="263"/>
      <c r="B2211" s="267"/>
      <c r="C2211" s="263"/>
      <c r="D2211" s="263"/>
      <c r="E2211" s="263"/>
      <c r="F2211" s="268"/>
      <c r="G2211" s="263"/>
      <c r="H2211" s="267"/>
      <c r="I2211" s="263"/>
      <c r="J2211" s="263"/>
      <c r="K2211" s="263"/>
      <c r="L2211" s="263"/>
      <c r="M2211" s="263"/>
      <c r="N2211" s="263"/>
      <c r="O2211" s="263"/>
      <c r="P2211" s="263"/>
      <c r="Q2211" s="263"/>
      <c r="R2211" s="263"/>
      <c r="S2211" s="263"/>
      <c r="T2211" s="263"/>
      <c r="U2211" s="246"/>
      <c r="V2211" s="246"/>
      <c r="W2211" s="246"/>
      <c r="X2211" s="246"/>
      <c r="Y2211" s="246"/>
      <c r="Z2211" s="246"/>
    </row>
    <row r="2212">
      <c r="A2212" s="263"/>
      <c r="B2212" s="267"/>
      <c r="C2212" s="263"/>
      <c r="D2212" s="263"/>
      <c r="E2212" s="263"/>
      <c r="F2212" s="268"/>
      <c r="G2212" s="263"/>
      <c r="H2212" s="267"/>
      <c r="I2212" s="263"/>
      <c r="J2212" s="263"/>
      <c r="K2212" s="263"/>
      <c r="L2212" s="263"/>
      <c r="M2212" s="263"/>
      <c r="N2212" s="263"/>
      <c r="O2212" s="263"/>
      <c r="P2212" s="263"/>
      <c r="Q2212" s="263"/>
      <c r="R2212" s="263"/>
      <c r="S2212" s="263"/>
      <c r="T2212" s="263"/>
      <c r="U2212" s="246"/>
      <c r="V2212" s="246"/>
      <c r="W2212" s="246"/>
      <c r="X2212" s="246"/>
      <c r="Y2212" s="246"/>
      <c r="Z2212" s="246"/>
    </row>
    <row r="2213">
      <c r="A2213" s="263"/>
      <c r="B2213" s="267"/>
      <c r="C2213" s="263"/>
      <c r="D2213" s="263"/>
      <c r="E2213" s="263"/>
      <c r="F2213" s="268"/>
      <c r="G2213" s="263"/>
      <c r="H2213" s="267"/>
      <c r="I2213" s="263"/>
      <c r="J2213" s="263"/>
      <c r="K2213" s="263"/>
      <c r="L2213" s="263"/>
      <c r="M2213" s="263"/>
      <c r="N2213" s="263"/>
      <c r="O2213" s="263"/>
      <c r="P2213" s="263"/>
      <c r="Q2213" s="263"/>
      <c r="R2213" s="263"/>
      <c r="S2213" s="263"/>
      <c r="T2213" s="263"/>
      <c r="U2213" s="246"/>
      <c r="V2213" s="246"/>
      <c r="W2213" s="246"/>
      <c r="X2213" s="246"/>
      <c r="Y2213" s="246"/>
      <c r="Z2213" s="246"/>
    </row>
    <row r="2214">
      <c r="A2214" s="263"/>
      <c r="B2214" s="267"/>
      <c r="C2214" s="263"/>
      <c r="D2214" s="263"/>
      <c r="E2214" s="263"/>
      <c r="F2214" s="268"/>
      <c r="G2214" s="263"/>
      <c r="H2214" s="267"/>
      <c r="I2214" s="263"/>
      <c r="J2214" s="263"/>
      <c r="K2214" s="263"/>
      <c r="L2214" s="263"/>
      <c r="M2214" s="263"/>
      <c r="N2214" s="263"/>
      <c r="O2214" s="263"/>
      <c r="P2214" s="263"/>
      <c r="Q2214" s="263"/>
      <c r="R2214" s="263"/>
      <c r="S2214" s="263"/>
      <c r="T2214" s="263"/>
      <c r="U2214" s="246"/>
      <c r="V2214" s="246"/>
      <c r="W2214" s="246"/>
      <c r="X2214" s="246"/>
      <c r="Y2214" s="246"/>
      <c r="Z2214" s="246"/>
    </row>
    <row r="2215">
      <c r="A2215" s="263"/>
      <c r="B2215" s="267"/>
      <c r="C2215" s="263"/>
      <c r="D2215" s="263"/>
      <c r="E2215" s="263"/>
      <c r="F2215" s="268"/>
      <c r="G2215" s="263"/>
      <c r="H2215" s="267"/>
      <c r="I2215" s="263"/>
      <c r="J2215" s="263"/>
      <c r="K2215" s="263"/>
      <c r="L2215" s="263"/>
      <c r="M2215" s="263"/>
      <c r="N2215" s="263"/>
      <c r="O2215" s="263"/>
      <c r="P2215" s="263"/>
      <c r="Q2215" s="263"/>
      <c r="R2215" s="263"/>
      <c r="S2215" s="263"/>
      <c r="T2215" s="263"/>
      <c r="U2215" s="246"/>
      <c r="V2215" s="246"/>
      <c r="W2215" s="246"/>
      <c r="X2215" s="246"/>
      <c r="Y2215" s="246"/>
      <c r="Z2215" s="246"/>
    </row>
    <row r="2216">
      <c r="A2216" s="263"/>
      <c r="B2216" s="267"/>
      <c r="C2216" s="263"/>
      <c r="D2216" s="263"/>
      <c r="E2216" s="263"/>
      <c r="F2216" s="268"/>
      <c r="G2216" s="263"/>
      <c r="H2216" s="267"/>
      <c r="I2216" s="263"/>
      <c r="J2216" s="263"/>
      <c r="K2216" s="263"/>
      <c r="L2216" s="263"/>
      <c r="M2216" s="263"/>
      <c r="N2216" s="263"/>
      <c r="O2216" s="263"/>
      <c r="P2216" s="263"/>
      <c r="Q2216" s="263"/>
      <c r="R2216" s="263"/>
      <c r="S2216" s="263"/>
      <c r="T2216" s="263"/>
      <c r="U2216" s="246"/>
      <c r="V2216" s="246"/>
      <c r="W2216" s="246"/>
      <c r="X2216" s="246"/>
      <c r="Y2216" s="246"/>
      <c r="Z2216" s="246"/>
    </row>
    <row r="2217">
      <c r="A2217" s="263"/>
      <c r="B2217" s="267"/>
      <c r="C2217" s="263"/>
      <c r="D2217" s="263"/>
      <c r="E2217" s="263"/>
      <c r="F2217" s="268"/>
      <c r="G2217" s="263"/>
      <c r="H2217" s="267"/>
      <c r="I2217" s="263"/>
      <c r="J2217" s="263"/>
      <c r="K2217" s="263"/>
      <c r="L2217" s="263"/>
      <c r="M2217" s="263"/>
      <c r="N2217" s="263"/>
      <c r="O2217" s="263"/>
      <c r="P2217" s="263"/>
      <c r="Q2217" s="263"/>
      <c r="R2217" s="263"/>
      <c r="S2217" s="263"/>
      <c r="T2217" s="263"/>
      <c r="U2217" s="246"/>
      <c r="V2217" s="246"/>
      <c r="W2217" s="246"/>
      <c r="X2217" s="246"/>
      <c r="Y2217" s="246"/>
      <c r="Z2217" s="246"/>
    </row>
    <row r="2218">
      <c r="A2218" s="263"/>
      <c r="B2218" s="267"/>
      <c r="C2218" s="263"/>
      <c r="D2218" s="263"/>
      <c r="E2218" s="263"/>
      <c r="F2218" s="268"/>
      <c r="G2218" s="263"/>
      <c r="H2218" s="267"/>
      <c r="I2218" s="263"/>
      <c r="J2218" s="263"/>
      <c r="K2218" s="263"/>
      <c r="L2218" s="263"/>
      <c r="M2218" s="263"/>
      <c r="N2218" s="263"/>
      <c r="O2218" s="263"/>
      <c r="P2218" s="263"/>
      <c r="Q2218" s="263"/>
      <c r="R2218" s="263"/>
      <c r="S2218" s="263"/>
      <c r="T2218" s="263"/>
      <c r="U2218" s="246"/>
      <c r="V2218" s="246"/>
      <c r="W2218" s="246"/>
      <c r="X2218" s="246"/>
      <c r="Y2218" s="246"/>
      <c r="Z2218" s="246"/>
    </row>
    <row r="2219">
      <c r="A2219" s="263"/>
      <c r="B2219" s="267"/>
      <c r="C2219" s="263"/>
      <c r="D2219" s="263"/>
      <c r="E2219" s="263"/>
      <c r="F2219" s="268"/>
      <c r="G2219" s="263"/>
      <c r="H2219" s="267"/>
      <c r="I2219" s="263"/>
      <c r="J2219" s="263"/>
      <c r="K2219" s="263"/>
      <c r="L2219" s="263"/>
      <c r="M2219" s="263"/>
      <c r="N2219" s="263"/>
      <c r="O2219" s="263"/>
      <c r="P2219" s="263"/>
      <c r="Q2219" s="263"/>
      <c r="R2219" s="263"/>
      <c r="S2219" s="263"/>
      <c r="T2219" s="263"/>
      <c r="U2219" s="246"/>
      <c r="V2219" s="246"/>
      <c r="W2219" s="246"/>
      <c r="X2219" s="246"/>
      <c r="Y2219" s="246"/>
      <c r="Z2219" s="246"/>
    </row>
    <row r="2220">
      <c r="A2220" s="263"/>
      <c r="B2220" s="267"/>
      <c r="C2220" s="263"/>
      <c r="D2220" s="263"/>
      <c r="E2220" s="263"/>
      <c r="F2220" s="268"/>
      <c r="G2220" s="263"/>
      <c r="H2220" s="267"/>
      <c r="I2220" s="263"/>
      <c r="J2220" s="263"/>
      <c r="K2220" s="263"/>
      <c r="L2220" s="263"/>
      <c r="M2220" s="263"/>
      <c r="N2220" s="263"/>
      <c r="O2220" s="263"/>
      <c r="P2220" s="263"/>
      <c r="Q2220" s="263"/>
      <c r="R2220" s="263"/>
      <c r="S2220" s="263"/>
      <c r="T2220" s="263"/>
      <c r="U2220" s="246"/>
      <c r="V2220" s="246"/>
      <c r="W2220" s="246"/>
      <c r="X2220" s="246"/>
      <c r="Y2220" s="246"/>
      <c r="Z2220" s="246"/>
    </row>
    <row r="2221">
      <c r="A2221" s="263"/>
      <c r="B2221" s="267"/>
      <c r="C2221" s="263"/>
      <c r="D2221" s="263"/>
      <c r="E2221" s="263"/>
      <c r="F2221" s="268"/>
      <c r="G2221" s="263"/>
      <c r="H2221" s="267"/>
      <c r="I2221" s="263"/>
      <c r="J2221" s="263"/>
      <c r="K2221" s="263"/>
      <c r="L2221" s="263"/>
      <c r="M2221" s="263"/>
      <c r="N2221" s="263"/>
      <c r="O2221" s="263"/>
      <c r="P2221" s="263"/>
      <c r="Q2221" s="263"/>
      <c r="R2221" s="263"/>
      <c r="S2221" s="263"/>
      <c r="T2221" s="263"/>
      <c r="U2221" s="246"/>
      <c r="V2221" s="246"/>
      <c r="W2221" s="246"/>
      <c r="X2221" s="246"/>
      <c r="Y2221" s="246"/>
      <c r="Z2221" s="246"/>
    </row>
    <row r="2222">
      <c r="A2222" s="263"/>
      <c r="B2222" s="267"/>
      <c r="C2222" s="263"/>
      <c r="D2222" s="263"/>
      <c r="E2222" s="263"/>
      <c r="F2222" s="268"/>
      <c r="G2222" s="263"/>
      <c r="H2222" s="267"/>
      <c r="I2222" s="263"/>
      <c r="J2222" s="263"/>
      <c r="K2222" s="263"/>
      <c r="L2222" s="263"/>
      <c r="M2222" s="263"/>
      <c r="N2222" s="263"/>
      <c r="O2222" s="263"/>
      <c r="P2222" s="263"/>
      <c r="Q2222" s="263"/>
      <c r="R2222" s="263"/>
      <c r="S2222" s="263"/>
      <c r="T2222" s="263"/>
      <c r="U2222" s="246"/>
      <c r="V2222" s="246"/>
      <c r="W2222" s="246"/>
      <c r="X2222" s="246"/>
      <c r="Y2222" s="246"/>
      <c r="Z2222" s="246"/>
    </row>
    <row r="2223">
      <c r="A2223" s="263"/>
      <c r="B2223" s="267"/>
      <c r="C2223" s="263"/>
      <c r="D2223" s="263"/>
      <c r="E2223" s="263"/>
      <c r="F2223" s="268"/>
      <c r="G2223" s="263"/>
      <c r="H2223" s="267"/>
      <c r="I2223" s="263"/>
      <c r="J2223" s="263"/>
      <c r="K2223" s="263"/>
      <c r="L2223" s="263"/>
      <c r="M2223" s="263"/>
      <c r="N2223" s="263"/>
      <c r="O2223" s="263"/>
      <c r="P2223" s="263"/>
      <c r="Q2223" s="263"/>
      <c r="R2223" s="263"/>
      <c r="S2223" s="263"/>
      <c r="T2223" s="263"/>
      <c r="U2223" s="246"/>
      <c r="V2223" s="246"/>
      <c r="W2223" s="246"/>
      <c r="X2223" s="246"/>
      <c r="Y2223" s="246"/>
      <c r="Z2223" s="246"/>
    </row>
    <row r="2224">
      <c r="A2224" s="263"/>
      <c r="B2224" s="267"/>
      <c r="C2224" s="263"/>
      <c r="D2224" s="263"/>
      <c r="E2224" s="263"/>
      <c r="F2224" s="268"/>
      <c r="G2224" s="263"/>
      <c r="H2224" s="267"/>
      <c r="I2224" s="263"/>
      <c r="J2224" s="263"/>
      <c r="K2224" s="263"/>
      <c r="L2224" s="263"/>
      <c r="M2224" s="263"/>
      <c r="N2224" s="263"/>
      <c r="O2224" s="263"/>
      <c r="P2224" s="263"/>
      <c r="Q2224" s="263"/>
      <c r="R2224" s="263"/>
      <c r="S2224" s="263"/>
      <c r="T2224" s="263"/>
      <c r="U2224" s="246"/>
      <c r="V2224" s="246"/>
      <c r="W2224" s="246"/>
      <c r="X2224" s="246"/>
      <c r="Y2224" s="246"/>
      <c r="Z2224" s="246"/>
    </row>
    <row r="2225">
      <c r="A2225" s="263"/>
      <c r="B2225" s="267"/>
      <c r="C2225" s="263"/>
      <c r="D2225" s="263"/>
      <c r="E2225" s="263"/>
      <c r="F2225" s="268"/>
      <c r="G2225" s="263"/>
      <c r="H2225" s="267"/>
      <c r="I2225" s="263"/>
      <c r="J2225" s="263"/>
      <c r="K2225" s="263"/>
      <c r="L2225" s="263"/>
      <c r="M2225" s="263"/>
      <c r="N2225" s="263"/>
      <c r="O2225" s="263"/>
      <c r="P2225" s="263"/>
      <c r="Q2225" s="263"/>
      <c r="R2225" s="263"/>
      <c r="S2225" s="263"/>
      <c r="T2225" s="263"/>
      <c r="U2225" s="246"/>
      <c r="V2225" s="246"/>
      <c r="W2225" s="246"/>
      <c r="X2225" s="246"/>
      <c r="Y2225" s="246"/>
      <c r="Z2225" s="246"/>
    </row>
    <row r="2226">
      <c r="A2226" s="263"/>
      <c r="B2226" s="267"/>
      <c r="C2226" s="263"/>
      <c r="D2226" s="263"/>
      <c r="E2226" s="263"/>
      <c r="F2226" s="268"/>
      <c r="G2226" s="263"/>
      <c r="H2226" s="267"/>
      <c r="I2226" s="263"/>
      <c r="J2226" s="263"/>
      <c r="K2226" s="263"/>
      <c r="L2226" s="263"/>
      <c r="M2226" s="263"/>
      <c r="N2226" s="263"/>
      <c r="O2226" s="263"/>
      <c r="P2226" s="263"/>
      <c r="Q2226" s="263"/>
      <c r="R2226" s="263"/>
      <c r="S2226" s="263"/>
      <c r="T2226" s="263"/>
      <c r="U2226" s="246"/>
      <c r="V2226" s="246"/>
      <c r="W2226" s="246"/>
      <c r="X2226" s="246"/>
      <c r="Y2226" s="246"/>
      <c r="Z2226" s="246"/>
    </row>
    <row r="2227">
      <c r="A2227" s="263"/>
      <c r="B2227" s="267"/>
      <c r="C2227" s="263"/>
      <c r="D2227" s="263"/>
      <c r="E2227" s="263"/>
      <c r="F2227" s="268"/>
      <c r="G2227" s="263"/>
      <c r="H2227" s="267"/>
      <c r="I2227" s="263"/>
      <c r="J2227" s="263"/>
      <c r="K2227" s="263"/>
      <c r="L2227" s="263"/>
      <c r="M2227" s="263"/>
      <c r="N2227" s="263"/>
      <c r="O2227" s="263"/>
      <c r="P2227" s="263"/>
      <c r="Q2227" s="263"/>
      <c r="R2227" s="263"/>
      <c r="S2227" s="263"/>
      <c r="T2227" s="263"/>
      <c r="U2227" s="246"/>
      <c r="V2227" s="246"/>
      <c r="W2227" s="246"/>
      <c r="X2227" s="246"/>
      <c r="Y2227" s="246"/>
      <c r="Z2227" s="246"/>
    </row>
    <row r="2228">
      <c r="A2228" s="263"/>
      <c r="B2228" s="267"/>
      <c r="C2228" s="263"/>
      <c r="D2228" s="263"/>
      <c r="E2228" s="263"/>
      <c r="F2228" s="268"/>
      <c r="G2228" s="263"/>
      <c r="H2228" s="267"/>
      <c r="I2228" s="263"/>
      <c r="J2228" s="263"/>
      <c r="K2228" s="263"/>
      <c r="L2228" s="263"/>
      <c r="M2228" s="263"/>
      <c r="N2228" s="263"/>
      <c r="O2228" s="263"/>
      <c r="P2228" s="263"/>
      <c r="Q2228" s="263"/>
      <c r="R2228" s="263"/>
      <c r="S2228" s="263"/>
      <c r="T2228" s="263"/>
      <c r="U2228" s="246"/>
      <c r="V2228" s="246"/>
      <c r="W2228" s="246"/>
      <c r="X2228" s="246"/>
      <c r="Y2228" s="246"/>
      <c r="Z2228" s="246"/>
    </row>
    <row r="2229">
      <c r="A2229" s="263"/>
      <c r="B2229" s="267"/>
      <c r="C2229" s="263"/>
      <c r="D2229" s="263"/>
      <c r="E2229" s="263"/>
      <c r="F2229" s="268"/>
      <c r="G2229" s="263"/>
      <c r="H2229" s="267"/>
      <c r="I2229" s="263"/>
      <c r="J2229" s="263"/>
      <c r="K2229" s="263"/>
      <c r="L2229" s="263"/>
      <c r="M2229" s="263"/>
      <c r="N2229" s="263"/>
      <c r="O2229" s="263"/>
      <c r="P2229" s="263"/>
      <c r="Q2229" s="263"/>
      <c r="R2229" s="263"/>
      <c r="S2229" s="263"/>
      <c r="T2229" s="263"/>
      <c r="U2229" s="246"/>
      <c r="V2229" s="246"/>
      <c r="W2229" s="246"/>
      <c r="X2229" s="246"/>
      <c r="Y2229" s="246"/>
      <c r="Z2229" s="246"/>
    </row>
    <row r="2230">
      <c r="A2230" s="263"/>
      <c r="B2230" s="267"/>
      <c r="C2230" s="263"/>
      <c r="D2230" s="263"/>
      <c r="E2230" s="263"/>
      <c r="F2230" s="268"/>
      <c r="G2230" s="263"/>
      <c r="H2230" s="267"/>
      <c r="I2230" s="263"/>
      <c r="J2230" s="263"/>
      <c r="K2230" s="263"/>
      <c r="L2230" s="263"/>
      <c r="M2230" s="263"/>
      <c r="N2230" s="263"/>
      <c r="O2230" s="263"/>
      <c r="P2230" s="263"/>
      <c r="Q2230" s="263"/>
      <c r="R2230" s="263"/>
      <c r="S2230" s="263"/>
      <c r="T2230" s="263"/>
      <c r="U2230" s="246"/>
      <c r="V2230" s="246"/>
      <c r="W2230" s="246"/>
      <c r="X2230" s="246"/>
      <c r="Y2230" s="246"/>
      <c r="Z2230" s="246"/>
    </row>
    <row r="2231">
      <c r="A2231" s="263"/>
      <c r="B2231" s="267"/>
      <c r="C2231" s="263"/>
      <c r="D2231" s="263"/>
      <c r="E2231" s="263"/>
      <c r="F2231" s="268"/>
      <c r="G2231" s="263"/>
      <c r="H2231" s="267"/>
      <c r="I2231" s="263"/>
      <c r="J2231" s="263"/>
      <c r="K2231" s="263"/>
      <c r="L2231" s="263"/>
      <c r="M2231" s="263"/>
      <c r="N2231" s="263"/>
      <c r="O2231" s="263"/>
      <c r="P2231" s="263"/>
      <c r="Q2231" s="263"/>
      <c r="R2231" s="263"/>
      <c r="S2231" s="263"/>
      <c r="T2231" s="263"/>
      <c r="U2231" s="246"/>
      <c r="V2231" s="246"/>
      <c r="W2231" s="246"/>
      <c r="X2231" s="246"/>
      <c r="Y2231" s="246"/>
      <c r="Z2231" s="246"/>
    </row>
    <row r="2232">
      <c r="A2232" s="263"/>
      <c r="B2232" s="267"/>
      <c r="C2232" s="263"/>
      <c r="D2232" s="263"/>
      <c r="E2232" s="263"/>
      <c r="F2232" s="268"/>
      <c r="G2232" s="263"/>
      <c r="H2232" s="267"/>
      <c r="I2232" s="263"/>
      <c r="J2232" s="263"/>
      <c r="K2232" s="263"/>
      <c r="L2232" s="263"/>
      <c r="M2232" s="263"/>
      <c r="N2232" s="263"/>
      <c r="O2232" s="263"/>
      <c r="P2232" s="263"/>
      <c r="Q2232" s="263"/>
      <c r="R2232" s="263"/>
      <c r="S2232" s="263"/>
      <c r="T2232" s="263"/>
      <c r="U2232" s="246"/>
      <c r="V2232" s="246"/>
      <c r="W2232" s="246"/>
      <c r="X2232" s="246"/>
      <c r="Y2232" s="246"/>
      <c r="Z2232" s="246"/>
    </row>
    <row r="2233">
      <c r="A2233" s="263"/>
      <c r="B2233" s="267"/>
      <c r="C2233" s="263"/>
      <c r="D2233" s="263"/>
      <c r="E2233" s="263"/>
      <c r="F2233" s="268"/>
      <c r="G2233" s="263"/>
      <c r="H2233" s="267"/>
      <c r="I2233" s="263"/>
      <c r="J2233" s="263"/>
      <c r="K2233" s="263"/>
      <c r="L2233" s="263"/>
      <c r="M2233" s="263"/>
      <c r="N2233" s="263"/>
      <c r="O2233" s="263"/>
      <c r="P2233" s="263"/>
      <c r="Q2233" s="263"/>
      <c r="R2233" s="263"/>
      <c r="S2233" s="263"/>
      <c r="T2233" s="263"/>
      <c r="U2233" s="246"/>
      <c r="V2233" s="246"/>
      <c r="W2233" s="246"/>
      <c r="X2233" s="246"/>
      <c r="Y2233" s="246"/>
      <c r="Z2233" s="246"/>
    </row>
    <row r="2234">
      <c r="A2234" s="263"/>
      <c r="B2234" s="267"/>
      <c r="C2234" s="263"/>
      <c r="D2234" s="263"/>
      <c r="E2234" s="263"/>
      <c r="F2234" s="268"/>
      <c r="G2234" s="263"/>
      <c r="H2234" s="267"/>
      <c r="I2234" s="263"/>
      <c r="J2234" s="263"/>
      <c r="K2234" s="263"/>
      <c r="L2234" s="263"/>
      <c r="M2234" s="263"/>
      <c r="N2234" s="263"/>
      <c r="O2234" s="263"/>
      <c r="P2234" s="263"/>
      <c r="Q2234" s="263"/>
      <c r="R2234" s="263"/>
      <c r="S2234" s="263"/>
      <c r="T2234" s="263"/>
      <c r="U2234" s="246"/>
      <c r="V2234" s="246"/>
      <c r="W2234" s="246"/>
      <c r="X2234" s="246"/>
      <c r="Y2234" s="246"/>
      <c r="Z2234" s="246"/>
    </row>
    <row r="2235">
      <c r="A2235" s="263"/>
      <c r="B2235" s="267"/>
      <c r="C2235" s="263"/>
      <c r="D2235" s="263"/>
      <c r="E2235" s="263"/>
      <c r="F2235" s="268"/>
      <c r="G2235" s="263"/>
      <c r="H2235" s="267"/>
      <c r="I2235" s="263"/>
      <c r="J2235" s="263"/>
      <c r="K2235" s="263"/>
      <c r="L2235" s="263"/>
      <c r="M2235" s="263"/>
      <c r="N2235" s="263"/>
      <c r="O2235" s="263"/>
      <c r="P2235" s="263"/>
      <c r="Q2235" s="263"/>
      <c r="R2235" s="263"/>
      <c r="S2235" s="263"/>
      <c r="T2235" s="263"/>
      <c r="U2235" s="246"/>
      <c r="V2235" s="246"/>
      <c r="W2235" s="246"/>
      <c r="X2235" s="246"/>
      <c r="Y2235" s="246"/>
      <c r="Z2235" s="246"/>
    </row>
    <row r="2236">
      <c r="A2236" s="263"/>
      <c r="B2236" s="267"/>
      <c r="C2236" s="263"/>
      <c r="D2236" s="263"/>
      <c r="E2236" s="263"/>
      <c r="F2236" s="268"/>
      <c r="G2236" s="263"/>
      <c r="H2236" s="267"/>
      <c r="I2236" s="263"/>
      <c r="J2236" s="263"/>
      <c r="K2236" s="263"/>
      <c r="L2236" s="263"/>
      <c r="M2236" s="263"/>
      <c r="N2236" s="263"/>
      <c r="O2236" s="263"/>
      <c r="P2236" s="263"/>
      <c r="Q2236" s="263"/>
      <c r="R2236" s="263"/>
      <c r="S2236" s="263"/>
      <c r="T2236" s="263"/>
      <c r="U2236" s="246"/>
      <c r="V2236" s="246"/>
      <c r="W2236" s="246"/>
      <c r="X2236" s="246"/>
      <c r="Y2236" s="246"/>
      <c r="Z2236" s="246"/>
    </row>
    <row r="2237">
      <c r="A2237" s="263"/>
      <c r="B2237" s="267"/>
      <c r="C2237" s="263"/>
      <c r="D2237" s="263"/>
      <c r="E2237" s="263"/>
      <c r="F2237" s="268"/>
      <c r="G2237" s="263"/>
      <c r="H2237" s="267"/>
      <c r="I2237" s="263"/>
      <c r="J2237" s="263"/>
      <c r="K2237" s="263"/>
      <c r="L2237" s="263"/>
      <c r="M2237" s="263"/>
      <c r="N2237" s="263"/>
      <c r="O2237" s="263"/>
      <c r="P2237" s="263"/>
      <c r="Q2237" s="263"/>
      <c r="R2237" s="263"/>
      <c r="S2237" s="263"/>
      <c r="T2237" s="263"/>
      <c r="U2237" s="246"/>
      <c r="V2237" s="246"/>
      <c r="W2237" s="246"/>
      <c r="X2237" s="246"/>
      <c r="Y2237" s="246"/>
      <c r="Z2237" s="246"/>
    </row>
    <row r="2238">
      <c r="A2238" s="263"/>
      <c r="B2238" s="267"/>
      <c r="C2238" s="263"/>
      <c r="D2238" s="263"/>
      <c r="E2238" s="263"/>
      <c r="F2238" s="268"/>
      <c r="G2238" s="263"/>
      <c r="H2238" s="267"/>
      <c r="I2238" s="263"/>
      <c r="J2238" s="263"/>
      <c r="K2238" s="263"/>
      <c r="L2238" s="263"/>
      <c r="M2238" s="263"/>
      <c r="N2238" s="263"/>
      <c r="O2238" s="263"/>
      <c r="P2238" s="263"/>
      <c r="Q2238" s="263"/>
      <c r="R2238" s="263"/>
      <c r="S2238" s="263"/>
      <c r="T2238" s="263"/>
      <c r="U2238" s="246"/>
      <c r="V2238" s="246"/>
      <c r="W2238" s="246"/>
      <c r="X2238" s="246"/>
      <c r="Y2238" s="246"/>
      <c r="Z2238" s="246"/>
    </row>
    <row r="2239">
      <c r="A2239" s="263"/>
      <c r="B2239" s="267"/>
      <c r="C2239" s="263"/>
      <c r="D2239" s="263"/>
      <c r="E2239" s="263"/>
      <c r="F2239" s="268"/>
      <c r="G2239" s="263"/>
      <c r="H2239" s="267"/>
      <c r="I2239" s="263"/>
      <c r="J2239" s="263"/>
      <c r="K2239" s="263"/>
      <c r="L2239" s="263"/>
      <c r="M2239" s="263"/>
      <c r="N2239" s="263"/>
      <c r="O2239" s="263"/>
      <c r="P2239" s="263"/>
      <c r="Q2239" s="263"/>
      <c r="R2239" s="263"/>
      <c r="S2239" s="263"/>
      <c r="T2239" s="263"/>
      <c r="U2239" s="246"/>
      <c r="V2239" s="246"/>
      <c r="W2239" s="246"/>
      <c r="X2239" s="246"/>
      <c r="Y2239" s="246"/>
      <c r="Z2239" s="246"/>
    </row>
    <row r="2240">
      <c r="A2240" s="263"/>
      <c r="B2240" s="267"/>
      <c r="C2240" s="263"/>
      <c r="D2240" s="263"/>
      <c r="E2240" s="263"/>
      <c r="F2240" s="268"/>
      <c r="G2240" s="263"/>
      <c r="H2240" s="267"/>
      <c r="I2240" s="263"/>
      <c r="J2240" s="263"/>
      <c r="K2240" s="263"/>
      <c r="L2240" s="263"/>
      <c r="M2240" s="263"/>
      <c r="N2240" s="263"/>
      <c r="O2240" s="263"/>
      <c r="P2240" s="263"/>
      <c r="Q2240" s="263"/>
      <c r="R2240" s="263"/>
      <c r="S2240" s="263"/>
      <c r="T2240" s="263"/>
      <c r="U2240" s="246"/>
      <c r="V2240" s="246"/>
      <c r="W2240" s="246"/>
      <c r="X2240" s="246"/>
      <c r="Y2240" s="246"/>
      <c r="Z2240" s="246"/>
    </row>
    <row r="2241">
      <c r="A2241" s="263"/>
      <c r="B2241" s="267"/>
      <c r="C2241" s="263"/>
      <c r="D2241" s="263"/>
      <c r="E2241" s="263"/>
      <c r="F2241" s="268"/>
      <c r="G2241" s="263"/>
      <c r="H2241" s="267"/>
      <c r="I2241" s="263"/>
      <c r="J2241" s="263"/>
      <c r="K2241" s="263"/>
      <c r="L2241" s="263"/>
      <c r="M2241" s="263"/>
      <c r="N2241" s="263"/>
      <c r="O2241" s="263"/>
      <c r="P2241" s="263"/>
      <c r="Q2241" s="263"/>
      <c r="R2241" s="263"/>
      <c r="S2241" s="263"/>
      <c r="T2241" s="263"/>
      <c r="U2241" s="246"/>
      <c r="V2241" s="246"/>
      <c r="W2241" s="246"/>
      <c r="X2241" s="246"/>
      <c r="Y2241" s="246"/>
      <c r="Z2241" s="246"/>
    </row>
    <row r="2242">
      <c r="A2242" s="263"/>
      <c r="B2242" s="267"/>
      <c r="C2242" s="263"/>
      <c r="D2242" s="263"/>
      <c r="E2242" s="263"/>
      <c r="F2242" s="268"/>
      <c r="G2242" s="263"/>
      <c r="H2242" s="267"/>
      <c r="I2242" s="263"/>
      <c r="J2242" s="263"/>
      <c r="K2242" s="263"/>
      <c r="L2242" s="263"/>
      <c r="M2242" s="263"/>
      <c r="N2242" s="263"/>
      <c r="O2242" s="263"/>
      <c r="P2242" s="263"/>
      <c r="Q2242" s="263"/>
      <c r="R2242" s="263"/>
      <c r="S2242" s="263"/>
      <c r="T2242" s="263"/>
      <c r="U2242" s="246"/>
      <c r="V2242" s="246"/>
      <c r="W2242" s="246"/>
      <c r="X2242" s="246"/>
      <c r="Y2242" s="246"/>
      <c r="Z2242" s="246"/>
    </row>
    <row r="2243">
      <c r="A2243" s="263"/>
      <c r="B2243" s="267"/>
      <c r="C2243" s="263"/>
      <c r="D2243" s="263"/>
      <c r="E2243" s="263"/>
      <c r="F2243" s="268"/>
      <c r="G2243" s="263"/>
      <c r="H2243" s="267"/>
      <c r="I2243" s="263"/>
      <c r="J2243" s="263"/>
      <c r="K2243" s="263"/>
      <c r="L2243" s="263"/>
      <c r="M2243" s="263"/>
      <c r="N2243" s="263"/>
      <c r="O2243" s="263"/>
      <c r="P2243" s="263"/>
      <c r="Q2243" s="263"/>
      <c r="R2243" s="263"/>
      <c r="S2243" s="263"/>
      <c r="T2243" s="263"/>
      <c r="U2243" s="246"/>
      <c r="V2243" s="246"/>
      <c r="W2243" s="246"/>
      <c r="X2243" s="246"/>
      <c r="Y2243" s="246"/>
      <c r="Z2243" s="246"/>
    </row>
    <row r="2244">
      <c r="A2244" s="263"/>
      <c r="B2244" s="267"/>
      <c r="C2244" s="263"/>
      <c r="D2244" s="263"/>
      <c r="E2244" s="263"/>
      <c r="F2244" s="268"/>
      <c r="G2244" s="263"/>
      <c r="H2244" s="267"/>
      <c r="I2244" s="263"/>
      <c r="J2244" s="263"/>
      <c r="K2244" s="263"/>
      <c r="L2244" s="263"/>
      <c r="M2244" s="263"/>
      <c r="N2244" s="263"/>
      <c r="O2244" s="263"/>
      <c r="P2244" s="263"/>
      <c r="Q2244" s="263"/>
      <c r="R2244" s="263"/>
      <c r="S2244" s="263"/>
      <c r="T2244" s="263"/>
      <c r="U2244" s="246"/>
      <c r="V2244" s="246"/>
      <c r="W2244" s="246"/>
      <c r="X2244" s="246"/>
      <c r="Y2244" s="246"/>
      <c r="Z2244" s="246"/>
    </row>
    <row r="2245">
      <c r="A2245" s="263"/>
      <c r="B2245" s="267"/>
      <c r="C2245" s="263"/>
      <c r="D2245" s="263"/>
      <c r="E2245" s="263"/>
      <c r="F2245" s="268"/>
      <c r="G2245" s="263"/>
      <c r="H2245" s="267"/>
      <c r="I2245" s="263"/>
      <c r="J2245" s="263"/>
      <c r="K2245" s="263"/>
      <c r="L2245" s="263"/>
      <c r="M2245" s="263"/>
      <c r="N2245" s="263"/>
      <c r="O2245" s="263"/>
      <c r="P2245" s="263"/>
      <c r="Q2245" s="263"/>
      <c r="R2245" s="263"/>
      <c r="S2245" s="263"/>
      <c r="T2245" s="263"/>
      <c r="U2245" s="246"/>
      <c r="V2245" s="246"/>
      <c r="W2245" s="246"/>
      <c r="X2245" s="246"/>
      <c r="Y2245" s="246"/>
      <c r="Z2245" s="246"/>
    </row>
    <row r="2246">
      <c r="A2246" s="263"/>
      <c r="B2246" s="267"/>
      <c r="C2246" s="263"/>
      <c r="D2246" s="263"/>
      <c r="E2246" s="263"/>
      <c r="F2246" s="268"/>
      <c r="G2246" s="263"/>
      <c r="H2246" s="267"/>
      <c r="I2246" s="263"/>
      <c r="J2246" s="263"/>
      <c r="K2246" s="263"/>
      <c r="L2246" s="263"/>
      <c r="M2246" s="263"/>
      <c r="N2246" s="263"/>
      <c r="O2246" s="263"/>
      <c r="P2246" s="263"/>
      <c r="Q2246" s="263"/>
      <c r="R2246" s="263"/>
      <c r="S2246" s="263"/>
      <c r="T2246" s="263"/>
      <c r="U2246" s="246"/>
      <c r="V2246" s="246"/>
      <c r="W2246" s="246"/>
      <c r="X2246" s="246"/>
      <c r="Y2246" s="246"/>
      <c r="Z2246" s="246"/>
    </row>
    <row r="2247">
      <c r="A2247" s="263"/>
      <c r="B2247" s="267"/>
      <c r="C2247" s="263"/>
      <c r="D2247" s="263"/>
      <c r="E2247" s="263"/>
      <c r="F2247" s="268"/>
      <c r="G2247" s="263"/>
      <c r="H2247" s="267"/>
      <c r="I2247" s="263"/>
      <c r="J2247" s="263"/>
      <c r="K2247" s="263"/>
      <c r="L2247" s="263"/>
      <c r="M2247" s="263"/>
      <c r="N2247" s="263"/>
      <c r="O2247" s="263"/>
      <c r="P2247" s="263"/>
      <c r="Q2247" s="263"/>
      <c r="R2247" s="263"/>
      <c r="S2247" s="263"/>
      <c r="T2247" s="263"/>
      <c r="U2247" s="246"/>
      <c r="V2247" s="246"/>
      <c r="W2247" s="246"/>
      <c r="X2247" s="246"/>
      <c r="Y2247" s="246"/>
      <c r="Z2247" s="246"/>
    </row>
    <row r="2248">
      <c r="A2248" s="263"/>
      <c r="B2248" s="267"/>
      <c r="C2248" s="263"/>
      <c r="D2248" s="263"/>
      <c r="E2248" s="263"/>
      <c r="F2248" s="268"/>
      <c r="G2248" s="263"/>
      <c r="H2248" s="267"/>
      <c r="I2248" s="263"/>
      <c r="J2248" s="263"/>
      <c r="K2248" s="263"/>
      <c r="L2248" s="263"/>
      <c r="M2248" s="263"/>
      <c r="N2248" s="263"/>
      <c r="O2248" s="263"/>
      <c r="P2248" s="263"/>
      <c r="Q2248" s="263"/>
      <c r="R2248" s="263"/>
      <c r="S2248" s="263"/>
      <c r="T2248" s="263"/>
      <c r="U2248" s="246"/>
      <c r="V2248" s="246"/>
      <c r="W2248" s="246"/>
      <c r="X2248" s="246"/>
      <c r="Y2248" s="246"/>
      <c r="Z2248" s="246"/>
    </row>
    <row r="2249">
      <c r="A2249" s="263"/>
      <c r="B2249" s="267"/>
      <c r="C2249" s="263"/>
      <c r="D2249" s="263"/>
      <c r="E2249" s="263"/>
      <c r="F2249" s="268"/>
      <c r="G2249" s="263"/>
      <c r="H2249" s="267"/>
      <c r="I2249" s="263"/>
      <c r="J2249" s="263"/>
      <c r="K2249" s="263"/>
      <c r="L2249" s="263"/>
      <c r="M2249" s="263"/>
      <c r="N2249" s="263"/>
      <c r="O2249" s="263"/>
      <c r="P2249" s="263"/>
      <c r="Q2249" s="263"/>
      <c r="R2249" s="263"/>
      <c r="S2249" s="263"/>
      <c r="T2249" s="263"/>
      <c r="U2249" s="246"/>
      <c r="V2249" s="246"/>
      <c r="W2249" s="246"/>
      <c r="X2249" s="246"/>
      <c r="Y2249" s="246"/>
      <c r="Z2249" s="246"/>
    </row>
    <row r="2250">
      <c r="A2250" s="263"/>
      <c r="B2250" s="267"/>
      <c r="C2250" s="263"/>
      <c r="D2250" s="263"/>
      <c r="E2250" s="263"/>
      <c r="F2250" s="268"/>
      <c r="G2250" s="263"/>
      <c r="H2250" s="267"/>
      <c r="I2250" s="263"/>
      <c r="J2250" s="263"/>
      <c r="K2250" s="263"/>
      <c r="L2250" s="263"/>
      <c r="M2250" s="263"/>
      <c r="N2250" s="263"/>
      <c r="O2250" s="263"/>
      <c r="P2250" s="263"/>
      <c r="Q2250" s="263"/>
      <c r="R2250" s="263"/>
      <c r="S2250" s="263"/>
      <c r="T2250" s="263"/>
      <c r="U2250" s="246"/>
      <c r="V2250" s="246"/>
      <c r="W2250" s="246"/>
      <c r="X2250" s="246"/>
      <c r="Y2250" s="246"/>
      <c r="Z2250" s="246"/>
    </row>
    <row r="2251">
      <c r="A2251" s="263"/>
      <c r="B2251" s="267"/>
      <c r="C2251" s="263"/>
      <c r="D2251" s="263"/>
      <c r="E2251" s="263"/>
      <c r="F2251" s="268"/>
      <c r="G2251" s="263"/>
      <c r="H2251" s="267"/>
      <c r="I2251" s="263"/>
      <c r="J2251" s="263"/>
      <c r="K2251" s="263"/>
      <c r="L2251" s="263"/>
      <c r="M2251" s="263"/>
      <c r="N2251" s="263"/>
      <c r="O2251" s="263"/>
      <c r="P2251" s="263"/>
      <c r="Q2251" s="263"/>
      <c r="R2251" s="263"/>
      <c r="S2251" s="263"/>
      <c r="T2251" s="263"/>
      <c r="U2251" s="246"/>
      <c r="V2251" s="246"/>
      <c r="W2251" s="246"/>
      <c r="X2251" s="246"/>
      <c r="Y2251" s="246"/>
      <c r="Z2251" s="246"/>
    </row>
    <row r="2252">
      <c r="A2252" s="263"/>
      <c r="B2252" s="267"/>
      <c r="C2252" s="263"/>
      <c r="D2252" s="263"/>
      <c r="E2252" s="263"/>
      <c r="F2252" s="268"/>
      <c r="G2252" s="263"/>
      <c r="H2252" s="267"/>
      <c r="I2252" s="263"/>
      <c r="J2252" s="263"/>
      <c r="K2252" s="263"/>
      <c r="L2252" s="263"/>
      <c r="M2252" s="263"/>
      <c r="N2252" s="263"/>
      <c r="O2252" s="263"/>
      <c r="P2252" s="263"/>
      <c r="Q2252" s="263"/>
      <c r="R2252" s="263"/>
      <c r="S2252" s="263"/>
      <c r="T2252" s="263"/>
      <c r="U2252" s="246"/>
      <c r="V2252" s="246"/>
      <c r="W2252" s="246"/>
      <c r="X2252" s="246"/>
      <c r="Y2252" s="246"/>
      <c r="Z2252" s="246"/>
    </row>
    <row r="2253">
      <c r="A2253" s="263"/>
      <c r="B2253" s="267"/>
      <c r="C2253" s="263"/>
      <c r="D2253" s="263"/>
      <c r="E2253" s="263"/>
      <c r="F2253" s="268"/>
      <c r="G2253" s="263"/>
      <c r="H2253" s="267"/>
      <c r="I2253" s="263"/>
      <c r="J2253" s="263"/>
      <c r="K2253" s="263"/>
      <c r="L2253" s="263"/>
      <c r="M2253" s="263"/>
      <c r="N2253" s="263"/>
      <c r="O2253" s="263"/>
      <c r="P2253" s="263"/>
      <c r="Q2253" s="263"/>
      <c r="R2253" s="263"/>
      <c r="S2253" s="263"/>
      <c r="T2253" s="263"/>
      <c r="U2253" s="246"/>
      <c r="V2253" s="246"/>
      <c r="W2253" s="246"/>
      <c r="X2253" s="246"/>
      <c r="Y2253" s="246"/>
      <c r="Z2253" s="246"/>
    </row>
    <row r="2254">
      <c r="A2254" s="263"/>
      <c r="B2254" s="267"/>
      <c r="C2254" s="263"/>
      <c r="D2254" s="263"/>
      <c r="E2254" s="263"/>
      <c r="F2254" s="268"/>
      <c r="G2254" s="263"/>
      <c r="H2254" s="267"/>
      <c r="I2254" s="263"/>
      <c r="J2254" s="263"/>
      <c r="K2254" s="263"/>
      <c r="L2254" s="263"/>
      <c r="M2254" s="263"/>
      <c r="N2254" s="263"/>
      <c r="O2254" s="263"/>
      <c r="P2254" s="263"/>
      <c r="Q2254" s="263"/>
      <c r="R2254" s="263"/>
      <c r="S2254" s="263"/>
      <c r="T2254" s="263"/>
      <c r="U2254" s="246"/>
      <c r="V2254" s="246"/>
      <c r="W2254" s="246"/>
      <c r="X2254" s="246"/>
      <c r="Y2254" s="246"/>
      <c r="Z2254" s="246"/>
    </row>
    <row r="2255">
      <c r="A2255" s="263"/>
      <c r="B2255" s="267"/>
      <c r="C2255" s="263"/>
      <c r="D2255" s="263"/>
      <c r="E2255" s="263"/>
      <c r="F2255" s="268"/>
      <c r="G2255" s="263"/>
      <c r="H2255" s="267"/>
      <c r="I2255" s="263"/>
      <c r="J2255" s="263"/>
      <c r="K2255" s="263"/>
      <c r="L2255" s="263"/>
      <c r="M2255" s="263"/>
      <c r="N2255" s="263"/>
      <c r="O2255" s="263"/>
      <c r="P2255" s="263"/>
      <c r="Q2255" s="263"/>
      <c r="R2255" s="263"/>
      <c r="S2255" s="263"/>
      <c r="T2255" s="263"/>
      <c r="U2255" s="246"/>
      <c r="V2255" s="246"/>
      <c r="W2255" s="246"/>
      <c r="X2255" s="246"/>
      <c r="Y2255" s="246"/>
      <c r="Z2255" s="246"/>
    </row>
    <row r="2256">
      <c r="A2256" s="263"/>
      <c r="B2256" s="267"/>
      <c r="C2256" s="263"/>
      <c r="D2256" s="263"/>
      <c r="E2256" s="263"/>
      <c r="F2256" s="268"/>
      <c r="G2256" s="263"/>
      <c r="H2256" s="267"/>
      <c r="I2256" s="263"/>
      <c r="J2256" s="263"/>
      <c r="K2256" s="263"/>
      <c r="L2256" s="263"/>
      <c r="M2256" s="263"/>
      <c r="N2256" s="263"/>
      <c r="O2256" s="263"/>
      <c r="P2256" s="263"/>
      <c r="Q2256" s="263"/>
      <c r="R2256" s="263"/>
      <c r="S2256" s="263"/>
      <c r="T2256" s="263"/>
      <c r="U2256" s="246"/>
      <c r="V2256" s="246"/>
      <c r="W2256" s="246"/>
      <c r="X2256" s="246"/>
      <c r="Y2256" s="246"/>
      <c r="Z2256" s="246"/>
    </row>
    <row r="2257">
      <c r="A2257" s="263"/>
      <c r="B2257" s="267"/>
      <c r="C2257" s="263"/>
      <c r="D2257" s="263"/>
      <c r="E2257" s="263"/>
      <c r="F2257" s="268"/>
      <c r="G2257" s="263"/>
      <c r="H2257" s="267"/>
      <c r="I2257" s="263"/>
      <c r="J2257" s="263"/>
      <c r="K2257" s="263"/>
      <c r="L2257" s="263"/>
      <c r="M2257" s="263"/>
      <c r="N2257" s="263"/>
      <c r="O2257" s="263"/>
      <c r="P2257" s="263"/>
      <c r="Q2257" s="263"/>
      <c r="R2257" s="263"/>
      <c r="S2257" s="263"/>
      <c r="T2257" s="263"/>
      <c r="U2257" s="246"/>
      <c r="V2257" s="246"/>
      <c r="W2257" s="246"/>
      <c r="X2257" s="246"/>
      <c r="Y2257" s="246"/>
      <c r="Z2257" s="246"/>
    </row>
    <row r="2258">
      <c r="A2258" s="263"/>
      <c r="B2258" s="267"/>
      <c r="C2258" s="263"/>
      <c r="D2258" s="263"/>
      <c r="E2258" s="263"/>
      <c r="F2258" s="268"/>
      <c r="G2258" s="263"/>
      <c r="H2258" s="267"/>
      <c r="I2258" s="263"/>
      <c r="J2258" s="263"/>
      <c r="K2258" s="263"/>
      <c r="L2258" s="263"/>
      <c r="M2258" s="263"/>
      <c r="N2258" s="263"/>
      <c r="O2258" s="263"/>
      <c r="P2258" s="263"/>
      <c r="Q2258" s="263"/>
      <c r="R2258" s="263"/>
      <c r="S2258" s="263"/>
      <c r="T2258" s="263"/>
      <c r="U2258" s="246"/>
      <c r="V2258" s="246"/>
      <c r="W2258" s="246"/>
      <c r="X2258" s="246"/>
      <c r="Y2258" s="246"/>
      <c r="Z2258" s="246"/>
    </row>
    <row r="2259">
      <c r="A2259" s="263"/>
      <c r="B2259" s="267"/>
      <c r="C2259" s="263"/>
      <c r="D2259" s="263"/>
      <c r="E2259" s="263"/>
      <c r="F2259" s="268"/>
      <c r="G2259" s="263"/>
      <c r="H2259" s="267"/>
      <c r="I2259" s="263"/>
      <c r="J2259" s="263"/>
      <c r="K2259" s="263"/>
      <c r="L2259" s="263"/>
      <c r="M2259" s="263"/>
      <c r="N2259" s="263"/>
      <c r="O2259" s="263"/>
      <c r="P2259" s="263"/>
      <c r="Q2259" s="263"/>
      <c r="R2259" s="263"/>
      <c r="S2259" s="263"/>
      <c r="T2259" s="263"/>
      <c r="U2259" s="246"/>
      <c r="V2259" s="246"/>
      <c r="W2259" s="246"/>
      <c r="X2259" s="246"/>
      <c r="Y2259" s="246"/>
      <c r="Z2259" s="246"/>
    </row>
    <row r="2260">
      <c r="A2260" s="263"/>
      <c r="B2260" s="267"/>
      <c r="C2260" s="263"/>
      <c r="D2260" s="263"/>
      <c r="E2260" s="263"/>
      <c r="F2260" s="268"/>
      <c r="G2260" s="263"/>
      <c r="H2260" s="267"/>
      <c r="I2260" s="263"/>
      <c r="J2260" s="263"/>
      <c r="K2260" s="263"/>
      <c r="L2260" s="263"/>
      <c r="M2260" s="263"/>
      <c r="N2260" s="263"/>
      <c r="O2260" s="263"/>
      <c r="P2260" s="263"/>
      <c r="Q2260" s="263"/>
      <c r="R2260" s="263"/>
      <c r="S2260" s="263"/>
      <c r="T2260" s="263"/>
      <c r="U2260" s="246"/>
      <c r="V2260" s="246"/>
      <c r="W2260" s="246"/>
      <c r="X2260" s="246"/>
      <c r="Y2260" s="246"/>
      <c r="Z2260" s="246"/>
    </row>
    <row r="2261">
      <c r="A2261" s="263"/>
      <c r="B2261" s="267"/>
      <c r="C2261" s="263"/>
      <c r="D2261" s="263"/>
      <c r="E2261" s="263"/>
      <c r="F2261" s="268"/>
      <c r="G2261" s="263"/>
      <c r="H2261" s="267"/>
      <c r="I2261" s="263"/>
      <c r="J2261" s="263"/>
      <c r="K2261" s="263"/>
      <c r="L2261" s="263"/>
      <c r="M2261" s="263"/>
      <c r="N2261" s="263"/>
      <c r="O2261" s="263"/>
      <c r="P2261" s="263"/>
      <c r="Q2261" s="263"/>
      <c r="R2261" s="263"/>
      <c r="S2261" s="263"/>
      <c r="T2261" s="263"/>
      <c r="U2261" s="246"/>
      <c r="V2261" s="246"/>
      <c r="W2261" s="246"/>
      <c r="X2261" s="246"/>
      <c r="Y2261" s="246"/>
      <c r="Z2261" s="246"/>
    </row>
    <row r="2262">
      <c r="A2262" s="263"/>
      <c r="B2262" s="267"/>
      <c r="C2262" s="263"/>
      <c r="D2262" s="263"/>
      <c r="E2262" s="263"/>
      <c r="F2262" s="268"/>
      <c r="G2262" s="263"/>
      <c r="H2262" s="267"/>
      <c r="I2262" s="263"/>
      <c r="J2262" s="263"/>
      <c r="K2262" s="263"/>
      <c r="L2262" s="263"/>
      <c r="M2262" s="263"/>
      <c r="N2262" s="263"/>
      <c r="O2262" s="263"/>
      <c r="P2262" s="263"/>
      <c r="Q2262" s="263"/>
      <c r="R2262" s="263"/>
      <c r="S2262" s="263"/>
      <c r="T2262" s="263"/>
      <c r="U2262" s="246"/>
      <c r="V2262" s="246"/>
      <c r="W2262" s="246"/>
      <c r="X2262" s="246"/>
      <c r="Y2262" s="246"/>
      <c r="Z2262" s="246"/>
    </row>
    <row r="2263">
      <c r="A2263" s="263"/>
      <c r="B2263" s="267"/>
      <c r="C2263" s="263"/>
      <c r="D2263" s="263"/>
      <c r="E2263" s="263"/>
      <c r="F2263" s="268"/>
      <c r="G2263" s="263"/>
      <c r="H2263" s="267"/>
      <c r="I2263" s="263"/>
      <c r="J2263" s="263"/>
      <c r="K2263" s="263"/>
      <c r="L2263" s="263"/>
      <c r="M2263" s="263"/>
      <c r="N2263" s="263"/>
      <c r="O2263" s="263"/>
      <c r="P2263" s="263"/>
      <c r="Q2263" s="263"/>
      <c r="R2263" s="263"/>
      <c r="S2263" s="263"/>
      <c r="T2263" s="263"/>
      <c r="U2263" s="246"/>
      <c r="V2263" s="246"/>
      <c r="W2263" s="246"/>
      <c r="X2263" s="246"/>
      <c r="Y2263" s="246"/>
      <c r="Z2263" s="246"/>
    </row>
    <row r="2264">
      <c r="A2264" s="263"/>
      <c r="B2264" s="267"/>
      <c r="C2264" s="263"/>
      <c r="D2264" s="263"/>
      <c r="E2264" s="263"/>
      <c r="F2264" s="268"/>
      <c r="G2264" s="263"/>
      <c r="H2264" s="267"/>
      <c r="I2264" s="263"/>
      <c r="J2264" s="263"/>
      <c r="K2264" s="263"/>
      <c r="L2264" s="263"/>
      <c r="M2264" s="263"/>
      <c r="N2264" s="263"/>
      <c r="O2264" s="263"/>
      <c r="P2264" s="263"/>
      <c r="Q2264" s="263"/>
      <c r="R2264" s="263"/>
      <c r="S2264" s="263"/>
      <c r="T2264" s="263"/>
      <c r="U2264" s="246"/>
      <c r="V2264" s="246"/>
      <c r="W2264" s="246"/>
      <c r="X2264" s="246"/>
      <c r="Y2264" s="246"/>
      <c r="Z2264" s="246"/>
    </row>
    <row r="2265">
      <c r="A2265" s="263"/>
      <c r="B2265" s="267"/>
      <c r="C2265" s="263"/>
      <c r="D2265" s="263"/>
      <c r="E2265" s="263"/>
      <c r="F2265" s="268"/>
      <c r="G2265" s="263"/>
      <c r="H2265" s="267"/>
      <c r="I2265" s="263"/>
      <c r="J2265" s="263"/>
      <c r="K2265" s="263"/>
      <c r="L2265" s="263"/>
      <c r="M2265" s="263"/>
      <c r="N2265" s="263"/>
      <c r="O2265" s="263"/>
      <c r="P2265" s="263"/>
      <c r="Q2265" s="263"/>
      <c r="R2265" s="263"/>
      <c r="S2265" s="263"/>
      <c r="T2265" s="263"/>
      <c r="U2265" s="246"/>
      <c r="V2265" s="246"/>
      <c r="W2265" s="246"/>
      <c r="X2265" s="246"/>
      <c r="Y2265" s="246"/>
      <c r="Z2265" s="246"/>
    </row>
    <row r="2266">
      <c r="A2266" s="263"/>
      <c r="B2266" s="267"/>
      <c r="C2266" s="263"/>
      <c r="D2266" s="263"/>
      <c r="E2266" s="263"/>
      <c r="F2266" s="268"/>
      <c r="G2266" s="263"/>
      <c r="H2266" s="267"/>
      <c r="I2266" s="263"/>
      <c r="J2266" s="263"/>
      <c r="K2266" s="263"/>
      <c r="L2266" s="263"/>
      <c r="M2266" s="263"/>
      <c r="N2266" s="263"/>
      <c r="O2266" s="263"/>
      <c r="P2266" s="263"/>
      <c r="Q2266" s="263"/>
      <c r="R2266" s="263"/>
      <c r="S2266" s="263"/>
      <c r="T2266" s="263"/>
      <c r="U2266" s="246"/>
      <c r="V2266" s="246"/>
      <c r="W2266" s="246"/>
      <c r="X2266" s="246"/>
      <c r="Y2266" s="246"/>
      <c r="Z2266" s="246"/>
    </row>
    <row r="2267">
      <c r="A2267" s="263"/>
      <c r="B2267" s="267"/>
      <c r="C2267" s="263"/>
      <c r="D2267" s="263"/>
      <c r="E2267" s="263"/>
      <c r="F2267" s="268"/>
      <c r="G2267" s="263"/>
      <c r="H2267" s="267"/>
      <c r="I2267" s="263"/>
      <c r="J2267" s="263"/>
      <c r="K2267" s="263"/>
      <c r="L2267" s="263"/>
      <c r="M2267" s="263"/>
      <c r="N2267" s="263"/>
      <c r="O2267" s="263"/>
      <c r="P2267" s="263"/>
      <c r="Q2267" s="263"/>
      <c r="R2267" s="263"/>
      <c r="S2267" s="263"/>
      <c r="T2267" s="263"/>
      <c r="U2267" s="246"/>
      <c r="V2267" s="246"/>
      <c r="W2267" s="246"/>
      <c r="X2267" s="246"/>
      <c r="Y2267" s="246"/>
      <c r="Z2267" s="246"/>
    </row>
    <row r="2268">
      <c r="A2268" s="263"/>
      <c r="B2268" s="267"/>
      <c r="C2268" s="263"/>
      <c r="D2268" s="263"/>
      <c r="E2268" s="263"/>
      <c r="F2268" s="268"/>
      <c r="G2268" s="263"/>
      <c r="H2268" s="267"/>
      <c r="I2268" s="263"/>
      <c r="J2268" s="263"/>
      <c r="K2268" s="263"/>
      <c r="L2268" s="263"/>
      <c r="M2268" s="263"/>
      <c r="N2268" s="263"/>
      <c r="O2268" s="263"/>
      <c r="P2268" s="263"/>
      <c r="Q2268" s="263"/>
      <c r="R2268" s="263"/>
      <c r="S2268" s="263"/>
      <c r="T2268" s="263"/>
      <c r="U2268" s="246"/>
      <c r="V2268" s="246"/>
      <c r="W2268" s="246"/>
      <c r="X2268" s="246"/>
      <c r="Y2268" s="246"/>
      <c r="Z2268" s="246"/>
    </row>
    <row r="2269">
      <c r="A2269" s="263"/>
      <c r="B2269" s="267"/>
      <c r="C2269" s="263"/>
      <c r="D2269" s="263"/>
      <c r="E2269" s="263"/>
      <c r="F2269" s="268"/>
      <c r="G2269" s="263"/>
      <c r="H2269" s="267"/>
      <c r="I2269" s="263"/>
      <c r="J2269" s="263"/>
      <c r="K2269" s="263"/>
      <c r="L2269" s="263"/>
      <c r="M2269" s="263"/>
      <c r="N2269" s="263"/>
      <c r="O2269" s="263"/>
      <c r="P2269" s="263"/>
      <c r="Q2269" s="263"/>
      <c r="R2269" s="263"/>
      <c r="S2269" s="263"/>
      <c r="T2269" s="263"/>
      <c r="U2269" s="246"/>
      <c r="V2269" s="246"/>
      <c r="W2269" s="246"/>
      <c r="X2269" s="246"/>
      <c r="Y2269" s="246"/>
      <c r="Z2269" s="246"/>
    </row>
    <row r="2270">
      <c r="A2270" s="263"/>
      <c r="B2270" s="267"/>
      <c r="C2270" s="263"/>
      <c r="D2270" s="263"/>
      <c r="E2270" s="263"/>
      <c r="F2270" s="268"/>
      <c r="G2270" s="263"/>
      <c r="H2270" s="267"/>
      <c r="I2270" s="263"/>
      <c r="J2270" s="263"/>
      <c r="K2270" s="263"/>
      <c r="L2270" s="263"/>
      <c r="M2270" s="263"/>
      <c r="N2270" s="263"/>
      <c r="O2270" s="263"/>
      <c r="P2270" s="263"/>
      <c r="Q2270" s="263"/>
      <c r="R2270" s="263"/>
      <c r="S2270" s="263"/>
      <c r="T2270" s="263"/>
      <c r="U2270" s="246"/>
      <c r="V2270" s="246"/>
      <c r="W2270" s="246"/>
      <c r="X2270" s="246"/>
      <c r="Y2270" s="246"/>
      <c r="Z2270" s="246"/>
    </row>
    <row r="2271">
      <c r="A2271" s="263"/>
      <c r="B2271" s="267"/>
      <c r="C2271" s="263"/>
      <c r="D2271" s="263"/>
      <c r="E2271" s="263"/>
      <c r="F2271" s="268"/>
      <c r="G2271" s="263"/>
      <c r="H2271" s="267"/>
      <c r="I2271" s="263"/>
      <c r="J2271" s="263"/>
      <c r="K2271" s="263"/>
      <c r="L2271" s="263"/>
      <c r="M2271" s="263"/>
      <c r="N2271" s="263"/>
      <c r="O2271" s="263"/>
      <c r="P2271" s="263"/>
      <c r="Q2271" s="263"/>
      <c r="R2271" s="263"/>
      <c r="S2271" s="263"/>
      <c r="T2271" s="263"/>
      <c r="U2271" s="246"/>
      <c r="V2271" s="246"/>
      <c r="W2271" s="246"/>
      <c r="X2271" s="246"/>
      <c r="Y2271" s="246"/>
      <c r="Z2271" s="246"/>
    </row>
    <row r="2272">
      <c r="A2272" s="263"/>
      <c r="B2272" s="267"/>
      <c r="C2272" s="263"/>
      <c r="D2272" s="263"/>
      <c r="E2272" s="263"/>
      <c r="F2272" s="268"/>
      <c r="G2272" s="263"/>
      <c r="H2272" s="267"/>
      <c r="I2272" s="263"/>
      <c r="J2272" s="263"/>
      <c r="K2272" s="263"/>
      <c r="L2272" s="263"/>
      <c r="M2272" s="263"/>
      <c r="N2272" s="263"/>
      <c r="O2272" s="263"/>
      <c r="P2272" s="263"/>
      <c r="Q2272" s="263"/>
      <c r="R2272" s="263"/>
      <c r="S2272" s="263"/>
      <c r="T2272" s="263"/>
      <c r="U2272" s="246"/>
      <c r="V2272" s="246"/>
      <c r="W2272" s="246"/>
      <c r="X2272" s="246"/>
      <c r="Y2272" s="246"/>
      <c r="Z2272" s="246"/>
    </row>
    <row r="2273">
      <c r="A2273" s="263"/>
      <c r="B2273" s="267"/>
      <c r="C2273" s="263"/>
      <c r="D2273" s="263"/>
      <c r="E2273" s="263"/>
      <c r="F2273" s="268"/>
      <c r="G2273" s="263"/>
      <c r="H2273" s="267"/>
      <c r="I2273" s="263"/>
      <c r="J2273" s="263"/>
      <c r="K2273" s="263"/>
      <c r="L2273" s="263"/>
      <c r="M2273" s="263"/>
      <c r="N2273" s="263"/>
      <c r="O2273" s="263"/>
      <c r="P2273" s="263"/>
      <c r="Q2273" s="263"/>
      <c r="R2273" s="263"/>
      <c r="S2273" s="263"/>
      <c r="T2273" s="263"/>
      <c r="U2273" s="246"/>
      <c r="V2273" s="246"/>
      <c r="W2273" s="246"/>
      <c r="X2273" s="246"/>
      <c r="Y2273" s="246"/>
      <c r="Z2273" s="246"/>
    </row>
    <row r="2274">
      <c r="A2274" s="263"/>
      <c r="B2274" s="267"/>
      <c r="C2274" s="263"/>
      <c r="D2274" s="263"/>
      <c r="E2274" s="263"/>
      <c r="F2274" s="268"/>
      <c r="G2274" s="263"/>
      <c r="H2274" s="267"/>
      <c r="I2274" s="263"/>
      <c r="J2274" s="263"/>
      <c r="K2274" s="263"/>
      <c r="L2274" s="263"/>
      <c r="M2274" s="263"/>
      <c r="N2274" s="263"/>
      <c r="O2274" s="263"/>
      <c r="P2274" s="263"/>
      <c r="Q2274" s="263"/>
      <c r="R2274" s="263"/>
      <c r="S2274" s="263"/>
      <c r="T2274" s="263"/>
      <c r="U2274" s="246"/>
      <c r="V2274" s="246"/>
      <c r="W2274" s="246"/>
      <c r="X2274" s="246"/>
      <c r="Y2274" s="246"/>
      <c r="Z2274" s="246"/>
    </row>
    <row r="2275">
      <c r="A2275" s="263"/>
      <c r="B2275" s="267"/>
      <c r="C2275" s="263"/>
      <c r="D2275" s="263"/>
      <c r="E2275" s="263"/>
      <c r="F2275" s="268"/>
      <c r="G2275" s="263"/>
      <c r="H2275" s="267"/>
      <c r="I2275" s="263"/>
      <c r="J2275" s="263"/>
      <c r="K2275" s="263"/>
      <c r="L2275" s="263"/>
      <c r="M2275" s="263"/>
      <c r="N2275" s="263"/>
      <c r="O2275" s="263"/>
      <c r="P2275" s="263"/>
      <c r="Q2275" s="263"/>
      <c r="R2275" s="263"/>
      <c r="S2275" s="263"/>
      <c r="T2275" s="263"/>
      <c r="U2275" s="246"/>
      <c r="V2275" s="246"/>
      <c r="W2275" s="246"/>
      <c r="X2275" s="246"/>
      <c r="Y2275" s="246"/>
      <c r="Z2275" s="246"/>
    </row>
    <row r="2276">
      <c r="A2276" s="263"/>
      <c r="B2276" s="267"/>
      <c r="C2276" s="263"/>
      <c r="D2276" s="263"/>
      <c r="E2276" s="263"/>
      <c r="F2276" s="268"/>
      <c r="G2276" s="263"/>
      <c r="H2276" s="267"/>
      <c r="I2276" s="263"/>
      <c r="J2276" s="263"/>
      <c r="K2276" s="263"/>
      <c r="L2276" s="263"/>
      <c r="M2276" s="263"/>
      <c r="N2276" s="263"/>
      <c r="O2276" s="263"/>
      <c r="P2276" s="263"/>
      <c r="Q2276" s="263"/>
      <c r="R2276" s="263"/>
      <c r="S2276" s="263"/>
      <c r="T2276" s="263"/>
      <c r="U2276" s="246"/>
      <c r="V2276" s="246"/>
      <c r="W2276" s="246"/>
      <c r="X2276" s="246"/>
      <c r="Y2276" s="246"/>
      <c r="Z2276" s="246"/>
    </row>
    <row r="2277">
      <c r="A2277" s="263"/>
      <c r="B2277" s="267"/>
      <c r="C2277" s="263"/>
      <c r="D2277" s="263"/>
      <c r="E2277" s="263"/>
      <c r="F2277" s="268"/>
      <c r="G2277" s="263"/>
      <c r="H2277" s="267"/>
      <c r="I2277" s="263"/>
      <c r="J2277" s="263"/>
      <c r="K2277" s="263"/>
      <c r="L2277" s="263"/>
      <c r="M2277" s="263"/>
      <c r="N2277" s="263"/>
      <c r="O2277" s="263"/>
      <c r="P2277" s="263"/>
      <c r="Q2277" s="263"/>
      <c r="R2277" s="263"/>
      <c r="S2277" s="263"/>
      <c r="T2277" s="263"/>
      <c r="U2277" s="246"/>
      <c r="V2277" s="246"/>
      <c r="W2277" s="246"/>
      <c r="X2277" s="246"/>
      <c r="Y2277" s="246"/>
      <c r="Z2277" s="246"/>
    </row>
    <row r="2278">
      <c r="A2278" s="263"/>
      <c r="B2278" s="267"/>
      <c r="C2278" s="263"/>
      <c r="D2278" s="263"/>
      <c r="E2278" s="263"/>
      <c r="F2278" s="268"/>
      <c r="G2278" s="263"/>
      <c r="H2278" s="267"/>
      <c r="I2278" s="263"/>
      <c r="J2278" s="263"/>
      <c r="K2278" s="263"/>
      <c r="L2278" s="263"/>
      <c r="M2278" s="263"/>
      <c r="N2278" s="263"/>
      <c r="O2278" s="263"/>
      <c r="P2278" s="263"/>
      <c r="Q2278" s="263"/>
      <c r="R2278" s="263"/>
      <c r="S2278" s="263"/>
      <c r="T2278" s="263"/>
      <c r="U2278" s="246"/>
      <c r="V2278" s="246"/>
      <c r="W2278" s="246"/>
      <c r="X2278" s="246"/>
      <c r="Y2278" s="246"/>
      <c r="Z2278" s="246"/>
    </row>
    <row r="2279">
      <c r="A2279" s="263"/>
      <c r="B2279" s="267"/>
      <c r="C2279" s="263"/>
      <c r="D2279" s="263"/>
      <c r="E2279" s="263"/>
      <c r="F2279" s="268"/>
      <c r="G2279" s="263"/>
      <c r="H2279" s="267"/>
      <c r="I2279" s="263"/>
      <c r="J2279" s="263"/>
      <c r="K2279" s="263"/>
      <c r="L2279" s="263"/>
      <c r="M2279" s="263"/>
      <c r="N2279" s="263"/>
      <c r="O2279" s="263"/>
      <c r="P2279" s="263"/>
      <c r="Q2279" s="263"/>
      <c r="R2279" s="263"/>
      <c r="S2279" s="263"/>
      <c r="T2279" s="263"/>
      <c r="U2279" s="246"/>
      <c r="V2279" s="246"/>
      <c r="W2279" s="246"/>
      <c r="X2279" s="246"/>
      <c r="Y2279" s="246"/>
      <c r="Z2279" s="246"/>
    </row>
    <row r="2280">
      <c r="A2280" s="263"/>
      <c r="B2280" s="267"/>
      <c r="C2280" s="263"/>
      <c r="D2280" s="263"/>
      <c r="E2280" s="263"/>
      <c r="F2280" s="268"/>
      <c r="G2280" s="263"/>
      <c r="H2280" s="267"/>
      <c r="I2280" s="263"/>
      <c r="J2280" s="263"/>
      <c r="K2280" s="263"/>
      <c r="L2280" s="263"/>
      <c r="M2280" s="263"/>
      <c r="N2280" s="263"/>
      <c r="O2280" s="263"/>
      <c r="P2280" s="263"/>
      <c r="Q2280" s="263"/>
      <c r="R2280" s="263"/>
      <c r="S2280" s="263"/>
      <c r="T2280" s="263"/>
      <c r="U2280" s="246"/>
      <c r="V2280" s="246"/>
      <c r="W2280" s="246"/>
      <c r="X2280" s="246"/>
      <c r="Y2280" s="246"/>
      <c r="Z2280" s="246"/>
    </row>
    <row r="2281">
      <c r="A2281" s="263"/>
      <c r="B2281" s="267"/>
      <c r="C2281" s="263"/>
      <c r="D2281" s="263"/>
      <c r="E2281" s="263"/>
      <c r="F2281" s="268"/>
      <c r="G2281" s="263"/>
      <c r="H2281" s="267"/>
      <c r="I2281" s="263"/>
      <c r="J2281" s="263"/>
      <c r="K2281" s="263"/>
      <c r="L2281" s="263"/>
      <c r="M2281" s="263"/>
      <c r="N2281" s="263"/>
      <c r="O2281" s="263"/>
      <c r="P2281" s="263"/>
      <c r="Q2281" s="263"/>
      <c r="R2281" s="263"/>
      <c r="S2281" s="263"/>
      <c r="T2281" s="263"/>
      <c r="U2281" s="246"/>
      <c r="V2281" s="246"/>
      <c r="W2281" s="246"/>
      <c r="X2281" s="246"/>
      <c r="Y2281" s="246"/>
      <c r="Z2281" s="246"/>
    </row>
    <row r="2282">
      <c r="A2282" s="263"/>
      <c r="B2282" s="267"/>
      <c r="C2282" s="263"/>
      <c r="D2282" s="263"/>
      <c r="E2282" s="263"/>
      <c r="F2282" s="268"/>
      <c r="G2282" s="263"/>
      <c r="H2282" s="267"/>
      <c r="I2282" s="263"/>
      <c r="J2282" s="263"/>
      <c r="K2282" s="263"/>
      <c r="L2282" s="263"/>
      <c r="M2282" s="263"/>
      <c r="N2282" s="263"/>
      <c r="O2282" s="263"/>
      <c r="P2282" s="263"/>
      <c r="Q2282" s="263"/>
      <c r="R2282" s="263"/>
      <c r="S2282" s="263"/>
      <c r="T2282" s="263"/>
      <c r="U2282" s="246"/>
      <c r="V2282" s="246"/>
      <c r="W2282" s="246"/>
      <c r="X2282" s="246"/>
      <c r="Y2282" s="246"/>
      <c r="Z2282" s="246"/>
    </row>
    <row r="2283">
      <c r="A2283" s="263"/>
      <c r="B2283" s="267"/>
      <c r="C2283" s="263"/>
      <c r="D2283" s="263"/>
      <c r="E2283" s="263"/>
      <c r="F2283" s="268"/>
      <c r="G2283" s="263"/>
      <c r="H2283" s="267"/>
      <c r="I2283" s="263"/>
      <c r="J2283" s="263"/>
      <c r="K2283" s="263"/>
      <c r="L2283" s="263"/>
      <c r="M2283" s="263"/>
      <c r="N2283" s="263"/>
      <c r="O2283" s="263"/>
      <c r="P2283" s="263"/>
      <c r="Q2283" s="263"/>
      <c r="R2283" s="263"/>
      <c r="S2283" s="263"/>
      <c r="T2283" s="263"/>
      <c r="U2283" s="246"/>
      <c r="V2283" s="246"/>
      <c r="W2283" s="246"/>
      <c r="X2283" s="246"/>
      <c r="Y2283" s="246"/>
      <c r="Z2283" s="246"/>
    </row>
    <row r="2284">
      <c r="A2284" s="263"/>
      <c r="B2284" s="267"/>
      <c r="C2284" s="263"/>
      <c r="D2284" s="263"/>
      <c r="E2284" s="263"/>
      <c r="F2284" s="268"/>
      <c r="G2284" s="263"/>
      <c r="H2284" s="267"/>
      <c r="I2284" s="263"/>
      <c r="J2284" s="263"/>
      <c r="K2284" s="263"/>
      <c r="L2284" s="263"/>
      <c r="M2284" s="263"/>
      <c r="N2284" s="263"/>
      <c r="O2284" s="263"/>
      <c r="P2284" s="263"/>
      <c r="Q2284" s="263"/>
      <c r="R2284" s="263"/>
      <c r="S2284" s="263"/>
      <c r="T2284" s="263"/>
      <c r="U2284" s="246"/>
      <c r="V2284" s="246"/>
      <c r="W2284" s="246"/>
      <c r="X2284" s="246"/>
      <c r="Y2284" s="246"/>
      <c r="Z2284" s="246"/>
    </row>
    <row r="2285">
      <c r="A2285" s="263"/>
      <c r="B2285" s="267"/>
      <c r="C2285" s="263"/>
      <c r="D2285" s="263"/>
      <c r="E2285" s="263"/>
      <c r="F2285" s="268"/>
      <c r="G2285" s="263"/>
      <c r="H2285" s="267"/>
      <c r="I2285" s="263"/>
      <c r="J2285" s="263"/>
      <c r="K2285" s="263"/>
      <c r="L2285" s="263"/>
      <c r="M2285" s="263"/>
      <c r="N2285" s="263"/>
      <c r="O2285" s="263"/>
      <c r="P2285" s="263"/>
      <c r="Q2285" s="263"/>
      <c r="R2285" s="263"/>
      <c r="S2285" s="263"/>
      <c r="T2285" s="263"/>
      <c r="U2285" s="246"/>
      <c r="V2285" s="246"/>
      <c r="W2285" s="246"/>
      <c r="X2285" s="246"/>
      <c r="Y2285" s="246"/>
      <c r="Z2285" s="246"/>
    </row>
    <row r="2286">
      <c r="A2286" s="263"/>
      <c r="B2286" s="267"/>
      <c r="C2286" s="263"/>
      <c r="D2286" s="263"/>
      <c r="E2286" s="263"/>
      <c r="F2286" s="268"/>
      <c r="G2286" s="263"/>
      <c r="H2286" s="267"/>
      <c r="I2286" s="263"/>
      <c r="J2286" s="263"/>
      <c r="K2286" s="263"/>
      <c r="L2286" s="263"/>
      <c r="M2286" s="263"/>
      <c r="N2286" s="263"/>
      <c r="O2286" s="263"/>
      <c r="P2286" s="263"/>
      <c r="Q2286" s="263"/>
      <c r="R2286" s="263"/>
      <c r="S2286" s="263"/>
      <c r="T2286" s="263"/>
      <c r="U2286" s="246"/>
      <c r="V2286" s="246"/>
      <c r="W2286" s="246"/>
      <c r="X2286" s="246"/>
      <c r="Y2286" s="246"/>
      <c r="Z2286" s="246"/>
    </row>
    <row r="2287">
      <c r="A2287" s="263"/>
      <c r="B2287" s="267"/>
      <c r="C2287" s="263"/>
      <c r="D2287" s="263"/>
      <c r="E2287" s="263"/>
      <c r="F2287" s="268"/>
      <c r="G2287" s="263"/>
      <c r="H2287" s="267"/>
      <c r="I2287" s="263"/>
      <c r="J2287" s="263"/>
      <c r="K2287" s="263"/>
      <c r="L2287" s="263"/>
      <c r="M2287" s="263"/>
      <c r="N2287" s="263"/>
      <c r="O2287" s="263"/>
      <c r="P2287" s="263"/>
      <c r="Q2287" s="263"/>
      <c r="R2287" s="263"/>
      <c r="S2287" s="263"/>
      <c r="T2287" s="263"/>
      <c r="U2287" s="246"/>
      <c r="V2287" s="246"/>
      <c r="W2287" s="246"/>
      <c r="X2287" s="246"/>
      <c r="Y2287" s="246"/>
      <c r="Z2287" s="246"/>
    </row>
    <row r="2288">
      <c r="A2288" s="263"/>
      <c r="B2288" s="267"/>
      <c r="C2288" s="263"/>
      <c r="D2288" s="263"/>
      <c r="E2288" s="263"/>
      <c r="F2288" s="268"/>
      <c r="G2288" s="263"/>
      <c r="H2288" s="267"/>
      <c r="I2288" s="263"/>
      <c r="J2288" s="263"/>
      <c r="K2288" s="263"/>
      <c r="L2288" s="263"/>
      <c r="M2288" s="263"/>
      <c r="N2288" s="263"/>
      <c r="O2288" s="263"/>
      <c r="P2288" s="263"/>
      <c r="Q2288" s="263"/>
      <c r="R2288" s="263"/>
      <c r="S2288" s="263"/>
      <c r="T2288" s="263"/>
      <c r="U2288" s="246"/>
      <c r="V2288" s="246"/>
      <c r="W2288" s="246"/>
      <c r="X2288" s="246"/>
      <c r="Y2288" s="246"/>
      <c r="Z2288" s="246"/>
    </row>
    <row r="2289">
      <c r="A2289" s="263"/>
      <c r="B2289" s="267"/>
      <c r="C2289" s="263"/>
      <c r="D2289" s="263"/>
      <c r="E2289" s="263"/>
      <c r="F2289" s="268"/>
      <c r="G2289" s="263"/>
      <c r="H2289" s="267"/>
      <c r="I2289" s="263"/>
      <c r="J2289" s="263"/>
      <c r="K2289" s="263"/>
      <c r="L2289" s="263"/>
      <c r="M2289" s="263"/>
      <c r="N2289" s="263"/>
      <c r="O2289" s="263"/>
      <c r="P2289" s="263"/>
      <c r="Q2289" s="263"/>
      <c r="R2289" s="263"/>
      <c r="S2289" s="263"/>
      <c r="T2289" s="263"/>
      <c r="U2289" s="246"/>
      <c r="V2289" s="246"/>
      <c r="W2289" s="246"/>
      <c r="X2289" s="246"/>
      <c r="Y2289" s="246"/>
      <c r="Z2289" s="246"/>
    </row>
    <row r="2290">
      <c r="A2290" s="263"/>
      <c r="B2290" s="267"/>
      <c r="C2290" s="263"/>
      <c r="D2290" s="263"/>
      <c r="E2290" s="263"/>
      <c r="F2290" s="268"/>
      <c r="G2290" s="263"/>
      <c r="H2290" s="267"/>
      <c r="I2290" s="263"/>
      <c r="J2290" s="263"/>
      <c r="K2290" s="263"/>
      <c r="L2290" s="263"/>
      <c r="M2290" s="263"/>
      <c r="N2290" s="263"/>
      <c r="O2290" s="263"/>
      <c r="P2290" s="263"/>
      <c r="Q2290" s="263"/>
      <c r="R2290" s="263"/>
      <c r="S2290" s="263"/>
      <c r="T2290" s="263"/>
      <c r="U2290" s="246"/>
      <c r="V2290" s="246"/>
      <c r="W2290" s="246"/>
      <c r="X2290" s="246"/>
      <c r="Y2290" s="246"/>
      <c r="Z2290" s="246"/>
    </row>
    <row r="2291">
      <c r="A2291" s="263"/>
      <c r="B2291" s="267"/>
      <c r="C2291" s="263"/>
      <c r="D2291" s="263"/>
      <c r="E2291" s="263"/>
      <c r="F2291" s="268"/>
      <c r="G2291" s="263"/>
      <c r="H2291" s="267"/>
      <c r="I2291" s="263"/>
      <c r="J2291" s="263"/>
      <c r="K2291" s="263"/>
      <c r="L2291" s="263"/>
      <c r="M2291" s="263"/>
      <c r="N2291" s="263"/>
      <c r="O2291" s="263"/>
      <c r="P2291" s="263"/>
      <c r="Q2291" s="263"/>
      <c r="R2291" s="263"/>
      <c r="S2291" s="263"/>
      <c r="T2291" s="263"/>
      <c r="U2291" s="246"/>
      <c r="V2291" s="246"/>
      <c r="W2291" s="246"/>
      <c r="X2291" s="246"/>
      <c r="Y2291" s="246"/>
      <c r="Z2291" s="246"/>
    </row>
    <row r="2292">
      <c r="A2292" s="263"/>
      <c r="B2292" s="267"/>
      <c r="C2292" s="263"/>
      <c r="D2292" s="263"/>
      <c r="E2292" s="263"/>
      <c r="F2292" s="268"/>
      <c r="G2292" s="263"/>
      <c r="H2292" s="267"/>
      <c r="I2292" s="263"/>
      <c r="J2292" s="263"/>
      <c r="K2292" s="263"/>
      <c r="L2292" s="263"/>
      <c r="M2292" s="263"/>
      <c r="N2292" s="263"/>
      <c r="O2292" s="263"/>
      <c r="P2292" s="263"/>
      <c r="Q2292" s="263"/>
      <c r="R2292" s="263"/>
      <c r="S2292" s="263"/>
      <c r="T2292" s="263"/>
      <c r="U2292" s="246"/>
      <c r="V2292" s="246"/>
      <c r="W2292" s="246"/>
      <c r="X2292" s="246"/>
      <c r="Y2292" s="246"/>
      <c r="Z2292" s="246"/>
    </row>
    <row r="2293">
      <c r="A2293" s="263"/>
      <c r="B2293" s="267"/>
      <c r="C2293" s="263"/>
      <c r="D2293" s="263"/>
      <c r="E2293" s="263"/>
      <c r="F2293" s="268"/>
      <c r="G2293" s="263"/>
      <c r="H2293" s="267"/>
      <c r="I2293" s="263"/>
      <c r="J2293" s="263"/>
      <c r="K2293" s="263"/>
      <c r="L2293" s="263"/>
      <c r="M2293" s="263"/>
      <c r="N2293" s="263"/>
      <c r="O2293" s="263"/>
      <c r="P2293" s="263"/>
      <c r="Q2293" s="263"/>
      <c r="R2293" s="263"/>
      <c r="S2293" s="263"/>
      <c r="T2293" s="263"/>
      <c r="U2293" s="246"/>
      <c r="V2293" s="246"/>
      <c r="W2293" s="246"/>
      <c r="X2293" s="246"/>
      <c r="Y2293" s="246"/>
      <c r="Z2293" s="246"/>
    </row>
    <row r="2294">
      <c r="A2294" s="263"/>
      <c r="B2294" s="267"/>
      <c r="C2294" s="263"/>
      <c r="D2294" s="263"/>
      <c r="E2294" s="263"/>
      <c r="F2294" s="268"/>
      <c r="G2294" s="263"/>
      <c r="H2294" s="267"/>
      <c r="I2294" s="263"/>
      <c r="J2294" s="263"/>
      <c r="K2294" s="263"/>
      <c r="L2294" s="263"/>
      <c r="M2294" s="263"/>
      <c r="N2294" s="263"/>
      <c r="O2294" s="263"/>
      <c r="P2294" s="263"/>
      <c r="Q2294" s="263"/>
      <c r="R2294" s="263"/>
      <c r="S2294" s="263"/>
      <c r="T2294" s="263"/>
      <c r="U2294" s="246"/>
      <c r="V2294" s="246"/>
      <c r="W2294" s="246"/>
      <c r="X2294" s="246"/>
      <c r="Y2294" s="246"/>
      <c r="Z2294" s="246"/>
    </row>
    <row r="2295">
      <c r="A2295" s="263"/>
      <c r="B2295" s="267"/>
      <c r="C2295" s="263"/>
      <c r="D2295" s="263"/>
      <c r="E2295" s="263"/>
      <c r="F2295" s="268"/>
      <c r="G2295" s="263"/>
      <c r="H2295" s="267"/>
      <c r="I2295" s="263"/>
      <c r="J2295" s="263"/>
      <c r="K2295" s="263"/>
      <c r="L2295" s="263"/>
      <c r="M2295" s="263"/>
      <c r="N2295" s="263"/>
      <c r="O2295" s="263"/>
      <c r="P2295" s="263"/>
      <c r="Q2295" s="263"/>
      <c r="R2295" s="263"/>
      <c r="S2295" s="263"/>
      <c r="T2295" s="263"/>
      <c r="U2295" s="246"/>
      <c r="V2295" s="246"/>
      <c r="W2295" s="246"/>
      <c r="X2295" s="246"/>
      <c r="Y2295" s="246"/>
      <c r="Z2295" s="246"/>
    </row>
    <row r="2296">
      <c r="A2296" s="263"/>
      <c r="B2296" s="267"/>
      <c r="C2296" s="263"/>
      <c r="D2296" s="263"/>
      <c r="E2296" s="263"/>
      <c r="F2296" s="268"/>
      <c r="G2296" s="263"/>
      <c r="H2296" s="267"/>
      <c r="I2296" s="263"/>
      <c r="J2296" s="263"/>
      <c r="K2296" s="263"/>
      <c r="L2296" s="263"/>
      <c r="M2296" s="263"/>
      <c r="N2296" s="263"/>
      <c r="O2296" s="263"/>
      <c r="P2296" s="263"/>
      <c r="Q2296" s="263"/>
      <c r="R2296" s="263"/>
      <c r="S2296" s="263"/>
      <c r="T2296" s="263"/>
      <c r="U2296" s="246"/>
      <c r="V2296" s="246"/>
      <c r="W2296" s="246"/>
      <c r="X2296" s="246"/>
      <c r="Y2296" s="246"/>
      <c r="Z2296" s="246"/>
    </row>
    <row r="2297">
      <c r="A2297" s="263"/>
      <c r="B2297" s="267"/>
      <c r="C2297" s="263"/>
      <c r="D2297" s="263"/>
      <c r="E2297" s="263"/>
      <c r="F2297" s="268"/>
      <c r="G2297" s="263"/>
      <c r="H2297" s="267"/>
      <c r="I2297" s="263"/>
      <c r="J2297" s="263"/>
      <c r="K2297" s="263"/>
      <c r="L2297" s="263"/>
      <c r="M2297" s="263"/>
      <c r="N2297" s="263"/>
      <c r="O2297" s="263"/>
      <c r="P2297" s="263"/>
      <c r="Q2297" s="263"/>
      <c r="R2297" s="263"/>
      <c r="S2297" s="263"/>
      <c r="T2297" s="263"/>
      <c r="U2297" s="246"/>
      <c r="V2297" s="246"/>
      <c r="W2297" s="246"/>
      <c r="X2297" s="246"/>
      <c r="Y2297" s="246"/>
      <c r="Z2297" s="246"/>
    </row>
    <row r="2298">
      <c r="A2298" s="263"/>
      <c r="B2298" s="267"/>
      <c r="C2298" s="263"/>
      <c r="D2298" s="263"/>
      <c r="E2298" s="263"/>
      <c r="F2298" s="268"/>
      <c r="G2298" s="263"/>
      <c r="H2298" s="267"/>
      <c r="I2298" s="263"/>
      <c r="J2298" s="263"/>
      <c r="K2298" s="263"/>
      <c r="L2298" s="263"/>
      <c r="M2298" s="263"/>
      <c r="N2298" s="263"/>
      <c r="O2298" s="263"/>
      <c r="P2298" s="263"/>
      <c r="Q2298" s="263"/>
      <c r="R2298" s="263"/>
      <c r="S2298" s="263"/>
      <c r="T2298" s="263"/>
      <c r="U2298" s="246"/>
      <c r="V2298" s="246"/>
      <c r="W2298" s="246"/>
      <c r="X2298" s="246"/>
      <c r="Y2298" s="246"/>
      <c r="Z2298" s="246"/>
    </row>
    <row r="2299">
      <c r="A2299" s="263"/>
      <c r="B2299" s="267"/>
      <c r="C2299" s="263"/>
      <c r="D2299" s="263"/>
      <c r="E2299" s="263"/>
      <c r="F2299" s="268"/>
      <c r="G2299" s="263"/>
      <c r="H2299" s="267"/>
      <c r="I2299" s="263"/>
      <c r="J2299" s="263"/>
      <c r="K2299" s="263"/>
      <c r="L2299" s="263"/>
      <c r="M2299" s="263"/>
      <c r="N2299" s="263"/>
      <c r="O2299" s="263"/>
      <c r="P2299" s="263"/>
      <c r="Q2299" s="263"/>
      <c r="R2299" s="263"/>
      <c r="S2299" s="263"/>
      <c r="T2299" s="263"/>
      <c r="U2299" s="246"/>
      <c r="V2299" s="246"/>
      <c r="W2299" s="246"/>
      <c r="X2299" s="246"/>
      <c r="Y2299" s="246"/>
      <c r="Z2299" s="246"/>
    </row>
    <row r="2300">
      <c r="A2300" s="263"/>
      <c r="B2300" s="267"/>
      <c r="C2300" s="263"/>
      <c r="D2300" s="263"/>
      <c r="E2300" s="263"/>
      <c r="F2300" s="268"/>
      <c r="G2300" s="263"/>
      <c r="H2300" s="267"/>
      <c r="I2300" s="263"/>
      <c r="J2300" s="263"/>
      <c r="K2300" s="263"/>
      <c r="L2300" s="263"/>
      <c r="M2300" s="263"/>
      <c r="N2300" s="263"/>
      <c r="O2300" s="263"/>
      <c r="P2300" s="263"/>
      <c r="Q2300" s="263"/>
      <c r="R2300" s="263"/>
      <c r="S2300" s="263"/>
      <c r="T2300" s="263"/>
      <c r="U2300" s="246"/>
      <c r="V2300" s="246"/>
      <c r="W2300" s="246"/>
      <c r="X2300" s="246"/>
      <c r="Y2300" s="246"/>
      <c r="Z2300" s="246"/>
    </row>
    <row r="2301">
      <c r="A2301" s="263"/>
      <c r="B2301" s="267"/>
      <c r="C2301" s="263"/>
      <c r="D2301" s="263"/>
      <c r="E2301" s="263"/>
      <c r="F2301" s="268"/>
      <c r="G2301" s="263"/>
      <c r="H2301" s="267"/>
      <c r="I2301" s="263"/>
      <c r="J2301" s="263"/>
      <c r="K2301" s="263"/>
      <c r="L2301" s="263"/>
      <c r="M2301" s="263"/>
      <c r="N2301" s="263"/>
      <c r="O2301" s="263"/>
      <c r="P2301" s="263"/>
      <c r="Q2301" s="263"/>
      <c r="R2301" s="263"/>
      <c r="S2301" s="263"/>
      <c r="T2301" s="263"/>
      <c r="U2301" s="246"/>
      <c r="V2301" s="246"/>
      <c r="W2301" s="246"/>
      <c r="X2301" s="246"/>
      <c r="Y2301" s="246"/>
      <c r="Z2301" s="246"/>
    </row>
    <row r="2302">
      <c r="A2302" s="263"/>
      <c r="B2302" s="267"/>
      <c r="C2302" s="263"/>
      <c r="D2302" s="263"/>
      <c r="E2302" s="263"/>
      <c r="F2302" s="268"/>
      <c r="G2302" s="263"/>
      <c r="H2302" s="267"/>
      <c r="I2302" s="263"/>
      <c r="J2302" s="263"/>
      <c r="K2302" s="263"/>
      <c r="L2302" s="263"/>
      <c r="M2302" s="263"/>
      <c r="N2302" s="263"/>
      <c r="O2302" s="263"/>
      <c r="P2302" s="263"/>
      <c r="Q2302" s="263"/>
      <c r="R2302" s="263"/>
      <c r="S2302" s="263"/>
      <c r="T2302" s="263"/>
      <c r="U2302" s="246"/>
      <c r="V2302" s="246"/>
      <c r="W2302" s="246"/>
      <c r="X2302" s="246"/>
      <c r="Y2302" s="246"/>
      <c r="Z2302" s="246"/>
    </row>
    <row r="2303">
      <c r="A2303" s="263"/>
      <c r="B2303" s="267"/>
      <c r="C2303" s="263"/>
      <c r="D2303" s="263"/>
      <c r="E2303" s="263"/>
      <c r="F2303" s="268"/>
      <c r="G2303" s="263"/>
      <c r="H2303" s="267"/>
      <c r="I2303" s="263"/>
      <c r="J2303" s="263"/>
      <c r="K2303" s="263"/>
      <c r="L2303" s="263"/>
      <c r="M2303" s="263"/>
      <c r="N2303" s="263"/>
      <c r="O2303" s="263"/>
      <c r="P2303" s="263"/>
      <c r="Q2303" s="263"/>
      <c r="R2303" s="263"/>
      <c r="S2303" s="263"/>
      <c r="T2303" s="263"/>
      <c r="U2303" s="246"/>
      <c r="V2303" s="246"/>
      <c r="W2303" s="246"/>
      <c r="X2303" s="246"/>
      <c r="Y2303" s="246"/>
      <c r="Z2303" s="246"/>
    </row>
    <row r="2304">
      <c r="A2304" s="263"/>
      <c r="B2304" s="267"/>
      <c r="C2304" s="263"/>
      <c r="D2304" s="263"/>
      <c r="E2304" s="263"/>
      <c r="F2304" s="268"/>
      <c r="G2304" s="263"/>
      <c r="H2304" s="267"/>
      <c r="I2304" s="263"/>
      <c r="J2304" s="263"/>
      <c r="K2304" s="263"/>
      <c r="L2304" s="263"/>
      <c r="M2304" s="263"/>
      <c r="N2304" s="263"/>
      <c r="O2304" s="263"/>
      <c r="P2304" s="263"/>
      <c r="Q2304" s="263"/>
      <c r="R2304" s="263"/>
      <c r="S2304" s="263"/>
      <c r="T2304" s="263"/>
      <c r="U2304" s="246"/>
      <c r="V2304" s="246"/>
      <c r="W2304" s="246"/>
      <c r="X2304" s="246"/>
      <c r="Y2304" s="246"/>
      <c r="Z2304" s="246"/>
    </row>
    <row r="2305">
      <c r="A2305" s="263"/>
      <c r="B2305" s="267"/>
      <c r="C2305" s="263"/>
      <c r="D2305" s="263"/>
      <c r="E2305" s="263"/>
      <c r="F2305" s="268"/>
      <c r="G2305" s="263"/>
      <c r="H2305" s="267"/>
      <c r="I2305" s="263"/>
      <c r="J2305" s="263"/>
      <c r="K2305" s="263"/>
      <c r="L2305" s="263"/>
      <c r="M2305" s="263"/>
      <c r="N2305" s="263"/>
      <c r="O2305" s="263"/>
      <c r="P2305" s="263"/>
      <c r="Q2305" s="263"/>
      <c r="R2305" s="263"/>
      <c r="S2305" s="263"/>
      <c r="T2305" s="263"/>
      <c r="U2305" s="246"/>
      <c r="V2305" s="246"/>
      <c r="W2305" s="246"/>
      <c r="X2305" s="246"/>
      <c r="Y2305" s="246"/>
      <c r="Z2305" s="246"/>
    </row>
    <row r="2306">
      <c r="A2306" s="263"/>
      <c r="B2306" s="267"/>
      <c r="C2306" s="263"/>
      <c r="D2306" s="263"/>
      <c r="E2306" s="263"/>
      <c r="F2306" s="268"/>
      <c r="G2306" s="263"/>
      <c r="H2306" s="267"/>
      <c r="I2306" s="263"/>
      <c r="J2306" s="263"/>
      <c r="K2306" s="263"/>
      <c r="L2306" s="263"/>
      <c r="M2306" s="263"/>
      <c r="N2306" s="263"/>
      <c r="O2306" s="263"/>
      <c r="P2306" s="263"/>
      <c r="Q2306" s="263"/>
      <c r="R2306" s="263"/>
      <c r="S2306" s="263"/>
      <c r="T2306" s="263"/>
      <c r="U2306" s="246"/>
      <c r="V2306" s="246"/>
      <c r="W2306" s="246"/>
      <c r="X2306" s="246"/>
      <c r="Y2306" s="246"/>
      <c r="Z2306" s="246"/>
    </row>
    <row r="2307">
      <c r="A2307" s="263"/>
      <c r="B2307" s="267"/>
      <c r="C2307" s="263"/>
      <c r="D2307" s="263"/>
      <c r="E2307" s="263"/>
      <c r="F2307" s="268"/>
      <c r="G2307" s="263"/>
      <c r="H2307" s="267"/>
      <c r="I2307" s="263"/>
      <c r="J2307" s="263"/>
      <c r="K2307" s="263"/>
      <c r="L2307" s="263"/>
      <c r="M2307" s="263"/>
      <c r="N2307" s="263"/>
      <c r="O2307" s="263"/>
      <c r="P2307" s="263"/>
      <c r="Q2307" s="263"/>
      <c r="R2307" s="263"/>
      <c r="S2307" s="263"/>
      <c r="T2307" s="263"/>
      <c r="U2307" s="246"/>
      <c r="V2307" s="246"/>
      <c r="W2307" s="246"/>
      <c r="X2307" s="246"/>
      <c r="Y2307" s="246"/>
      <c r="Z2307" s="246"/>
    </row>
    <row r="2308">
      <c r="A2308" s="263"/>
      <c r="B2308" s="267"/>
      <c r="C2308" s="263"/>
      <c r="D2308" s="263"/>
      <c r="E2308" s="263"/>
      <c r="F2308" s="268"/>
      <c r="G2308" s="263"/>
      <c r="H2308" s="267"/>
      <c r="I2308" s="263"/>
      <c r="J2308" s="263"/>
      <c r="K2308" s="263"/>
      <c r="L2308" s="263"/>
      <c r="M2308" s="263"/>
      <c r="N2308" s="263"/>
      <c r="O2308" s="263"/>
      <c r="P2308" s="263"/>
      <c r="Q2308" s="263"/>
      <c r="R2308" s="263"/>
      <c r="S2308" s="263"/>
      <c r="T2308" s="263"/>
      <c r="U2308" s="246"/>
      <c r="V2308" s="246"/>
      <c r="W2308" s="246"/>
      <c r="X2308" s="246"/>
      <c r="Y2308" s="246"/>
      <c r="Z2308" s="246"/>
    </row>
    <row r="2309">
      <c r="A2309" s="263"/>
      <c r="B2309" s="267"/>
      <c r="C2309" s="263"/>
      <c r="D2309" s="263"/>
      <c r="E2309" s="263"/>
      <c r="F2309" s="268"/>
      <c r="G2309" s="263"/>
      <c r="H2309" s="267"/>
      <c r="I2309" s="263"/>
      <c r="J2309" s="263"/>
      <c r="K2309" s="263"/>
      <c r="L2309" s="263"/>
      <c r="M2309" s="263"/>
      <c r="N2309" s="263"/>
      <c r="O2309" s="263"/>
      <c r="P2309" s="263"/>
      <c r="Q2309" s="263"/>
      <c r="R2309" s="263"/>
      <c r="S2309" s="263"/>
      <c r="T2309" s="263"/>
      <c r="U2309" s="246"/>
      <c r="V2309" s="246"/>
      <c r="W2309" s="246"/>
      <c r="X2309" s="246"/>
      <c r="Y2309" s="246"/>
      <c r="Z2309" s="246"/>
    </row>
    <row r="2310">
      <c r="A2310" s="263"/>
      <c r="B2310" s="267"/>
      <c r="C2310" s="263"/>
      <c r="D2310" s="263"/>
      <c r="E2310" s="263"/>
      <c r="F2310" s="268"/>
      <c r="G2310" s="263"/>
      <c r="H2310" s="267"/>
      <c r="I2310" s="263"/>
      <c r="J2310" s="263"/>
      <c r="K2310" s="263"/>
      <c r="L2310" s="263"/>
      <c r="M2310" s="263"/>
      <c r="N2310" s="263"/>
      <c r="O2310" s="263"/>
      <c r="P2310" s="263"/>
      <c r="Q2310" s="263"/>
      <c r="R2310" s="263"/>
      <c r="S2310" s="263"/>
      <c r="T2310" s="263"/>
      <c r="U2310" s="246"/>
      <c r="V2310" s="246"/>
      <c r="W2310" s="246"/>
      <c r="X2310" s="246"/>
      <c r="Y2310" s="246"/>
      <c r="Z2310" s="246"/>
    </row>
    <row r="2311">
      <c r="A2311" s="263"/>
      <c r="B2311" s="267"/>
      <c r="C2311" s="263"/>
      <c r="D2311" s="263"/>
      <c r="E2311" s="263"/>
      <c r="F2311" s="268"/>
      <c r="G2311" s="263"/>
      <c r="H2311" s="267"/>
      <c r="I2311" s="263"/>
      <c r="J2311" s="263"/>
      <c r="K2311" s="263"/>
      <c r="L2311" s="263"/>
      <c r="M2311" s="263"/>
      <c r="N2311" s="263"/>
      <c r="O2311" s="263"/>
      <c r="P2311" s="263"/>
      <c r="Q2311" s="263"/>
      <c r="R2311" s="263"/>
      <c r="S2311" s="263"/>
      <c r="T2311" s="263"/>
      <c r="U2311" s="246"/>
      <c r="V2311" s="246"/>
      <c r="W2311" s="246"/>
      <c r="X2311" s="246"/>
      <c r="Y2311" s="246"/>
      <c r="Z2311" s="246"/>
    </row>
    <row r="2312">
      <c r="A2312" s="263"/>
      <c r="B2312" s="267"/>
      <c r="C2312" s="263"/>
      <c r="D2312" s="263"/>
      <c r="E2312" s="263"/>
      <c r="F2312" s="268"/>
      <c r="G2312" s="263"/>
      <c r="H2312" s="267"/>
      <c r="I2312" s="263"/>
      <c r="J2312" s="263"/>
      <c r="K2312" s="263"/>
      <c r="L2312" s="263"/>
      <c r="M2312" s="263"/>
      <c r="N2312" s="263"/>
      <c r="O2312" s="263"/>
      <c r="P2312" s="263"/>
      <c r="Q2312" s="263"/>
      <c r="R2312" s="263"/>
      <c r="S2312" s="263"/>
      <c r="T2312" s="263"/>
      <c r="U2312" s="246"/>
      <c r="V2312" s="246"/>
      <c r="W2312" s="246"/>
      <c r="X2312" s="246"/>
      <c r="Y2312" s="246"/>
      <c r="Z2312" s="246"/>
    </row>
    <row r="2313">
      <c r="A2313" s="263"/>
      <c r="B2313" s="267"/>
      <c r="C2313" s="263"/>
      <c r="D2313" s="263"/>
      <c r="E2313" s="263"/>
      <c r="F2313" s="268"/>
      <c r="G2313" s="263"/>
      <c r="H2313" s="267"/>
      <c r="I2313" s="263"/>
      <c r="J2313" s="263"/>
      <c r="K2313" s="263"/>
      <c r="L2313" s="263"/>
      <c r="M2313" s="263"/>
      <c r="N2313" s="263"/>
      <c r="O2313" s="263"/>
      <c r="P2313" s="263"/>
      <c r="Q2313" s="263"/>
      <c r="R2313" s="263"/>
      <c r="S2313" s="263"/>
      <c r="T2313" s="263"/>
      <c r="U2313" s="246"/>
      <c r="V2313" s="246"/>
      <c r="W2313" s="246"/>
      <c r="X2313" s="246"/>
      <c r="Y2313" s="246"/>
      <c r="Z2313" s="246"/>
    </row>
    <row r="2314">
      <c r="A2314" s="263"/>
      <c r="B2314" s="267"/>
      <c r="C2314" s="263"/>
      <c r="D2314" s="263"/>
      <c r="E2314" s="263"/>
      <c r="F2314" s="268"/>
      <c r="G2314" s="263"/>
      <c r="H2314" s="267"/>
      <c r="I2314" s="263"/>
      <c r="J2314" s="263"/>
      <c r="K2314" s="263"/>
      <c r="L2314" s="263"/>
      <c r="M2314" s="263"/>
      <c r="N2314" s="263"/>
      <c r="O2314" s="263"/>
      <c r="P2314" s="263"/>
      <c r="Q2314" s="263"/>
      <c r="R2314" s="263"/>
      <c r="S2314" s="263"/>
      <c r="T2314" s="263"/>
      <c r="U2314" s="246"/>
      <c r="V2314" s="246"/>
      <c r="W2314" s="246"/>
      <c r="X2314" s="246"/>
      <c r="Y2314" s="246"/>
      <c r="Z2314" s="246"/>
    </row>
    <row r="2315">
      <c r="A2315" s="263"/>
      <c r="B2315" s="267"/>
      <c r="C2315" s="263"/>
      <c r="D2315" s="263"/>
      <c r="E2315" s="263"/>
      <c r="F2315" s="268"/>
      <c r="G2315" s="263"/>
      <c r="H2315" s="267"/>
      <c r="I2315" s="263"/>
      <c r="J2315" s="263"/>
      <c r="K2315" s="263"/>
      <c r="L2315" s="263"/>
      <c r="M2315" s="263"/>
      <c r="N2315" s="263"/>
      <c r="O2315" s="263"/>
      <c r="P2315" s="263"/>
      <c r="Q2315" s="263"/>
      <c r="R2315" s="263"/>
      <c r="S2315" s="263"/>
      <c r="T2315" s="263"/>
      <c r="U2315" s="246"/>
      <c r="V2315" s="246"/>
      <c r="W2315" s="246"/>
      <c r="X2315" s="246"/>
      <c r="Y2315" s="246"/>
      <c r="Z2315" s="246"/>
    </row>
    <row r="2316">
      <c r="A2316" s="263"/>
      <c r="B2316" s="267"/>
      <c r="C2316" s="263"/>
      <c r="D2316" s="263"/>
      <c r="E2316" s="263"/>
      <c r="F2316" s="268"/>
      <c r="G2316" s="263"/>
      <c r="H2316" s="267"/>
      <c r="I2316" s="263"/>
      <c r="J2316" s="263"/>
      <c r="K2316" s="263"/>
      <c r="L2316" s="263"/>
      <c r="M2316" s="263"/>
      <c r="N2316" s="263"/>
      <c r="O2316" s="263"/>
      <c r="P2316" s="263"/>
      <c r="Q2316" s="263"/>
      <c r="R2316" s="263"/>
      <c r="S2316" s="263"/>
      <c r="T2316" s="263"/>
      <c r="U2316" s="246"/>
      <c r="V2316" s="246"/>
      <c r="W2316" s="246"/>
      <c r="X2316" s="246"/>
      <c r="Y2316" s="246"/>
      <c r="Z2316" s="246"/>
    </row>
    <row r="2317">
      <c r="A2317" s="263"/>
      <c r="B2317" s="267"/>
      <c r="C2317" s="263"/>
      <c r="D2317" s="263"/>
      <c r="E2317" s="263"/>
      <c r="F2317" s="268"/>
      <c r="G2317" s="263"/>
      <c r="H2317" s="267"/>
      <c r="I2317" s="263"/>
      <c r="J2317" s="263"/>
      <c r="K2317" s="263"/>
      <c r="L2317" s="263"/>
      <c r="M2317" s="263"/>
      <c r="N2317" s="263"/>
      <c r="O2317" s="263"/>
      <c r="P2317" s="263"/>
      <c r="Q2317" s="263"/>
      <c r="R2317" s="263"/>
      <c r="S2317" s="263"/>
      <c r="T2317" s="263"/>
      <c r="U2317" s="246"/>
      <c r="V2317" s="246"/>
      <c r="W2317" s="246"/>
      <c r="X2317" s="246"/>
      <c r="Y2317" s="246"/>
      <c r="Z2317" s="246"/>
    </row>
    <row r="2318">
      <c r="A2318" s="263"/>
      <c r="B2318" s="267"/>
      <c r="C2318" s="263"/>
      <c r="D2318" s="263"/>
      <c r="E2318" s="263"/>
      <c r="F2318" s="268"/>
      <c r="G2318" s="263"/>
      <c r="H2318" s="267"/>
      <c r="I2318" s="263"/>
      <c r="J2318" s="263"/>
      <c r="K2318" s="263"/>
      <c r="L2318" s="263"/>
      <c r="M2318" s="263"/>
      <c r="N2318" s="263"/>
      <c r="O2318" s="263"/>
      <c r="P2318" s="263"/>
      <c r="Q2318" s="263"/>
      <c r="R2318" s="263"/>
      <c r="S2318" s="263"/>
      <c r="T2318" s="263"/>
      <c r="U2318" s="246"/>
      <c r="V2318" s="246"/>
      <c r="W2318" s="246"/>
      <c r="X2318" s="246"/>
      <c r="Y2318" s="246"/>
      <c r="Z2318" s="246"/>
    </row>
    <row r="2319">
      <c r="A2319" s="263"/>
      <c r="B2319" s="267"/>
      <c r="C2319" s="263"/>
      <c r="D2319" s="263"/>
      <c r="E2319" s="263"/>
      <c r="F2319" s="268"/>
      <c r="G2319" s="263"/>
      <c r="H2319" s="267"/>
      <c r="I2319" s="263"/>
      <c r="J2319" s="263"/>
      <c r="K2319" s="263"/>
      <c r="L2319" s="263"/>
      <c r="M2319" s="263"/>
      <c r="N2319" s="263"/>
      <c r="O2319" s="263"/>
      <c r="P2319" s="263"/>
      <c r="Q2319" s="263"/>
      <c r="R2319" s="263"/>
      <c r="S2319" s="263"/>
      <c r="T2319" s="263"/>
      <c r="U2319" s="246"/>
      <c r="V2319" s="246"/>
      <c r="W2319" s="246"/>
      <c r="X2319" s="246"/>
      <c r="Y2319" s="246"/>
      <c r="Z2319" s="246"/>
    </row>
    <row r="2320">
      <c r="A2320" s="263"/>
      <c r="B2320" s="267"/>
      <c r="C2320" s="263"/>
      <c r="D2320" s="263"/>
      <c r="E2320" s="263"/>
      <c r="F2320" s="268"/>
      <c r="G2320" s="263"/>
      <c r="H2320" s="267"/>
      <c r="I2320" s="263"/>
      <c r="J2320" s="263"/>
      <c r="K2320" s="263"/>
      <c r="L2320" s="263"/>
      <c r="M2320" s="263"/>
      <c r="N2320" s="263"/>
      <c r="O2320" s="263"/>
      <c r="P2320" s="263"/>
      <c r="Q2320" s="263"/>
      <c r="R2320" s="263"/>
      <c r="S2320" s="263"/>
      <c r="T2320" s="263"/>
      <c r="U2320" s="246"/>
      <c r="V2320" s="246"/>
      <c r="W2320" s="246"/>
      <c r="X2320" s="246"/>
      <c r="Y2320" s="246"/>
      <c r="Z2320" s="246"/>
    </row>
    <row r="2321">
      <c r="A2321" s="263"/>
      <c r="B2321" s="267"/>
      <c r="C2321" s="263"/>
      <c r="D2321" s="263"/>
      <c r="E2321" s="263"/>
      <c r="F2321" s="268"/>
      <c r="G2321" s="263"/>
      <c r="H2321" s="267"/>
      <c r="I2321" s="263"/>
      <c r="J2321" s="263"/>
      <c r="K2321" s="263"/>
      <c r="L2321" s="263"/>
      <c r="M2321" s="263"/>
      <c r="N2321" s="263"/>
      <c r="O2321" s="263"/>
      <c r="P2321" s="263"/>
      <c r="Q2321" s="263"/>
      <c r="R2321" s="263"/>
      <c r="S2321" s="263"/>
      <c r="T2321" s="263"/>
      <c r="U2321" s="246"/>
      <c r="V2321" s="246"/>
      <c r="W2321" s="246"/>
      <c r="X2321" s="246"/>
      <c r="Y2321" s="246"/>
      <c r="Z2321" s="246"/>
    </row>
    <row r="2322">
      <c r="A2322" s="263"/>
      <c r="B2322" s="267"/>
      <c r="C2322" s="263"/>
      <c r="D2322" s="263"/>
      <c r="E2322" s="263"/>
      <c r="F2322" s="268"/>
      <c r="G2322" s="263"/>
      <c r="H2322" s="267"/>
      <c r="I2322" s="263"/>
      <c r="J2322" s="263"/>
      <c r="K2322" s="263"/>
      <c r="L2322" s="263"/>
      <c r="M2322" s="263"/>
      <c r="N2322" s="263"/>
      <c r="O2322" s="263"/>
      <c r="P2322" s="263"/>
      <c r="Q2322" s="263"/>
      <c r="R2322" s="263"/>
      <c r="S2322" s="263"/>
      <c r="T2322" s="263"/>
      <c r="U2322" s="246"/>
      <c r="V2322" s="246"/>
      <c r="W2322" s="246"/>
      <c r="X2322" s="246"/>
      <c r="Y2322" s="246"/>
      <c r="Z2322" s="246"/>
    </row>
    <row r="2323">
      <c r="A2323" s="263"/>
      <c r="B2323" s="267"/>
      <c r="C2323" s="263"/>
      <c r="D2323" s="263"/>
      <c r="E2323" s="263"/>
      <c r="F2323" s="268"/>
      <c r="G2323" s="263"/>
      <c r="H2323" s="267"/>
      <c r="I2323" s="263"/>
      <c r="J2323" s="263"/>
      <c r="K2323" s="263"/>
      <c r="L2323" s="263"/>
      <c r="M2323" s="263"/>
      <c r="N2323" s="263"/>
      <c r="O2323" s="263"/>
      <c r="P2323" s="263"/>
      <c r="Q2323" s="263"/>
      <c r="R2323" s="263"/>
      <c r="S2323" s="263"/>
      <c r="T2323" s="263"/>
      <c r="U2323" s="246"/>
      <c r="V2323" s="246"/>
      <c r="W2323" s="246"/>
      <c r="X2323" s="246"/>
      <c r="Y2323" s="246"/>
      <c r="Z2323" s="246"/>
    </row>
    <row r="2324">
      <c r="A2324" s="263"/>
      <c r="B2324" s="267"/>
      <c r="C2324" s="263"/>
      <c r="D2324" s="263"/>
      <c r="E2324" s="263"/>
      <c r="F2324" s="268"/>
      <c r="G2324" s="263"/>
      <c r="H2324" s="267"/>
      <c r="I2324" s="263"/>
      <c r="J2324" s="263"/>
      <c r="K2324" s="263"/>
      <c r="L2324" s="263"/>
      <c r="M2324" s="263"/>
      <c r="N2324" s="263"/>
      <c r="O2324" s="263"/>
      <c r="P2324" s="263"/>
      <c r="Q2324" s="263"/>
      <c r="R2324" s="263"/>
      <c r="S2324" s="263"/>
      <c r="T2324" s="263"/>
      <c r="U2324" s="246"/>
      <c r="V2324" s="246"/>
      <c r="W2324" s="246"/>
      <c r="X2324" s="246"/>
      <c r="Y2324" s="246"/>
      <c r="Z2324" s="246"/>
    </row>
    <row r="2325">
      <c r="A2325" s="263"/>
      <c r="B2325" s="267"/>
      <c r="C2325" s="263"/>
      <c r="D2325" s="263"/>
      <c r="E2325" s="263"/>
      <c r="F2325" s="268"/>
      <c r="G2325" s="263"/>
      <c r="H2325" s="267"/>
      <c r="I2325" s="263"/>
      <c r="J2325" s="263"/>
      <c r="K2325" s="263"/>
      <c r="L2325" s="263"/>
      <c r="M2325" s="263"/>
      <c r="N2325" s="263"/>
      <c r="O2325" s="263"/>
      <c r="P2325" s="263"/>
      <c r="Q2325" s="263"/>
      <c r="R2325" s="263"/>
      <c r="S2325" s="263"/>
      <c r="T2325" s="263"/>
      <c r="U2325" s="246"/>
      <c r="V2325" s="246"/>
      <c r="W2325" s="246"/>
      <c r="X2325" s="246"/>
      <c r="Y2325" s="246"/>
      <c r="Z2325" s="246"/>
    </row>
    <row r="2326">
      <c r="A2326" s="263"/>
      <c r="B2326" s="267"/>
      <c r="C2326" s="263"/>
      <c r="D2326" s="263"/>
      <c r="E2326" s="263"/>
      <c r="F2326" s="268"/>
      <c r="G2326" s="263"/>
      <c r="H2326" s="267"/>
      <c r="I2326" s="263"/>
      <c r="J2326" s="263"/>
      <c r="K2326" s="263"/>
      <c r="L2326" s="263"/>
      <c r="M2326" s="263"/>
      <c r="N2326" s="263"/>
      <c r="O2326" s="263"/>
      <c r="P2326" s="263"/>
      <c r="Q2326" s="263"/>
      <c r="R2326" s="263"/>
      <c r="S2326" s="263"/>
      <c r="T2326" s="263"/>
      <c r="U2326" s="246"/>
      <c r="V2326" s="246"/>
      <c r="W2326" s="246"/>
      <c r="X2326" s="246"/>
      <c r="Y2326" s="246"/>
      <c r="Z2326" s="246"/>
    </row>
    <row r="2327">
      <c r="A2327" s="263"/>
      <c r="B2327" s="267"/>
      <c r="C2327" s="263"/>
      <c r="D2327" s="263"/>
      <c r="E2327" s="263"/>
      <c r="F2327" s="268"/>
      <c r="G2327" s="263"/>
      <c r="H2327" s="267"/>
      <c r="I2327" s="263"/>
      <c r="J2327" s="263"/>
      <c r="K2327" s="263"/>
      <c r="L2327" s="263"/>
      <c r="M2327" s="263"/>
      <c r="N2327" s="263"/>
      <c r="O2327" s="263"/>
      <c r="P2327" s="263"/>
      <c r="Q2327" s="263"/>
      <c r="R2327" s="263"/>
      <c r="S2327" s="263"/>
      <c r="T2327" s="263"/>
      <c r="U2327" s="246"/>
      <c r="V2327" s="246"/>
      <c r="W2327" s="246"/>
      <c r="X2327" s="246"/>
      <c r="Y2327" s="246"/>
      <c r="Z2327" s="246"/>
    </row>
    <row r="2328">
      <c r="A2328" s="263"/>
      <c r="B2328" s="267"/>
      <c r="C2328" s="263"/>
      <c r="D2328" s="263"/>
      <c r="E2328" s="263"/>
      <c r="F2328" s="268"/>
      <c r="G2328" s="263"/>
      <c r="H2328" s="267"/>
      <c r="I2328" s="263"/>
      <c r="J2328" s="263"/>
      <c r="K2328" s="263"/>
      <c r="L2328" s="263"/>
      <c r="M2328" s="263"/>
      <c r="N2328" s="263"/>
      <c r="O2328" s="263"/>
      <c r="P2328" s="263"/>
      <c r="Q2328" s="263"/>
      <c r="R2328" s="263"/>
      <c r="S2328" s="263"/>
      <c r="T2328" s="263"/>
      <c r="U2328" s="246"/>
      <c r="V2328" s="246"/>
      <c r="W2328" s="246"/>
      <c r="X2328" s="246"/>
      <c r="Y2328" s="246"/>
      <c r="Z2328" s="246"/>
    </row>
    <row r="2329">
      <c r="A2329" s="263"/>
      <c r="B2329" s="267"/>
      <c r="C2329" s="263"/>
      <c r="D2329" s="263"/>
      <c r="E2329" s="263"/>
      <c r="F2329" s="268"/>
      <c r="G2329" s="263"/>
      <c r="H2329" s="267"/>
      <c r="I2329" s="263"/>
      <c r="J2329" s="263"/>
      <c r="K2329" s="263"/>
      <c r="L2329" s="263"/>
      <c r="M2329" s="263"/>
      <c r="N2329" s="263"/>
      <c r="O2329" s="263"/>
      <c r="P2329" s="263"/>
      <c r="Q2329" s="263"/>
      <c r="R2329" s="263"/>
      <c r="S2329" s="263"/>
      <c r="T2329" s="263"/>
      <c r="U2329" s="246"/>
      <c r="V2329" s="246"/>
      <c r="W2329" s="246"/>
      <c r="X2329" s="246"/>
      <c r="Y2329" s="246"/>
      <c r="Z2329" s="246"/>
    </row>
    <row r="2330">
      <c r="A2330" s="263"/>
      <c r="B2330" s="267"/>
      <c r="C2330" s="263"/>
      <c r="D2330" s="263"/>
      <c r="E2330" s="263"/>
      <c r="F2330" s="268"/>
      <c r="G2330" s="263"/>
      <c r="H2330" s="267"/>
      <c r="I2330" s="263"/>
      <c r="J2330" s="263"/>
      <c r="K2330" s="263"/>
      <c r="L2330" s="263"/>
      <c r="M2330" s="263"/>
      <c r="N2330" s="263"/>
      <c r="O2330" s="263"/>
      <c r="P2330" s="263"/>
      <c r="Q2330" s="263"/>
      <c r="R2330" s="263"/>
      <c r="S2330" s="263"/>
      <c r="T2330" s="263"/>
      <c r="U2330" s="246"/>
      <c r="V2330" s="246"/>
      <c r="W2330" s="246"/>
      <c r="X2330" s="246"/>
      <c r="Y2330" s="246"/>
      <c r="Z2330" s="246"/>
    </row>
    <row r="2331">
      <c r="A2331" s="263"/>
      <c r="B2331" s="267"/>
      <c r="C2331" s="263"/>
      <c r="D2331" s="263"/>
      <c r="E2331" s="263"/>
      <c r="F2331" s="268"/>
      <c r="G2331" s="263"/>
      <c r="H2331" s="267"/>
      <c r="I2331" s="263"/>
      <c r="J2331" s="263"/>
      <c r="K2331" s="263"/>
      <c r="L2331" s="263"/>
      <c r="M2331" s="263"/>
      <c r="N2331" s="263"/>
      <c r="O2331" s="263"/>
      <c r="P2331" s="263"/>
      <c r="Q2331" s="263"/>
      <c r="R2331" s="263"/>
      <c r="S2331" s="263"/>
      <c r="T2331" s="263"/>
      <c r="U2331" s="246"/>
      <c r="V2331" s="246"/>
      <c r="W2331" s="246"/>
      <c r="X2331" s="246"/>
      <c r="Y2331" s="246"/>
      <c r="Z2331" s="246"/>
    </row>
    <row r="2332">
      <c r="A2332" s="263"/>
      <c r="B2332" s="267"/>
      <c r="C2332" s="263"/>
      <c r="D2332" s="263"/>
      <c r="E2332" s="263"/>
      <c r="F2332" s="268"/>
      <c r="G2332" s="263"/>
      <c r="H2332" s="267"/>
      <c r="I2332" s="263"/>
      <c r="J2332" s="263"/>
      <c r="K2332" s="263"/>
      <c r="L2332" s="263"/>
      <c r="M2332" s="263"/>
      <c r="N2332" s="263"/>
      <c r="O2332" s="263"/>
      <c r="P2332" s="263"/>
      <c r="Q2332" s="263"/>
      <c r="R2332" s="263"/>
      <c r="S2332" s="263"/>
      <c r="T2332" s="263"/>
      <c r="U2332" s="246"/>
      <c r="V2332" s="246"/>
      <c r="W2332" s="246"/>
      <c r="X2332" s="246"/>
      <c r="Y2332" s="246"/>
      <c r="Z2332" s="246"/>
    </row>
    <row r="2333">
      <c r="A2333" s="263"/>
      <c r="B2333" s="267"/>
      <c r="C2333" s="263"/>
      <c r="D2333" s="263"/>
      <c r="E2333" s="263"/>
      <c r="F2333" s="268"/>
      <c r="G2333" s="263"/>
      <c r="H2333" s="267"/>
      <c r="I2333" s="263"/>
      <c r="J2333" s="263"/>
      <c r="K2333" s="263"/>
      <c r="L2333" s="263"/>
      <c r="M2333" s="263"/>
      <c r="N2333" s="263"/>
      <c r="O2333" s="263"/>
      <c r="P2333" s="263"/>
      <c r="Q2333" s="263"/>
      <c r="R2333" s="263"/>
      <c r="S2333" s="263"/>
      <c r="T2333" s="263"/>
      <c r="U2333" s="246"/>
      <c r="V2333" s="246"/>
      <c r="W2333" s="246"/>
      <c r="X2333" s="246"/>
      <c r="Y2333" s="246"/>
      <c r="Z2333" s="246"/>
    </row>
    <row r="2334">
      <c r="A2334" s="263"/>
      <c r="B2334" s="267"/>
      <c r="C2334" s="263"/>
      <c r="D2334" s="263"/>
      <c r="E2334" s="263"/>
      <c r="F2334" s="268"/>
      <c r="G2334" s="263"/>
      <c r="H2334" s="267"/>
      <c r="I2334" s="263"/>
      <c r="J2334" s="263"/>
      <c r="K2334" s="263"/>
      <c r="L2334" s="263"/>
      <c r="M2334" s="263"/>
      <c r="N2334" s="263"/>
      <c r="O2334" s="263"/>
      <c r="P2334" s="263"/>
      <c r="Q2334" s="263"/>
      <c r="R2334" s="263"/>
      <c r="S2334" s="263"/>
      <c r="T2334" s="263"/>
      <c r="U2334" s="246"/>
      <c r="V2334" s="246"/>
      <c r="W2334" s="246"/>
      <c r="X2334" s="246"/>
      <c r="Y2334" s="246"/>
      <c r="Z2334" s="246"/>
    </row>
    <row r="2335">
      <c r="A2335" s="263"/>
      <c r="B2335" s="267"/>
      <c r="C2335" s="263"/>
      <c r="D2335" s="263"/>
      <c r="E2335" s="263"/>
      <c r="F2335" s="268"/>
      <c r="G2335" s="263"/>
      <c r="H2335" s="267"/>
      <c r="I2335" s="263"/>
      <c r="J2335" s="263"/>
      <c r="K2335" s="263"/>
      <c r="L2335" s="263"/>
      <c r="M2335" s="263"/>
      <c r="N2335" s="263"/>
      <c r="O2335" s="263"/>
      <c r="P2335" s="263"/>
      <c r="Q2335" s="263"/>
      <c r="R2335" s="263"/>
      <c r="S2335" s="263"/>
      <c r="T2335" s="263"/>
      <c r="U2335" s="246"/>
      <c r="V2335" s="246"/>
      <c r="W2335" s="246"/>
      <c r="X2335" s="246"/>
      <c r="Y2335" s="246"/>
      <c r="Z2335" s="246"/>
    </row>
    <row r="2336">
      <c r="A2336" s="263"/>
      <c r="B2336" s="267"/>
      <c r="C2336" s="263"/>
      <c r="D2336" s="263"/>
      <c r="E2336" s="263"/>
      <c r="F2336" s="268"/>
      <c r="G2336" s="263"/>
      <c r="H2336" s="267"/>
      <c r="I2336" s="263"/>
      <c r="J2336" s="263"/>
      <c r="K2336" s="263"/>
      <c r="L2336" s="263"/>
      <c r="M2336" s="263"/>
      <c r="N2336" s="263"/>
      <c r="O2336" s="263"/>
      <c r="P2336" s="263"/>
      <c r="Q2336" s="263"/>
      <c r="R2336" s="263"/>
      <c r="S2336" s="263"/>
      <c r="T2336" s="263"/>
      <c r="U2336" s="246"/>
      <c r="V2336" s="246"/>
      <c r="W2336" s="246"/>
      <c r="X2336" s="246"/>
      <c r="Y2336" s="246"/>
      <c r="Z2336" s="246"/>
    </row>
    <row r="2337">
      <c r="A2337" s="263"/>
      <c r="B2337" s="267"/>
      <c r="C2337" s="263"/>
      <c r="D2337" s="263"/>
      <c r="E2337" s="263"/>
      <c r="F2337" s="268"/>
      <c r="G2337" s="263"/>
      <c r="H2337" s="267"/>
      <c r="I2337" s="263"/>
      <c r="J2337" s="263"/>
      <c r="K2337" s="263"/>
      <c r="L2337" s="263"/>
      <c r="M2337" s="263"/>
      <c r="N2337" s="263"/>
      <c r="O2337" s="263"/>
      <c r="P2337" s="263"/>
      <c r="Q2337" s="263"/>
      <c r="R2337" s="263"/>
      <c r="S2337" s="263"/>
      <c r="T2337" s="263"/>
      <c r="U2337" s="246"/>
      <c r="V2337" s="246"/>
      <c r="W2337" s="246"/>
      <c r="X2337" s="246"/>
      <c r="Y2337" s="246"/>
      <c r="Z2337" s="246"/>
    </row>
    <row r="2338">
      <c r="A2338" s="263"/>
      <c r="B2338" s="267"/>
      <c r="C2338" s="263"/>
      <c r="D2338" s="263"/>
      <c r="E2338" s="263"/>
      <c r="F2338" s="268"/>
      <c r="G2338" s="263"/>
      <c r="H2338" s="267"/>
      <c r="I2338" s="263"/>
      <c r="J2338" s="263"/>
      <c r="K2338" s="263"/>
      <c r="L2338" s="263"/>
      <c r="M2338" s="263"/>
      <c r="N2338" s="263"/>
      <c r="O2338" s="263"/>
      <c r="P2338" s="263"/>
      <c r="Q2338" s="263"/>
      <c r="R2338" s="263"/>
      <c r="S2338" s="263"/>
      <c r="T2338" s="263"/>
      <c r="U2338" s="246"/>
      <c r="V2338" s="246"/>
      <c r="W2338" s="246"/>
      <c r="X2338" s="246"/>
      <c r="Y2338" s="246"/>
      <c r="Z2338" s="246"/>
    </row>
    <row r="2339">
      <c r="A2339" s="263"/>
      <c r="B2339" s="267"/>
      <c r="C2339" s="263"/>
      <c r="D2339" s="263"/>
      <c r="E2339" s="263"/>
      <c r="F2339" s="268"/>
      <c r="G2339" s="263"/>
      <c r="H2339" s="267"/>
      <c r="I2339" s="263"/>
      <c r="J2339" s="263"/>
      <c r="K2339" s="263"/>
      <c r="L2339" s="263"/>
      <c r="M2339" s="263"/>
      <c r="N2339" s="263"/>
      <c r="O2339" s="263"/>
      <c r="P2339" s="263"/>
      <c r="Q2339" s="263"/>
      <c r="R2339" s="263"/>
      <c r="S2339" s="263"/>
      <c r="T2339" s="263"/>
      <c r="U2339" s="246"/>
      <c r="V2339" s="246"/>
      <c r="W2339" s="246"/>
      <c r="X2339" s="246"/>
      <c r="Y2339" s="246"/>
      <c r="Z2339" s="246"/>
    </row>
    <row r="2340">
      <c r="A2340" s="263"/>
      <c r="B2340" s="267"/>
      <c r="C2340" s="263"/>
      <c r="D2340" s="263"/>
      <c r="E2340" s="263"/>
      <c r="F2340" s="268"/>
      <c r="G2340" s="263"/>
      <c r="H2340" s="267"/>
      <c r="I2340" s="263"/>
      <c r="J2340" s="263"/>
      <c r="K2340" s="263"/>
      <c r="L2340" s="263"/>
      <c r="M2340" s="263"/>
      <c r="N2340" s="263"/>
      <c r="O2340" s="263"/>
      <c r="P2340" s="263"/>
      <c r="Q2340" s="263"/>
      <c r="R2340" s="263"/>
      <c r="S2340" s="263"/>
      <c r="T2340" s="263"/>
      <c r="U2340" s="246"/>
      <c r="V2340" s="246"/>
      <c r="W2340" s="246"/>
      <c r="X2340" s="246"/>
      <c r="Y2340" s="246"/>
      <c r="Z2340" s="246"/>
    </row>
    <row r="2341">
      <c r="A2341" s="263"/>
      <c r="B2341" s="267"/>
      <c r="C2341" s="263"/>
      <c r="D2341" s="263"/>
      <c r="E2341" s="263"/>
      <c r="F2341" s="268"/>
      <c r="G2341" s="263"/>
      <c r="H2341" s="267"/>
      <c r="I2341" s="263"/>
      <c r="J2341" s="263"/>
      <c r="K2341" s="263"/>
      <c r="L2341" s="263"/>
      <c r="M2341" s="263"/>
      <c r="N2341" s="263"/>
      <c r="O2341" s="263"/>
      <c r="P2341" s="263"/>
      <c r="Q2341" s="263"/>
      <c r="R2341" s="263"/>
      <c r="S2341" s="263"/>
      <c r="T2341" s="263"/>
      <c r="U2341" s="246"/>
      <c r="V2341" s="246"/>
      <c r="W2341" s="246"/>
      <c r="X2341" s="246"/>
      <c r="Y2341" s="246"/>
      <c r="Z2341" s="246"/>
    </row>
    <row r="2342">
      <c r="A2342" s="263"/>
      <c r="B2342" s="267"/>
      <c r="C2342" s="263"/>
      <c r="D2342" s="263"/>
      <c r="E2342" s="263"/>
      <c r="F2342" s="268"/>
      <c r="G2342" s="263"/>
      <c r="H2342" s="267"/>
      <c r="I2342" s="263"/>
      <c r="J2342" s="263"/>
      <c r="K2342" s="263"/>
      <c r="L2342" s="263"/>
      <c r="M2342" s="263"/>
      <c r="N2342" s="263"/>
      <c r="O2342" s="263"/>
      <c r="P2342" s="263"/>
      <c r="Q2342" s="263"/>
      <c r="R2342" s="263"/>
      <c r="S2342" s="263"/>
      <c r="T2342" s="263"/>
      <c r="U2342" s="246"/>
      <c r="V2342" s="246"/>
      <c r="W2342" s="246"/>
      <c r="X2342" s="246"/>
      <c r="Y2342" s="246"/>
      <c r="Z2342" s="246"/>
    </row>
    <row r="2343">
      <c r="A2343" s="263"/>
      <c r="B2343" s="267"/>
      <c r="C2343" s="263"/>
      <c r="D2343" s="263"/>
      <c r="E2343" s="263"/>
      <c r="F2343" s="268"/>
      <c r="G2343" s="263"/>
      <c r="H2343" s="267"/>
      <c r="I2343" s="263"/>
      <c r="J2343" s="263"/>
      <c r="K2343" s="263"/>
      <c r="L2343" s="263"/>
      <c r="M2343" s="263"/>
      <c r="N2343" s="263"/>
      <c r="O2343" s="263"/>
      <c r="P2343" s="263"/>
      <c r="Q2343" s="263"/>
      <c r="R2343" s="263"/>
      <c r="S2343" s="263"/>
      <c r="T2343" s="263"/>
      <c r="U2343" s="246"/>
      <c r="V2343" s="246"/>
      <c r="W2343" s="246"/>
      <c r="X2343" s="246"/>
      <c r="Y2343" s="246"/>
      <c r="Z2343" s="246"/>
    </row>
    <row r="2344">
      <c r="A2344" s="263"/>
      <c r="B2344" s="267"/>
      <c r="C2344" s="263"/>
      <c r="D2344" s="263"/>
      <c r="E2344" s="263"/>
      <c r="F2344" s="268"/>
      <c r="G2344" s="263"/>
      <c r="H2344" s="267"/>
      <c r="I2344" s="263"/>
      <c r="J2344" s="263"/>
      <c r="K2344" s="263"/>
      <c r="L2344" s="263"/>
      <c r="M2344" s="263"/>
      <c r="N2344" s="263"/>
      <c r="O2344" s="263"/>
      <c r="P2344" s="263"/>
      <c r="Q2344" s="263"/>
      <c r="R2344" s="263"/>
      <c r="S2344" s="263"/>
      <c r="T2344" s="263"/>
      <c r="U2344" s="246"/>
      <c r="V2344" s="246"/>
      <c r="W2344" s="246"/>
      <c r="X2344" s="246"/>
      <c r="Y2344" s="246"/>
      <c r="Z2344" s="246"/>
    </row>
    <row r="2345">
      <c r="A2345" s="263"/>
      <c r="B2345" s="267"/>
      <c r="C2345" s="263"/>
      <c r="D2345" s="263"/>
      <c r="E2345" s="263"/>
      <c r="F2345" s="268"/>
      <c r="G2345" s="263"/>
      <c r="H2345" s="267"/>
      <c r="I2345" s="263"/>
      <c r="J2345" s="263"/>
      <c r="K2345" s="263"/>
      <c r="L2345" s="263"/>
      <c r="M2345" s="263"/>
      <c r="N2345" s="263"/>
      <c r="O2345" s="263"/>
      <c r="P2345" s="263"/>
      <c r="Q2345" s="263"/>
      <c r="R2345" s="263"/>
      <c r="S2345" s="263"/>
      <c r="T2345" s="263"/>
      <c r="U2345" s="246"/>
      <c r="V2345" s="246"/>
      <c r="W2345" s="246"/>
      <c r="X2345" s="246"/>
      <c r="Y2345" s="246"/>
      <c r="Z2345" s="246"/>
    </row>
    <row r="2346">
      <c r="A2346" s="263"/>
      <c r="B2346" s="267"/>
      <c r="C2346" s="263"/>
      <c r="D2346" s="263"/>
      <c r="E2346" s="263"/>
      <c r="F2346" s="268"/>
      <c r="G2346" s="263"/>
      <c r="H2346" s="267"/>
      <c r="I2346" s="263"/>
      <c r="J2346" s="263"/>
      <c r="K2346" s="263"/>
      <c r="L2346" s="263"/>
      <c r="M2346" s="263"/>
      <c r="N2346" s="263"/>
      <c r="O2346" s="263"/>
      <c r="P2346" s="263"/>
      <c r="Q2346" s="263"/>
      <c r="R2346" s="263"/>
      <c r="S2346" s="263"/>
      <c r="T2346" s="263"/>
      <c r="U2346" s="246"/>
      <c r="V2346" s="246"/>
      <c r="W2346" s="246"/>
      <c r="X2346" s="246"/>
      <c r="Y2346" s="246"/>
      <c r="Z2346" s="246"/>
    </row>
    <row r="2347">
      <c r="A2347" s="263"/>
      <c r="B2347" s="267"/>
      <c r="C2347" s="263"/>
      <c r="D2347" s="263"/>
      <c r="E2347" s="263"/>
      <c r="F2347" s="268"/>
      <c r="G2347" s="263"/>
      <c r="H2347" s="267"/>
      <c r="I2347" s="263"/>
      <c r="J2347" s="263"/>
      <c r="K2347" s="263"/>
      <c r="L2347" s="263"/>
      <c r="M2347" s="263"/>
      <c r="N2347" s="263"/>
      <c r="O2347" s="263"/>
      <c r="P2347" s="263"/>
      <c r="Q2347" s="263"/>
      <c r="R2347" s="263"/>
      <c r="S2347" s="263"/>
      <c r="T2347" s="263"/>
      <c r="U2347" s="246"/>
      <c r="V2347" s="246"/>
      <c r="W2347" s="246"/>
      <c r="X2347" s="246"/>
      <c r="Y2347" s="246"/>
      <c r="Z2347" s="246"/>
    </row>
    <row r="2348">
      <c r="A2348" s="263"/>
      <c r="B2348" s="267"/>
      <c r="C2348" s="263"/>
      <c r="D2348" s="263"/>
      <c r="E2348" s="263"/>
      <c r="F2348" s="268"/>
      <c r="G2348" s="263"/>
      <c r="H2348" s="267"/>
      <c r="I2348" s="263"/>
      <c r="J2348" s="263"/>
      <c r="K2348" s="263"/>
      <c r="L2348" s="263"/>
      <c r="M2348" s="263"/>
      <c r="N2348" s="263"/>
      <c r="O2348" s="263"/>
      <c r="P2348" s="263"/>
      <c r="Q2348" s="263"/>
      <c r="R2348" s="263"/>
      <c r="S2348" s="263"/>
      <c r="T2348" s="263"/>
      <c r="U2348" s="246"/>
      <c r="V2348" s="246"/>
      <c r="W2348" s="246"/>
      <c r="X2348" s="246"/>
      <c r="Y2348" s="246"/>
      <c r="Z2348" s="246"/>
    </row>
    <row r="2349">
      <c r="A2349" s="263"/>
      <c r="B2349" s="267"/>
      <c r="C2349" s="263"/>
      <c r="D2349" s="263"/>
      <c r="E2349" s="263"/>
      <c r="F2349" s="268"/>
      <c r="G2349" s="263"/>
      <c r="H2349" s="267"/>
      <c r="I2349" s="263"/>
      <c r="J2349" s="263"/>
      <c r="K2349" s="263"/>
      <c r="L2349" s="263"/>
      <c r="M2349" s="263"/>
      <c r="N2349" s="263"/>
      <c r="O2349" s="263"/>
      <c r="P2349" s="263"/>
      <c r="Q2349" s="263"/>
      <c r="R2349" s="263"/>
      <c r="S2349" s="263"/>
      <c r="T2349" s="263"/>
      <c r="U2349" s="246"/>
      <c r="V2349" s="246"/>
      <c r="W2349" s="246"/>
      <c r="X2349" s="246"/>
      <c r="Y2349" s="246"/>
      <c r="Z2349" s="246"/>
    </row>
    <row r="2350">
      <c r="A2350" s="263"/>
      <c r="B2350" s="267"/>
      <c r="C2350" s="263"/>
      <c r="D2350" s="263"/>
      <c r="E2350" s="263"/>
      <c r="F2350" s="268"/>
      <c r="G2350" s="263"/>
      <c r="H2350" s="267"/>
      <c r="I2350" s="263"/>
      <c r="J2350" s="263"/>
      <c r="K2350" s="263"/>
      <c r="L2350" s="263"/>
      <c r="M2350" s="263"/>
      <c r="N2350" s="263"/>
      <c r="O2350" s="263"/>
      <c r="P2350" s="263"/>
      <c r="Q2350" s="263"/>
      <c r="R2350" s="263"/>
      <c r="S2350" s="263"/>
      <c r="T2350" s="263"/>
      <c r="U2350" s="246"/>
      <c r="V2350" s="246"/>
      <c r="W2350" s="246"/>
      <c r="X2350" s="246"/>
      <c r="Y2350" s="246"/>
      <c r="Z2350" s="246"/>
    </row>
    <row r="2351">
      <c r="A2351" s="263"/>
      <c r="B2351" s="267"/>
      <c r="C2351" s="263"/>
      <c r="D2351" s="263"/>
      <c r="E2351" s="263"/>
      <c r="F2351" s="268"/>
      <c r="G2351" s="263"/>
      <c r="H2351" s="267"/>
      <c r="I2351" s="263"/>
      <c r="J2351" s="263"/>
      <c r="K2351" s="263"/>
      <c r="L2351" s="263"/>
      <c r="M2351" s="263"/>
      <c r="N2351" s="263"/>
      <c r="O2351" s="263"/>
      <c r="P2351" s="263"/>
      <c r="Q2351" s="263"/>
      <c r="R2351" s="263"/>
      <c r="S2351" s="263"/>
      <c r="T2351" s="263"/>
      <c r="U2351" s="246"/>
      <c r="V2351" s="246"/>
      <c r="W2351" s="246"/>
      <c r="X2351" s="246"/>
      <c r="Y2351" s="246"/>
      <c r="Z2351" s="246"/>
    </row>
    <row r="2352">
      <c r="A2352" s="263"/>
      <c r="B2352" s="267"/>
      <c r="C2352" s="263"/>
      <c r="D2352" s="263"/>
      <c r="E2352" s="263"/>
      <c r="F2352" s="268"/>
      <c r="G2352" s="263"/>
      <c r="H2352" s="267"/>
      <c r="I2352" s="263"/>
      <c r="J2352" s="263"/>
      <c r="K2352" s="263"/>
      <c r="L2352" s="263"/>
      <c r="M2352" s="263"/>
      <c r="N2352" s="263"/>
      <c r="O2352" s="263"/>
      <c r="P2352" s="263"/>
      <c r="Q2352" s="263"/>
      <c r="R2352" s="263"/>
      <c r="S2352" s="263"/>
      <c r="T2352" s="263"/>
      <c r="U2352" s="246"/>
      <c r="V2352" s="246"/>
      <c r="W2352" s="246"/>
      <c r="X2352" s="246"/>
      <c r="Y2352" s="246"/>
      <c r="Z2352" s="246"/>
    </row>
    <row r="2353">
      <c r="A2353" s="263"/>
      <c r="B2353" s="267"/>
      <c r="C2353" s="263"/>
      <c r="D2353" s="263"/>
      <c r="E2353" s="263"/>
      <c r="F2353" s="268"/>
      <c r="G2353" s="263"/>
      <c r="H2353" s="267"/>
      <c r="I2353" s="263"/>
      <c r="J2353" s="263"/>
      <c r="K2353" s="263"/>
      <c r="L2353" s="263"/>
      <c r="M2353" s="263"/>
      <c r="N2353" s="263"/>
      <c r="O2353" s="263"/>
      <c r="P2353" s="263"/>
      <c r="Q2353" s="263"/>
      <c r="R2353" s="263"/>
      <c r="S2353" s="263"/>
      <c r="T2353" s="263"/>
      <c r="U2353" s="246"/>
      <c r="V2353" s="246"/>
      <c r="W2353" s="246"/>
      <c r="X2353" s="246"/>
      <c r="Y2353" s="246"/>
      <c r="Z2353" s="246"/>
    </row>
    <row r="2354">
      <c r="A2354" s="263"/>
      <c r="B2354" s="267"/>
      <c r="C2354" s="263"/>
      <c r="D2354" s="263"/>
      <c r="E2354" s="263"/>
      <c r="F2354" s="268"/>
      <c r="G2354" s="263"/>
      <c r="H2354" s="267"/>
      <c r="I2354" s="263"/>
      <c r="J2354" s="263"/>
      <c r="K2354" s="263"/>
      <c r="L2354" s="263"/>
      <c r="M2354" s="263"/>
      <c r="N2354" s="263"/>
      <c r="O2354" s="263"/>
      <c r="P2354" s="263"/>
      <c r="Q2354" s="263"/>
      <c r="R2354" s="263"/>
      <c r="S2354" s="263"/>
      <c r="T2354" s="263"/>
      <c r="U2354" s="246"/>
      <c r="V2354" s="246"/>
      <c r="W2354" s="246"/>
      <c r="X2354" s="246"/>
      <c r="Y2354" s="246"/>
      <c r="Z2354" s="246"/>
    </row>
    <row r="2355">
      <c r="A2355" s="263"/>
      <c r="B2355" s="267"/>
      <c r="C2355" s="263"/>
      <c r="D2355" s="263"/>
      <c r="E2355" s="263"/>
      <c r="F2355" s="268"/>
      <c r="G2355" s="263"/>
      <c r="H2355" s="267"/>
      <c r="I2355" s="263"/>
      <c r="J2355" s="263"/>
      <c r="K2355" s="263"/>
      <c r="L2355" s="263"/>
      <c r="M2355" s="263"/>
      <c r="N2355" s="263"/>
      <c r="O2355" s="263"/>
      <c r="P2355" s="263"/>
      <c r="Q2355" s="263"/>
      <c r="R2355" s="263"/>
      <c r="S2355" s="263"/>
      <c r="T2355" s="263"/>
      <c r="U2355" s="246"/>
      <c r="V2355" s="246"/>
      <c r="W2355" s="246"/>
      <c r="X2355" s="246"/>
      <c r="Y2355" s="246"/>
      <c r="Z2355" s="246"/>
    </row>
    <row r="2356">
      <c r="A2356" s="263"/>
      <c r="B2356" s="267"/>
      <c r="C2356" s="263"/>
      <c r="D2356" s="263"/>
      <c r="E2356" s="263"/>
      <c r="F2356" s="268"/>
      <c r="G2356" s="263"/>
      <c r="H2356" s="267"/>
      <c r="I2356" s="263"/>
      <c r="J2356" s="263"/>
      <c r="K2356" s="263"/>
      <c r="L2356" s="263"/>
      <c r="M2356" s="263"/>
      <c r="N2356" s="263"/>
      <c r="O2356" s="263"/>
      <c r="P2356" s="263"/>
      <c r="Q2356" s="263"/>
      <c r="R2356" s="263"/>
      <c r="S2356" s="263"/>
      <c r="T2356" s="263"/>
      <c r="U2356" s="246"/>
      <c r="V2356" s="246"/>
      <c r="W2356" s="246"/>
      <c r="X2356" s="246"/>
      <c r="Y2356" s="246"/>
      <c r="Z2356" s="246"/>
    </row>
    <row r="2357">
      <c r="A2357" s="263"/>
      <c r="B2357" s="267"/>
      <c r="C2357" s="263"/>
      <c r="D2357" s="263"/>
      <c r="E2357" s="263"/>
      <c r="F2357" s="268"/>
      <c r="G2357" s="263"/>
      <c r="H2357" s="267"/>
      <c r="I2357" s="263"/>
      <c r="J2357" s="263"/>
      <c r="K2357" s="263"/>
      <c r="L2357" s="263"/>
      <c r="M2357" s="263"/>
      <c r="N2357" s="263"/>
      <c r="O2357" s="263"/>
      <c r="P2357" s="263"/>
      <c r="Q2357" s="263"/>
      <c r="R2357" s="263"/>
      <c r="S2357" s="263"/>
      <c r="T2357" s="263"/>
      <c r="U2357" s="246"/>
      <c r="V2357" s="246"/>
      <c r="W2357" s="246"/>
      <c r="X2357" s="246"/>
      <c r="Y2357" s="246"/>
      <c r="Z2357" s="246"/>
    </row>
    <row r="2358">
      <c r="A2358" s="263"/>
      <c r="B2358" s="267"/>
      <c r="C2358" s="263"/>
      <c r="D2358" s="263"/>
      <c r="E2358" s="263"/>
      <c r="F2358" s="268"/>
      <c r="G2358" s="263"/>
      <c r="H2358" s="267"/>
      <c r="I2358" s="263"/>
      <c r="J2358" s="263"/>
      <c r="K2358" s="263"/>
      <c r="L2358" s="263"/>
      <c r="M2358" s="263"/>
      <c r="N2358" s="263"/>
      <c r="O2358" s="263"/>
      <c r="P2358" s="263"/>
      <c r="Q2358" s="263"/>
      <c r="R2358" s="263"/>
      <c r="S2358" s="263"/>
      <c r="T2358" s="263"/>
      <c r="U2358" s="246"/>
      <c r="V2358" s="246"/>
      <c r="W2358" s="246"/>
      <c r="X2358" s="246"/>
      <c r="Y2358" s="246"/>
      <c r="Z2358" s="246"/>
    </row>
    <row r="2359">
      <c r="A2359" s="263"/>
      <c r="B2359" s="267"/>
      <c r="C2359" s="263"/>
      <c r="D2359" s="263"/>
      <c r="E2359" s="263"/>
      <c r="F2359" s="268"/>
      <c r="G2359" s="263"/>
      <c r="H2359" s="267"/>
      <c r="I2359" s="263"/>
      <c r="J2359" s="263"/>
      <c r="K2359" s="263"/>
      <c r="L2359" s="263"/>
      <c r="M2359" s="263"/>
      <c r="N2359" s="263"/>
      <c r="O2359" s="263"/>
      <c r="P2359" s="263"/>
      <c r="Q2359" s="263"/>
      <c r="R2359" s="263"/>
      <c r="S2359" s="263"/>
      <c r="T2359" s="263"/>
      <c r="U2359" s="246"/>
      <c r="V2359" s="246"/>
      <c r="W2359" s="246"/>
      <c r="X2359" s="246"/>
      <c r="Y2359" s="246"/>
      <c r="Z2359" s="246"/>
    </row>
    <row r="2360">
      <c r="A2360" s="263"/>
      <c r="B2360" s="267"/>
      <c r="C2360" s="263"/>
      <c r="D2360" s="263"/>
      <c r="E2360" s="263"/>
      <c r="F2360" s="268"/>
      <c r="G2360" s="263"/>
      <c r="H2360" s="267"/>
      <c r="I2360" s="263"/>
      <c r="J2360" s="263"/>
      <c r="K2360" s="263"/>
      <c r="L2360" s="263"/>
      <c r="M2360" s="263"/>
      <c r="N2360" s="263"/>
      <c r="O2360" s="263"/>
      <c r="P2360" s="263"/>
      <c r="Q2360" s="263"/>
      <c r="R2360" s="263"/>
      <c r="S2360" s="263"/>
      <c r="T2360" s="263"/>
      <c r="U2360" s="246"/>
      <c r="V2360" s="246"/>
      <c r="W2360" s="246"/>
      <c r="X2360" s="246"/>
      <c r="Y2360" s="246"/>
      <c r="Z2360" s="246"/>
    </row>
    <row r="2361">
      <c r="A2361" s="263"/>
      <c r="B2361" s="267"/>
      <c r="C2361" s="263"/>
      <c r="D2361" s="263"/>
      <c r="E2361" s="263"/>
      <c r="F2361" s="268"/>
      <c r="G2361" s="263"/>
      <c r="H2361" s="267"/>
      <c r="I2361" s="263"/>
      <c r="J2361" s="263"/>
      <c r="K2361" s="263"/>
      <c r="L2361" s="263"/>
      <c r="M2361" s="263"/>
      <c r="N2361" s="263"/>
      <c r="O2361" s="263"/>
      <c r="P2361" s="263"/>
      <c r="Q2361" s="263"/>
      <c r="R2361" s="263"/>
      <c r="S2361" s="263"/>
      <c r="T2361" s="263"/>
      <c r="U2361" s="246"/>
      <c r="V2361" s="246"/>
      <c r="W2361" s="246"/>
      <c r="X2361" s="246"/>
      <c r="Y2361" s="246"/>
      <c r="Z2361" s="246"/>
    </row>
    <row r="2362">
      <c r="A2362" s="263"/>
      <c r="B2362" s="267"/>
      <c r="C2362" s="263"/>
      <c r="D2362" s="263"/>
      <c r="E2362" s="263"/>
      <c r="F2362" s="268"/>
      <c r="G2362" s="263"/>
      <c r="H2362" s="267"/>
      <c r="I2362" s="263"/>
      <c r="J2362" s="263"/>
      <c r="K2362" s="263"/>
      <c r="L2362" s="263"/>
      <c r="M2362" s="263"/>
      <c r="N2362" s="263"/>
      <c r="O2362" s="263"/>
      <c r="P2362" s="263"/>
      <c r="Q2362" s="263"/>
      <c r="R2362" s="263"/>
      <c r="S2362" s="263"/>
      <c r="T2362" s="263"/>
      <c r="U2362" s="246"/>
      <c r="V2362" s="246"/>
      <c r="W2362" s="246"/>
      <c r="X2362" s="246"/>
      <c r="Y2362" s="246"/>
      <c r="Z2362" s="246"/>
    </row>
    <row r="2363">
      <c r="A2363" s="263"/>
      <c r="B2363" s="267"/>
      <c r="C2363" s="263"/>
      <c r="D2363" s="263"/>
      <c r="E2363" s="263"/>
      <c r="F2363" s="268"/>
      <c r="G2363" s="263"/>
      <c r="H2363" s="267"/>
      <c r="I2363" s="263"/>
      <c r="J2363" s="263"/>
      <c r="K2363" s="263"/>
      <c r="L2363" s="263"/>
      <c r="M2363" s="263"/>
      <c r="N2363" s="263"/>
      <c r="O2363" s="263"/>
      <c r="P2363" s="263"/>
      <c r="Q2363" s="263"/>
      <c r="R2363" s="263"/>
      <c r="S2363" s="263"/>
      <c r="T2363" s="263"/>
      <c r="U2363" s="246"/>
      <c r="V2363" s="246"/>
      <c r="W2363" s="246"/>
      <c r="X2363" s="246"/>
      <c r="Y2363" s="246"/>
      <c r="Z2363" s="246"/>
    </row>
    <row r="2364">
      <c r="A2364" s="263"/>
      <c r="B2364" s="267"/>
      <c r="C2364" s="263"/>
      <c r="D2364" s="263"/>
      <c r="E2364" s="263"/>
      <c r="F2364" s="268"/>
      <c r="G2364" s="263"/>
      <c r="H2364" s="267"/>
      <c r="I2364" s="263"/>
      <c r="J2364" s="263"/>
      <c r="K2364" s="263"/>
      <c r="L2364" s="263"/>
      <c r="M2364" s="263"/>
      <c r="N2364" s="263"/>
      <c r="O2364" s="263"/>
      <c r="P2364" s="263"/>
      <c r="Q2364" s="263"/>
      <c r="R2364" s="263"/>
      <c r="S2364" s="263"/>
      <c r="T2364" s="263"/>
      <c r="U2364" s="246"/>
      <c r="V2364" s="246"/>
      <c r="W2364" s="246"/>
      <c r="X2364" s="246"/>
      <c r="Y2364" s="246"/>
      <c r="Z2364" s="246"/>
    </row>
    <row r="2365">
      <c r="A2365" s="263"/>
      <c r="B2365" s="267"/>
      <c r="C2365" s="263"/>
      <c r="D2365" s="263"/>
      <c r="E2365" s="263"/>
      <c r="F2365" s="268"/>
      <c r="G2365" s="263"/>
      <c r="H2365" s="267"/>
      <c r="I2365" s="263"/>
      <c r="J2365" s="263"/>
      <c r="K2365" s="263"/>
      <c r="L2365" s="263"/>
      <c r="M2365" s="263"/>
      <c r="N2365" s="263"/>
      <c r="O2365" s="263"/>
      <c r="P2365" s="263"/>
      <c r="Q2365" s="263"/>
      <c r="R2365" s="263"/>
      <c r="S2365" s="263"/>
      <c r="T2365" s="263"/>
      <c r="U2365" s="246"/>
      <c r="V2365" s="246"/>
      <c r="W2365" s="246"/>
      <c r="X2365" s="246"/>
      <c r="Y2365" s="246"/>
      <c r="Z2365" s="246"/>
    </row>
    <row r="2366">
      <c r="A2366" s="263"/>
      <c r="B2366" s="267"/>
      <c r="C2366" s="263"/>
      <c r="D2366" s="263"/>
      <c r="E2366" s="263"/>
      <c r="F2366" s="268"/>
      <c r="G2366" s="263"/>
      <c r="H2366" s="267"/>
      <c r="I2366" s="263"/>
      <c r="J2366" s="263"/>
      <c r="K2366" s="263"/>
      <c r="L2366" s="263"/>
      <c r="M2366" s="263"/>
      <c r="N2366" s="263"/>
      <c r="O2366" s="263"/>
      <c r="P2366" s="263"/>
      <c r="Q2366" s="263"/>
      <c r="R2366" s="263"/>
      <c r="S2366" s="263"/>
      <c r="T2366" s="263"/>
      <c r="U2366" s="246"/>
      <c r="V2366" s="246"/>
      <c r="W2366" s="246"/>
      <c r="X2366" s="246"/>
      <c r="Y2366" s="246"/>
      <c r="Z2366" s="246"/>
    </row>
    <row r="2367">
      <c r="A2367" s="263"/>
      <c r="B2367" s="267"/>
      <c r="C2367" s="263"/>
      <c r="D2367" s="263"/>
      <c r="E2367" s="263"/>
      <c r="F2367" s="268"/>
      <c r="G2367" s="263"/>
      <c r="H2367" s="267"/>
      <c r="I2367" s="263"/>
      <c r="J2367" s="263"/>
      <c r="K2367" s="263"/>
      <c r="L2367" s="263"/>
      <c r="M2367" s="263"/>
      <c r="N2367" s="263"/>
      <c r="O2367" s="263"/>
      <c r="P2367" s="263"/>
      <c r="Q2367" s="263"/>
      <c r="R2367" s="263"/>
      <c r="S2367" s="263"/>
      <c r="T2367" s="263"/>
      <c r="U2367" s="246"/>
      <c r="V2367" s="246"/>
      <c r="W2367" s="246"/>
      <c r="X2367" s="246"/>
      <c r="Y2367" s="246"/>
      <c r="Z2367" s="246"/>
    </row>
    <row r="2368">
      <c r="A2368" s="263"/>
      <c r="B2368" s="267"/>
      <c r="C2368" s="263"/>
      <c r="D2368" s="263"/>
      <c r="E2368" s="263"/>
      <c r="F2368" s="268"/>
      <c r="G2368" s="263"/>
      <c r="H2368" s="267"/>
      <c r="I2368" s="263"/>
      <c r="J2368" s="263"/>
      <c r="K2368" s="263"/>
      <c r="L2368" s="263"/>
      <c r="M2368" s="263"/>
      <c r="N2368" s="263"/>
      <c r="O2368" s="263"/>
      <c r="P2368" s="263"/>
      <c r="Q2368" s="263"/>
      <c r="R2368" s="263"/>
      <c r="S2368" s="263"/>
      <c r="T2368" s="263"/>
      <c r="U2368" s="246"/>
      <c r="V2368" s="246"/>
      <c r="W2368" s="246"/>
      <c r="X2368" s="246"/>
      <c r="Y2368" s="246"/>
      <c r="Z2368" s="246"/>
    </row>
    <row r="2369">
      <c r="A2369" s="263"/>
      <c r="B2369" s="267"/>
      <c r="C2369" s="263"/>
      <c r="D2369" s="263"/>
      <c r="E2369" s="263"/>
      <c r="F2369" s="268"/>
      <c r="G2369" s="263"/>
      <c r="H2369" s="267"/>
      <c r="I2369" s="263"/>
      <c r="J2369" s="263"/>
      <c r="K2369" s="263"/>
      <c r="L2369" s="263"/>
      <c r="M2369" s="263"/>
      <c r="N2369" s="263"/>
      <c r="O2369" s="263"/>
      <c r="P2369" s="263"/>
      <c r="Q2369" s="263"/>
      <c r="R2369" s="263"/>
      <c r="S2369" s="263"/>
      <c r="T2369" s="263"/>
      <c r="U2369" s="246"/>
      <c r="V2369" s="246"/>
      <c r="W2369" s="246"/>
      <c r="X2369" s="246"/>
      <c r="Y2369" s="246"/>
      <c r="Z2369" s="246"/>
    </row>
    <row r="2370">
      <c r="A2370" s="263"/>
      <c r="B2370" s="267"/>
      <c r="C2370" s="263"/>
      <c r="D2370" s="263"/>
      <c r="E2370" s="263"/>
      <c r="F2370" s="268"/>
      <c r="G2370" s="263"/>
      <c r="H2370" s="267"/>
      <c r="I2370" s="263"/>
      <c r="J2370" s="263"/>
      <c r="K2370" s="263"/>
      <c r="L2370" s="263"/>
      <c r="M2370" s="263"/>
      <c r="N2370" s="263"/>
      <c r="O2370" s="263"/>
      <c r="P2370" s="263"/>
      <c r="Q2370" s="263"/>
      <c r="R2370" s="263"/>
      <c r="S2370" s="263"/>
      <c r="T2370" s="263"/>
      <c r="U2370" s="246"/>
      <c r="V2370" s="246"/>
      <c r="W2370" s="246"/>
      <c r="X2370" s="246"/>
      <c r="Y2370" s="246"/>
      <c r="Z2370" s="246"/>
    </row>
    <row r="2371">
      <c r="A2371" s="263"/>
      <c r="B2371" s="267"/>
      <c r="C2371" s="263"/>
      <c r="D2371" s="263"/>
      <c r="E2371" s="263"/>
      <c r="F2371" s="268"/>
      <c r="G2371" s="263"/>
      <c r="H2371" s="267"/>
      <c r="I2371" s="263"/>
      <c r="J2371" s="263"/>
      <c r="K2371" s="263"/>
      <c r="L2371" s="263"/>
      <c r="M2371" s="263"/>
      <c r="N2371" s="263"/>
      <c r="O2371" s="263"/>
      <c r="P2371" s="263"/>
      <c r="Q2371" s="263"/>
      <c r="R2371" s="263"/>
      <c r="S2371" s="263"/>
      <c r="T2371" s="263"/>
      <c r="U2371" s="246"/>
      <c r="V2371" s="246"/>
      <c r="W2371" s="246"/>
      <c r="X2371" s="246"/>
      <c r="Y2371" s="246"/>
      <c r="Z2371" s="246"/>
    </row>
    <row r="2372">
      <c r="A2372" s="263"/>
      <c r="B2372" s="267"/>
      <c r="C2372" s="263"/>
      <c r="D2372" s="263"/>
      <c r="E2372" s="263"/>
      <c r="F2372" s="268"/>
      <c r="G2372" s="263"/>
      <c r="H2372" s="267"/>
      <c r="I2372" s="263"/>
      <c r="J2372" s="263"/>
      <c r="K2372" s="263"/>
      <c r="L2372" s="263"/>
      <c r="M2372" s="263"/>
      <c r="N2372" s="263"/>
      <c r="O2372" s="263"/>
      <c r="P2372" s="263"/>
      <c r="Q2372" s="263"/>
      <c r="R2372" s="263"/>
      <c r="S2372" s="263"/>
      <c r="T2372" s="263"/>
      <c r="U2372" s="246"/>
      <c r="V2372" s="246"/>
      <c r="W2372" s="246"/>
      <c r="X2372" s="246"/>
      <c r="Y2372" s="246"/>
      <c r="Z2372" s="246"/>
    </row>
    <row r="2373">
      <c r="A2373" s="263"/>
      <c r="B2373" s="267"/>
      <c r="C2373" s="263"/>
      <c r="D2373" s="263"/>
      <c r="E2373" s="263"/>
      <c r="F2373" s="268"/>
      <c r="G2373" s="263"/>
      <c r="H2373" s="267"/>
      <c r="I2373" s="263"/>
      <c r="J2373" s="263"/>
      <c r="K2373" s="263"/>
      <c r="L2373" s="263"/>
      <c r="M2373" s="263"/>
      <c r="N2373" s="263"/>
      <c r="O2373" s="263"/>
      <c r="P2373" s="263"/>
      <c r="Q2373" s="263"/>
      <c r="R2373" s="263"/>
      <c r="S2373" s="263"/>
      <c r="T2373" s="263"/>
      <c r="U2373" s="246"/>
      <c r="V2373" s="246"/>
      <c r="W2373" s="246"/>
      <c r="X2373" s="246"/>
      <c r="Y2373" s="246"/>
      <c r="Z2373" s="246"/>
    </row>
    <row r="2374">
      <c r="A2374" s="263"/>
      <c r="B2374" s="267"/>
      <c r="C2374" s="263"/>
      <c r="D2374" s="263"/>
      <c r="E2374" s="263"/>
      <c r="F2374" s="268"/>
      <c r="G2374" s="263"/>
      <c r="H2374" s="267"/>
      <c r="I2374" s="263"/>
      <c r="J2374" s="263"/>
      <c r="K2374" s="263"/>
      <c r="L2374" s="263"/>
      <c r="M2374" s="263"/>
      <c r="N2374" s="263"/>
      <c r="O2374" s="263"/>
      <c r="P2374" s="263"/>
      <c r="Q2374" s="263"/>
      <c r="R2374" s="263"/>
      <c r="S2374" s="263"/>
      <c r="T2374" s="263"/>
      <c r="U2374" s="246"/>
      <c r="V2374" s="246"/>
      <c r="W2374" s="246"/>
      <c r="X2374" s="246"/>
      <c r="Y2374" s="246"/>
      <c r="Z2374" s="246"/>
    </row>
    <row r="2375">
      <c r="A2375" s="263"/>
      <c r="B2375" s="267"/>
      <c r="C2375" s="263"/>
      <c r="D2375" s="263"/>
      <c r="E2375" s="263"/>
      <c r="F2375" s="268"/>
      <c r="G2375" s="263"/>
      <c r="H2375" s="267"/>
      <c r="I2375" s="263"/>
      <c r="J2375" s="263"/>
      <c r="K2375" s="263"/>
      <c r="L2375" s="263"/>
      <c r="M2375" s="263"/>
      <c r="N2375" s="263"/>
      <c r="O2375" s="263"/>
      <c r="P2375" s="263"/>
      <c r="Q2375" s="263"/>
      <c r="R2375" s="263"/>
      <c r="S2375" s="263"/>
      <c r="T2375" s="263"/>
      <c r="U2375" s="246"/>
      <c r="V2375" s="246"/>
      <c r="W2375" s="246"/>
      <c r="X2375" s="246"/>
      <c r="Y2375" s="246"/>
      <c r="Z2375" s="246"/>
    </row>
    <row r="2376">
      <c r="A2376" s="263"/>
      <c r="B2376" s="267"/>
      <c r="C2376" s="263"/>
      <c r="D2376" s="263"/>
      <c r="E2376" s="263"/>
      <c r="F2376" s="268"/>
      <c r="G2376" s="263"/>
      <c r="H2376" s="267"/>
      <c r="I2376" s="263"/>
      <c r="J2376" s="263"/>
      <c r="K2376" s="263"/>
      <c r="L2376" s="263"/>
      <c r="M2376" s="263"/>
      <c r="N2376" s="263"/>
      <c r="O2376" s="263"/>
      <c r="P2376" s="263"/>
      <c r="Q2376" s="263"/>
      <c r="R2376" s="263"/>
      <c r="S2376" s="263"/>
      <c r="T2376" s="263"/>
      <c r="U2376" s="246"/>
      <c r="V2376" s="246"/>
      <c r="W2376" s="246"/>
      <c r="X2376" s="246"/>
      <c r="Y2376" s="246"/>
      <c r="Z2376" s="246"/>
    </row>
    <row r="2377">
      <c r="A2377" s="263"/>
      <c r="B2377" s="267"/>
      <c r="C2377" s="263"/>
      <c r="D2377" s="263"/>
      <c r="E2377" s="263"/>
      <c r="F2377" s="268"/>
      <c r="G2377" s="263"/>
      <c r="H2377" s="267"/>
      <c r="I2377" s="263"/>
      <c r="J2377" s="263"/>
      <c r="K2377" s="263"/>
      <c r="L2377" s="263"/>
      <c r="M2377" s="263"/>
      <c r="N2377" s="263"/>
      <c r="O2377" s="263"/>
      <c r="P2377" s="263"/>
      <c r="Q2377" s="263"/>
      <c r="R2377" s="263"/>
      <c r="S2377" s="263"/>
      <c r="T2377" s="263"/>
      <c r="U2377" s="246"/>
      <c r="V2377" s="246"/>
      <c r="W2377" s="246"/>
      <c r="X2377" s="246"/>
      <c r="Y2377" s="246"/>
      <c r="Z2377" s="246"/>
    </row>
    <row r="2378">
      <c r="A2378" s="263"/>
      <c r="B2378" s="267"/>
      <c r="C2378" s="263"/>
      <c r="D2378" s="263"/>
      <c r="E2378" s="263"/>
      <c r="F2378" s="268"/>
      <c r="G2378" s="263"/>
      <c r="H2378" s="267"/>
      <c r="I2378" s="263"/>
      <c r="J2378" s="263"/>
      <c r="K2378" s="263"/>
      <c r="L2378" s="263"/>
      <c r="M2378" s="263"/>
      <c r="N2378" s="263"/>
      <c r="O2378" s="263"/>
      <c r="P2378" s="263"/>
      <c r="Q2378" s="263"/>
      <c r="R2378" s="263"/>
      <c r="S2378" s="263"/>
      <c r="T2378" s="263"/>
      <c r="U2378" s="246"/>
      <c r="V2378" s="246"/>
      <c r="W2378" s="246"/>
      <c r="X2378" s="246"/>
      <c r="Y2378" s="246"/>
      <c r="Z2378" s="246"/>
    </row>
    <row r="2379">
      <c r="A2379" s="263"/>
      <c r="B2379" s="267"/>
      <c r="C2379" s="263"/>
      <c r="D2379" s="263"/>
      <c r="E2379" s="263"/>
      <c r="F2379" s="268"/>
      <c r="G2379" s="263"/>
      <c r="H2379" s="267"/>
      <c r="I2379" s="263"/>
      <c r="J2379" s="263"/>
      <c r="K2379" s="263"/>
      <c r="L2379" s="263"/>
      <c r="M2379" s="263"/>
      <c r="N2379" s="263"/>
      <c r="O2379" s="263"/>
      <c r="P2379" s="263"/>
      <c r="Q2379" s="263"/>
      <c r="R2379" s="263"/>
      <c r="S2379" s="263"/>
      <c r="T2379" s="263"/>
      <c r="U2379" s="246"/>
      <c r="V2379" s="246"/>
      <c r="W2379" s="246"/>
      <c r="X2379" s="246"/>
      <c r="Y2379" s="246"/>
      <c r="Z2379" s="246"/>
    </row>
    <row r="2380">
      <c r="A2380" s="263"/>
      <c r="B2380" s="267"/>
      <c r="C2380" s="263"/>
      <c r="D2380" s="263"/>
      <c r="E2380" s="263"/>
      <c r="F2380" s="268"/>
      <c r="G2380" s="263"/>
      <c r="H2380" s="267"/>
      <c r="I2380" s="263"/>
      <c r="J2380" s="263"/>
      <c r="K2380" s="263"/>
      <c r="L2380" s="263"/>
      <c r="M2380" s="263"/>
      <c r="N2380" s="263"/>
      <c r="O2380" s="263"/>
      <c r="P2380" s="263"/>
      <c r="Q2380" s="263"/>
      <c r="R2380" s="263"/>
      <c r="S2380" s="263"/>
      <c r="T2380" s="263"/>
      <c r="U2380" s="246"/>
      <c r="V2380" s="246"/>
      <c r="W2380" s="246"/>
      <c r="X2380" s="246"/>
      <c r="Y2380" s="246"/>
      <c r="Z2380" s="246"/>
    </row>
    <row r="2381">
      <c r="A2381" s="263"/>
      <c r="B2381" s="267"/>
      <c r="C2381" s="263"/>
      <c r="D2381" s="263"/>
      <c r="E2381" s="263"/>
      <c r="F2381" s="268"/>
      <c r="G2381" s="263"/>
      <c r="H2381" s="267"/>
      <c r="I2381" s="263"/>
      <c r="J2381" s="263"/>
      <c r="K2381" s="263"/>
      <c r="L2381" s="263"/>
      <c r="M2381" s="263"/>
      <c r="N2381" s="263"/>
      <c r="O2381" s="263"/>
      <c r="P2381" s="263"/>
      <c r="Q2381" s="263"/>
      <c r="R2381" s="263"/>
      <c r="S2381" s="263"/>
      <c r="T2381" s="263"/>
      <c r="U2381" s="246"/>
      <c r="V2381" s="246"/>
      <c r="W2381" s="246"/>
      <c r="X2381" s="246"/>
      <c r="Y2381" s="246"/>
      <c r="Z2381" s="246"/>
    </row>
    <row r="2382">
      <c r="A2382" s="263"/>
      <c r="B2382" s="267"/>
      <c r="C2382" s="263"/>
      <c r="D2382" s="263"/>
      <c r="E2382" s="263"/>
      <c r="F2382" s="268"/>
      <c r="G2382" s="263"/>
      <c r="H2382" s="267"/>
      <c r="I2382" s="263"/>
      <c r="J2382" s="263"/>
      <c r="K2382" s="263"/>
      <c r="L2382" s="263"/>
      <c r="M2382" s="263"/>
      <c r="N2382" s="263"/>
      <c r="O2382" s="263"/>
      <c r="P2382" s="263"/>
      <c r="Q2382" s="263"/>
      <c r="R2382" s="263"/>
      <c r="S2382" s="263"/>
      <c r="T2382" s="263"/>
      <c r="U2382" s="246"/>
      <c r="V2382" s="246"/>
      <c r="W2382" s="246"/>
      <c r="X2382" s="246"/>
      <c r="Y2382" s="246"/>
      <c r="Z2382" s="246"/>
    </row>
    <row r="2383">
      <c r="A2383" s="263"/>
      <c r="B2383" s="267"/>
      <c r="C2383" s="263"/>
      <c r="D2383" s="263"/>
      <c r="E2383" s="263"/>
      <c r="F2383" s="268"/>
      <c r="G2383" s="263"/>
      <c r="H2383" s="267"/>
      <c r="I2383" s="263"/>
      <c r="J2383" s="263"/>
      <c r="K2383" s="263"/>
      <c r="L2383" s="263"/>
      <c r="M2383" s="263"/>
      <c r="N2383" s="263"/>
      <c r="O2383" s="263"/>
      <c r="P2383" s="263"/>
      <c r="Q2383" s="263"/>
      <c r="R2383" s="263"/>
      <c r="S2383" s="263"/>
      <c r="T2383" s="263"/>
      <c r="U2383" s="246"/>
      <c r="V2383" s="246"/>
      <c r="W2383" s="246"/>
      <c r="X2383" s="246"/>
      <c r="Y2383" s="246"/>
      <c r="Z2383" s="246"/>
    </row>
    <row r="2384">
      <c r="A2384" s="263"/>
      <c r="B2384" s="267"/>
      <c r="C2384" s="263"/>
      <c r="D2384" s="263"/>
      <c r="E2384" s="263"/>
      <c r="F2384" s="268"/>
      <c r="G2384" s="263"/>
      <c r="H2384" s="267"/>
      <c r="I2384" s="263"/>
      <c r="J2384" s="263"/>
      <c r="K2384" s="263"/>
      <c r="L2384" s="263"/>
      <c r="M2384" s="263"/>
      <c r="N2384" s="263"/>
      <c r="O2384" s="263"/>
      <c r="P2384" s="263"/>
      <c r="Q2384" s="263"/>
      <c r="R2384" s="263"/>
      <c r="S2384" s="263"/>
      <c r="T2384" s="263"/>
      <c r="U2384" s="246"/>
      <c r="V2384" s="246"/>
      <c r="W2384" s="246"/>
      <c r="X2384" s="246"/>
      <c r="Y2384" s="246"/>
      <c r="Z2384" s="246"/>
    </row>
    <row r="2385">
      <c r="A2385" s="263"/>
      <c r="B2385" s="267"/>
      <c r="C2385" s="263"/>
      <c r="D2385" s="263"/>
      <c r="E2385" s="263"/>
      <c r="F2385" s="268"/>
      <c r="G2385" s="263"/>
      <c r="H2385" s="267"/>
      <c r="I2385" s="263"/>
      <c r="J2385" s="263"/>
      <c r="K2385" s="263"/>
      <c r="L2385" s="263"/>
      <c r="M2385" s="263"/>
      <c r="N2385" s="263"/>
      <c r="O2385" s="263"/>
      <c r="P2385" s="263"/>
      <c r="Q2385" s="263"/>
      <c r="R2385" s="263"/>
      <c r="S2385" s="263"/>
      <c r="T2385" s="263"/>
      <c r="U2385" s="246"/>
      <c r="V2385" s="246"/>
      <c r="W2385" s="246"/>
      <c r="X2385" s="246"/>
      <c r="Y2385" s="246"/>
      <c r="Z2385" s="246"/>
    </row>
    <row r="2386">
      <c r="A2386" s="263"/>
      <c r="B2386" s="267"/>
      <c r="C2386" s="263"/>
      <c r="D2386" s="263"/>
      <c r="E2386" s="263"/>
      <c r="F2386" s="268"/>
      <c r="G2386" s="263"/>
      <c r="H2386" s="267"/>
      <c r="I2386" s="263"/>
      <c r="J2386" s="263"/>
      <c r="K2386" s="263"/>
      <c r="L2386" s="263"/>
      <c r="M2386" s="263"/>
      <c r="N2386" s="263"/>
      <c r="O2386" s="263"/>
      <c r="P2386" s="263"/>
      <c r="Q2386" s="263"/>
      <c r="R2386" s="263"/>
      <c r="S2386" s="263"/>
      <c r="T2386" s="263"/>
      <c r="U2386" s="246"/>
      <c r="V2386" s="246"/>
      <c r="W2386" s="246"/>
      <c r="X2386" s="246"/>
      <c r="Y2386" s="246"/>
      <c r="Z2386" s="246"/>
    </row>
    <row r="2387">
      <c r="A2387" s="263"/>
      <c r="B2387" s="267"/>
      <c r="C2387" s="263"/>
      <c r="D2387" s="263"/>
      <c r="E2387" s="263"/>
      <c r="F2387" s="268"/>
      <c r="G2387" s="263"/>
      <c r="H2387" s="267"/>
      <c r="I2387" s="263"/>
      <c r="J2387" s="263"/>
      <c r="K2387" s="263"/>
      <c r="L2387" s="263"/>
      <c r="M2387" s="263"/>
      <c r="N2387" s="263"/>
      <c r="O2387" s="263"/>
      <c r="P2387" s="263"/>
      <c r="Q2387" s="263"/>
      <c r="R2387" s="263"/>
      <c r="S2387" s="263"/>
      <c r="T2387" s="263"/>
      <c r="U2387" s="246"/>
      <c r="V2387" s="246"/>
      <c r="W2387" s="246"/>
      <c r="X2387" s="246"/>
      <c r="Y2387" s="246"/>
      <c r="Z2387" s="246"/>
    </row>
    <row r="2388">
      <c r="A2388" s="263"/>
      <c r="B2388" s="267"/>
      <c r="C2388" s="263"/>
      <c r="D2388" s="263"/>
      <c r="E2388" s="263"/>
      <c r="F2388" s="268"/>
      <c r="G2388" s="263"/>
      <c r="H2388" s="267"/>
      <c r="I2388" s="263"/>
      <c r="J2388" s="263"/>
      <c r="K2388" s="263"/>
      <c r="L2388" s="263"/>
      <c r="M2388" s="263"/>
      <c r="N2388" s="263"/>
      <c r="O2388" s="263"/>
      <c r="P2388" s="263"/>
      <c r="Q2388" s="263"/>
      <c r="R2388" s="263"/>
      <c r="S2388" s="263"/>
      <c r="T2388" s="263"/>
      <c r="U2388" s="246"/>
      <c r="V2388" s="246"/>
      <c r="W2388" s="246"/>
      <c r="X2388" s="246"/>
      <c r="Y2388" s="246"/>
      <c r="Z2388" s="246"/>
    </row>
    <row r="2389">
      <c r="A2389" s="263"/>
      <c r="B2389" s="267"/>
      <c r="C2389" s="263"/>
      <c r="D2389" s="263"/>
      <c r="E2389" s="263"/>
      <c r="F2389" s="268"/>
      <c r="G2389" s="263"/>
      <c r="H2389" s="267"/>
      <c r="I2389" s="263"/>
      <c r="J2389" s="263"/>
      <c r="K2389" s="263"/>
      <c r="L2389" s="263"/>
      <c r="M2389" s="263"/>
      <c r="N2389" s="263"/>
      <c r="O2389" s="263"/>
      <c r="P2389" s="263"/>
      <c r="Q2389" s="263"/>
      <c r="R2389" s="263"/>
      <c r="S2389" s="263"/>
      <c r="T2389" s="263"/>
      <c r="U2389" s="246"/>
      <c r="V2389" s="246"/>
      <c r="W2389" s="246"/>
      <c r="X2389" s="246"/>
      <c r="Y2389" s="246"/>
      <c r="Z2389" s="246"/>
    </row>
    <row r="2390">
      <c r="A2390" s="263"/>
      <c r="B2390" s="267"/>
      <c r="C2390" s="263"/>
      <c r="D2390" s="263"/>
      <c r="E2390" s="263"/>
      <c r="F2390" s="268"/>
      <c r="G2390" s="263"/>
      <c r="H2390" s="267"/>
      <c r="I2390" s="263"/>
      <c r="J2390" s="263"/>
      <c r="K2390" s="263"/>
      <c r="L2390" s="263"/>
      <c r="M2390" s="263"/>
      <c r="N2390" s="263"/>
      <c r="O2390" s="263"/>
      <c r="P2390" s="263"/>
      <c r="Q2390" s="263"/>
      <c r="R2390" s="263"/>
      <c r="S2390" s="263"/>
      <c r="T2390" s="263"/>
      <c r="U2390" s="246"/>
      <c r="V2390" s="246"/>
      <c r="W2390" s="246"/>
      <c r="X2390" s="246"/>
      <c r="Y2390" s="246"/>
      <c r="Z2390" s="246"/>
    </row>
    <row r="2391">
      <c r="A2391" s="263"/>
      <c r="B2391" s="267"/>
      <c r="C2391" s="263"/>
      <c r="D2391" s="263"/>
      <c r="E2391" s="263"/>
      <c r="F2391" s="268"/>
      <c r="G2391" s="263"/>
      <c r="H2391" s="267"/>
      <c r="I2391" s="263"/>
      <c r="J2391" s="263"/>
      <c r="K2391" s="263"/>
      <c r="L2391" s="263"/>
      <c r="M2391" s="263"/>
      <c r="N2391" s="263"/>
      <c r="O2391" s="263"/>
      <c r="P2391" s="263"/>
      <c r="Q2391" s="263"/>
      <c r="R2391" s="263"/>
      <c r="S2391" s="263"/>
      <c r="T2391" s="263"/>
      <c r="U2391" s="246"/>
      <c r="V2391" s="246"/>
      <c r="W2391" s="246"/>
      <c r="X2391" s="246"/>
      <c r="Y2391" s="246"/>
      <c r="Z2391" s="246"/>
    </row>
    <row r="2392">
      <c r="A2392" s="263"/>
      <c r="B2392" s="267"/>
      <c r="C2392" s="263"/>
      <c r="D2392" s="263"/>
      <c r="E2392" s="263"/>
      <c r="F2392" s="268"/>
      <c r="G2392" s="263"/>
      <c r="H2392" s="267"/>
      <c r="I2392" s="263"/>
      <c r="J2392" s="263"/>
      <c r="K2392" s="263"/>
      <c r="L2392" s="263"/>
      <c r="M2392" s="263"/>
      <c r="N2392" s="263"/>
      <c r="O2392" s="263"/>
      <c r="P2392" s="263"/>
      <c r="Q2392" s="263"/>
      <c r="R2392" s="263"/>
      <c r="S2392" s="263"/>
      <c r="T2392" s="263"/>
      <c r="U2392" s="246"/>
      <c r="V2392" s="246"/>
      <c r="W2392" s="246"/>
      <c r="X2392" s="246"/>
      <c r="Y2392" s="246"/>
      <c r="Z2392" s="246"/>
    </row>
    <row r="2393">
      <c r="A2393" s="263"/>
      <c r="B2393" s="267"/>
      <c r="C2393" s="263"/>
      <c r="D2393" s="263"/>
      <c r="E2393" s="263"/>
      <c r="F2393" s="268"/>
      <c r="G2393" s="263"/>
      <c r="H2393" s="267"/>
      <c r="I2393" s="263"/>
      <c r="J2393" s="263"/>
      <c r="K2393" s="263"/>
      <c r="L2393" s="263"/>
      <c r="M2393" s="263"/>
      <c r="N2393" s="263"/>
      <c r="O2393" s="263"/>
      <c r="P2393" s="263"/>
      <c r="Q2393" s="263"/>
      <c r="R2393" s="263"/>
      <c r="S2393" s="263"/>
      <c r="T2393" s="263"/>
      <c r="U2393" s="246"/>
      <c r="V2393" s="246"/>
      <c r="W2393" s="246"/>
      <c r="X2393" s="246"/>
      <c r="Y2393" s="246"/>
      <c r="Z2393" s="246"/>
    </row>
    <row r="2394">
      <c r="A2394" s="263"/>
      <c r="B2394" s="267"/>
      <c r="C2394" s="263"/>
      <c r="D2394" s="263"/>
      <c r="E2394" s="263"/>
      <c r="F2394" s="268"/>
      <c r="G2394" s="263"/>
      <c r="H2394" s="267"/>
      <c r="I2394" s="263"/>
      <c r="J2394" s="263"/>
      <c r="K2394" s="263"/>
      <c r="L2394" s="263"/>
      <c r="M2394" s="263"/>
      <c r="N2394" s="263"/>
      <c r="O2394" s="263"/>
      <c r="P2394" s="263"/>
      <c r="Q2394" s="263"/>
      <c r="R2394" s="263"/>
      <c r="S2394" s="263"/>
      <c r="T2394" s="263"/>
      <c r="U2394" s="246"/>
      <c r="V2394" s="246"/>
      <c r="W2394" s="246"/>
      <c r="X2394" s="246"/>
      <c r="Y2394" s="246"/>
      <c r="Z2394" s="246"/>
    </row>
    <row r="2395">
      <c r="A2395" s="263"/>
      <c r="B2395" s="267"/>
      <c r="C2395" s="263"/>
      <c r="D2395" s="263"/>
      <c r="E2395" s="263"/>
      <c r="F2395" s="268"/>
      <c r="G2395" s="263"/>
      <c r="H2395" s="267"/>
      <c r="I2395" s="263"/>
      <c r="J2395" s="263"/>
      <c r="K2395" s="263"/>
      <c r="L2395" s="263"/>
      <c r="M2395" s="263"/>
      <c r="N2395" s="263"/>
      <c r="O2395" s="263"/>
      <c r="P2395" s="263"/>
      <c r="Q2395" s="263"/>
      <c r="R2395" s="263"/>
      <c r="S2395" s="263"/>
      <c r="T2395" s="263"/>
      <c r="U2395" s="246"/>
      <c r="V2395" s="246"/>
      <c r="W2395" s="246"/>
      <c r="X2395" s="246"/>
      <c r="Y2395" s="246"/>
      <c r="Z2395" s="246"/>
    </row>
    <row r="2396">
      <c r="A2396" s="263"/>
      <c r="B2396" s="267"/>
      <c r="C2396" s="263"/>
      <c r="D2396" s="263"/>
      <c r="E2396" s="263"/>
      <c r="F2396" s="268"/>
      <c r="G2396" s="263"/>
      <c r="H2396" s="267"/>
      <c r="I2396" s="263"/>
      <c r="J2396" s="263"/>
      <c r="K2396" s="263"/>
      <c r="L2396" s="263"/>
      <c r="M2396" s="263"/>
      <c r="N2396" s="263"/>
      <c r="O2396" s="263"/>
      <c r="P2396" s="263"/>
      <c r="Q2396" s="263"/>
      <c r="R2396" s="263"/>
      <c r="S2396" s="263"/>
      <c r="T2396" s="263"/>
      <c r="U2396" s="246"/>
      <c r="V2396" s="246"/>
      <c r="W2396" s="246"/>
      <c r="X2396" s="246"/>
      <c r="Y2396" s="246"/>
      <c r="Z2396" s="246"/>
    </row>
    <row r="2397">
      <c r="A2397" s="263"/>
      <c r="B2397" s="267"/>
      <c r="C2397" s="263"/>
      <c r="D2397" s="263"/>
      <c r="E2397" s="263"/>
      <c r="F2397" s="268"/>
      <c r="G2397" s="263"/>
      <c r="H2397" s="267"/>
      <c r="I2397" s="263"/>
      <c r="J2397" s="263"/>
      <c r="K2397" s="263"/>
      <c r="L2397" s="263"/>
      <c r="M2397" s="263"/>
      <c r="N2397" s="263"/>
      <c r="O2397" s="263"/>
      <c r="P2397" s="263"/>
      <c r="Q2397" s="263"/>
      <c r="R2397" s="263"/>
      <c r="S2397" s="263"/>
      <c r="T2397" s="263"/>
      <c r="U2397" s="246"/>
      <c r="V2397" s="246"/>
      <c r="W2397" s="246"/>
      <c r="X2397" s="246"/>
      <c r="Y2397" s="246"/>
      <c r="Z2397" s="246"/>
    </row>
    <row r="2398">
      <c r="A2398" s="263"/>
      <c r="B2398" s="267"/>
      <c r="C2398" s="263"/>
      <c r="D2398" s="263"/>
      <c r="E2398" s="263"/>
      <c r="F2398" s="268"/>
      <c r="G2398" s="263"/>
      <c r="H2398" s="267"/>
      <c r="I2398" s="263"/>
      <c r="J2398" s="263"/>
      <c r="K2398" s="263"/>
      <c r="L2398" s="263"/>
      <c r="M2398" s="263"/>
      <c r="N2398" s="263"/>
      <c r="O2398" s="263"/>
      <c r="P2398" s="263"/>
      <c r="Q2398" s="263"/>
      <c r="R2398" s="263"/>
      <c r="S2398" s="263"/>
      <c r="T2398" s="263"/>
      <c r="U2398" s="246"/>
      <c r="V2398" s="246"/>
      <c r="W2398" s="246"/>
      <c r="X2398" s="246"/>
      <c r="Y2398" s="246"/>
      <c r="Z2398" s="246"/>
    </row>
    <row r="2399">
      <c r="A2399" s="263"/>
      <c r="B2399" s="267"/>
      <c r="C2399" s="263"/>
      <c r="D2399" s="263"/>
      <c r="E2399" s="263"/>
      <c r="F2399" s="268"/>
      <c r="G2399" s="263"/>
      <c r="H2399" s="267"/>
      <c r="I2399" s="263"/>
      <c r="J2399" s="263"/>
      <c r="K2399" s="263"/>
      <c r="L2399" s="263"/>
      <c r="M2399" s="263"/>
      <c r="N2399" s="263"/>
      <c r="O2399" s="263"/>
      <c r="P2399" s="263"/>
      <c r="Q2399" s="263"/>
      <c r="R2399" s="263"/>
      <c r="S2399" s="263"/>
      <c r="T2399" s="263"/>
      <c r="U2399" s="246"/>
      <c r="V2399" s="246"/>
      <c r="W2399" s="246"/>
      <c r="X2399" s="246"/>
      <c r="Y2399" s="246"/>
      <c r="Z2399" s="246"/>
    </row>
    <row r="2400">
      <c r="A2400" s="263"/>
      <c r="B2400" s="267"/>
      <c r="C2400" s="263"/>
      <c r="D2400" s="263"/>
      <c r="E2400" s="263"/>
      <c r="F2400" s="268"/>
      <c r="G2400" s="263"/>
      <c r="H2400" s="267"/>
      <c r="I2400" s="263"/>
      <c r="J2400" s="263"/>
      <c r="K2400" s="263"/>
      <c r="L2400" s="263"/>
      <c r="M2400" s="263"/>
      <c r="N2400" s="263"/>
      <c r="O2400" s="263"/>
      <c r="P2400" s="263"/>
      <c r="Q2400" s="263"/>
      <c r="R2400" s="263"/>
      <c r="S2400" s="263"/>
      <c r="T2400" s="263"/>
      <c r="U2400" s="246"/>
      <c r="V2400" s="246"/>
      <c r="W2400" s="246"/>
      <c r="X2400" s="246"/>
      <c r="Y2400" s="246"/>
      <c r="Z2400" s="246"/>
    </row>
    <row r="2401">
      <c r="A2401" s="263"/>
      <c r="B2401" s="267"/>
      <c r="C2401" s="263"/>
      <c r="D2401" s="263"/>
      <c r="E2401" s="263"/>
      <c r="F2401" s="268"/>
      <c r="G2401" s="263"/>
      <c r="H2401" s="267"/>
      <c r="I2401" s="263"/>
      <c r="J2401" s="263"/>
      <c r="K2401" s="263"/>
      <c r="L2401" s="263"/>
      <c r="M2401" s="263"/>
      <c r="N2401" s="263"/>
      <c r="O2401" s="263"/>
      <c r="P2401" s="263"/>
      <c r="Q2401" s="263"/>
      <c r="R2401" s="263"/>
      <c r="S2401" s="263"/>
      <c r="T2401" s="263"/>
      <c r="U2401" s="246"/>
      <c r="V2401" s="246"/>
      <c r="W2401" s="246"/>
      <c r="X2401" s="246"/>
      <c r="Y2401" s="246"/>
      <c r="Z2401" s="246"/>
    </row>
    <row r="2402">
      <c r="A2402" s="263"/>
      <c r="B2402" s="267"/>
      <c r="C2402" s="263"/>
      <c r="D2402" s="263"/>
      <c r="E2402" s="263"/>
      <c r="F2402" s="268"/>
      <c r="G2402" s="263"/>
      <c r="H2402" s="267"/>
      <c r="I2402" s="263"/>
      <c r="J2402" s="263"/>
      <c r="K2402" s="263"/>
      <c r="L2402" s="263"/>
      <c r="M2402" s="263"/>
      <c r="N2402" s="263"/>
      <c r="O2402" s="263"/>
      <c r="P2402" s="263"/>
      <c r="Q2402" s="263"/>
      <c r="R2402" s="263"/>
      <c r="S2402" s="263"/>
      <c r="T2402" s="263"/>
      <c r="U2402" s="246"/>
      <c r="V2402" s="246"/>
      <c r="W2402" s="246"/>
      <c r="X2402" s="246"/>
      <c r="Y2402" s="246"/>
      <c r="Z2402" s="246"/>
    </row>
    <row r="2403">
      <c r="A2403" s="263"/>
      <c r="B2403" s="267"/>
      <c r="C2403" s="263"/>
      <c r="D2403" s="263"/>
      <c r="E2403" s="263"/>
      <c r="F2403" s="268"/>
      <c r="G2403" s="263"/>
      <c r="H2403" s="267"/>
      <c r="I2403" s="263"/>
      <c r="J2403" s="263"/>
      <c r="K2403" s="263"/>
      <c r="L2403" s="263"/>
      <c r="M2403" s="263"/>
      <c r="N2403" s="263"/>
      <c r="O2403" s="263"/>
      <c r="P2403" s="263"/>
      <c r="Q2403" s="263"/>
      <c r="R2403" s="263"/>
      <c r="S2403" s="263"/>
      <c r="T2403" s="263"/>
      <c r="U2403" s="246"/>
      <c r="V2403" s="246"/>
      <c r="W2403" s="246"/>
      <c r="X2403" s="246"/>
      <c r="Y2403" s="246"/>
      <c r="Z2403" s="246"/>
    </row>
    <row r="2404">
      <c r="A2404" s="263"/>
      <c r="B2404" s="267"/>
      <c r="C2404" s="263"/>
      <c r="D2404" s="263"/>
      <c r="E2404" s="263"/>
      <c r="F2404" s="268"/>
      <c r="G2404" s="263"/>
      <c r="H2404" s="267"/>
      <c r="I2404" s="263"/>
      <c r="J2404" s="263"/>
      <c r="K2404" s="263"/>
      <c r="L2404" s="263"/>
      <c r="M2404" s="263"/>
      <c r="N2404" s="263"/>
      <c r="O2404" s="263"/>
      <c r="P2404" s="263"/>
      <c r="Q2404" s="263"/>
      <c r="R2404" s="263"/>
      <c r="S2404" s="263"/>
      <c r="T2404" s="263"/>
      <c r="U2404" s="246"/>
      <c r="V2404" s="246"/>
      <c r="W2404" s="246"/>
      <c r="X2404" s="246"/>
      <c r="Y2404" s="246"/>
      <c r="Z2404" s="246"/>
    </row>
    <row r="2405">
      <c r="A2405" s="263"/>
      <c r="B2405" s="267"/>
      <c r="C2405" s="263"/>
      <c r="D2405" s="263"/>
      <c r="E2405" s="263"/>
      <c r="F2405" s="268"/>
      <c r="G2405" s="263"/>
      <c r="H2405" s="267"/>
      <c r="I2405" s="263"/>
      <c r="J2405" s="263"/>
      <c r="K2405" s="263"/>
      <c r="L2405" s="263"/>
      <c r="M2405" s="263"/>
      <c r="N2405" s="263"/>
      <c r="O2405" s="263"/>
      <c r="P2405" s="263"/>
      <c r="Q2405" s="263"/>
      <c r="R2405" s="263"/>
      <c r="S2405" s="263"/>
      <c r="T2405" s="263"/>
      <c r="U2405" s="246"/>
      <c r="V2405" s="246"/>
      <c r="W2405" s="246"/>
      <c r="X2405" s="246"/>
      <c r="Y2405" s="246"/>
      <c r="Z2405" s="246"/>
    </row>
    <row r="2406">
      <c r="A2406" s="263"/>
      <c r="B2406" s="267"/>
      <c r="C2406" s="263"/>
      <c r="D2406" s="263"/>
      <c r="E2406" s="263"/>
      <c r="F2406" s="268"/>
      <c r="G2406" s="263"/>
      <c r="H2406" s="267"/>
      <c r="I2406" s="263"/>
      <c r="J2406" s="263"/>
      <c r="K2406" s="263"/>
      <c r="L2406" s="263"/>
      <c r="M2406" s="263"/>
      <c r="N2406" s="263"/>
      <c r="O2406" s="263"/>
      <c r="P2406" s="263"/>
      <c r="Q2406" s="263"/>
      <c r="R2406" s="263"/>
      <c r="S2406" s="263"/>
      <c r="T2406" s="263"/>
      <c r="U2406" s="246"/>
      <c r="V2406" s="246"/>
      <c r="W2406" s="246"/>
      <c r="X2406" s="246"/>
      <c r="Y2406" s="246"/>
      <c r="Z2406" s="246"/>
    </row>
    <row r="2407">
      <c r="A2407" s="263"/>
      <c r="B2407" s="267"/>
      <c r="C2407" s="263"/>
      <c r="D2407" s="263"/>
      <c r="E2407" s="263"/>
      <c r="F2407" s="268"/>
      <c r="G2407" s="263"/>
      <c r="H2407" s="267"/>
      <c r="I2407" s="263"/>
      <c r="J2407" s="263"/>
      <c r="K2407" s="263"/>
      <c r="L2407" s="263"/>
      <c r="M2407" s="263"/>
      <c r="N2407" s="263"/>
      <c r="O2407" s="263"/>
      <c r="P2407" s="263"/>
      <c r="Q2407" s="263"/>
      <c r="R2407" s="263"/>
      <c r="S2407" s="263"/>
      <c r="T2407" s="263"/>
      <c r="U2407" s="246"/>
      <c r="V2407" s="246"/>
      <c r="W2407" s="246"/>
      <c r="X2407" s="246"/>
      <c r="Y2407" s="246"/>
      <c r="Z2407" s="246"/>
    </row>
    <row r="2408">
      <c r="A2408" s="263"/>
      <c r="B2408" s="267"/>
      <c r="C2408" s="263"/>
      <c r="D2408" s="263"/>
      <c r="E2408" s="263"/>
      <c r="F2408" s="268"/>
      <c r="G2408" s="263"/>
      <c r="H2408" s="267"/>
      <c r="I2408" s="263"/>
      <c r="J2408" s="263"/>
      <c r="K2408" s="263"/>
      <c r="L2408" s="263"/>
      <c r="M2408" s="263"/>
      <c r="N2408" s="263"/>
      <c r="O2408" s="263"/>
      <c r="P2408" s="263"/>
      <c r="Q2408" s="263"/>
      <c r="R2408" s="263"/>
      <c r="S2408" s="263"/>
      <c r="T2408" s="263"/>
      <c r="U2408" s="246"/>
      <c r="V2408" s="246"/>
      <c r="W2408" s="246"/>
      <c r="X2408" s="246"/>
      <c r="Y2408" s="246"/>
      <c r="Z2408" s="246"/>
    </row>
    <row r="2409">
      <c r="A2409" s="263"/>
      <c r="B2409" s="267"/>
      <c r="C2409" s="263"/>
      <c r="D2409" s="263"/>
      <c r="E2409" s="263"/>
      <c r="F2409" s="268"/>
      <c r="G2409" s="263"/>
      <c r="H2409" s="267"/>
      <c r="I2409" s="263"/>
      <c r="J2409" s="263"/>
      <c r="K2409" s="263"/>
      <c r="L2409" s="263"/>
      <c r="M2409" s="263"/>
      <c r="N2409" s="263"/>
      <c r="O2409" s="263"/>
      <c r="P2409" s="263"/>
      <c r="Q2409" s="263"/>
      <c r="R2409" s="263"/>
      <c r="S2409" s="263"/>
      <c r="T2409" s="263"/>
      <c r="U2409" s="246"/>
      <c r="V2409" s="246"/>
      <c r="W2409" s="246"/>
      <c r="X2409" s="246"/>
      <c r="Y2409" s="246"/>
      <c r="Z2409" s="246"/>
    </row>
    <row r="2410">
      <c r="A2410" s="263"/>
      <c r="B2410" s="267"/>
      <c r="C2410" s="263"/>
      <c r="D2410" s="263"/>
      <c r="E2410" s="263"/>
      <c r="F2410" s="268"/>
      <c r="G2410" s="263"/>
      <c r="H2410" s="267"/>
      <c r="I2410" s="263"/>
      <c r="J2410" s="263"/>
      <c r="K2410" s="263"/>
      <c r="L2410" s="263"/>
      <c r="M2410" s="263"/>
      <c r="N2410" s="263"/>
      <c r="O2410" s="263"/>
      <c r="P2410" s="263"/>
      <c r="Q2410" s="263"/>
      <c r="R2410" s="263"/>
      <c r="S2410" s="263"/>
      <c r="T2410" s="263"/>
      <c r="U2410" s="246"/>
      <c r="V2410" s="246"/>
      <c r="W2410" s="246"/>
      <c r="X2410" s="246"/>
      <c r="Y2410" s="246"/>
      <c r="Z2410" s="246"/>
    </row>
    <row r="2411">
      <c r="A2411" s="263"/>
      <c r="B2411" s="267"/>
      <c r="C2411" s="263"/>
      <c r="D2411" s="263"/>
      <c r="E2411" s="263"/>
      <c r="F2411" s="268"/>
      <c r="G2411" s="263"/>
      <c r="H2411" s="267"/>
      <c r="I2411" s="263"/>
      <c r="J2411" s="263"/>
      <c r="K2411" s="263"/>
      <c r="L2411" s="263"/>
      <c r="M2411" s="263"/>
      <c r="N2411" s="263"/>
      <c r="O2411" s="263"/>
      <c r="P2411" s="263"/>
      <c r="Q2411" s="263"/>
      <c r="R2411" s="263"/>
      <c r="S2411" s="263"/>
      <c r="T2411" s="263"/>
      <c r="U2411" s="246"/>
      <c r="V2411" s="246"/>
      <c r="W2411" s="246"/>
      <c r="X2411" s="246"/>
      <c r="Y2411" s="246"/>
      <c r="Z2411" s="246"/>
    </row>
    <row r="2412">
      <c r="A2412" s="263"/>
      <c r="B2412" s="267"/>
      <c r="C2412" s="263"/>
      <c r="D2412" s="263"/>
      <c r="E2412" s="263"/>
      <c r="F2412" s="268"/>
      <c r="G2412" s="263"/>
      <c r="H2412" s="267"/>
      <c r="I2412" s="263"/>
      <c r="J2412" s="263"/>
      <c r="K2412" s="263"/>
      <c r="L2412" s="263"/>
      <c r="M2412" s="263"/>
      <c r="N2412" s="263"/>
      <c r="O2412" s="263"/>
      <c r="P2412" s="263"/>
      <c r="Q2412" s="263"/>
      <c r="R2412" s="263"/>
      <c r="S2412" s="263"/>
      <c r="T2412" s="263"/>
      <c r="U2412" s="246"/>
      <c r="V2412" s="246"/>
      <c r="W2412" s="246"/>
      <c r="X2412" s="246"/>
      <c r="Y2412" s="246"/>
      <c r="Z2412" s="246"/>
    </row>
    <row r="2413">
      <c r="A2413" s="263"/>
      <c r="B2413" s="267"/>
      <c r="C2413" s="263"/>
      <c r="D2413" s="263"/>
      <c r="E2413" s="263"/>
      <c r="F2413" s="268"/>
      <c r="G2413" s="263"/>
      <c r="H2413" s="267"/>
      <c r="I2413" s="263"/>
      <c r="J2413" s="263"/>
      <c r="K2413" s="263"/>
      <c r="L2413" s="263"/>
      <c r="M2413" s="263"/>
      <c r="N2413" s="263"/>
      <c r="O2413" s="263"/>
      <c r="P2413" s="263"/>
      <c r="Q2413" s="263"/>
      <c r="R2413" s="263"/>
      <c r="S2413" s="263"/>
      <c r="T2413" s="263"/>
      <c r="U2413" s="246"/>
      <c r="V2413" s="246"/>
      <c r="W2413" s="246"/>
      <c r="X2413" s="246"/>
      <c r="Y2413" s="246"/>
      <c r="Z2413" s="246"/>
    </row>
    <row r="2414">
      <c r="A2414" s="263"/>
      <c r="B2414" s="267"/>
      <c r="C2414" s="263"/>
      <c r="D2414" s="263"/>
      <c r="E2414" s="263"/>
      <c r="F2414" s="268"/>
      <c r="G2414" s="263"/>
      <c r="H2414" s="267"/>
      <c r="I2414" s="263"/>
      <c r="J2414" s="263"/>
      <c r="K2414" s="263"/>
      <c r="L2414" s="263"/>
      <c r="M2414" s="263"/>
      <c r="N2414" s="263"/>
      <c r="O2414" s="263"/>
      <c r="P2414" s="263"/>
      <c r="Q2414" s="263"/>
      <c r="R2414" s="263"/>
      <c r="S2414" s="263"/>
      <c r="T2414" s="263"/>
      <c r="U2414" s="246"/>
      <c r="V2414" s="246"/>
      <c r="W2414" s="246"/>
      <c r="X2414" s="246"/>
      <c r="Y2414" s="246"/>
      <c r="Z2414" s="246"/>
    </row>
    <row r="2415">
      <c r="A2415" s="263"/>
      <c r="B2415" s="267"/>
      <c r="C2415" s="263"/>
      <c r="D2415" s="263"/>
      <c r="E2415" s="263"/>
      <c r="F2415" s="268"/>
      <c r="G2415" s="263"/>
      <c r="H2415" s="267"/>
      <c r="I2415" s="263"/>
      <c r="J2415" s="263"/>
      <c r="K2415" s="263"/>
      <c r="L2415" s="263"/>
      <c r="M2415" s="263"/>
      <c r="N2415" s="263"/>
      <c r="O2415" s="263"/>
      <c r="P2415" s="263"/>
      <c r="Q2415" s="263"/>
      <c r="R2415" s="263"/>
      <c r="S2415" s="263"/>
      <c r="T2415" s="263"/>
      <c r="U2415" s="246"/>
      <c r="V2415" s="246"/>
      <c r="W2415" s="246"/>
      <c r="X2415" s="246"/>
      <c r="Y2415" s="246"/>
      <c r="Z2415" s="246"/>
    </row>
    <row r="2416">
      <c r="A2416" s="263"/>
      <c r="B2416" s="267"/>
      <c r="C2416" s="263"/>
      <c r="D2416" s="263"/>
      <c r="E2416" s="263"/>
      <c r="F2416" s="268"/>
      <c r="G2416" s="263"/>
      <c r="H2416" s="267"/>
      <c r="I2416" s="263"/>
      <c r="J2416" s="263"/>
      <c r="K2416" s="263"/>
      <c r="L2416" s="263"/>
      <c r="M2416" s="263"/>
      <c r="N2416" s="263"/>
      <c r="O2416" s="263"/>
      <c r="P2416" s="263"/>
      <c r="Q2416" s="263"/>
      <c r="R2416" s="263"/>
      <c r="S2416" s="263"/>
      <c r="T2416" s="263"/>
      <c r="U2416" s="246"/>
      <c r="V2416" s="246"/>
      <c r="W2416" s="246"/>
      <c r="X2416" s="246"/>
      <c r="Y2416" s="246"/>
      <c r="Z2416" s="246"/>
    </row>
    <row r="2417">
      <c r="A2417" s="263"/>
      <c r="B2417" s="267"/>
      <c r="C2417" s="263"/>
      <c r="D2417" s="263"/>
      <c r="E2417" s="263"/>
      <c r="F2417" s="268"/>
      <c r="G2417" s="263"/>
      <c r="H2417" s="267"/>
      <c r="I2417" s="263"/>
      <c r="J2417" s="263"/>
      <c r="K2417" s="263"/>
      <c r="L2417" s="263"/>
      <c r="M2417" s="263"/>
      <c r="N2417" s="263"/>
      <c r="O2417" s="263"/>
      <c r="P2417" s="263"/>
      <c r="Q2417" s="263"/>
      <c r="R2417" s="263"/>
      <c r="S2417" s="263"/>
      <c r="T2417" s="263"/>
      <c r="U2417" s="246"/>
      <c r="V2417" s="246"/>
      <c r="W2417" s="246"/>
      <c r="X2417" s="246"/>
      <c r="Y2417" s="246"/>
      <c r="Z2417" s="246"/>
    </row>
    <row r="2418">
      <c r="A2418" s="263"/>
      <c r="B2418" s="267"/>
      <c r="C2418" s="263"/>
      <c r="D2418" s="263"/>
      <c r="E2418" s="263"/>
      <c r="F2418" s="268"/>
      <c r="G2418" s="263"/>
      <c r="H2418" s="267"/>
      <c r="I2418" s="263"/>
      <c r="J2418" s="263"/>
      <c r="K2418" s="263"/>
      <c r="L2418" s="263"/>
      <c r="M2418" s="263"/>
      <c r="N2418" s="263"/>
      <c r="O2418" s="263"/>
      <c r="P2418" s="263"/>
      <c r="Q2418" s="263"/>
      <c r="R2418" s="263"/>
      <c r="S2418" s="263"/>
      <c r="T2418" s="263"/>
      <c r="U2418" s="246"/>
      <c r="V2418" s="246"/>
      <c r="W2418" s="246"/>
      <c r="X2418" s="246"/>
      <c r="Y2418" s="246"/>
      <c r="Z2418" s="246"/>
    </row>
    <row r="2419">
      <c r="A2419" s="263"/>
      <c r="B2419" s="267"/>
      <c r="C2419" s="263"/>
      <c r="D2419" s="263"/>
      <c r="E2419" s="263"/>
      <c r="F2419" s="268"/>
      <c r="G2419" s="263"/>
      <c r="H2419" s="267"/>
      <c r="I2419" s="263"/>
      <c r="J2419" s="263"/>
      <c r="K2419" s="263"/>
      <c r="L2419" s="263"/>
      <c r="M2419" s="263"/>
      <c r="N2419" s="263"/>
      <c r="O2419" s="263"/>
      <c r="P2419" s="263"/>
      <c r="Q2419" s="263"/>
      <c r="R2419" s="263"/>
      <c r="S2419" s="263"/>
      <c r="T2419" s="263"/>
      <c r="U2419" s="246"/>
      <c r="V2419" s="246"/>
      <c r="W2419" s="246"/>
      <c r="X2419" s="246"/>
      <c r="Y2419" s="246"/>
      <c r="Z2419" s="246"/>
    </row>
    <row r="2420">
      <c r="A2420" s="263"/>
      <c r="B2420" s="267"/>
      <c r="C2420" s="263"/>
      <c r="D2420" s="263"/>
      <c r="E2420" s="263"/>
      <c r="F2420" s="268"/>
      <c r="G2420" s="263"/>
      <c r="H2420" s="267"/>
      <c r="I2420" s="263"/>
      <c r="J2420" s="263"/>
      <c r="K2420" s="263"/>
      <c r="L2420" s="263"/>
      <c r="M2420" s="263"/>
      <c r="N2420" s="263"/>
      <c r="O2420" s="263"/>
      <c r="P2420" s="263"/>
      <c r="Q2420" s="263"/>
      <c r="R2420" s="263"/>
      <c r="S2420" s="263"/>
      <c r="T2420" s="263"/>
      <c r="U2420" s="246"/>
      <c r="V2420" s="246"/>
      <c r="W2420" s="246"/>
      <c r="X2420" s="246"/>
      <c r="Y2420" s="246"/>
      <c r="Z2420" s="246"/>
    </row>
    <row r="2421">
      <c r="A2421" s="263"/>
      <c r="B2421" s="267"/>
      <c r="C2421" s="263"/>
      <c r="D2421" s="263"/>
      <c r="E2421" s="263"/>
      <c r="F2421" s="268"/>
      <c r="G2421" s="263"/>
      <c r="H2421" s="267"/>
      <c r="I2421" s="263"/>
      <c r="J2421" s="263"/>
      <c r="K2421" s="263"/>
      <c r="L2421" s="263"/>
      <c r="M2421" s="263"/>
      <c r="N2421" s="263"/>
      <c r="O2421" s="263"/>
      <c r="P2421" s="263"/>
      <c r="Q2421" s="263"/>
      <c r="R2421" s="263"/>
      <c r="S2421" s="263"/>
      <c r="T2421" s="263"/>
      <c r="U2421" s="246"/>
      <c r="V2421" s="246"/>
      <c r="W2421" s="246"/>
      <c r="X2421" s="246"/>
      <c r="Y2421" s="246"/>
      <c r="Z2421" s="246"/>
    </row>
    <row r="2422">
      <c r="A2422" s="263"/>
      <c r="B2422" s="267"/>
      <c r="C2422" s="263"/>
      <c r="D2422" s="263"/>
      <c r="E2422" s="263"/>
      <c r="F2422" s="268"/>
      <c r="G2422" s="263"/>
      <c r="H2422" s="267"/>
      <c r="I2422" s="263"/>
      <c r="J2422" s="263"/>
      <c r="K2422" s="263"/>
      <c r="L2422" s="263"/>
      <c r="M2422" s="263"/>
      <c r="N2422" s="263"/>
      <c r="O2422" s="263"/>
      <c r="P2422" s="263"/>
      <c r="Q2422" s="263"/>
      <c r="R2422" s="263"/>
      <c r="S2422" s="263"/>
      <c r="T2422" s="263"/>
      <c r="U2422" s="246"/>
      <c r="V2422" s="246"/>
      <c r="W2422" s="246"/>
      <c r="X2422" s="246"/>
      <c r="Y2422" s="246"/>
      <c r="Z2422" s="246"/>
    </row>
    <row r="2423">
      <c r="A2423" s="263"/>
      <c r="B2423" s="267"/>
      <c r="C2423" s="263"/>
      <c r="D2423" s="263"/>
      <c r="E2423" s="263"/>
      <c r="F2423" s="268"/>
      <c r="G2423" s="263"/>
      <c r="H2423" s="267"/>
      <c r="I2423" s="263"/>
      <c r="J2423" s="263"/>
      <c r="K2423" s="263"/>
      <c r="L2423" s="263"/>
      <c r="M2423" s="263"/>
      <c r="N2423" s="263"/>
      <c r="O2423" s="263"/>
      <c r="P2423" s="263"/>
      <c r="Q2423" s="263"/>
      <c r="R2423" s="263"/>
      <c r="S2423" s="263"/>
      <c r="T2423" s="263"/>
      <c r="U2423" s="246"/>
      <c r="V2423" s="246"/>
      <c r="W2423" s="246"/>
      <c r="X2423" s="246"/>
      <c r="Y2423" s="246"/>
      <c r="Z2423" s="246"/>
    </row>
    <row r="2424">
      <c r="A2424" s="263"/>
      <c r="B2424" s="267"/>
      <c r="C2424" s="263"/>
      <c r="D2424" s="263"/>
      <c r="E2424" s="263"/>
      <c r="F2424" s="268"/>
      <c r="G2424" s="263"/>
      <c r="H2424" s="267"/>
      <c r="I2424" s="263"/>
      <c r="J2424" s="263"/>
      <c r="K2424" s="263"/>
      <c r="L2424" s="263"/>
      <c r="M2424" s="263"/>
      <c r="N2424" s="263"/>
      <c r="O2424" s="263"/>
      <c r="P2424" s="263"/>
      <c r="Q2424" s="263"/>
      <c r="R2424" s="263"/>
      <c r="S2424" s="263"/>
      <c r="T2424" s="263"/>
      <c r="U2424" s="246"/>
      <c r="V2424" s="246"/>
      <c r="W2424" s="246"/>
      <c r="X2424" s="246"/>
      <c r="Y2424" s="246"/>
      <c r="Z2424" s="246"/>
    </row>
    <row r="2425">
      <c r="A2425" s="263"/>
      <c r="B2425" s="267"/>
      <c r="C2425" s="263"/>
      <c r="D2425" s="263"/>
      <c r="E2425" s="263"/>
      <c r="F2425" s="268"/>
      <c r="G2425" s="263"/>
      <c r="H2425" s="267"/>
      <c r="I2425" s="263"/>
      <c r="J2425" s="263"/>
      <c r="K2425" s="263"/>
      <c r="L2425" s="263"/>
      <c r="M2425" s="263"/>
      <c r="N2425" s="263"/>
      <c r="O2425" s="263"/>
      <c r="P2425" s="263"/>
      <c r="Q2425" s="263"/>
      <c r="R2425" s="263"/>
      <c r="S2425" s="263"/>
      <c r="T2425" s="263"/>
      <c r="U2425" s="246"/>
      <c r="V2425" s="246"/>
      <c r="W2425" s="246"/>
      <c r="X2425" s="246"/>
      <c r="Y2425" s="246"/>
      <c r="Z2425" s="246"/>
    </row>
    <row r="2426">
      <c r="A2426" s="263"/>
      <c r="B2426" s="267"/>
      <c r="C2426" s="263"/>
      <c r="D2426" s="263"/>
      <c r="E2426" s="263"/>
      <c r="F2426" s="268"/>
      <c r="G2426" s="263"/>
      <c r="H2426" s="267"/>
      <c r="I2426" s="263"/>
      <c r="J2426" s="263"/>
      <c r="K2426" s="263"/>
      <c r="L2426" s="263"/>
      <c r="M2426" s="263"/>
      <c r="N2426" s="263"/>
      <c r="O2426" s="263"/>
      <c r="P2426" s="263"/>
      <c r="Q2426" s="263"/>
      <c r="R2426" s="263"/>
      <c r="S2426" s="263"/>
      <c r="T2426" s="263"/>
      <c r="U2426" s="246"/>
      <c r="V2426" s="246"/>
      <c r="W2426" s="246"/>
      <c r="X2426" s="246"/>
      <c r="Y2426" s="246"/>
      <c r="Z2426" s="246"/>
    </row>
    <row r="2427">
      <c r="A2427" s="263"/>
      <c r="B2427" s="267"/>
      <c r="C2427" s="263"/>
      <c r="D2427" s="263"/>
      <c r="E2427" s="263"/>
      <c r="F2427" s="268"/>
      <c r="G2427" s="263"/>
      <c r="H2427" s="267"/>
      <c r="I2427" s="263"/>
      <c r="J2427" s="263"/>
      <c r="K2427" s="263"/>
      <c r="L2427" s="263"/>
      <c r="M2427" s="263"/>
      <c r="N2427" s="263"/>
      <c r="O2427" s="263"/>
      <c r="P2427" s="263"/>
      <c r="Q2427" s="263"/>
      <c r="R2427" s="263"/>
      <c r="S2427" s="263"/>
      <c r="T2427" s="263"/>
      <c r="U2427" s="246"/>
      <c r="V2427" s="246"/>
      <c r="W2427" s="246"/>
      <c r="X2427" s="246"/>
      <c r="Y2427" s="246"/>
      <c r="Z2427" s="246"/>
    </row>
    <row r="2428">
      <c r="A2428" s="263"/>
      <c r="B2428" s="267"/>
      <c r="C2428" s="263"/>
      <c r="D2428" s="263"/>
      <c r="E2428" s="263"/>
      <c r="F2428" s="268"/>
      <c r="G2428" s="263"/>
      <c r="H2428" s="267"/>
      <c r="I2428" s="263"/>
      <c r="J2428" s="263"/>
      <c r="K2428" s="263"/>
      <c r="L2428" s="263"/>
      <c r="M2428" s="263"/>
      <c r="N2428" s="263"/>
      <c r="O2428" s="263"/>
      <c r="P2428" s="263"/>
      <c r="Q2428" s="263"/>
      <c r="R2428" s="263"/>
      <c r="S2428" s="263"/>
      <c r="T2428" s="263"/>
      <c r="U2428" s="246"/>
      <c r="V2428" s="246"/>
      <c r="W2428" s="246"/>
      <c r="X2428" s="246"/>
      <c r="Y2428" s="246"/>
      <c r="Z2428" s="246"/>
    </row>
    <row r="2429">
      <c r="A2429" s="263"/>
      <c r="B2429" s="267"/>
      <c r="C2429" s="263"/>
      <c r="D2429" s="263"/>
      <c r="E2429" s="263"/>
      <c r="F2429" s="268"/>
      <c r="G2429" s="263"/>
      <c r="H2429" s="267"/>
      <c r="I2429" s="263"/>
      <c r="J2429" s="263"/>
      <c r="K2429" s="263"/>
      <c r="L2429" s="263"/>
      <c r="M2429" s="263"/>
      <c r="N2429" s="263"/>
      <c r="O2429" s="263"/>
      <c r="P2429" s="263"/>
      <c r="Q2429" s="263"/>
      <c r="R2429" s="263"/>
      <c r="S2429" s="263"/>
      <c r="T2429" s="263"/>
      <c r="U2429" s="246"/>
      <c r="V2429" s="246"/>
      <c r="W2429" s="246"/>
      <c r="X2429" s="246"/>
      <c r="Y2429" s="246"/>
      <c r="Z2429" s="246"/>
    </row>
    <row r="2430">
      <c r="A2430" s="263"/>
      <c r="B2430" s="267"/>
      <c r="C2430" s="263"/>
      <c r="D2430" s="263"/>
      <c r="E2430" s="263"/>
      <c r="F2430" s="268"/>
      <c r="G2430" s="263"/>
      <c r="H2430" s="267"/>
      <c r="I2430" s="263"/>
      <c r="J2430" s="263"/>
      <c r="K2430" s="263"/>
      <c r="L2430" s="263"/>
      <c r="M2430" s="263"/>
      <c r="N2430" s="263"/>
      <c r="O2430" s="263"/>
      <c r="P2430" s="263"/>
      <c r="Q2430" s="263"/>
      <c r="R2430" s="263"/>
      <c r="S2430" s="263"/>
      <c r="T2430" s="263"/>
      <c r="U2430" s="246"/>
      <c r="V2430" s="246"/>
      <c r="W2430" s="246"/>
      <c r="X2430" s="246"/>
      <c r="Y2430" s="246"/>
      <c r="Z2430" s="246"/>
    </row>
    <row r="2431">
      <c r="A2431" s="263"/>
      <c r="B2431" s="267"/>
      <c r="C2431" s="263"/>
      <c r="D2431" s="263"/>
      <c r="E2431" s="263"/>
      <c r="F2431" s="268"/>
      <c r="G2431" s="263"/>
      <c r="H2431" s="267"/>
      <c r="I2431" s="263"/>
      <c r="J2431" s="263"/>
      <c r="K2431" s="263"/>
      <c r="L2431" s="263"/>
      <c r="M2431" s="263"/>
      <c r="N2431" s="263"/>
      <c r="O2431" s="263"/>
      <c r="P2431" s="263"/>
      <c r="Q2431" s="263"/>
      <c r="R2431" s="263"/>
      <c r="S2431" s="263"/>
      <c r="T2431" s="263"/>
      <c r="U2431" s="246"/>
      <c r="V2431" s="246"/>
      <c r="W2431" s="246"/>
      <c r="X2431" s="246"/>
      <c r="Y2431" s="246"/>
      <c r="Z2431" s="246"/>
    </row>
    <row r="2432">
      <c r="A2432" s="263"/>
      <c r="B2432" s="267"/>
      <c r="C2432" s="263"/>
      <c r="D2432" s="263"/>
      <c r="E2432" s="263"/>
      <c r="F2432" s="268"/>
      <c r="G2432" s="263"/>
      <c r="H2432" s="267"/>
      <c r="I2432" s="263"/>
      <c r="J2432" s="263"/>
      <c r="K2432" s="263"/>
      <c r="L2432" s="263"/>
      <c r="M2432" s="263"/>
      <c r="N2432" s="263"/>
      <c r="O2432" s="263"/>
      <c r="P2432" s="263"/>
      <c r="Q2432" s="263"/>
      <c r="R2432" s="263"/>
      <c r="S2432" s="263"/>
      <c r="T2432" s="263"/>
      <c r="U2432" s="246"/>
      <c r="V2432" s="246"/>
      <c r="W2432" s="246"/>
      <c r="X2432" s="246"/>
      <c r="Y2432" s="246"/>
      <c r="Z2432" s="246"/>
    </row>
    <row r="2433">
      <c r="A2433" s="263"/>
      <c r="B2433" s="267"/>
      <c r="C2433" s="263"/>
      <c r="D2433" s="263"/>
      <c r="E2433" s="263"/>
      <c r="F2433" s="268"/>
      <c r="G2433" s="263"/>
      <c r="H2433" s="267"/>
      <c r="I2433" s="263"/>
      <c r="J2433" s="263"/>
      <c r="K2433" s="263"/>
      <c r="L2433" s="263"/>
      <c r="M2433" s="263"/>
      <c r="N2433" s="263"/>
      <c r="O2433" s="263"/>
      <c r="P2433" s="263"/>
      <c r="Q2433" s="263"/>
      <c r="R2433" s="263"/>
      <c r="S2433" s="263"/>
      <c r="T2433" s="263"/>
      <c r="U2433" s="246"/>
      <c r="V2433" s="246"/>
      <c r="W2433" s="246"/>
      <c r="X2433" s="246"/>
      <c r="Y2433" s="246"/>
      <c r="Z2433" s="246"/>
    </row>
    <row r="2434">
      <c r="A2434" s="263"/>
      <c r="B2434" s="267"/>
      <c r="C2434" s="263"/>
      <c r="D2434" s="263"/>
      <c r="E2434" s="263"/>
      <c r="F2434" s="268"/>
      <c r="G2434" s="263"/>
      <c r="H2434" s="267"/>
      <c r="I2434" s="263"/>
      <c r="J2434" s="263"/>
      <c r="K2434" s="263"/>
      <c r="L2434" s="263"/>
      <c r="M2434" s="263"/>
      <c r="N2434" s="263"/>
      <c r="O2434" s="263"/>
      <c r="P2434" s="263"/>
      <c r="Q2434" s="263"/>
      <c r="R2434" s="263"/>
      <c r="S2434" s="263"/>
      <c r="T2434" s="263"/>
      <c r="U2434" s="246"/>
      <c r="V2434" s="246"/>
      <c r="W2434" s="246"/>
      <c r="X2434" s="246"/>
      <c r="Y2434" s="246"/>
      <c r="Z2434" s="246"/>
    </row>
    <row r="2435">
      <c r="A2435" s="263"/>
      <c r="B2435" s="267"/>
      <c r="C2435" s="263"/>
      <c r="D2435" s="263"/>
      <c r="E2435" s="263"/>
      <c r="F2435" s="268"/>
      <c r="G2435" s="263"/>
      <c r="H2435" s="267"/>
      <c r="I2435" s="263"/>
      <c r="J2435" s="263"/>
      <c r="K2435" s="263"/>
      <c r="L2435" s="263"/>
      <c r="M2435" s="263"/>
      <c r="N2435" s="263"/>
      <c r="O2435" s="263"/>
      <c r="P2435" s="263"/>
      <c r="Q2435" s="263"/>
      <c r="R2435" s="263"/>
      <c r="S2435" s="263"/>
      <c r="T2435" s="263"/>
      <c r="U2435" s="246"/>
      <c r="V2435" s="246"/>
      <c r="W2435" s="246"/>
      <c r="X2435" s="246"/>
      <c r="Y2435" s="246"/>
      <c r="Z2435" s="246"/>
    </row>
    <row r="2436">
      <c r="A2436" s="263"/>
      <c r="B2436" s="267"/>
      <c r="C2436" s="263"/>
      <c r="D2436" s="263"/>
      <c r="E2436" s="263"/>
      <c r="F2436" s="268"/>
      <c r="G2436" s="263"/>
      <c r="H2436" s="267"/>
      <c r="I2436" s="263"/>
      <c r="J2436" s="263"/>
      <c r="K2436" s="263"/>
      <c r="L2436" s="263"/>
      <c r="M2436" s="263"/>
      <c r="N2436" s="263"/>
      <c r="O2436" s="263"/>
      <c r="P2436" s="263"/>
      <c r="Q2436" s="263"/>
      <c r="R2436" s="263"/>
      <c r="S2436" s="263"/>
      <c r="T2436" s="263"/>
      <c r="U2436" s="246"/>
      <c r="V2436" s="246"/>
      <c r="W2436" s="246"/>
      <c r="X2436" s="246"/>
      <c r="Y2436" s="246"/>
      <c r="Z2436" s="246"/>
    </row>
    <row r="2437">
      <c r="A2437" s="263"/>
      <c r="B2437" s="267"/>
      <c r="C2437" s="263"/>
      <c r="D2437" s="263"/>
      <c r="E2437" s="263"/>
      <c r="F2437" s="268"/>
      <c r="G2437" s="263"/>
      <c r="H2437" s="267"/>
      <c r="I2437" s="263"/>
      <c r="J2437" s="263"/>
      <c r="K2437" s="263"/>
      <c r="L2437" s="263"/>
      <c r="M2437" s="263"/>
      <c r="N2437" s="263"/>
      <c r="O2437" s="263"/>
      <c r="P2437" s="263"/>
      <c r="Q2437" s="263"/>
      <c r="R2437" s="263"/>
      <c r="S2437" s="263"/>
      <c r="T2437" s="263"/>
      <c r="U2437" s="246"/>
      <c r="V2437" s="246"/>
      <c r="W2437" s="246"/>
      <c r="X2437" s="246"/>
      <c r="Y2437" s="246"/>
      <c r="Z2437" s="246"/>
    </row>
    <row r="2438">
      <c r="A2438" s="263"/>
      <c r="B2438" s="267"/>
      <c r="C2438" s="263"/>
      <c r="D2438" s="263"/>
      <c r="E2438" s="263"/>
      <c r="F2438" s="268"/>
      <c r="G2438" s="263"/>
      <c r="H2438" s="267"/>
      <c r="I2438" s="263"/>
      <c r="J2438" s="263"/>
      <c r="K2438" s="263"/>
      <c r="L2438" s="263"/>
      <c r="M2438" s="263"/>
      <c r="N2438" s="263"/>
      <c r="O2438" s="263"/>
      <c r="P2438" s="263"/>
      <c r="Q2438" s="263"/>
      <c r="R2438" s="263"/>
      <c r="S2438" s="263"/>
      <c r="T2438" s="263"/>
      <c r="U2438" s="246"/>
      <c r="V2438" s="246"/>
      <c r="W2438" s="246"/>
      <c r="X2438" s="246"/>
      <c r="Y2438" s="246"/>
      <c r="Z2438" s="246"/>
    </row>
    <row r="2439">
      <c r="A2439" s="263"/>
      <c r="B2439" s="267"/>
      <c r="C2439" s="263"/>
      <c r="D2439" s="263"/>
      <c r="E2439" s="263"/>
      <c r="F2439" s="268"/>
      <c r="G2439" s="263"/>
      <c r="H2439" s="267"/>
      <c r="I2439" s="263"/>
      <c r="J2439" s="263"/>
      <c r="K2439" s="263"/>
      <c r="L2439" s="263"/>
      <c r="M2439" s="263"/>
      <c r="N2439" s="263"/>
      <c r="O2439" s="263"/>
      <c r="P2439" s="263"/>
      <c r="Q2439" s="263"/>
      <c r="R2439" s="263"/>
      <c r="S2439" s="263"/>
      <c r="T2439" s="263"/>
      <c r="U2439" s="246"/>
      <c r="V2439" s="246"/>
      <c r="W2439" s="246"/>
      <c r="X2439" s="246"/>
      <c r="Y2439" s="246"/>
      <c r="Z2439" s="246"/>
    </row>
    <row r="2440">
      <c r="A2440" s="263"/>
      <c r="B2440" s="267"/>
      <c r="C2440" s="263"/>
      <c r="D2440" s="263"/>
      <c r="E2440" s="263"/>
      <c r="F2440" s="268"/>
      <c r="G2440" s="263"/>
      <c r="H2440" s="267"/>
      <c r="I2440" s="263"/>
      <c r="J2440" s="263"/>
      <c r="K2440" s="263"/>
      <c r="L2440" s="263"/>
      <c r="M2440" s="263"/>
      <c r="N2440" s="263"/>
      <c r="O2440" s="263"/>
      <c r="P2440" s="263"/>
      <c r="Q2440" s="263"/>
      <c r="R2440" s="263"/>
      <c r="S2440" s="263"/>
      <c r="T2440" s="263"/>
      <c r="U2440" s="246"/>
      <c r="V2440" s="246"/>
      <c r="W2440" s="246"/>
      <c r="X2440" s="246"/>
      <c r="Y2440" s="246"/>
      <c r="Z2440" s="246"/>
    </row>
    <row r="2441">
      <c r="A2441" s="263"/>
      <c r="B2441" s="267"/>
      <c r="C2441" s="263"/>
      <c r="D2441" s="263"/>
      <c r="E2441" s="263"/>
      <c r="F2441" s="268"/>
      <c r="G2441" s="263"/>
      <c r="H2441" s="267"/>
      <c r="I2441" s="263"/>
      <c r="J2441" s="263"/>
      <c r="K2441" s="263"/>
      <c r="L2441" s="263"/>
      <c r="M2441" s="263"/>
      <c r="N2441" s="263"/>
      <c r="O2441" s="263"/>
      <c r="P2441" s="263"/>
      <c r="Q2441" s="263"/>
      <c r="R2441" s="263"/>
      <c r="S2441" s="263"/>
      <c r="T2441" s="263"/>
      <c r="U2441" s="246"/>
      <c r="V2441" s="246"/>
      <c r="W2441" s="246"/>
      <c r="X2441" s="246"/>
      <c r="Y2441" s="246"/>
      <c r="Z2441" s="246"/>
    </row>
    <row r="2442">
      <c r="A2442" s="263"/>
      <c r="B2442" s="267"/>
      <c r="C2442" s="263"/>
      <c r="D2442" s="263"/>
      <c r="E2442" s="263"/>
      <c r="F2442" s="268"/>
      <c r="G2442" s="263"/>
      <c r="H2442" s="267"/>
      <c r="I2442" s="263"/>
      <c r="J2442" s="263"/>
      <c r="K2442" s="263"/>
      <c r="L2442" s="263"/>
      <c r="M2442" s="263"/>
      <c r="N2442" s="263"/>
      <c r="O2442" s="263"/>
      <c r="P2442" s="263"/>
      <c r="Q2442" s="263"/>
      <c r="R2442" s="263"/>
      <c r="S2442" s="263"/>
      <c r="T2442" s="263"/>
      <c r="U2442" s="246"/>
      <c r="V2442" s="246"/>
      <c r="W2442" s="246"/>
      <c r="X2442" s="246"/>
      <c r="Y2442" s="246"/>
      <c r="Z2442" s="246"/>
    </row>
    <row r="2443">
      <c r="A2443" s="263"/>
      <c r="B2443" s="267"/>
      <c r="C2443" s="263"/>
      <c r="D2443" s="263"/>
      <c r="E2443" s="263"/>
      <c r="F2443" s="268"/>
      <c r="G2443" s="263"/>
      <c r="H2443" s="267"/>
      <c r="I2443" s="263"/>
      <c r="J2443" s="263"/>
      <c r="K2443" s="263"/>
      <c r="L2443" s="263"/>
      <c r="M2443" s="263"/>
      <c r="N2443" s="263"/>
      <c r="O2443" s="263"/>
      <c r="P2443" s="263"/>
      <c r="Q2443" s="263"/>
      <c r="R2443" s="263"/>
      <c r="S2443" s="263"/>
      <c r="T2443" s="263"/>
      <c r="U2443" s="246"/>
      <c r="V2443" s="246"/>
      <c r="W2443" s="246"/>
      <c r="X2443" s="246"/>
      <c r="Y2443" s="246"/>
      <c r="Z2443" s="246"/>
    </row>
    <row r="2444">
      <c r="A2444" s="263"/>
      <c r="B2444" s="267"/>
      <c r="C2444" s="263"/>
      <c r="D2444" s="263"/>
      <c r="E2444" s="263"/>
      <c r="F2444" s="268"/>
      <c r="G2444" s="263"/>
      <c r="H2444" s="267"/>
      <c r="I2444" s="263"/>
      <c r="J2444" s="263"/>
      <c r="K2444" s="263"/>
      <c r="L2444" s="263"/>
      <c r="M2444" s="263"/>
      <c r="N2444" s="263"/>
      <c r="O2444" s="263"/>
      <c r="P2444" s="263"/>
      <c r="Q2444" s="263"/>
      <c r="R2444" s="263"/>
      <c r="S2444" s="263"/>
      <c r="T2444" s="263"/>
      <c r="U2444" s="246"/>
      <c r="V2444" s="246"/>
      <c r="W2444" s="246"/>
      <c r="X2444" s="246"/>
      <c r="Y2444" s="246"/>
      <c r="Z2444" s="246"/>
    </row>
    <row r="2445">
      <c r="A2445" s="263"/>
      <c r="B2445" s="267"/>
      <c r="C2445" s="263"/>
      <c r="D2445" s="263"/>
      <c r="E2445" s="263"/>
      <c r="F2445" s="268"/>
      <c r="G2445" s="263"/>
      <c r="H2445" s="267"/>
      <c r="I2445" s="263"/>
      <c r="J2445" s="263"/>
      <c r="K2445" s="263"/>
      <c r="L2445" s="263"/>
      <c r="M2445" s="263"/>
      <c r="N2445" s="263"/>
      <c r="O2445" s="263"/>
      <c r="P2445" s="263"/>
      <c r="Q2445" s="263"/>
      <c r="R2445" s="263"/>
      <c r="S2445" s="263"/>
      <c r="T2445" s="263"/>
      <c r="U2445" s="246"/>
      <c r="V2445" s="246"/>
      <c r="W2445" s="246"/>
      <c r="X2445" s="246"/>
      <c r="Y2445" s="246"/>
      <c r="Z2445" s="246"/>
    </row>
    <row r="2446">
      <c r="A2446" s="263"/>
      <c r="B2446" s="267"/>
      <c r="C2446" s="263"/>
      <c r="D2446" s="263"/>
      <c r="E2446" s="263"/>
      <c r="F2446" s="268"/>
      <c r="G2446" s="263"/>
      <c r="H2446" s="267"/>
      <c r="I2446" s="263"/>
      <c r="J2446" s="263"/>
      <c r="K2446" s="263"/>
      <c r="L2446" s="263"/>
      <c r="M2446" s="263"/>
      <c r="N2446" s="263"/>
      <c r="O2446" s="263"/>
      <c r="P2446" s="263"/>
      <c r="Q2446" s="263"/>
      <c r="R2446" s="263"/>
      <c r="S2446" s="263"/>
      <c r="T2446" s="263"/>
      <c r="U2446" s="246"/>
      <c r="V2446" s="246"/>
      <c r="W2446" s="246"/>
      <c r="X2446" s="246"/>
      <c r="Y2446" s="246"/>
      <c r="Z2446" s="246"/>
    </row>
    <row r="2447">
      <c r="A2447" s="263"/>
      <c r="B2447" s="267"/>
      <c r="C2447" s="263"/>
      <c r="D2447" s="263"/>
      <c r="E2447" s="263"/>
      <c r="F2447" s="268"/>
      <c r="G2447" s="263"/>
      <c r="H2447" s="267"/>
      <c r="I2447" s="263"/>
      <c r="J2447" s="263"/>
      <c r="K2447" s="263"/>
      <c r="L2447" s="263"/>
      <c r="M2447" s="263"/>
      <c r="N2447" s="263"/>
      <c r="O2447" s="263"/>
      <c r="P2447" s="263"/>
      <c r="Q2447" s="263"/>
      <c r="R2447" s="263"/>
      <c r="S2447" s="263"/>
      <c r="T2447" s="263"/>
      <c r="U2447" s="246"/>
      <c r="V2447" s="246"/>
      <c r="W2447" s="246"/>
      <c r="X2447" s="246"/>
      <c r="Y2447" s="246"/>
      <c r="Z2447" s="246"/>
    </row>
    <row r="2448">
      <c r="A2448" s="263"/>
      <c r="B2448" s="267"/>
      <c r="C2448" s="263"/>
      <c r="D2448" s="263"/>
      <c r="E2448" s="263"/>
      <c r="F2448" s="268"/>
      <c r="G2448" s="263"/>
      <c r="H2448" s="267"/>
      <c r="I2448" s="263"/>
      <c r="J2448" s="263"/>
      <c r="K2448" s="263"/>
      <c r="L2448" s="263"/>
      <c r="M2448" s="263"/>
      <c r="N2448" s="263"/>
      <c r="O2448" s="263"/>
      <c r="P2448" s="263"/>
      <c r="Q2448" s="263"/>
      <c r="R2448" s="263"/>
      <c r="S2448" s="263"/>
      <c r="T2448" s="263"/>
      <c r="U2448" s="246"/>
      <c r="V2448" s="246"/>
      <c r="W2448" s="246"/>
      <c r="X2448" s="246"/>
      <c r="Y2448" s="246"/>
      <c r="Z2448" s="246"/>
    </row>
    <row r="2449">
      <c r="A2449" s="263"/>
      <c r="B2449" s="267"/>
      <c r="C2449" s="263"/>
      <c r="D2449" s="263"/>
      <c r="E2449" s="263"/>
      <c r="F2449" s="268"/>
      <c r="G2449" s="263"/>
      <c r="H2449" s="267"/>
      <c r="I2449" s="263"/>
      <c r="J2449" s="263"/>
      <c r="K2449" s="263"/>
      <c r="L2449" s="263"/>
      <c r="M2449" s="263"/>
      <c r="N2449" s="263"/>
      <c r="O2449" s="263"/>
      <c r="P2449" s="263"/>
      <c r="Q2449" s="263"/>
      <c r="R2449" s="263"/>
      <c r="S2449" s="263"/>
      <c r="T2449" s="263"/>
      <c r="U2449" s="246"/>
      <c r="V2449" s="246"/>
      <c r="W2449" s="246"/>
      <c r="X2449" s="246"/>
      <c r="Y2449" s="246"/>
      <c r="Z2449" s="246"/>
    </row>
    <row r="2450">
      <c r="A2450" s="263"/>
      <c r="B2450" s="267"/>
      <c r="C2450" s="263"/>
      <c r="D2450" s="263"/>
      <c r="E2450" s="263"/>
      <c r="F2450" s="268"/>
      <c r="G2450" s="263"/>
      <c r="H2450" s="267"/>
      <c r="I2450" s="263"/>
      <c r="J2450" s="263"/>
      <c r="K2450" s="263"/>
      <c r="L2450" s="263"/>
      <c r="M2450" s="263"/>
      <c r="N2450" s="263"/>
      <c r="O2450" s="263"/>
      <c r="P2450" s="263"/>
      <c r="Q2450" s="263"/>
      <c r="R2450" s="263"/>
      <c r="S2450" s="263"/>
      <c r="T2450" s="263"/>
      <c r="U2450" s="246"/>
      <c r="V2450" s="246"/>
      <c r="W2450" s="246"/>
      <c r="X2450" s="246"/>
      <c r="Y2450" s="246"/>
      <c r="Z2450" s="246"/>
    </row>
    <row r="2451">
      <c r="A2451" s="263"/>
      <c r="B2451" s="267"/>
      <c r="C2451" s="263"/>
      <c r="D2451" s="263"/>
      <c r="E2451" s="263"/>
      <c r="F2451" s="268"/>
      <c r="G2451" s="263"/>
      <c r="H2451" s="267"/>
      <c r="I2451" s="263"/>
      <c r="J2451" s="263"/>
      <c r="K2451" s="263"/>
      <c r="L2451" s="263"/>
      <c r="M2451" s="263"/>
      <c r="N2451" s="263"/>
      <c r="O2451" s="263"/>
      <c r="P2451" s="263"/>
      <c r="Q2451" s="263"/>
      <c r="R2451" s="263"/>
      <c r="S2451" s="263"/>
      <c r="T2451" s="263"/>
      <c r="U2451" s="246"/>
      <c r="V2451" s="246"/>
      <c r="W2451" s="246"/>
      <c r="X2451" s="246"/>
      <c r="Y2451" s="246"/>
      <c r="Z2451" s="246"/>
    </row>
    <row r="2452">
      <c r="A2452" s="263"/>
      <c r="B2452" s="267"/>
      <c r="C2452" s="263"/>
      <c r="D2452" s="263"/>
      <c r="E2452" s="263"/>
      <c r="F2452" s="268"/>
      <c r="G2452" s="263"/>
      <c r="H2452" s="267"/>
      <c r="I2452" s="263"/>
      <c r="J2452" s="263"/>
      <c r="K2452" s="263"/>
      <c r="L2452" s="263"/>
      <c r="M2452" s="263"/>
      <c r="N2452" s="263"/>
      <c r="O2452" s="263"/>
      <c r="P2452" s="263"/>
      <c r="Q2452" s="263"/>
      <c r="R2452" s="263"/>
      <c r="S2452" s="263"/>
      <c r="T2452" s="263"/>
      <c r="U2452" s="246"/>
      <c r="V2452" s="246"/>
      <c r="W2452" s="246"/>
      <c r="X2452" s="246"/>
      <c r="Y2452" s="246"/>
      <c r="Z2452" s="246"/>
    </row>
    <row r="2453">
      <c r="A2453" s="263"/>
      <c r="B2453" s="267"/>
      <c r="C2453" s="263"/>
      <c r="D2453" s="263"/>
      <c r="E2453" s="263"/>
      <c r="F2453" s="268"/>
      <c r="G2453" s="263"/>
      <c r="H2453" s="267"/>
      <c r="I2453" s="263"/>
      <c r="J2453" s="263"/>
      <c r="K2453" s="263"/>
      <c r="L2453" s="263"/>
      <c r="M2453" s="263"/>
      <c r="N2453" s="263"/>
      <c r="O2453" s="263"/>
      <c r="P2453" s="263"/>
      <c r="Q2453" s="263"/>
      <c r="R2453" s="263"/>
      <c r="S2453" s="263"/>
      <c r="T2453" s="263"/>
      <c r="U2453" s="246"/>
      <c r="V2453" s="246"/>
      <c r="W2453" s="246"/>
      <c r="X2453" s="246"/>
      <c r="Y2453" s="246"/>
      <c r="Z2453" s="246"/>
    </row>
    <row r="2454">
      <c r="A2454" s="263"/>
      <c r="B2454" s="267"/>
      <c r="C2454" s="263"/>
      <c r="D2454" s="263"/>
      <c r="E2454" s="263"/>
      <c r="F2454" s="268"/>
      <c r="G2454" s="263"/>
      <c r="H2454" s="267"/>
      <c r="I2454" s="263"/>
      <c r="J2454" s="263"/>
      <c r="K2454" s="263"/>
      <c r="L2454" s="263"/>
      <c r="M2454" s="263"/>
      <c r="N2454" s="263"/>
      <c r="O2454" s="263"/>
      <c r="P2454" s="263"/>
      <c r="Q2454" s="263"/>
      <c r="R2454" s="263"/>
      <c r="S2454" s="263"/>
      <c r="T2454" s="263"/>
      <c r="U2454" s="246"/>
      <c r="V2454" s="246"/>
      <c r="W2454" s="246"/>
      <c r="X2454" s="246"/>
      <c r="Y2454" s="246"/>
      <c r="Z2454" s="246"/>
    </row>
    <row r="2455">
      <c r="A2455" s="263"/>
      <c r="B2455" s="267"/>
      <c r="C2455" s="263"/>
      <c r="D2455" s="263"/>
      <c r="E2455" s="263"/>
      <c r="F2455" s="268"/>
      <c r="G2455" s="263"/>
      <c r="H2455" s="267"/>
      <c r="I2455" s="263"/>
      <c r="J2455" s="263"/>
      <c r="K2455" s="263"/>
      <c r="L2455" s="263"/>
      <c r="M2455" s="263"/>
      <c r="N2455" s="263"/>
      <c r="O2455" s="263"/>
      <c r="P2455" s="263"/>
      <c r="Q2455" s="263"/>
      <c r="R2455" s="263"/>
      <c r="S2455" s="263"/>
      <c r="T2455" s="263"/>
      <c r="U2455" s="246"/>
      <c r="V2455" s="246"/>
      <c r="W2455" s="246"/>
      <c r="X2455" s="246"/>
      <c r="Y2455" s="246"/>
      <c r="Z2455" s="246"/>
    </row>
    <row r="2456">
      <c r="A2456" s="263"/>
      <c r="B2456" s="267"/>
      <c r="C2456" s="263"/>
      <c r="D2456" s="263"/>
      <c r="E2456" s="263"/>
      <c r="F2456" s="268"/>
      <c r="G2456" s="263"/>
      <c r="H2456" s="267"/>
      <c r="I2456" s="263"/>
      <c r="J2456" s="263"/>
      <c r="K2456" s="263"/>
      <c r="L2456" s="263"/>
      <c r="M2456" s="263"/>
      <c r="N2456" s="263"/>
      <c r="O2456" s="263"/>
      <c r="P2456" s="263"/>
      <c r="Q2456" s="263"/>
      <c r="R2456" s="263"/>
      <c r="S2456" s="263"/>
      <c r="T2456" s="263"/>
      <c r="U2456" s="246"/>
      <c r="V2456" s="246"/>
      <c r="W2456" s="246"/>
      <c r="X2456" s="246"/>
      <c r="Y2456" s="246"/>
      <c r="Z2456" s="246"/>
    </row>
    <row r="2457">
      <c r="A2457" s="263"/>
      <c r="B2457" s="267"/>
      <c r="C2457" s="263"/>
      <c r="D2457" s="263"/>
      <c r="E2457" s="263"/>
      <c r="F2457" s="268"/>
      <c r="G2457" s="263"/>
      <c r="H2457" s="267"/>
      <c r="I2457" s="263"/>
      <c r="J2457" s="263"/>
      <c r="K2457" s="263"/>
      <c r="L2457" s="263"/>
      <c r="M2457" s="263"/>
      <c r="N2457" s="263"/>
      <c r="O2457" s="263"/>
      <c r="P2457" s="263"/>
      <c r="Q2457" s="263"/>
      <c r="R2457" s="263"/>
      <c r="S2457" s="263"/>
      <c r="T2457" s="263"/>
      <c r="U2457" s="246"/>
      <c r="V2457" s="246"/>
      <c r="W2457" s="246"/>
      <c r="X2457" s="246"/>
      <c r="Y2457" s="246"/>
      <c r="Z2457" s="246"/>
    </row>
    <row r="2458">
      <c r="A2458" s="263"/>
      <c r="B2458" s="267"/>
      <c r="C2458" s="263"/>
      <c r="D2458" s="263"/>
      <c r="E2458" s="263"/>
      <c r="F2458" s="268"/>
      <c r="G2458" s="263"/>
      <c r="H2458" s="267"/>
      <c r="I2458" s="263"/>
      <c r="J2458" s="263"/>
      <c r="K2458" s="263"/>
      <c r="L2458" s="263"/>
      <c r="M2458" s="263"/>
      <c r="N2458" s="263"/>
      <c r="O2458" s="263"/>
      <c r="P2458" s="263"/>
      <c r="Q2458" s="263"/>
      <c r="R2458" s="263"/>
      <c r="S2458" s="263"/>
      <c r="T2458" s="263"/>
      <c r="U2458" s="246"/>
      <c r="V2458" s="246"/>
      <c r="W2458" s="246"/>
      <c r="X2458" s="246"/>
      <c r="Y2458" s="246"/>
      <c r="Z2458" s="246"/>
    </row>
    <row r="2459">
      <c r="A2459" s="263"/>
      <c r="B2459" s="267"/>
      <c r="C2459" s="263"/>
      <c r="D2459" s="263"/>
      <c r="E2459" s="263"/>
      <c r="F2459" s="268"/>
      <c r="G2459" s="263"/>
      <c r="H2459" s="267"/>
      <c r="I2459" s="263"/>
      <c r="J2459" s="263"/>
      <c r="K2459" s="263"/>
      <c r="L2459" s="263"/>
      <c r="M2459" s="263"/>
      <c r="N2459" s="263"/>
      <c r="O2459" s="263"/>
      <c r="P2459" s="263"/>
      <c r="Q2459" s="263"/>
      <c r="R2459" s="263"/>
      <c r="S2459" s="263"/>
      <c r="T2459" s="263"/>
      <c r="U2459" s="246"/>
      <c r="V2459" s="246"/>
      <c r="W2459" s="246"/>
      <c r="X2459" s="246"/>
      <c r="Y2459" s="246"/>
      <c r="Z2459" s="246"/>
    </row>
    <row r="2460">
      <c r="A2460" s="263"/>
      <c r="B2460" s="267"/>
      <c r="C2460" s="263"/>
      <c r="D2460" s="263"/>
      <c r="E2460" s="263"/>
      <c r="F2460" s="268"/>
      <c r="G2460" s="263"/>
      <c r="H2460" s="267"/>
      <c r="I2460" s="263"/>
      <c r="J2460" s="263"/>
      <c r="K2460" s="263"/>
      <c r="L2460" s="263"/>
      <c r="M2460" s="263"/>
      <c r="N2460" s="263"/>
      <c r="O2460" s="263"/>
      <c r="P2460" s="263"/>
      <c r="Q2460" s="263"/>
      <c r="R2460" s="263"/>
      <c r="S2460" s="263"/>
      <c r="T2460" s="263"/>
      <c r="U2460" s="246"/>
      <c r="V2460" s="246"/>
      <c r="W2460" s="246"/>
      <c r="X2460" s="246"/>
      <c r="Y2460" s="246"/>
      <c r="Z2460" s="246"/>
    </row>
    <row r="2461">
      <c r="A2461" s="263"/>
      <c r="B2461" s="267"/>
      <c r="C2461" s="263"/>
      <c r="D2461" s="263"/>
      <c r="E2461" s="263"/>
      <c r="F2461" s="268"/>
      <c r="G2461" s="263"/>
      <c r="H2461" s="267"/>
      <c r="I2461" s="263"/>
      <c r="J2461" s="263"/>
      <c r="K2461" s="263"/>
      <c r="L2461" s="263"/>
      <c r="M2461" s="263"/>
      <c r="N2461" s="263"/>
      <c r="O2461" s="263"/>
      <c r="P2461" s="263"/>
      <c r="Q2461" s="263"/>
      <c r="R2461" s="263"/>
      <c r="S2461" s="263"/>
      <c r="T2461" s="263"/>
      <c r="U2461" s="246"/>
      <c r="V2461" s="246"/>
      <c r="W2461" s="246"/>
      <c r="X2461" s="246"/>
      <c r="Y2461" s="246"/>
      <c r="Z2461" s="246"/>
    </row>
    <row r="2462">
      <c r="A2462" s="263"/>
      <c r="B2462" s="267"/>
      <c r="C2462" s="263"/>
      <c r="D2462" s="263"/>
      <c r="E2462" s="263"/>
      <c r="F2462" s="268"/>
      <c r="G2462" s="263"/>
      <c r="H2462" s="267"/>
      <c r="I2462" s="263"/>
      <c r="J2462" s="263"/>
      <c r="K2462" s="263"/>
      <c r="L2462" s="263"/>
      <c r="M2462" s="263"/>
      <c r="N2462" s="263"/>
      <c r="O2462" s="263"/>
      <c r="P2462" s="263"/>
      <c r="Q2462" s="263"/>
      <c r="R2462" s="263"/>
      <c r="S2462" s="263"/>
      <c r="T2462" s="263"/>
      <c r="U2462" s="246"/>
      <c r="V2462" s="246"/>
      <c r="W2462" s="246"/>
      <c r="X2462" s="246"/>
      <c r="Y2462" s="246"/>
      <c r="Z2462" s="246"/>
    </row>
    <row r="2463">
      <c r="A2463" s="263"/>
      <c r="B2463" s="267"/>
      <c r="C2463" s="263"/>
      <c r="D2463" s="263"/>
      <c r="E2463" s="263"/>
      <c r="F2463" s="268"/>
      <c r="G2463" s="263"/>
      <c r="H2463" s="267"/>
      <c r="I2463" s="263"/>
      <c r="J2463" s="263"/>
      <c r="K2463" s="263"/>
      <c r="L2463" s="263"/>
      <c r="M2463" s="263"/>
      <c r="N2463" s="263"/>
      <c r="O2463" s="263"/>
      <c r="P2463" s="263"/>
      <c r="Q2463" s="263"/>
      <c r="R2463" s="263"/>
      <c r="S2463" s="263"/>
      <c r="T2463" s="263"/>
      <c r="U2463" s="246"/>
      <c r="V2463" s="246"/>
      <c r="W2463" s="246"/>
      <c r="X2463" s="246"/>
      <c r="Y2463" s="246"/>
      <c r="Z2463" s="246"/>
    </row>
    <row r="2464">
      <c r="A2464" s="263"/>
      <c r="B2464" s="267"/>
      <c r="C2464" s="263"/>
      <c r="D2464" s="263"/>
      <c r="E2464" s="263"/>
      <c r="F2464" s="268"/>
      <c r="G2464" s="263"/>
      <c r="H2464" s="267"/>
      <c r="I2464" s="263"/>
      <c r="J2464" s="263"/>
      <c r="K2464" s="263"/>
      <c r="L2464" s="263"/>
      <c r="M2464" s="263"/>
      <c r="N2464" s="263"/>
      <c r="O2464" s="263"/>
      <c r="P2464" s="263"/>
      <c r="Q2464" s="263"/>
      <c r="R2464" s="263"/>
      <c r="S2464" s="263"/>
      <c r="T2464" s="263"/>
      <c r="U2464" s="246"/>
      <c r="V2464" s="246"/>
      <c r="W2464" s="246"/>
      <c r="X2464" s="246"/>
      <c r="Y2464" s="246"/>
      <c r="Z2464" s="246"/>
    </row>
    <row r="2465">
      <c r="A2465" s="263"/>
      <c r="B2465" s="267"/>
      <c r="C2465" s="263"/>
      <c r="D2465" s="263"/>
      <c r="E2465" s="263"/>
      <c r="F2465" s="268"/>
      <c r="G2465" s="263"/>
      <c r="H2465" s="267"/>
      <c r="I2465" s="263"/>
      <c r="J2465" s="263"/>
      <c r="K2465" s="263"/>
      <c r="L2465" s="263"/>
      <c r="M2465" s="263"/>
      <c r="N2465" s="263"/>
      <c r="O2465" s="263"/>
      <c r="P2465" s="263"/>
      <c r="Q2465" s="263"/>
      <c r="R2465" s="263"/>
      <c r="S2465" s="263"/>
      <c r="T2465" s="263"/>
      <c r="U2465" s="246"/>
      <c r="V2465" s="246"/>
      <c r="W2465" s="246"/>
      <c r="X2465" s="246"/>
      <c r="Y2465" s="246"/>
      <c r="Z2465" s="246"/>
    </row>
    <row r="2466">
      <c r="A2466" s="263"/>
      <c r="B2466" s="267"/>
      <c r="C2466" s="263"/>
      <c r="D2466" s="263"/>
      <c r="E2466" s="263"/>
      <c r="F2466" s="268"/>
      <c r="G2466" s="263"/>
      <c r="H2466" s="267"/>
      <c r="I2466" s="263"/>
      <c r="J2466" s="263"/>
      <c r="K2466" s="263"/>
      <c r="L2466" s="263"/>
      <c r="M2466" s="263"/>
      <c r="N2466" s="263"/>
      <c r="O2466" s="263"/>
      <c r="P2466" s="263"/>
      <c r="Q2466" s="263"/>
      <c r="R2466" s="263"/>
      <c r="S2466" s="263"/>
      <c r="T2466" s="263"/>
      <c r="U2466" s="246"/>
      <c r="V2466" s="246"/>
      <c r="W2466" s="246"/>
      <c r="X2466" s="246"/>
      <c r="Y2466" s="246"/>
      <c r="Z2466" s="246"/>
    </row>
    <row r="2467">
      <c r="A2467" s="263"/>
      <c r="B2467" s="267"/>
      <c r="C2467" s="263"/>
      <c r="D2467" s="263"/>
      <c r="E2467" s="263"/>
      <c r="F2467" s="268"/>
      <c r="G2467" s="263"/>
      <c r="H2467" s="267"/>
      <c r="I2467" s="263"/>
      <c r="J2467" s="263"/>
      <c r="K2467" s="263"/>
      <c r="L2467" s="263"/>
      <c r="M2467" s="263"/>
      <c r="N2467" s="263"/>
      <c r="O2467" s="263"/>
      <c r="P2467" s="263"/>
      <c r="Q2467" s="263"/>
      <c r="R2467" s="263"/>
      <c r="S2467" s="263"/>
      <c r="T2467" s="263"/>
      <c r="U2467" s="246"/>
      <c r="V2467" s="246"/>
      <c r="W2467" s="246"/>
      <c r="X2467" s="246"/>
      <c r="Y2467" s="246"/>
      <c r="Z2467" s="246"/>
    </row>
    <row r="2468">
      <c r="A2468" s="263"/>
      <c r="B2468" s="267"/>
      <c r="C2468" s="263"/>
      <c r="D2468" s="263"/>
      <c r="E2468" s="263"/>
      <c r="F2468" s="268"/>
      <c r="G2468" s="263"/>
      <c r="H2468" s="267"/>
      <c r="I2468" s="263"/>
      <c r="J2468" s="263"/>
      <c r="K2468" s="263"/>
      <c r="L2468" s="263"/>
      <c r="M2468" s="263"/>
      <c r="N2468" s="263"/>
      <c r="O2468" s="263"/>
      <c r="P2468" s="263"/>
      <c r="Q2468" s="263"/>
      <c r="R2468" s="263"/>
      <c r="S2468" s="263"/>
      <c r="T2468" s="263"/>
      <c r="U2468" s="246"/>
      <c r="V2468" s="246"/>
      <c r="W2468" s="246"/>
      <c r="X2468" s="246"/>
      <c r="Y2468" s="246"/>
      <c r="Z2468" s="246"/>
    </row>
    <row r="2469">
      <c r="A2469" s="263"/>
      <c r="B2469" s="267"/>
      <c r="C2469" s="263"/>
      <c r="D2469" s="263"/>
      <c r="E2469" s="263"/>
      <c r="F2469" s="268"/>
      <c r="G2469" s="263"/>
      <c r="H2469" s="267"/>
      <c r="I2469" s="263"/>
      <c r="J2469" s="263"/>
      <c r="K2469" s="263"/>
      <c r="L2469" s="263"/>
      <c r="M2469" s="263"/>
      <c r="N2469" s="263"/>
      <c r="O2469" s="263"/>
      <c r="P2469" s="263"/>
      <c r="Q2469" s="263"/>
      <c r="R2469" s="263"/>
      <c r="S2469" s="263"/>
      <c r="T2469" s="263"/>
      <c r="U2469" s="246"/>
      <c r="V2469" s="246"/>
      <c r="W2469" s="246"/>
      <c r="X2469" s="246"/>
      <c r="Y2469" s="246"/>
      <c r="Z2469" s="246"/>
    </row>
    <row r="2470">
      <c r="A2470" s="263"/>
      <c r="B2470" s="267"/>
      <c r="C2470" s="263"/>
      <c r="D2470" s="263"/>
      <c r="E2470" s="263"/>
      <c r="F2470" s="268"/>
      <c r="G2470" s="263"/>
      <c r="H2470" s="267"/>
      <c r="I2470" s="263"/>
      <c r="J2470" s="263"/>
      <c r="K2470" s="263"/>
      <c r="L2470" s="263"/>
      <c r="M2470" s="263"/>
      <c r="N2470" s="263"/>
      <c r="O2470" s="263"/>
      <c r="P2470" s="263"/>
      <c r="Q2470" s="263"/>
      <c r="R2470" s="263"/>
      <c r="S2470" s="263"/>
      <c r="T2470" s="263"/>
      <c r="U2470" s="246"/>
      <c r="V2470" s="246"/>
      <c r="W2470" s="246"/>
      <c r="X2470" s="246"/>
      <c r="Y2470" s="246"/>
      <c r="Z2470" s="246"/>
    </row>
    <row r="2471">
      <c r="A2471" s="263"/>
      <c r="B2471" s="267"/>
      <c r="C2471" s="263"/>
      <c r="D2471" s="263"/>
      <c r="E2471" s="263"/>
      <c r="F2471" s="268"/>
      <c r="G2471" s="263"/>
      <c r="H2471" s="267"/>
      <c r="I2471" s="263"/>
      <c r="J2471" s="263"/>
      <c r="K2471" s="263"/>
      <c r="L2471" s="263"/>
      <c r="M2471" s="263"/>
      <c r="N2471" s="263"/>
      <c r="O2471" s="263"/>
      <c r="P2471" s="263"/>
      <c r="Q2471" s="263"/>
      <c r="R2471" s="263"/>
      <c r="S2471" s="263"/>
      <c r="T2471" s="263"/>
      <c r="U2471" s="246"/>
      <c r="V2471" s="246"/>
      <c r="W2471" s="246"/>
      <c r="X2471" s="246"/>
      <c r="Y2471" s="246"/>
      <c r="Z2471" s="246"/>
    </row>
    <row r="2472">
      <c r="A2472" s="263"/>
      <c r="B2472" s="267"/>
      <c r="C2472" s="263"/>
      <c r="D2472" s="263"/>
      <c r="E2472" s="263"/>
      <c r="F2472" s="268"/>
      <c r="G2472" s="263"/>
      <c r="H2472" s="267"/>
      <c r="I2472" s="263"/>
      <c r="J2472" s="263"/>
      <c r="K2472" s="263"/>
      <c r="L2472" s="263"/>
      <c r="M2472" s="263"/>
      <c r="N2472" s="263"/>
      <c r="O2472" s="263"/>
      <c r="P2472" s="263"/>
      <c r="Q2472" s="263"/>
      <c r="R2472" s="263"/>
      <c r="S2472" s="263"/>
      <c r="T2472" s="263"/>
      <c r="U2472" s="246"/>
      <c r="V2472" s="246"/>
      <c r="W2472" s="246"/>
      <c r="X2472" s="246"/>
      <c r="Y2472" s="246"/>
      <c r="Z2472" s="246"/>
    </row>
    <row r="2473">
      <c r="A2473" s="263"/>
      <c r="B2473" s="267"/>
      <c r="C2473" s="263"/>
      <c r="D2473" s="263"/>
      <c r="E2473" s="263"/>
      <c r="F2473" s="268"/>
      <c r="G2473" s="263"/>
      <c r="H2473" s="267"/>
      <c r="I2473" s="263"/>
      <c r="J2473" s="263"/>
      <c r="K2473" s="263"/>
      <c r="L2473" s="263"/>
      <c r="M2473" s="263"/>
      <c r="N2473" s="263"/>
      <c r="O2473" s="263"/>
      <c r="P2473" s="263"/>
      <c r="Q2473" s="263"/>
      <c r="R2473" s="263"/>
      <c r="S2473" s="263"/>
      <c r="T2473" s="263"/>
      <c r="U2473" s="246"/>
      <c r="V2473" s="246"/>
      <c r="W2473" s="246"/>
      <c r="X2473" s="246"/>
      <c r="Y2473" s="246"/>
      <c r="Z2473" s="246"/>
    </row>
    <row r="2474">
      <c r="A2474" s="263"/>
      <c r="B2474" s="267"/>
      <c r="C2474" s="263"/>
      <c r="D2474" s="263"/>
      <c r="E2474" s="263"/>
      <c r="F2474" s="268"/>
      <c r="G2474" s="263"/>
      <c r="H2474" s="267"/>
      <c r="I2474" s="263"/>
      <c r="J2474" s="263"/>
      <c r="K2474" s="263"/>
      <c r="L2474" s="263"/>
      <c r="M2474" s="263"/>
      <c r="N2474" s="263"/>
      <c r="O2474" s="263"/>
      <c r="P2474" s="263"/>
      <c r="Q2474" s="263"/>
      <c r="R2474" s="263"/>
      <c r="S2474" s="263"/>
      <c r="T2474" s="263"/>
      <c r="U2474" s="246"/>
      <c r="V2474" s="246"/>
      <c r="W2474" s="246"/>
      <c r="X2474" s="246"/>
      <c r="Y2474" s="246"/>
      <c r="Z2474" s="246"/>
    </row>
    <row r="2475">
      <c r="A2475" s="263"/>
      <c r="B2475" s="267"/>
      <c r="C2475" s="263"/>
      <c r="D2475" s="263"/>
      <c r="E2475" s="263"/>
      <c r="F2475" s="268"/>
      <c r="G2475" s="263"/>
      <c r="H2475" s="267"/>
      <c r="I2475" s="263"/>
      <c r="J2475" s="263"/>
      <c r="K2475" s="263"/>
      <c r="L2475" s="263"/>
      <c r="M2475" s="263"/>
      <c r="N2475" s="263"/>
      <c r="O2475" s="263"/>
      <c r="P2475" s="263"/>
      <c r="Q2475" s="263"/>
      <c r="R2475" s="263"/>
      <c r="S2475" s="263"/>
      <c r="T2475" s="263"/>
      <c r="U2475" s="246"/>
      <c r="V2475" s="246"/>
      <c r="W2475" s="246"/>
      <c r="X2475" s="246"/>
      <c r="Y2475" s="246"/>
      <c r="Z2475" s="246"/>
    </row>
    <row r="2476">
      <c r="A2476" s="263"/>
      <c r="B2476" s="267"/>
      <c r="C2476" s="263"/>
      <c r="D2476" s="263"/>
      <c r="E2476" s="263"/>
      <c r="F2476" s="268"/>
      <c r="G2476" s="263"/>
      <c r="H2476" s="267"/>
      <c r="I2476" s="263"/>
      <c r="J2476" s="263"/>
      <c r="K2476" s="263"/>
      <c r="L2476" s="263"/>
      <c r="M2476" s="263"/>
      <c r="N2476" s="263"/>
      <c r="O2476" s="263"/>
      <c r="P2476" s="263"/>
      <c r="Q2476" s="263"/>
      <c r="R2476" s="263"/>
      <c r="S2476" s="263"/>
      <c r="T2476" s="263"/>
      <c r="U2476" s="246"/>
      <c r="V2476" s="246"/>
      <c r="W2476" s="246"/>
      <c r="X2476" s="246"/>
      <c r="Y2476" s="246"/>
      <c r="Z2476" s="246"/>
    </row>
    <row r="2477">
      <c r="A2477" s="263"/>
      <c r="B2477" s="267"/>
      <c r="C2477" s="263"/>
      <c r="D2477" s="263"/>
      <c r="E2477" s="263"/>
      <c r="F2477" s="268"/>
      <c r="G2477" s="263"/>
      <c r="H2477" s="267"/>
      <c r="I2477" s="263"/>
      <c r="J2477" s="263"/>
      <c r="K2477" s="263"/>
      <c r="L2477" s="263"/>
      <c r="M2477" s="263"/>
      <c r="N2477" s="263"/>
      <c r="O2477" s="263"/>
      <c r="P2477" s="263"/>
      <c r="Q2477" s="263"/>
      <c r="R2477" s="263"/>
      <c r="S2477" s="263"/>
      <c r="T2477" s="263"/>
      <c r="U2477" s="246"/>
      <c r="V2477" s="246"/>
      <c r="W2477" s="246"/>
      <c r="X2477" s="246"/>
      <c r="Y2477" s="246"/>
      <c r="Z2477" s="246"/>
    </row>
    <row r="2478">
      <c r="A2478" s="263"/>
      <c r="B2478" s="267"/>
      <c r="C2478" s="263"/>
      <c r="D2478" s="263"/>
      <c r="E2478" s="263"/>
      <c r="F2478" s="268"/>
      <c r="G2478" s="263"/>
      <c r="H2478" s="267"/>
      <c r="I2478" s="263"/>
      <c r="J2478" s="263"/>
      <c r="K2478" s="263"/>
      <c r="L2478" s="263"/>
      <c r="M2478" s="263"/>
      <c r="N2478" s="263"/>
      <c r="O2478" s="263"/>
      <c r="P2478" s="263"/>
      <c r="Q2478" s="263"/>
      <c r="R2478" s="263"/>
      <c r="S2478" s="263"/>
      <c r="T2478" s="263"/>
      <c r="U2478" s="246"/>
      <c r="V2478" s="246"/>
      <c r="W2478" s="246"/>
      <c r="X2478" s="246"/>
      <c r="Y2478" s="246"/>
      <c r="Z2478" s="246"/>
    </row>
    <row r="2479">
      <c r="A2479" s="263"/>
      <c r="B2479" s="267"/>
      <c r="C2479" s="263"/>
      <c r="D2479" s="263"/>
      <c r="E2479" s="263"/>
      <c r="F2479" s="268"/>
      <c r="G2479" s="263"/>
      <c r="H2479" s="267"/>
      <c r="I2479" s="263"/>
      <c r="J2479" s="263"/>
      <c r="K2479" s="263"/>
      <c r="L2479" s="263"/>
      <c r="M2479" s="263"/>
      <c r="N2479" s="263"/>
      <c r="O2479" s="263"/>
      <c r="P2479" s="263"/>
      <c r="Q2479" s="263"/>
      <c r="R2479" s="263"/>
      <c r="S2479" s="263"/>
      <c r="T2479" s="263"/>
      <c r="U2479" s="246"/>
      <c r="V2479" s="246"/>
      <c r="W2479" s="246"/>
      <c r="X2479" s="246"/>
      <c r="Y2479" s="246"/>
      <c r="Z2479" s="246"/>
    </row>
    <row r="2480">
      <c r="A2480" s="263"/>
      <c r="B2480" s="267"/>
      <c r="C2480" s="263"/>
      <c r="D2480" s="263"/>
      <c r="E2480" s="263"/>
      <c r="F2480" s="268"/>
      <c r="G2480" s="263"/>
      <c r="H2480" s="267"/>
      <c r="I2480" s="263"/>
      <c r="J2480" s="263"/>
      <c r="K2480" s="263"/>
      <c r="L2480" s="263"/>
      <c r="M2480" s="263"/>
      <c r="N2480" s="263"/>
      <c r="O2480" s="263"/>
      <c r="P2480" s="263"/>
      <c r="Q2480" s="263"/>
      <c r="R2480" s="263"/>
      <c r="S2480" s="263"/>
      <c r="T2480" s="263"/>
      <c r="U2480" s="246"/>
      <c r="V2480" s="246"/>
      <c r="W2480" s="246"/>
      <c r="X2480" s="246"/>
      <c r="Y2480" s="246"/>
      <c r="Z2480" s="246"/>
    </row>
    <row r="2481">
      <c r="A2481" s="263"/>
      <c r="B2481" s="267"/>
      <c r="C2481" s="263"/>
      <c r="D2481" s="263"/>
      <c r="E2481" s="263"/>
      <c r="F2481" s="268"/>
      <c r="G2481" s="263"/>
      <c r="H2481" s="267"/>
      <c r="I2481" s="263"/>
      <c r="J2481" s="263"/>
      <c r="K2481" s="263"/>
      <c r="L2481" s="263"/>
      <c r="M2481" s="263"/>
      <c r="N2481" s="263"/>
      <c r="O2481" s="263"/>
      <c r="P2481" s="263"/>
      <c r="Q2481" s="263"/>
      <c r="R2481" s="263"/>
      <c r="S2481" s="263"/>
      <c r="T2481" s="263"/>
      <c r="U2481" s="246"/>
      <c r="V2481" s="246"/>
      <c r="W2481" s="246"/>
      <c r="X2481" s="246"/>
      <c r="Y2481" s="246"/>
      <c r="Z2481" s="246"/>
    </row>
    <row r="2482">
      <c r="A2482" s="263"/>
      <c r="B2482" s="267"/>
      <c r="C2482" s="263"/>
      <c r="D2482" s="263"/>
      <c r="E2482" s="263"/>
      <c r="F2482" s="268"/>
      <c r="G2482" s="263"/>
      <c r="H2482" s="267"/>
      <c r="I2482" s="263"/>
      <c r="J2482" s="263"/>
      <c r="K2482" s="263"/>
      <c r="L2482" s="263"/>
      <c r="M2482" s="263"/>
      <c r="N2482" s="263"/>
      <c r="O2482" s="263"/>
      <c r="P2482" s="263"/>
      <c r="Q2482" s="263"/>
      <c r="R2482" s="263"/>
      <c r="S2482" s="263"/>
      <c r="T2482" s="263"/>
      <c r="U2482" s="246"/>
      <c r="V2482" s="246"/>
      <c r="W2482" s="246"/>
      <c r="X2482" s="246"/>
      <c r="Y2482" s="246"/>
      <c r="Z2482" s="246"/>
    </row>
    <row r="2483">
      <c r="A2483" s="263"/>
      <c r="B2483" s="267"/>
      <c r="C2483" s="263"/>
      <c r="D2483" s="263"/>
      <c r="E2483" s="263"/>
      <c r="F2483" s="268"/>
      <c r="G2483" s="263"/>
      <c r="H2483" s="267"/>
      <c r="I2483" s="263"/>
      <c r="J2483" s="263"/>
      <c r="K2483" s="263"/>
      <c r="L2483" s="263"/>
      <c r="M2483" s="263"/>
      <c r="N2483" s="263"/>
      <c r="O2483" s="263"/>
      <c r="P2483" s="263"/>
      <c r="Q2483" s="263"/>
      <c r="R2483" s="263"/>
      <c r="S2483" s="263"/>
      <c r="T2483" s="263"/>
      <c r="U2483" s="246"/>
      <c r="V2483" s="246"/>
      <c r="W2483" s="246"/>
      <c r="X2483" s="246"/>
      <c r="Y2483" s="246"/>
      <c r="Z2483" s="246"/>
    </row>
    <row r="2484">
      <c r="A2484" s="263"/>
      <c r="B2484" s="267"/>
      <c r="C2484" s="263"/>
      <c r="D2484" s="263"/>
      <c r="E2484" s="263"/>
      <c r="F2484" s="268"/>
      <c r="G2484" s="263"/>
      <c r="H2484" s="267"/>
      <c r="I2484" s="263"/>
      <c r="J2484" s="263"/>
      <c r="K2484" s="263"/>
      <c r="L2484" s="263"/>
      <c r="M2484" s="263"/>
      <c r="N2484" s="263"/>
      <c r="O2484" s="263"/>
      <c r="P2484" s="263"/>
      <c r="Q2484" s="263"/>
      <c r="R2484" s="263"/>
      <c r="S2484" s="263"/>
      <c r="T2484" s="263"/>
      <c r="U2484" s="246"/>
      <c r="V2484" s="246"/>
      <c r="W2484" s="246"/>
      <c r="X2484" s="246"/>
      <c r="Y2484" s="246"/>
      <c r="Z2484" s="246"/>
    </row>
    <row r="2485">
      <c r="A2485" s="263"/>
      <c r="B2485" s="267"/>
      <c r="C2485" s="263"/>
      <c r="D2485" s="263"/>
      <c r="E2485" s="263"/>
      <c r="F2485" s="268"/>
      <c r="G2485" s="263"/>
      <c r="H2485" s="267"/>
      <c r="I2485" s="263"/>
      <c r="J2485" s="263"/>
      <c r="K2485" s="263"/>
      <c r="L2485" s="263"/>
      <c r="M2485" s="263"/>
      <c r="N2485" s="263"/>
      <c r="O2485" s="263"/>
      <c r="P2485" s="263"/>
      <c r="Q2485" s="263"/>
      <c r="R2485" s="263"/>
      <c r="S2485" s="263"/>
      <c r="T2485" s="263"/>
      <c r="U2485" s="246"/>
      <c r="V2485" s="246"/>
      <c r="W2485" s="246"/>
      <c r="X2485" s="246"/>
      <c r="Y2485" s="246"/>
      <c r="Z2485" s="246"/>
    </row>
    <row r="2486">
      <c r="A2486" s="263"/>
      <c r="B2486" s="267"/>
      <c r="C2486" s="263"/>
      <c r="D2486" s="263"/>
      <c r="E2486" s="263"/>
      <c r="F2486" s="268"/>
      <c r="G2486" s="263"/>
      <c r="H2486" s="267"/>
      <c r="I2486" s="263"/>
      <c r="J2486" s="263"/>
      <c r="K2486" s="263"/>
      <c r="L2486" s="263"/>
      <c r="M2486" s="263"/>
      <c r="N2486" s="263"/>
      <c r="O2486" s="263"/>
      <c r="P2486" s="263"/>
      <c r="Q2486" s="263"/>
      <c r="R2486" s="263"/>
      <c r="S2486" s="263"/>
      <c r="T2486" s="263"/>
      <c r="U2486" s="246"/>
      <c r="V2486" s="246"/>
      <c r="W2486" s="246"/>
      <c r="X2486" s="246"/>
      <c r="Y2486" s="246"/>
      <c r="Z2486" s="246"/>
    </row>
    <row r="2487">
      <c r="A2487" s="263"/>
      <c r="B2487" s="267"/>
      <c r="C2487" s="263"/>
      <c r="D2487" s="263"/>
      <c r="E2487" s="263"/>
      <c r="F2487" s="268"/>
      <c r="G2487" s="263"/>
      <c r="H2487" s="267"/>
      <c r="I2487" s="263"/>
      <c r="J2487" s="263"/>
      <c r="K2487" s="263"/>
      <c r="L2487" s="263"/>
      <c r="M2487" s="263"/>
      <c r="N2487" s="263"/>
      <c r="O2487" s="263"/>
      <c r="P2487" s="263"/>
      <c r="Q2487" s="263"/>
      <c r="R2487" s="263"/>
      <c r="S2487" s="263"/>
      <c r="T2487" s="263"/>
      <c r="U2487" s="246"/>
      <c r="V2487" s="246"/>
      <c r="W2487" s="246"/>
      <c r="X2487" s="246"/>
      <c r="Y2487" s="246"/>
      <c r="Z2487" s="246"/>
    </row>
    <row r="2488">
      <c r="A2488" s="263"/>
      <c r="B2488" s="267"/>
      <c r="C2488" s="263"/>
      <c r="D2488" s="263"/>
      <c r="E2488" s="263"/>
      <c r="F2488" s="268"/>
      <c r="G2488" s="263"/>
      <c r="H2488" s="267"/>
      <c r="I2488" s="263"/>
      <c r="J2488" s="263"/>
      <c r="K2488" s="263"/>
      <c r="L2488" s="263"/>
      <c r="M2488" s="263"/>
      <c r="N2488" s="263"/>
      <c r="O2488" s="263"/>
      <c r="P2488" s="263"/>
      <c r="Q2488" s="263"/>
      <c r="R2488" s="263"/>
      <c r="S2488" s="263"/>
      <c r="T2488" s="263"/>
      <c r="U2488" s="246"/>
      <c r="V2488" s="246"/>
      <c r="W2488" s="246"/>
      <c r="X2488" s="246"/>
      <c r="Y2488" s="246"/>
      <c r="Z2488" s="246"/>
    </row>
    <row r="2489">
      <c r="A2489" s="263"/>
      <c r="B2489" s="267"/>
      <c r="C2489" s="263"/>
      <c r="D2489" s="263"/>
      <c r="E2489" s="263"/>
      <c r="F2489" s="268"/>
      <c r="G2489" s="263"/>
      <c r="H2489" s="267"/>
      <c r="I2489" s="263"/>
      <c r="J2489" s="263"/>
      <c r="K2489" s="263"/>
      <c r="L2489" s="263"/>
      <c r="M2489" s="263"/>
      <c r="N2489" s="263"/>
      <c r="O2489" s="263"/>
      <c r="P2489" s="263"/>
      <c r="Q2489" s="263"/>
      <c r="R2489" s="263"/>
      <c r="S2489" s="263"/>
      <c r="T2489" s="263"/>
      <c r="U2489" s="246"/>
      <c r="V2489" s="246"/>
      <c r="W2489" s="246"/>
      <c r="X2489" s="246"/>
      <c r="Y2489" s="246"/>
      <c r="Z2489" s="246"/>
    </row>
    <row r="2490">
      <c r="A2490" s="263"/>
      <c r="B2490" s="267"/>
      <c r="C2490" s="263"/>
      <c r="D2490" s="263"/>
      <c r="E2490" s="263"/>
      <c r="F2490" s="268"/>
      <c r="G2490" s="263"/>
      <c r="H2490" s="267"/>
      <c r="I2490" s="263"/>
      <c r="J2490" s="263"/>
      <c r="K2490" s="263"/>
      <c r="L2490" s="263"/>
      <c r="M2490" s="263"/>
      <c r="N2490" s="263"/>
      <c r="O2490" s="263"/>
      <c r="P2490" s="263"/>
      <c r="Q2490" s="263"/>
      <c r="R2490" s="263"/>
      <c r="S2490" s="263"/>
      <c r="T2490" s="263"/>
      <c r="U2490" s="246"/>
      <c r="V2490" s="246"/>
      <c r="W2490" s="246"/>
      <c r="X2490" s="246"/>
      <c r="Y2490" s="246"/>
      <c r="Z2490" s="246"/>
    </row>
    <row r="2491">
      <c r="A2491" s="263"/>
      <c r="B2491" s="267"/>
      <c r="C2491" s="263"/>
      <c r="D2491" s="263"/>
      <c r="E2491" s="263"/>
      <c r="F2491" s="268"/>
      <c r="G2491" s="263"/>
      <c r="H2491" s="267"/>
      <c r="I2491" s="263"/>
      <c r="J2491" s="263"/>
      <c r="K2491" s="263"/>
      <c r="L2491" s="263"/>
      <c r="M2491" s="263"/>
      <c r="N2491" s="263"/>
      <c r="O2491" s="263"/>
      <c r="P2491" s="263"/>
      <c r="Q2491" s="263"/>
      <c r="R2491" s="263"/>
      <c r="S2491" s="263"/>
      <c r="T2491" s="263"/>
      <c r="U2491" s="246"/>
      <c r="V2491" s="246"/>
      <c r="W2491" s="246"/>
      <c r="X2491" s="246"/>
      <c r="Y2491" s="246"/>
      <c r="Z2491" s="246"/>
    </row>
    <row r="2492">
      <c r="A2492" s="263"/>
      <c r="B2492" s="267"/>
      <c r="C2492" s="263"/>
      <c r="D2492" s="263"/>
      <c r="E2492" s="263"/>
      <c r="F2492" s="268"/>
      <c r="G2492" s="263"/>
      <c r="H2492" s="267"/>
      <c r="I2492" s="263"/>
      <c r="J2492" s="263"/>
      <c r="K2492" s="263"/>
      <c r="L2492" s="263"/>
      <c r="M2492" s="263"/>
      <c r="N2492" s="263"/>
      <c r="O2492" s="263"/>
      <c r="P2492" s="263"/>
      <c r="Q2492" s="263"/>
      <c r="R2492" s="263"/>
      <c r="S2492" s="263"/>
      <c r="T2492" s="263"/>
      <c r="U2492" s="246"/>
      <c r="V2492" s="246"/>
      <c r="W2492" s="246"/>
      <c r="X2492" s="246"/>
      <c r="Y2492" s="246"/>
      <c r="Z2492" s="246"/>
    </row>
    <row r="2493">
      <c r="A2493" s="263"/>
      <c r="B2493" s="267"/>
      <c r="C2493" s="263"/>
      <c r="D2493" s="263"/>
      <c r="E2493" s="263"/>
      <c r="F2493" s="268"/>
      <c r="G2493" s="263"/>
      <c r="H2493" s="267"/>
      <c r="I2493" s="263"/>
      <c r="J2493" s="263"/>
      <c r="K2493" s="263"/>
      <c r="L2493" s="263"/>
      <c r="M2493" s="263"/>
      <c r="N2493" s="263"/>
      <c r="O2493" s="263"/>
      <c r="P2493" s="263"/>
      <c r="Q2493" s="263"/>
      <c r="R2493" s="263"/>
      <c r="S2493" s="263"/>
      <c r="T2493" s="263"/>
      <c r="U2493" s="246"/>
      <c r="V2493" s="246"/>
      <c r="W2493" s="246"/>
      <c r="X2493" s="246"/>
      <c r="Y2493" s="246"/>
      <c r="Z2493" s="246"/>
    </row>
    <row r="2494">
      <c r="A2494" s="263"/>
      <c r="B2494" s="267"/>
      <c r="C2494" s="263"/>
      <c r="D2494" s="263"/>
      <c r="E2494" s="263"/>
      <c r="F2494" s="268"/>
      <c r="G2494" s="263"/>
      <c r="H2494" s="267"/>
      <c r="I2494" s="263"/>
      <c r="J2494" s="263"/>
      <c r="K2494" s="263"/>
      <c r="L2494" s="263"/>
      <c r="M2494" s="263"/>
      <c r="N2494" s="263"/>
      <c r="O2494" s="263"/>
      <c r="P2494" s="263"/>
      <c r="Q2494" s="263"/>
      <c r="R2494" s="263"/>
      <c r="S2494" s="263"/>
      <c r="T2494" s="263"/>
      <c r="U2494" s="246"/>
      <c r="V2494" s="246"/>
      <c r="W2494" s="246"/>
      <c r="X2494" s="246"/>
      <c r="Y2494" s="246"/>
      <c r="Z2494" s="246"/>
    </row>
    <row r="2495">
      <c r="A2495" s="263"/>
      <c r="B2495" s="267"/>
      <c r="C2495" s="263"/>
      <c r="D2495" s="263"/>
      <c r="E2495" s="263"/>
      <c r="F2495" s="268"/>
      <c r="G2495" s="263"/>
      <c r="H2495" s="267"/>
      <c r="I2495" s="263"/>
      <c r="J2495" s="263"/>
      <c r="K2495" s="263"/>
      <c r="L2495" s="263"/>
      <c r="M2495" s="263"/>
      <c r="N2495" s="263"/>
      <c r="O2495" s="263"/>
      <c r="P2495" s="263"/>
      <c r="Q2495" s="263"/>
      <c r="R2495" s="263"/>
      <c r="S2495" s="263"/>
      <c r="T2495" s="263"/>
      <c r="U2495" s="246"/>
      <c r="V2495" s="246"/>
      <c r="W2495" s="246"/>
      <c r="X2495" s="246"/>
      <c r="Y2495" s="246"/>
      <c r="Z2495" s="246"/>
    </row>
    <row r="2496">
      <c r="A2496" s="263"/>
      <c r="B2496" s="267"/>
      <c r="C2496" s="263"/>
      <c r="D2496" s="263"/>
      <c r="E2496" s="263"/>
      <c r="F2496" s="268"/>
      <c r="G2496" s="263"/>
      <c r="H2496" s="267"/>
      <c r="I2496" s="263"/>
      <c r="J2496" s="263"/>
      <c r="K2496" s="263"/>
      <c r="L2496" s="263"/>
      <c r="M2496" s="263"/>
      <c r="N2496" s="263"/>
      <c r="O2496" s="263"/>
      <c r="P2496" s="263"/>
      <c r="Q2496" s="263"/>
      <c r="R2496" s="263"/>
      <c r="S2496" s="263"/>
      <c r="T2496" s="263"/>
      <c r="U2496" s="246"/>
      <c r="V2496" s="246"/>
      <c r="W2496" s="246"/>
      <c r="X2496" s="246"/>
      <c r="Y2496" s="246"/>
      <c r="Z2496" s="246"/>
    </row>
    <row r="2497">
      <c r="A2497" s="263"/>
      <c r="B2497" s="267"/>
      <c r="C2497" s="263"/>
      <c r="D2497" s="263"/>
      <c r="E2497" s="263"/>
      <c r="F2497" s="268"/>
      <c r="G2497" s="263"/>
      <c r="H2497" s="267"/>
      <c r="I2497" s="263"/>
      <c r="J2497" s="263"/>
      <c r="K2497" s="263"/>
      <c r="L2497" s="263"/>
      <c r="M2497" s="263"/>
      <c r="N2497" s="263"/>
      <c r="O2497" s="263"/>
      <c r="P2497" s="263"/>
      <c r="Q2497" s="263"/>
      <c r="R2497" s="263"/>
      <c r="S2497" s="263"/>
      <c r="T2497" s="263"/>
      <c r="U2497" s="246"/>
      <c r="V2497" s="246"/>
      <c r="W2497" s="246"/>
      <c r="X2497" s="246"/>
      <c r="Y2497" s="246"/>
      <c r="Z2497" s="246"/>
    </row>
    <row r="2498">
      <c r="A2498" s="263"/>
      <c r="B2498" s="267"/>
      <c r="C2498" s="263"/>
      <c r="D2498" s="263"/>
      <c r="E2498" s="263"/>
      <c r="F2498" s="268"/>
      <c r="G2498" s="263"/>
      <c r="H2498" s="267"/>
      <c r="I2498" s="263"/>
      <c r="J2498" s="263"/>
      <c r="K2498" s="263"/>
      <c r="L2498" s="263"/>
      <c r="M2498" s="263"/>
      <c r="N2498" s="263"/>
      <c r="O2498" s="263"/>
      <c r="P2498" s="263"/>
      <c r="Q2498" s="263"/>
      <c r="R2498" s="263"/>
      <c r="S2498" s="263"/>
      <c r="T2498" s="263"/>
      <c r="U2498" s="246"/>
      <c r="V2498" s="246"/>
      <c r="W2498" s="246"/>
      <c r="X2498" s="246"/>
      <c r="Y2498" s="246"/>
      <c r="Z2498" s="246"/>
    </row>
    <row r="2499">
      <c r="A2499" s="263"/>
      <c r="B2499" s="267"/>
      <c r="C2499" s="263"/>
      <c r="D2499" s="263"/>
      <c r="E2499" s="263"/>
      <c r="F2499" s="268"/>
      <c r="G2499" s="263"/>
      <c r="H2499" s="267"/>
      <c r="I2499" s="263"/>
      <c r="J2499" s="263"/>
      <c r="K2499" s="263"/>
      <c r="L2499" s="263"/>
      <c r="M2499" s="263"/>
      <c r="N2499" s="263"/>
      <c r="O2499" s="263"/>
      <c r="P2499" s="263"/>
      <c r="Q2499" s="263"/>
      <c r="R2499" s="263"/>
      <c r="S2499" s="263"/>
      <c r="T2499" s="263"/>
      <c r="U2499" s="246"/>
      <c r="V2499" s="246"/>
      <c r="W2499" s="246"/>
      <c r="X2499" s="246"/>
      <c r="Y2499" s="246"/>
      <c r="Z2499" s="246"/>
    </row>
    <row r="2500">
      <c r="A2500" s="263"/>
      <c r="B2500" s="267"/>
      <c r="C2500" s="263"/>
      <c r="D2500" s="263"/>
      <c r="E2500" s="263"/>
      <c r="F2500" s="268"/>
      <c r="G2500" s="263"/>
      <c r="H2500" s="267"/>
      <c r="I2500" s="263"/>
      <c r="J2500" s="263"/>
      <c r="K2500" s="263"/>
      <c r="L2500" s="263"/>
      <c r="M2500" s="263"/>
      <c r="N2500" s="263"/>
      <c r="O2500" s="263"/>
      <c r="P2500" s="263"/>
      <c r="Q2500" s="263"/>
      <c r="R2500" s="263"/>
      <c r="S2500" s="263"/>
      <c r="T2500" s="263"/>
      <c r="U2500" s="246"/>
      <c r="V2500" s="246"/>
      <c r="W2500" s="246"/>
      <c r="X2500" s="246"/>
      <c r="Y2500" s="246"/>
      <c r="Z2500" s="24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3.43"/>
    <col customWidth="1" min="4" max="4" width="125.29"/>
  </cols>
  <sheetData>
    <row r="1">
      <c r="A1" s="264" t="str">
        <f>IFERROR(__xludf.DUMMYFUNCTION("IMPORTRANGE(""https://docs.google.com/spreadsheets/d/1xgDM68xiM34Lb7pPa9X0VaOqdhswjHKkl6KIk-vu_2Q/edit?gid=1937057292#gid=1937057292"", ""Breakthroughs!B1:B"")"),"Name")</f>
        <v>Name</v>
      </c>
      <c r="B1" s="264" t="str">
        <f>IFERROR(__xludf.DUMMYFUNCTION("IMPORTRANGE(""https://docs.google.com/spreadsheets/d/1xgDM68xiM34Lb7pPa9X0VaOqdhswjHKkl6KIk-vu_2Q/edit?gid=1937057292#gid=1937057292"", ""Breakthroughs!C1:C"")"),"Cost")</f>
        <v>Cost</v>
      </c>
      <c r="C1" s="264" t="str">
        <f>IFERROR(__xludf.DUMMYFUNCTION("IMPORTRANGE(""https://docs.google.com/spreadsheets/d/1xgDM68xiM34Lb7pPa9X0VaOqdhswjHKkl6KIk-vu_2Q/edit?gid=1937057292#gid=1937057292"", ""Breakthroughs!D1:D"")"),"Requirement")</f>
        <v>Requirement</v>
      </c>
      <c r="D1" s="264" t="str">
        <f>IFERROR(__xludf.DUMMYFUNCTION("IMPORTRANGE(""https://docs.google.com/spreadsheets/d/1xgDM68xiM34Lb7pPa9X0VaOqdhswjHKkl6KIk-vu_2Q/edit?gid=1937057292#gid=1937057292"", ""Breakthroughs!E1:E"")"),"Description")</f>
        <v>Description</v>
      </c>
      <c r="E1" s="263"/>
      <c r="F1" s="263"/>
      <c r="G1" s="263"/>
      <c r="H1" s="263"/>
      <c r="I1" s="263"/>
      <c r="J1" s="263"/>
      <c r="K1" s="263"/>
      <c r="L1" s="263"/>
      <c r="M1" s="263"/>
      <c r="N1" s="263"/>
      <c r="O1" s="263"/>
      <c r="P1" s="263"/>
      <c r="Q1" s="263"/>
      <c r="R1" s="263"/>
      <c r="S1" s="263"/>
      <c r="T1" s="263"/>
      <c r="U1" s="263"/>
      <c r="V1" s="263"/>
      <c r="W1" s="263"/>
      <c r="X1" s="263"/>
      <c r="Y1" s="263"/>
      <c r="Z1" s="263"/>
    </row>
    <row r="2">
      <c r="A2" s="264" t="str">
        <f>IFERROR(__xludf.DUMMYFUNCTION("""COMPUTED_VALUE"""),"8 Eyes (Spiderfolk)")</f>
        <v>8 Eyes (Spiderfolk)</v>
      </c>
      <c r="B2" s="264" t="str">
        <f>IFERROR(__xludf.DUMMYFUNCTION("""COMPUTED_VALUE"""),"100")</f>
        <v>100</v>
      </c>
      <c r="C2" s="264" t="str">
        <f>IFERROR(__xludf.DUMMYFUNCTION("""COMPUTED_VALUE"""),"Must be a spiderfolk.")</f>
        <v>Must be a spiderfolk.</v>
      </c>
      <c r="D2" s="264" t="str">
        <f>IFERROR(__xludf.DUMMYFUNCTION("""COMPUTED_VALUE"""),"You may have up to 8 Mystic Eyes instead of the regular 2.")</f>
        <v>You may have up to 8 Mystic Eyes instead of the regular 2.</v>
      </c>
      <c r="E2" s="263"/>
      <c r="F2" s="263"/>
      <c r="G2" s="263"/>
      <c r="H2" s="263"/>
      <c r="I2" s="263"/>
      <c r="J2" s="263"/>
      <c r="K2" s="263"/>
      <c r="L2" s="263"/>
      <c r="M2" s="263"/>
      <c r="N2" s="263"/>
      <c r="O2" s="263"/>
      <c r="P2" s="263"/>
      <c r="Q2" s="263"/>
      <c r="R2" s="263"/>
      <c r="S2" s="263"/>
      <c r="T2" s="263"/>
      <c r="U2" s="263"/>
      <c r="V2" s="263"/>
      <c r="W2" s="263"/>
      <c r="X2" s="263"/>
      <c r="Y2" s="263"/>
      <c r="Z2" s="263"/>
    </row>
    <row r="3">
      <c r="A3" s="264" t="str">
        <f>IFERROR(__xludf.DUMMYFUNCTION("""COMPUTED_VALUE"""),"Angelblooded (Human) (Restricted)")</f>
        <v>Angelblooded (Human) (Restricted)</v>
      </c>
      <c r="B3" s="264" t="str">
        <f>IFERROR(__xludf.DUMMYFUNCTION("""COMPUTED_VALUE"""),"0")</f>
        <v>0</v>
      </c>
      <c r="C3" s="264" t="str">
        <f>IFERROR(__xludf.DUMMYFUNCTION("""COMPUTED_VALUE"""),"Must be a human and only a human. Requires GM Approval")</f>
        <v>Must be a human and only a human. Requires GM Approval</v>
      </c>
      <c r="D3" s="264" t="str">
        <f>IFERROR(__xludf.DUMMYFUNCTION("""COMPUTED_VALUE"""),"You have the blood of angels in you. You may purchase the Angelblooded class.")</f>
        <v>You have the blood of angels in you. You may purchase the Angelblooded class.</v>
      </c>
      <c r="E3" s="263"/>
      <c r="F3" s="263"/>
      <c r="G3" s="263"/>
      <c r="H3" s="263"/>
      <c r="I3" s="263"/>
      <c r="J3" s="263"/>
      <c r="K3" s="263"/>
      <c r="L3" s="263"/>
      <c r="M3" s="263"/>
      <c r="N3" s="263"/>
      <c r="O3" s="263"/>
      <c r="P3" s="263"/>
      <c r="Q3" s="263"/>
      <c r="R3" s="263"/>
      <c r="S3" s="263"/>
      <c r="T3" s="263"/>
      <c r="U3" s="263"/>
      <c r="V3" s="263"/>
      <c r="W3" s="263"/>
      <c r="X3" s="263"/>
      <c r="Y3" s="263"/>
      <c r="Z3" s="263"/>
    </row>
    <row r="4">
      <c r="A4" s="264" t="str">
        <f>IFERROR(__xludf.DUMMYFUNCTION("""COMPUTED_VALUE"""),"Arachne (Spiderfolk)")</f>
        <v>Arachne (Spiderfolk)</v>
      </c>
      <c r="B4" s="264" t="str">
        <f>IFERROR(__xludf.DUMMYFUNCTION("""COMPUTED_VALUE"""),"0")</f>
        <v>0</v>
      </c>
      <c r="C4" s="264" t="str">
        <f>IFERROR(__xludf.DUMMYFUNCTION("""COMPUTED_VALUE"""),"Must be a spiderfolk. Can only be taken at character creation.")</f>
        <v>Must be a spiderfolk. Can only be taken at character creation.</v>
      </c>
      <c r="D4" s="264" t="str">
        <f>IFERROR(__xludf.DUMMYFUNCTION("""COMPUTED_VALUE"""),"You lose your extra arms racial ability. In exchange, you become Large size and your max burden is increased by 2. When attempting to move through 5ft wide spaces, it is considered difficult terrain for you and many humanoid buildings will struggle to acc"&amp;"ommodate you. You also suffer a -10 penalty to swimming checks, but you may climb through your spider climb ability at your normal speed instead of half speed.
In addition, you count as mounted for the purposes of abilities that require you to be mounted."&amp;" This does not let you be a mount to other creatures.")</f>
        <v>You lose your extra arms racial ability. In exchange, you become Large size and your max burden is increased by 2. When attempting to move through 5ft wide spaces, it is considered difficult terrain for you and many humanoid buildings will struggle to accommodate you. You also suffer a -10 penalty to swimming checks, but you may climb through your spider climb ability at your normal speed instead of half speed.
In addition, you count as mounted for the purposes of abilities that require you to be mounted. This does not let you be a mount to other creatures.</v>
      </c>
      <c r="E4" s="263"/>
      <c r="F4" s="263"/>
      <c r="G4" s="263"/>
      <c r="H4" s="263"/>
      <c r="I4" s="263"/>
      <c r="J4" s="263"/>
      <c r="K4" s="263"/>
      <c r="L4" s="263"/>
      <c r="M4" s="263"/>
      <c r="N4" s="263"/>
      <c r="O4" s="263"/>
      <c r="P4" s="263"/>
      <c r="Q4" s="263"/>
      <c r="R4" s="263"/>
      <c r="S4" s="263"/>
      <c r="T4" s="263"/>
      <c r="U4" s="263"/>
      <c r="V4" s="263"/>
      <c r="W4" s="263"/>
      <c r="X4" s="263"/>
      <c r="Y4" s="263"/>
      <c r="Z4" s="263"/>
    </row>
    <row r="5">
      <c r="A5" s="264" t="str">
        <f>IFERROR(__xludf.DUMMYFUNCTION("""COMPUTED_VALUE"""),"Become Fire (Salamander)")</f>
        <v>Become Fire (Salamander)</v>
      </c>
      <c r="B5" s="264" t="str">
        <f>IFERROR(__xludf.DUMMYFUNCTION("""COMPUTED_VALUE"""),"200")</f>
        <v>200</v>
      </c>
      <c r="C5" s="264" t="str">
        <f>IFERROR(__xludf.DUMMYFUNCTION("""COMPUTED_VALUE"""),"Must be a Salamander.")</f>
        <v>Must be a Salamander.</v>
      </c>
      <c r="D5" s="264" t="str">
        <f>IFERROR(__xludf.DUMMYFUNCTION("""COMPUTED_VALUE"""),"The RP cost of Consume Fire is reduced to 0.")</f>
        <v>The RP cost of Consume Fire is reduced to 0.</v>
      </c>
      <c r="E5" s="263"/>
      <c r="F5" s="263"/>
      <c r="G5" s="263"/>
      <c r="H5" s="263"/>
      <c r="I5" s="263"/>
      <c r="J5" s="263"/>
      <c r="K5" s="263"/>
      <c r="L5" s="263"/>
      <c r="M5" s="263"/>
      <c r="N5" s="263"/>
      <c r="O5" s="263"/>
      <c r="P5" s="263"/>
      <c r="Q5" s="263"/>
      <c r="R5" s="263"/>
      <c r="S5" s="263"/>
      <c r="T5" s="263"/>
      <c r="U5" s="263"/>
      <c r="V5" s="263"/>
      <c r="W5" s="263"/>
      <c r="X5" s="263"/>
      <c r="Y5" s="263"/>
      <c r="Z5" s="263"/>
    </row>
    <row r="6">
      <c r="A6" s="264" t="str">
        <f>IFERROR(__xludf.DUMMYFUNCTION("""COMPUTED_VALUE"""),"Become Ice (Yuki-Onna)")</f>
        <v>Become Ice (Yuki-Onna)</v>
      </c>
      <c r="B6" s="264" t="str">
        <f>IFERROR(__xludf.DUMMYFUNCTION("""COMPUTED_VALUE"""),"200")</f>
        <v>200</v>
      </c>
      <c r="C6" s="264" t="str">
        <f>IFERROR(__xludf.DUMMYFUNCTION("""COMPUTED_VALUE"""),"Must be a Yuki-Onna.")</f>
        <v>Must be a Yuki-Onna.</v>
      </c>
      <c r="D6" s="264" t="str">
        <f>IFERROR(__xludf.DUMMYFUNCTION("""COMPUTED_VALUE"""),"The RP cost of Absorb Ice is reduced to 0 the first time you use it per round. Cost is reset back to 0 when it becomes your turn")</f>
        <v>The RP cost of Absorb Ice is reduced to 0 the first time you use it per round. Cost is reset back to 0 when it becomes your turn</v>
      </c>
      <c r="E6" s="263"/>
      <c r="F6" s="263"/>
      <c r="G6" s="263"/>
      <c r="H6" s="263"/>
      <c r="I6" s="263"/>
      <c r="J6" s="263"/>
      <c r="K6" s="263"/>
      <c r="L6" s="263"/>
      <c r="M6" s="263"/>
      <c r="N6" s="263"/>
      <c r="O6" s="263"/>
      <c r="P6" s="263"/>
      <c r="Q6" s="263"/>
      <c r="R6" s="263"/>
      <c r="S6" s="263"/>
      <c r="T6" s="263"/>
      <c r="U6" s="263"/>
      <c r="V6" s="263"/>
      <c r="W6" s="263"/>
      <c r="X6" s="263"/>
      <c r="Y6" s="263"/>
      <c r="Z6" s="263"/>
    </row>
    <row r="7">
      <c r="A7" s="264" t="str">
        <f>IFERROR(__xludf.DUMMYFUNCTION("""COMPUTED_VALUE"""),"Become Lightning (Raijin)")</f>
        <v>Become Lightning (Raijin)</v>
      </c>
      <c r="B7" s="264" t="str">
        <f>IFERROR(__xludf.DUMMYFUNCTION("""COMPUTED_VALUE"""),"200")</f>
        <v>200</v>
      </c>
      <c r="C7" s="264" t="str">
        <f>IFERROR(__xludf.DUMMYFUNCTION("""COMPUTED_VALUE"""),"Must be a Raijin Youkai.")</f>
        <v>Must be a Raijin Youkai.</v>
      </c>
      <c r="D7" s="264" t="str">
        <f>IFERROR(__xludf.DUMMYFUNCTION("""COMPUTED_VALUE"""),"The RP cost of Consume Lightning is reduced to 0 the first time you use it per round. Cost is reset back to 0 when it becomes your turn. Any Power bonus you gain from using Consume Lightning does not stack.")</f>
        <v>The RP cost of Consume Lightning is reduced to 0 the first time you use it per round. Cost is reset back to 0 when it becomes your turn. Any Power bonus you gain from using Consume Lightning does not stack.</v>
      </c>
      <c r="E7" s="263"/>
      <c r="F7" s="263"/>
      <c r="G7" s="263"/>
      <c r="H7" s="263"/>
      <c r="I7" s="263"/>
      <c r="J7" s="263"/>
      <c r="K7" s="263"/>
      <c r="L7" s="263"/>
      <c r="M7" s="263"/>
      <c r="N7" s="263"/>
      <c r="O7" s="263"/>
      <c r="P7" s="263"/>
      <c r="Q7" s="263"/>
      <c r="R7" s="263"/>
      <c r="S7" s="263"/>
      <c r="T7" s="263"/>
      <c r="U7" s="263"/>
      <c r="V7" s="263"/>
      <c r="W7" s="263"/>
      <c r="X7" s="263"/>
      <c r="Y7" s="263"/>
      <c r="Z7" s="263"/>
    </row>
    <row r="8">
      <c r="A8" s="264" t="str">
        <f>IFERROR(__xludf.DUMMYFUNCTION("""COMPUTED_VALUE"""),"Become Wind (Sylph)")</f>
        <v>Become Wind (Sylph)</v>
      </c>
      <c r="B8" s="264" t="str">
        <f>IFERROR(__xludf.DUMMYFUNCTION("""COMPUTED_VALUE"""),"200")</f>
        <v>200</v>
      </c>
      <c r="C8" s="264" t="str">
        <f>IFERROR(__xludf.DUMMYFUNCTION("""COMPUTED_VALUE"""),"Must be a Sylph Fae")</f>
        <v>Must be a Sylph Fae</v>
      </c>
      <c r="D8" s="264" t="str">
        <f>IFERROR(__xludf.DUMMYFUNCTION("""COMPUTED_VALUE"""),"The RP cost of Consume Wind is reduced to 0 the first time you use it per round. Cost is reset back to 0 when it becomes your turn")</f>
        <v>The RP cost of Consume Wind is reduced to 0 the first time you use it per round. Cost is reset back to 0 when it becomes your turn</v>
      </c>
      <c r="E8" s="263"/>
      <c r="F8" s="263"/>
      <c r="G8" s="263"/>
      <c r="H8" s="263"/>
      <c r="I8" s="263"/>
      <c r="J8" s="263"/>
      <c r="K8" s="263"/>
      <c r="L8" s="263"/>
      <c r="M8" s="263"/>
      <c r="N8" s="263"/>
      <c r="O8" s="263"/>
      <c r="P8" s="263"/>
      <c r="Q8" s="263"/>
      <c r="R8" s="263"/>
      <c r="S8" s="263"/>
      <c r="T8" s="263"/>
      <c r="U8" s="263"/>
      <c r="V8" s="263"/>
      <c r="W8" s="263"/>
      <c r="X8" s="263"/>
      <c r="Y8" s="263"/>
      <c r="Z8" s="263"/>
    </row>
    <row r="9">
      <c r="A9" s="264" t="str">
        <f>IFERROR(__xludf.DUMMYFUNCTION("""COMPUTED_VALUE"""),"Blend In (Slimefolk)")</f>
        <v>Blend In (Slimefolk)</v>
      </c>
      <c r="B9" s="264" t="str">
        <f>IFERROR(__xludf.DUMMYFUNCTION("""COMPUTED_VALUE"""),"200")</f>
        <v>200</v>
      </c>
      <c r="C9" s="264" t="str">
        <f>IFERROR(__xludf.DUMMYFUNCTION("""COMPUTED_VALUE"""),"Must be a Slimefolk.")</f>
        <v>Must be a Slimefolk.</v>
      </c>
      <c r="D9" s="264" t="str">
        <f>IFERROR(__xludf.DUMMYFUNCTION("""COMPUTED_VALUE"""),"You disguise your appearance using magic to be that of another race (and gain a +30 bonus to hide this magical effect from things such as sense magic). This skill does not allow you to change your appearance at will, but instead lets you appear as you wou"&amp;"ld as a different race.  You choose this race when this breakthrough is picked up and cannot change it.
In addition, the first time you use Slime Body while disguised in this way, it costs 0 RP instead of 1 RP but reveals your actual race.  This effect do"&amp;"es not work if the attacker knows that you are a Slimefolk.")</f>
        <v>You disguise your appearance using magic to be that of another race (and gain a +30 bonus to hide this magical effect from things such as sense magic). This skill does not allow you to change your appearance at will, but instead lets you appear as you would as a different race.  You choose this race when this breakthrough is picked up and cannot change it.
In addition, the first time you use Slime Body while disguised in this way, it costs 0 RP instead of 1 RP but reveals your actual race.  This effect does not work if the attacker knows that you are a Slimefolk.</v>
      </c>
      <c r="E9" s="263"/>
      <c r="F9" s="263"/>
      <c r="G9" s="263"/>
      <c r="H9" s="263"/>
      <c r="I9" s="263"/>
      <c r="J9" s="263"/>
      <c r="K9" s="263"/>
      <c r="L9" s="263"/>
      <c r="M9" s="263"/>
      <c r="N9" s="263"/>
      <c r="O9" s="263"/>
      <c r="P9" s="263"/>
      <c r="Q9" s="263"/>
      <c r="R9" s="263"/>
      <c r="S9" s="263"/>
      <c r="T9" s="263"/>
      <c r="U9" s="263"/>
      <c r="V9" s="263"/>
      <c r="W9" s="263"/>
      <c r="X9" s="263"/>
      <c r="Y9" s="263"/>
      <c r="Z9" s="263"/>
    </row>
    <row r="10">
      <c r="A10" s="264" t="str">
        <f>IFERROR(__xludf.DUMMYFUNCTION("""COMPUTED_VALUE"""),"Blend In II (Slimefolk)")</f>
        <v>Blend In II (Slimefolk)</v>
      </c>
      <c r="B10" s="264" t="str">
        <f>IFERROR(__xludf.DUMMYFUNCTION("""COMPUTED_VALUE"""),"25")</f>
        <v>25</v>
      </c>
      <c r="C10" s="264" t="str">
        <f>IFERROR(__xludf.DUMMYFUNCTION("""COMPUTED_VALUE"""),"Must have Blend In.")</f>
        <v>Must have Blend In.</v>
      </c>
      <c r="D10" s="264" t="str">
        <f>IFERROR(__xludf.DUMMYFUNCTION("""COMPUTED_VALUE"""),"You may disguise as a different race in addition to your chosen race during Blend In. You may take this breakthrough multiple times, selecting a new race to disguise as each time.")</f>
        <v>You may disguise as a different race in addition to your chosen race during Blend In. You may take this breakthrough multiple times, selecting a new race to disguise as each time.</v>
      </c>
      <c r="E10" s="263"/>
      <c r="F10" s="263"/>
      <c r="G10" s="263"/>
      <c r="H10" s="263"/>
      <c r="I10" s="263"/>
      <c r="J10" s="263"/>
      <c r="K10" s="263"/>
      <c r="L10" s="263"/>
      <c r="M10" s="263"/>
      <c r="N10" s="263"/>
      <c r="O10" s="263"/>
      <c r="P10" s="263"/>
      <c r="Q10" s="263"/>
      <c r="R10" s="263"/>
      <c r="S10" s="263"/>
      <c r="T10" s="263"/>
      <c r="U10" s="263"/>
      <c r="V10" s="263"/>
      <c r="W10" s="263"/>
      <c r="X10" s="263"/>
      <c r="Y10" s="263"/>
      <c r="Z10" s="263"/>
    </row>
    <row r="11">
      <c r="A11" s="264" t="str">
        <f>IFERROR(__xludf.DUMMYFUNCTION("""COMPUTED_VALUE"""),"Blessed by Kari (Human)")</f>
        <v>Blessed by Kari (Human)</v>
      </c>
      <c r="B11" s="264" t="str">
        <f>IFERROR(__xludf.DUMMYFUNCTION("""COMPUTED_VALUE"""),"100")</f>
        <v>100</v>
      </c>
      <c r="C11" s="263" t="str">
        <f>IFERROR(__xludf.DUMMYFUNCTION("""COMPUTED_VALUE"""),"Must be a Human.")</f>
        <v>Must be a Human.</v>
      </c>
      <c r="D11" s="264" t="str">
        <f>IFERROR(__xludf.DUMMYFUNCTION("""COMPUTED_VALUE"""),"After using Divine Providence you may use it a second time before resting, but the cost increases to 1 RP. This second use must pick a different option then your first one.")</f>
        <v>After using Divine Providence you may use it a second time before resting, but the cost increases to 1 RP. This second use must pick a different option then your first one.</v>
      </c>
      <c r="E11" s="263"/>
      <c r="F11" s="263"/>
      <c r="G11" s="263"/>
      <c r="H11" s="263"/>
      <c r="I11" s="263"/>
      <c r="J11" s="263"/>
      <c r="K11" s="263"/>
      <c r="L11" s="263"/>
      <c r="M11" s="263"/>
      <c r="N11" s="263"/>
      <c r="O11" s="263"/>
      <c r="P11" s="263"/>
      <c r="Q11" s="263"/>
      <c r="R11" s="263"/>
      <c r="S11" s="263"/>
      <c r="T11" s="263"/>
      <c r="U11" s="263"/>
      <c r="V11" s="263"/>
      <c r="W11" s="263"/>
      <c r="X11" s="263"/>
      <c r="Y11" s="263"/>
      <c r="Z11" s="263"/>
    </row>
    <row r="12">
      <c r="A12" s="264" t="str">
        <f>IFERROR(__xludf.DUMMYFUNCTION("""COMPUTED_VALUE"""),"Bully")</f>
        <v>Bully</v>
      </c>
      <c r="B12" s="264" t="str">
        <f>IFERROR(__xludf.DUMMYFUNCTION("""COMPUTED_VALUE"""),"50")</f>
        <v>50</v>
      </c>
      <c r="C12" s="264" t="str">
        <f>IFERROR(__xludf.DUMMYFUNCTION("""COMPUTED_VALUE"""),"")</f>
        <v/>
      </c>
      <c r="D12" s="264" t="str">
        <f>IFERROR(__xludf.DUMMYFUNCTION("""COMPUTED_VALUE"""),"You gain a +5 bonus to intimidation skill checks against targets with less Fitness than you.")</f>
        <v>You gain a +5 bonus to intimidation skill checks against targets with less Fitness than you.</v>
      </c>
      <c r="E12" s="263"/>
      <c r="F12" s="263"/>
      <c r="G12" s="263"/>
      <c r="H12" s="263"/>
      <c r="I12" s="263"/>
      <c r="J12" s="263"/>
      <c r="K12" s="263"/>
      <c r="L12" s="263"/>
      <c r="M12" s="263"/>
      <c r="N12" s="263"/>
      <c r="O12" s="263"/>
      <c r="P12" s="263"/>
      <c r="Q12" s="263"/>
      <c r="R12" s="263"/>
      <c r="S12" s="263"/>
      <c r="T12" s="263"/>
      <c r="U12" s="263"/>
      <c r="V12" s="263"/>
      <c r="W12" s="263"/>
      <c r="X12" s="263"/>
      <c r="Y12" s="263"/>
      <c r="Z12" s="263"/>
    </row>
    <row r="13">
      <c r="A13" s="264" t="str">
        <f>IFERROR(__xludf.DUMMYFUNCTION("""COMPUTED_VALUE"""),"Celestial Dragon (Ryujin)")</f>
        <v>Celestial Dragon (Ryujin)</v>
      </c>
      <c r="B13" s="264" t="str">
        <f>IFERROR(__xludf.DUMMYFUNCTION("""COMPUTED_VALUE"""),"300")</f>
        <v>300</v>
      </c>
      <c r="C13" s="264" t="str">
        <f>IFERROR(__xludf.DUMMYFUNCTION("""COMPUTED_VALUE"""),"Must be a Ryujin. Can only be taken at character creation.")</f>
        <v>Must be a Ryujin. Can only be taken at character creation.</v>
      </c>
      <c r="D13" s="264" t="str">
        <f>IFERROR(__xludf.DUMMYFUNCTION("""COMPUTED_VALUE"""),"You gain controlled Flight up to your speed. If you take damage while flying higher than 5ft above the ground, your altitude drops by 20ft. If this would reduce your altitude to the point where you touch the ground, you become rooted and cannot fly again "&amp;"until the end of your next turn. If the attack that reduced your HP came from a flying creature other than yourself, you do not lose altitude.
When you end your turn within 5ft of the ground, Flight ends.")</f>
        <v>You gain controlled Flight up to your speed. If you take damage while flying higher than 5ft above the ground, your altitude drops by 20ft. If this would reduce your altitude to the point where you touch the ground, you become rooted and cannot fly again until the end of your next turn. If the attack that reduced your HP came from a flying creature other than yourself, you do not lose altitude.
When you end your turn within 5ft of the ground, Flight ends.</v>
      </c>
      <c r="E13" s="263"/>
      <c r="F13" s="263"/>
      <c r="G13" s="263"/>
      <c r="H13" s="263"/>
      <c r="I13" s="263"/>
      <c r="J13" s="263"/>
      <c r="K13" s="263"/>
      <c r="L13" s="263"/>
      <c r="M13" s="263"/>
      <c r="N13" s="263"/>
      <c r="O13" s="263"/>
      <c r="P13" s="263"/>
      <c r="Q13" s="263"/>
      <c r="R13" s="263"/>
      <c r="S13" s="263"/>
      <c r="T13" s="263"/>
      <c r="U13" s="263"/>
      <c r="V13" s="263"/>
      <c r="W13" s="263"/>
      <c r="X13" s="263"/>
      <c r="Y13" s="263"/>
      <c r="Z13" s="263"/>
    </row>
    <row r="14">
      <c r="A14" s="264" t="str">
        <f>IFERROR(__xludf.DUMMYFUNCTION("""COMPUTED_VALUE"""),"Combat Doggy (Cu Sith)")</f>
        <v>Combat Doggy (Cu Sith)</v>
      </c>
      <c r="B14" s="264" t="str">
        <f>IFERROR(__xludf.DUMMYFUNCTION("""COMPUTED_VALUE"""),"100")</f>
        <v>100</v>
      </c>
      <c r="C14" s="264" t="str">
        <f>IFERROR(__xludf.DUMMYFUNCTION("""COMPUTED_VALUE"""),"Must be a Cu Sith.")</f>
        <v>Must be a Cu Sith.</v>
      </c>
      <c r="D14" s="264" t="str">
        <f>IFERROR(__xludf.DUMMYFUNCTION("""COMPUTED_VALUE"""),"You may use abilities like normal while in Dog Form and may use One-Handed weapon. Any abilities that require a specific armor or other specific physical requirements still cannot be used.
Your Dog Form no longer breaks upon taking damage.")</f>
        <v>You may use abilities like normal while in Dog Form and may use One-Handed weapon. Any abilities that require a specific armor or other specific physical requirements still cannot be used.
Your Dog Form no longer breaks upon taking damage.</v>
      </c>
      <c r="E14" s="263"/>
      <c r="F14" s="263"/>
      <c r="G14" s="263"/>
      <c r="H14" s="263"/>
      <c r="I14" s="263"/>
      <c r="J14" s="263"/>
      <c r="K14" s="263"/>
      <c r="L14" s="263"/>
      <c r="M14" s="263"/>
      <c r="N14" s="263"/>
      <c r="O14" s="263"/>
      <c r="P14" s="263"/>
      <c r="Q14" s="263"/>
      <c r="R14" s="263"/>
      <c r="S14" s="263"/>
      <c r="T14" s="263"/>
      <c r="U14" s="263"/>
      <c r="V14" s="263"/>
      <c r="W14" s="263"/>
      <c r="X14" s="263"/>
      <c r="Y14" s="263"/>
      <c r="Z14" s="263"/>
    </row>
    <row r="15">
      <c r="A15" s="264" t="str">
        <f>IFERROR(__xludf.DUMMYFUNCTION("""COMPUTED_VALUE"""),"Combat Kitty (Cait Sith)")</f>
        <v>Combat Kitty (Cait Sith)</v>
      </c>
      <c r="B15" s="264" t="str">
        <f>IFERROR(__xludf.DUMMYFUNCTION("""COMPUTED_VALUE"""),"100")</f>
        <v>100</v>
      </c>
      <c r="C15" s="264" t="str">
        <f>IFERROR(__xludf.DUMMYFUNCTION("""COMPUTED_VALUE"""),"Must be a Cait Sith.")</f>
        <v>Must be a Cait Sith.</v>
      </c>
      <c r="D15" s="264" t="str">
        <f>IFERROR(__xludf.DUMMYFUNCTION("""COMPUTED_VALUE"""),"You may use abilities like normal while in cat form and may use One-Handed weapon. Any abilities that require a specific armor or other specific physical requirements still cannot be used.
Your cat form no longer breaks on damage.")</f>
        <v>You may use abilities like normal while in cat form and may use One-Handed weapon. Any abilities that require a specific armor or other specific physical requirements still cannot be used.
Your cat form no longer breaks on damage.</v>
      </c>
      <c r="E15" s="263"/>
      <c r="F15" s="263"/>
      <c r="G15" s="263"/>
      <c r="H15" s="263"/>
      <c r="I15" s="263"/>
      <c r="J15" s="263"/>
      <c r="K15" s="263"/>
      <c r="L15" s="263"/>
      <c r="M15" s="263"/>
      <c r="N15" s="263"/>
      <c r="O15" s="263"/>
      <c r="P15" s="263"/>
      <c r="Q15" s="263"/>
      <c r="R15" s="263"/>
      <c r="S15" s="263"/>
      <c r="T15" s="263"/>
      <c r="U15" s="263"/>
      <c r="V15" s="263"/>
      <c r="W15" s="263"/>
      <c r="X15" s="263"/>
      <c r="Y15" s="263"/>
      <c r="Z15" s="263"/>
    </row>
    <row r="16">
      <c r="A16" s="264" t="str">
        <f>IFERROR(__xludf.DUMMYFUNCTION("""COMPUTED_VALUE"""),"Curse of Vampirism")</f>
        <v>Curse of Vampirism</v>
      </c>
      <c r="B16" s="264" t="str">
        <f>IFERROR(__xludf.DUMMYFUNCTION("""COMPUTED_VALUE"""),"300")</f>
        <v>300</v>
      </c>
      <c r="C16" s="264" t="str">
        <f>IFERROR(__xludf.DUMMYFUNCTION("""COMPUTED_VALUE"""),"Must be taken at character creation or after being killed by a vampire's bite.")</f>
        <v>Must be taken at character creation or after being killed by a vampire's bite.</v>
      </c>
      <c r="D16" s="264" t="str">
        <f>IFERROR(__xludf.DUMMYFUNCTION("""COMPUTED_VALUE"""),"You rise as a vampire, an immortal creature that feeds on the blood of living creatures and immediately gain the Vampire racial style class and its key ability. Your race changes to ‘Vampire’, but you keep the benefits of your previous race.
As a vampire,"&amp;" you no longer age and your physical appearance changes slightly. Your skin becomes more pale and you grow a pair of fangs. You still need to eat, drink and breathe as normal.
A vampire’s spirit core is cracked, making it difficult for it to regenerate ma"&amp;"na naturally and requiring it to obtain it from other creatures. You no longer regenerate mana from eating (including potions), resting and can no longer use the Draw Mana encounter conclusion action. You still recover full mana at the start of a new arc."&amp;"
You are weak to sunlight. Every round you spend in sunlight without proper protection you take 10 true damage and your maximum HP is lowered by 10. Your maximum HP remains lowered until you finish a rest. You may carry a parasol or similar object in one "&amp;"hand to protect yourself from the sun and can do so even in combat.
In addition to these drawbacks, you no longer receive Wounds unless the damage that reduced your HP to 0 was fire, holy or true damage. You also gain 60ft Darkvision. Darkvision lets you "&amp;"see in total darkness, even if there's no source of light.")</f>
        <v>You rise as a vampire, an immortal creature that feeds on the blood of living creatures and immediately gain the Vampire racial style class and its key ability. Your race changes to ‘Vampire’, but you keep the benefits of your previous race.
As a vampire, you no longer age and your physical appearance changes slightly. Your skin becomes more pale and you grow a pair of fangs. You still need to eat, drink and breathe as normal.
A vampire’s spirit core is cracked, making it difficult for it to regenerate mana naturally and requiring it to obtain it from other creatures. You no longer regenerate mana from eating (including potions), resting and can no longer use the Draw Mana encounter conclusion action. You still recover full mana at the start of a new arc.
You are weak to sunlight. Every round you spend in sunlight without proper protection you take 10 true damage and your maximum HP is lowered by 10. Your maximum HP remains lowered until you finish a rest. You may carry a parasol or similar object in one hand to protect yourself from the sun and can do so even in combat.
In addition to these drawbacks, you no longer receive Wounds unless the damage that reduced your HP to 0 was fire, holy or true damage. You also gain 60ft Darkvision. Darkvision lets you see in total darkness, even if there's no source of light.</v>
      </c>
      <c r="E16" s="263"/>
      <c r="F16" s="263"/>
      <c r="G16" s="263"/>
      <c r="H16" s="263"/>
      <c r="I16" s="263"/>
      <c r="J16" s="263"/>
      <c r="K16" s="263"/>
      <c r="L16" s="263"/>
      <c r="M16" s="263"/>
      <c r="N16" s="263"/>
      <c r="O16" s="263"/>
      <c r="P16" s="263"/>
      <c r="Q16" s="263"/>
      <c r="R16" s="263"/>
      <c r="S16" s="263"/>
      <c r="T16" s="263"/>
      <c r="U16" s="263"/>
      <c r="V16" s="263"/>
      <c r="W16" s="263"/>
      <c r="X16" s="263"/>
      <c r="Y16" s="263"/>
      <c r="Z16" s="263"/>
    </row>
    <row r="17">
      <c r="A17" s="264" t="str">
        <f>IFERROR(__xludf.DUMMYFUNCTION("""COMPUTED_VALUE"""),"Deep Connection")</f>
        <v>Deep Connection</v>
      </c>
      <c r="B17" s="264" t="str">
        <f>IFERROR(__xludf.DUMMYFUNCTION("""COMPUTED_VALUE"""),"50")</f>
        <v>50</v>
      </c>
      <c r="C17" s="263" t="str">
        <f>IFERROR(__xludf.DUMMYFUNCTION("""COMPUTED_VALUE"""),"Cavalier mastered.")</f>
        <v>Cavalier mastered.</v>
      </c>
      <c r="D17" s="264" t="str">
        <f>IFERROR(__xludf.DUMMYFUNCTION("""COMPUTED_VALUE"""),"You may command your mount to move and attack even if you're not mounted on it. This still using AP, Mana etc like normal as if you were mounted.")</f>
        <v>You may command your mount to move and attack even if you're not mounted on it. This still using AP, Mana etc like normal as if you were mounted.</v>
      </c>
      <c r="E17" s="263"/>
      <c r="F17" s="263"/>
      <c r="G17" s="263"/>
      <c r="H17" s="263"/>
      <c r="I17" s="263"/>
      <c r="J17" s="263"/>
      <c r="K17" s="263"/>
      <c r="L17" s="263"/>
      <c r="M17" s="263"/>
      <c r="N17" s="263"/>
      <c r="O17" s="263"/>
      <c r="P17" s="263"/>
      <c r="Q17" s="263"/>
      <c r="R17" s="263"/>
      <c r="S17" s="263"/>
      <c r="T17" s="263"/>
      <c r="U17" s="263"/>
      <c r="V17" s="263"/>
      <c r="W17" s="263"/>
      <c r="X17" s="263"/>
      <c r="Y17" s="263"/>
      <c r="Z17" s="263"/>
    </row>
    <row r="18">
      <c r="A18" s="264" t="str">
        <f>IFERROR(__xludf.DUMMYFUNCTION("""COMPUTED_VALUE"""),"Deus Ex Machina")</f>
        <v>Deus Ex Machina</v>
      </c>
      <c r="B18" s="264" t="str">
        <f>IFERROR(__xludf.DUMMYFUNCTION("""COMPUTED_VALUE"""),"600")</f>
        <v>600</v>
      </c>
      <c r="C18" s="263" t="str">
        <f>IFERROR(__xludf.DUMMYFUNCTION("""COMPUTED_VALUE"""),"")</f>
        <v/>
      </c>
      <c r="D18" s="264" t="str">
        <f>IFERROR(__xludf.DUMMYFUNCTION("""COMPUTED_VALUE"""),"The first time you would die from a mortal wound at Encounter Conclusion, the mortal wound is removed and you instead receive a normal injury. The benefit of this breakthrough is then lost and you may not choose this breakthrough again after.")</f>
        <v>The first time you would die from a mortal wound at Encounter Conclusion, the mortal wound is removed and you instead receive a normal injury. The benefit of this breakthrough is then lost and you may not choose this breakthrough again after.</v>
      </c>
      <c r="E18" s="263"/>
      <c r="F18" s="263"/>
      <c r="G18" s="263"/>
      <c r="H18" s="263"/>
      <c r="I18" s="263"/>
      <c r="J18" s="263"/>
      <c r="K18" s="263"/>
      <c r="L18" s="263"/>
      <c r="M18" s="263"/>
      <c r="N18" s="263"/>
      <c r="O18" s="263"/>
      <c r="P18" s="263"/>
      <c r="Q18" s="263"/>
      <c r="R18" s="263"/>
      <c r="S18" s="263"/>
      <c r="T18" s="263"/>
      <c r="U18" s="263"/>
      <c r="V18" s="263"/>
      <c r="W18" s="263"/>
      <c r="X18" s="263"/>
      <c r="Y18" s="263"/>
      <c r="Z18" s="263"/>
    </row>
    <row r="19">
      <c r="A19" s="264" t="str">
        <f>IFERROR(__xludf.DUMMYFUNCTION("""COMPUTED_VALUE"""),"Divine Luck I")</f>
        <v>Divine Luck I</v>
      </c>
      <c r="B19" s="264" t="str">
        <f>IFERROR(__xludf.DUMMYFUNCTION("""COMPUTED_VALUE"""),"300")</f>
        <v>300</v>
      </c>
      <c r="C19" s="264" t="str">
        <f>IFERROR(__xludf.DUMMYFUNCTION("""COMPUTED_VALUE"""),"")</f>
        <v/>
      </c>
      <c r="D19" s="264" t="str">
        <f>IFERROR(__xludf.DUMMYFUNCTION("""COMPUTED_VALUE"""),"Once per rest, you may roll an additional dice when making a check and take the higher result.")</f>
        <v>Once per rest, you may roll an additional dice when making a check and take the higher result.</v>
      </c>
      <c r="E19" s="263"/>
      <c r="F19" s="263"/>
      <c r="G19" s="263"/>
      <c r="H19" s="263"/>
      <c r="I19" s="263"/>
      <c r="J19" s="263"/>
      <c r="K19" s="263"/>
      <c r="L19" s="263"/>
      <c r="M19" s="263"/>
      <c r="N19" s="263"/>
      <c r="O19" s="263"/>
      <c r="P19" s="263"/>
      <c r="Q19" s="263"/>
      <c r="R19" s="263"/>
      <c r="S19" s="263"/>
      <c r="T19" s="263"/>
      <c r="U19" s="263"/>
      <c r="V19" s="263"/>
      <c r="W19" s="263"/>
      <c r="X19" s="263"/>
      <c r="Y19" s="263"/>
      <c r="Z19" s="263"/>
    </row>
    <row r="20">
      <c r="A20" s="264" t="str">
        <f>IFERROR(__xludf.DUMMYFUNCTION("""COMPUTED_VALUE"""),"Divine Luck II")</f>
        <v>Divine Luck II</v>
      </c>
      <c r="B20" s="264" t="str">
        <f>IFERROR(__xludf.DUMMYFUNCTION("""COMPUTED_VALUE"""),"600")</f>
        <v>600</v>
      </c>
      <c r="C20" s="264" t="str">
        <f>IFERROR(__xludf.DUMMYFUNCTION("""COMPUTED_VALUE"""),"Must have purchased Divine Luck I.")</f>
        <v>Must have purchased Divine Luck I.</v>
      </c>
      <c r="D20" s="264" t="str">
        <f>IFERROR(__xludf.DUMMYFUNCTION("""COMPUTED_VALUE"""),"Once per arc, you may choose to automatically succeed on a check (if success is possible).")</f>
        <v>Once per arc, you may choose to automatically succeed on a check (if success is possible).</v>
      </c>
      <c r="E20" s="263"/>
      <c r="F20" s="263"/>
      <c r="G20" s="263"/>
      <c r="H20" s="263"/>
      <c r="I20" s="263"/>
      <c r="J20" s="263"/>
      <c r="K20" s="263"/>
      <c r="L20" s="263"/>
      <c r="M20" s="263"/>
      <c r="N20" s="263"/>
      <c r="O20" s="263"/>
      <c r="P20" s="263"/>
      <c r="Q20" s="263"/>
      <c r="R20" s="263"/>
      <c r="S20" s="263"/>
      <c r="T20" s="263"/>
      <c r="U20" s="263"/>
      <c r="V20" s="263"/>
      <c r="W20" s="263"/>
      <c r="X20" s="263"/>
      <c r="Y20" s="263"/>
      <c r="Z20" s="263"/>
    </row>
    <row r="21">
      <c r="A21" s="264" t="str">
        <f>IFERROR(__xludf.DUMMYFUNCTION("""COMPUTED_VALUE"""),"Drag along (Lamia)")</f>
        <v>Drag along (Lamia)</v>
      </c>
      <c r="B21" s="264" t="str">
        <f>IFERROR(__xludf.DUMMYFUNCTION("""COMPUTED_VALUE"""),"200")</f>
        <v>200</v>
      </c>
      <c r="C21" s="263" t="str">
        <f>IFERROR(__xludf.DUMMYFUNCTION("""COMPUTED_VALUE"""),"Must be a Lamia.")</f>
        <v>Must be a Lamia.</v>
      </c>
      <c r="D21" s="264" t="str">
        <f>IFERROR(__xludf.DUMMYFUNCTION("""COMPUTED_VALUE"""),"When you have a target under the effect of ""Just a hug"", you can still move at half of your normal movement speed while under the Just a hug root effect and you still count as rooted for all other purposes.
When moving, you can drag along the target of "&amp;"Just a hug, but they still count as rooted at your new location.
In addition, your grapple power increases by +1.")</f>
        <v>When you have a target under the effect of "Just a hug", you can still move at half of your normal movement speed while under the Just a hug root effect and you still count as rooted for all other purposes.
When moving, you can drag along the target of Just a hug, but they still count as rooted at your new location.
In addition, your grapple power increases by +1.</v>
      </c>
      <c r="E21" s="263"/>
      <c r="F21" s="263"/>
      <c r="G21" s="263"/>
      <c r="H21" s="263"/>
      <c r="I21" s="263"/>
      <c r="J21" s="263"/>
      <c r="K21" s="263"/>
      <c r="L21" s="263"/>
      <c r="M21" s="263"/>
      <c r="N21" s="263"/>
      <c r="O21" s="263"/>
      <c r="P21" s="263"/>
      <c r="Q21" s="263"/>
      <c r="R21" s="263"/>
      <c r="S21" s="263"/>
      <c r="T21" s="263"/>
      <c r="U21" s="263"/>
      <c r="V21" s="263"/>
      <c r="W21" s="263"/>
      <c r="X21" s="263"/>
      <c r="Y21" s="263"/>
      <c r="Z21" s="263"/>
    </row>
    <row r="22">
      <c r="A22" s="264" t="str">
        <f>IFERROR(__xludf.DUMMYFUNCTION("""COMPUTED_VALUE"""),"Dual Personality")</f>
        <v>Dual Personality</v>
      </c>
      <c r="B22" s="264" t="str">
        <f>IFERROR(__xludf.DUMMYFUNCTION("""COMPUTED_VALUE"""),"300")</f>
        <v>300</v>
      </c>
      <c r="C22" s="264" t="str">
        <f>IFERROR(__xludf.DUMMYFUNCTION("""COMPUTED_VALUE"""),"")</f>
        <v/>
      </c>
      <c r="D22" s="264" t="str">
        <f>IFERROR(__xludf.DUMMYFUNCTION("""COMPUTED_VALUE"""),"Whether through magical or non-magical means, you have more than a single personality or entity within you through either physical or magical means. When under the influence of a Charm, Illusion or other mind-influencing effect you may spend 1 AP to switc"&amp;"h personalities/entities and act as normal.
You may only do this once per encounter.")</f>
        <v>Whether through magical or non-magical means, you have more than a single personality or entity within you through either physical or magical means. When under the influence of a Charm, Illusion or other mind-influencing effect you may spend 1 AP to switch personalities/entities and act as normal.
You may only do this once per encounter.</v>
      </c>
      <c r="E22" s="263"/>
      <c r="F22" s="263"/>
      <c r="G22" s="263"/>
      <c r="H22" s="263"/>
      <c r="I22" s="263"/>
      <c r="J22" s="263"/>
      <c r="K22" s="263"/>
      <c r="L22" s="263"/>
      <c r="M22" s="263"/>
      <c r="N22" s="263"/>
      <c r="O22" s="263"/>
      <c r="P22" s="263"/>
      <c r="Q22" s="263"/>
      <c r="R22" s="263"/>
      <c r="S22" s="263"/>
      <c r="T22" s="263"/>
      <c r="U22" s="263"/>
      <c r="V22" s="263"/>
      <c r="W22" s="263"/>
      <c r="X22" s="263"/>
      <c r="Y22" s="263"/>
      <c r="Z22" s="263"/>
    </row>
    <row r="23">
      <c r="A23" s="264" t="str">
        <f>IFERROR(__xludf.DUMMYFUNCTION("""COMPUTED_VALUE"""),"Early Ascension")</f>
        <v>Early Ascension</v>
      </c>
      <c r="B23" s="264" t="str">
        <f>IFERROR(__xludf.DUMMYFUNCTION("""COMPUTED_VALUE"""),"300")</f>
        <v>300</v>
      </c>
      <c r="C23" s="263" t="str">
        <f>IFERROR(__xludf.DUMMYFUNCTION("""COMPUTED_VALUE"""),"Must be taken at character creation.")</f>
        <v>Must be taken at character creation.</v>
      </c>
      <c r="D23" s="264" t="str">
        <f>IFERROR(__xludf.DUMMYFUNCTION("""COMPUTED_VALUE"""),"You are treated as having 1 class mastered for the purposes of selecting a tier 2 class that has “Any class mastered” or similar requirement. This does not apply to any class that requires a specific class to be mastered and it doesn't automatically quali"&amp;"fy you for other requirements such as weapon proficiencies.")</f>
        <v>You are treated as having 1 class mastered for the purposes of selecting a tier 2 class that has “Any class mastered” or similar requirement. This does not apply to any class that requires a specific class to be mastered and it doesn't automatically qualify you for other requirements such as weapon proficiencies.</v>
      </c>
      <c r="E23" s="263"/>
      <c r="F23" s="263"/>
      <c r="G23" s="263"/>
      <c r="H23" s="263"/>
      <c r="I23" s="263"/>
      <c r="J23" s="263"/>
      <c r="K23" s="263"/>
      <c r="L23" s="263"/>
      <c r="M23" s="263"/>
      <c r="N23" s="263"/>
      <c r="O23" s="263"/>
      <c r="P23" s="263"/>
      <c r="Q23" s="263"/>
      <c r="R23" s="263"/>
      <c r="S23" s="263"/>
      <c r="T23" s="263"/>
      <c r="U23" s="263"/>
      <c r="V23" s="263"/>
      <c r="W23" s="263"/>
      <c r="X23" s="263"/>
      <c r="Y23" s="263"/>
      <c r="Z23" s="263"/>
    </row>
    <row r="24">
      <c r="A24" s="264" t="str">
        <f>IFERROR(__xludf.DUMMYFUNCTION("""COMPUTED_VALUE"""),"Elemental Affinity")</f>
        <v>Elemental Affinity</v>
      </c>
      <c r="B24" s="264" t="str">
        <f>IFERROR(__xludf.DUMMYFUNCTION("""COMPUTED_VALUE"""),"150")</f>
        <v>150</v>
      </c>
      <c r="C24" s="264" t="str">
        <f>IFERROR(__xludf.DUMMYFUNCTION("""COMPUTED_VALUE"""),"")</f>
        <v/>
      </c>
      <c r="D24" s="264" t="str">
        <f>IFERROR(__xludf.DUMMYFUNCTION("""COMPUTED_VALUE"""),"You gain Elemental Mastery in an element of your choice.
You may pick this breakthrough more than once, choosing a different element each time.")</f>
        <v>You gain Elemental Mastery in an element of your choice.
You may pick this breakthrough more than once, choosing a different element each time.</v>
      </c>
      <c r="E24" s="263"/>
      <c r="F24" s="263"/>
      <c r="G24" s="263"/>
      <c r="H24" s="263"/>
      <c r="I24" s="263"/>
      <c r="J24" s="263"/>
      <c r="K24" s="263"/>
      <c r="L24" s="263"/>
      <c r="M24" s="263"/>
      <c r="N24" s="263"/>
      <c r="O24" s="263"/>
      <c r="P24" s="263"/>
      <c r="Q24" s="263"/>
      <c r="R24" s="263"/>
      <c r="S24" s="263"/>
      <c r="T24" s="263"/>
      <c r="U24" s="263"/>
      <c r="V24" s="263"/>
      <c r="W24" s="263"/>
      <c r="X24" s="263"/>
      <c r="Y24" s="263"/>
      <c r="Z24" s="263"/>
    </row>
    <row r="25">
      <c r="A25" s="264" t="str">
        <f>IFERROR(__xludf.DUMMYFUNCTION("""COMPUTED_VALUE"""),"Elemental Breath (Ryujin)")</f>
        <v>Elemental Breath (Ryujin)</v>
      </c>
      <c r="B25" s="264" t="str">
        <f>IFERROR(__xludf.DUMMYFUNCTION("""COMPUTED_VALUE"""),"100")</f>
        <v>100</v>
      </c>
      <c r="C25" s="264" t="str">
        <f>IFERROR(__xludf.DUMMYFUNCTION("""COMPUTED_VALUE"""),"Must be a Ryujin.")</f>
        <v>Must be a Ryujin.</v>
      </c>
      <c r="D25" s="264" t="str">
        <f>IFERROR(__xludf.DUMMYFUNCTION("""COMPUTED_VALUE"""),"You may let your Dragon Breath do the damage of any element that you have mastered.")</f>
        <v>You may let your Dragon Breath do the damage of any element that you have mastered.</v>
      </c>
      <c r="E25" s="263"/>
      <c r="F25" s="263"/>
      <c r="G25" s="263"/>
      <c r="H25" s="263"/>
      <c r="I25" s="263"/>
      <c r="J25" s="263"/>
      <c r="K25" s="263"/>
      <c r="L25" s="263"/>
      <c r="M25" s="263"/>
      <c r="N25" s="263"/>
      <c r="O25" s="263"/>
      <c r="P25" s="263"/>
      <c r="Q25" s="263"/>
      <c r="R25" s="263"/>
      <c r="S25" s="263"/>
      <c r="T25" s="263"/>
      <c r="U25" s="263"/>
      <c r="V25" s="263"/>
      <c r="W25" s="263"/>
      <c r="X25" s="263"/>
      <c r="Y25" s="263"/>
      <c r="Z25" s="263"/>
    </row>
    <row r="26">
      <c r="A26" s="264" t="str">
        <f>IFERROR(__xludf.DUMMYFUNCTION("""COMPUTED_VALUE"""),"Elixir Addict")</f>
        <v>Elixir Addict</v>
      </c>
      <c r="B26" s="264" t="str">
        <f>IFERROR(__xludf.DUMMYFUNCTION("""COMPUTED_VALUE"""),"0")</f>
        <v>0</v>
      </c>
      <c r="C26" s="264" t="str">
        <f>IFERROR(__xludf.DUMMYFUNCTION("""COMPUTED_VALUE"""),"Must have used at least 3 elixirs.")</f>
        <v>Must have used at least 3 elixirs.</v>
      </c>
      <c r="D26" s="264" t="str">
        <f>IFERROR(__xludf.DUMMYFUNCTION("""COMPUTED_VALUE"""),"You have become used to the effects of drinking elixirs, too used in fact. At the end of your turn in combat, if you do not have an Elixir active you take 6 true damage. The HP cost of drinking all elixirs is reduced by 11.
This breakthrough may be remove"&amp;"d during an interlude phase by spending 1 IP.")</f>
        <v>You have become used to the effects of drinking elixirs, too used in fact. At the end of your turn in combat, if you do not have an Elixir active you take 6 true damage. The HP cost of drinking all elixirs is reduced by 11.
This breakthrough may be removed during an interlude phase by spending 1 IP.</v>
      </c>
      <c r="E26" s="263"/>
      <c r="F26" s="263"/>
      <c r="G26" s="263"/>
      <c r="H26" s="263"/>
      <c r="I26" s="263"/>
      <c r="J26" s="263"/>
      <c r="K26" s="263"/>
      <c r="L26" s="263"/>
      <c r="M26" s="263"/>
      <c r="N26" s="263"/>
      <c r="O26" s="263"/>
      <c r="P26" s="263"/>
      <c r="Q26" s="263"/>
      <c r="R26" s="263"/>
      <c r="S26" s="263"/>
      <c r="T26" s="263"/>
      <c r="U26" s="263"/>
      <c r="V26" s="263"/>
      <c r="W26" s="263"/>
      <c r="X26" s="263"/>
      <c r="Y26" s="263"/>
      <c r="Z26" s="263"/>
    </row>
    <row r="27">
      <c r="A27" s="264" t="str">
        <f>IFERROR(__xludf.DUMMYFUNCTION("""COMPUTED_VALUE"""),"Expert Summoner")</f>
        <v>Expert Summoner</v>
      </c>
      <c r="B27" s="264" t="str">
        <f>IFERROR(__xludf.DUMMYFUNCTION("""COMPUTED_VALUE"""),"0")</f>
        <v>0</v>
      </c>
      <c r="C27" s="264" t="str">
        <f>IFERROR(__xludf.DUMMYFUNCTION("""COMPUTED_VALUE"""),"At least 1 of Summoner, Mogul, Animal Summoner or Necromancer maxed. 3000+ Spirit Core")</f>
        <v>At least 1 of Summoner, Mogul, Animal Summoner or Necromancer maxed. 3000+ Spirit Core</v>
      </c>
      <c r="D27" s="264" t="str">
        <f>IFERROR(__xludf.DUMMYFUNCTION("""COMPUTED_VALUE"""),"When you summon during the first or second round of an encounter, you may transfer main stat points from yourself into your summon.
The maximum stat points you can imbue for all your summons combined is equal to your total main stat points (Focus, Power, "&amp;"Agility, Toughness) - 18. You can not lower a stat below 3 with this. When you lose stat points due to this, your related values such as mana, HP and RP have their max reduced. When lowering your agility or toughness, you also lose RP or HP equal to the r"&amp;"espective stat lost. If your  Mana is higher than your max Mana after imbuing, it is reduced to the new max.
This transfer stays until end of encounter or until the summon you invested in dies (or is otherwise removed from combat). Your max of your stats "&amp;"is returned to normal, but any HP or Mana lost due to this is not refunded.
You may imbue a Heroic summon with any amount of stats from this pool. These points don't need to be a direct transfer (for example, you can lower your Agility by 2 to buff your s"&amp;"ummons Power). They increase your summons values such as HP/RP etc by the regular amount these stats give.
For grunt summons, you may imbue them with half of this max. They are still capped at max 1 RP.")</f>
        <v>When you summon during the first or second round of an encounter, you may transfer main stat points from yourself into your summon.
The maximum stat points you can imbue for all your summons combined is equal to your total main stat points (Focus, Power, Agility, Toughness) - 18. You can not lower a stat below 3 with this. When you lose stat points due to this, your related values such as mana, HP and RP have their max reduced. When lowering your agility or toughness, you also lose RP or HP equal to the respective stat lost. If your  Mana is higher than your max Mana after imbuing, it is reduced to the new max.
This transfer stays until end of encounter or until the summon you invested in dies (or is otherwise removed from combat). Your max of your stats is returned to normal, but any HP or Mana lost due to this is not refunded.
You may imbue a Heroic summon with any amount of stats from this pool. These points don't need to be a direct transfer (for example, you can lower your Agility by 2 to buff your summons Power). They increase your summons values such as HP/RP etc by the regular amount these stats give.
For grunt summons, you may imbue them with half of this max. They are still capped at max 1 RP.</v>
      </c>
      <c r="E27" s="263"/>
      <c r="F27" s="263"/>
      <c r="G27" s="263"/>
      <c r="H27" s="263"/>
      <c r="I27" s="263"/>
      <c r="J27" s="263"/>
      <c r="K27" s="263"/>
      <c r="L27" s="263"/>
      <c r="M27" s="263"/>
      <c r="N27" s="263"/>
      <c r="O27" s="263"/>
      <c r="P27" s="263"/>
      <c r="Q27" s="263"/>
      <c r="R27" s="263"/>
      <c r="S27" s="263"/>
      <c r="T27" s="263"/>
      <c r="U27" s="263"/>
      <c r="V27" s="263"/>
      <c r="W27" s="263"/>
      <c r="X27" s="263"/>
      <c r="Y27" s="263"/>
      <c r="Z27" s="263"/>
    </row>
    <row r="28">
      <c r="A28" s="264" t="str">
        <f>IFERROR(__xludf.DUMMYFUNCTION("""COMPUTED_VALUE"""),"Fae Flash Acrobat (Fae)")</f>
        <v>Fae Flash Acrobat (Fae)</v>
      </c>
      <c r="B28" s="264" t="str">
        <f>IFERROR(__xludf.DUMMYFUNCTION("""COMPUTED_VALUE"""),"50")</f>
        <v>50</v>
      </c>
      <c r="C28" s="264" t="str">
        <f>IFERROR(__xludf.DUMMYFUNCTION("""COMPUTED_VALUE"""),"Must be a Fae.")</f>
        <v>Must be a Fae.</v>
      </c>
      <c r="D28" s="264" t="str">
        <f>IFERROR(__xludf.DUMMYFUNCTION("""COMPUTED_VALUE"""),"While using Fae Flash, you may teleport a partial distance and materialize there to redirect your teleport. In a single Fae Step, you may teleport multiple times, reappearing each time you stop, to teleport from that new position. You are still limited by"&amp;" your maximum teleport distance and cannot take any other actions between each teleport.")</f>
        <v>While using Fae Flash, you may teleport a partial distance and materialize there to redirect your teleport. In a single Fae Step, you may teleport multiple times, reappearing each time you stop, to teleport from that new position. You are still limited by your maximum teleport distance and cannot take any other actions between each teleport.</v>
      </c>
      <c r="E28" s="263"/>
      <c r="F28" s="263"/>
      <c r="G28" s="263"/>
      <c r="H28" s="263"/>
      <c r="I28" s="263"/>
      <c r="J28" s="263"/>
      <c r="K28" s="263"/>
      <c r="L28" s="263"/>
      <c r="M28" s="263"/>
      <c r="N28" s="263"/>
      <c r="O28" s="263"/>
      <c r="P28" s="263"/>
      <c r="Q28" s="263"/>
      <c r="R28" s="263"/>
      <c r="S28" s="263"/>
      <c r="T28" s="263"/>
      <c r="U28" s="263"/>
      <c r="V28" s="263"/>
      <c r="W28" s="263"/>
      <c r="X28" s="263"/>
      <c r="Y28" s="263"/>
      <c r="Z28" s="263"/>
    </row>
    <row r="29">
      <c r="A29" s="264" t="str">
        <f>IFERROR(__xludf.DUMMYFUNCTION("""COMPUTED_VALUE"""),"Faerie Flash Master (Fae)")</f>
        <v>Faerie Flash Master (Fae)</v>
      </c>
      <c r="B29" s="264" t="str">
        <f>IFERROR(__xludf.DUMMYFUNCTION("""COMPUTED_VALUE"""),"100")</f>
        <v>100</v>
      </c>
      <c r="C29" s="263" t="str">
        <f>IFERROR(__xludf.DUMMYFUNCTION("""COMPUTED_VALUE"""),"Must be a Fae.")</f>
        <v>Must be a Fae.</v>
      </c>
      <c r="D29" s="264" t="str">
        <f>IFERROR(__xludf.DUMMYFUNCTION("""COMPUTED_VALUE"""),"When using your Faerie Flash ability, you may spend X additional mana to increase your teleport distance by X times your movement speed.")</f>
        <v>When using your Faerie Flash ability, you may spend X additional mana to increase your teleport distance by X times your movement speed.</v>
      </c>
      <c r="E29" s="263"/>
      <c r="F29" s="263"/>
      <c r="G29" s="263"/>
      <c r="H29" s="263"/>
      <c r="I29" s="263"/>
      <c r="J29" s="263"/>
      <c r="K29" s="263"/>
      <c r="L29" s="263"/>
      <c r="M29" s="263"/>
      <c r="N29" s="263"/>
      <c r="O29" s="263"/>
      <c r="P29" s="263"/>
      <c r="Q29" s="263"/>
      <c r="R29" s="263"/>
      <c r="S29" s="263"/>
      <c r="T29" s="263"/>
      <c r="U29" s="263"/>
      <c r="V29" s="263"/>
      <c r="W29" s="263"/>
      <c r="X29" s="263"/>
      <c r="Y29" s="263"/>
      <c r="Z29" s="263"/>
    </row>
    <row r="30">
      <c r="A30" s="264" t="str">
        <f>IFERROR(__xludf.DUMMYFUNCTION("""COMPUTED_VALUE"""),"Faerie-Chimera Hybrid (Race)")</f>
        <v>Faerie-Chimera Hybrid (Race)</v>
      </c>
      <c r="B30" s="264" t="str">
        <f>IFERROR(__xludf.DUMMYFUNCTION("""COMPUTED_VALUE"""),"200")</f>
        <v>200</v>
      </c>
      <c r="C30" s="264" t="str">
        <f>IFERROR(__xludf.DUMMYFUNCTION("""COMPUTED_VALUE"""),"Must be chosen at character creation. Must choose Faerie or Chimera race.")</f>
        <v>Must be chosen at character creation. Must choose Faerie or Chimera race.</v>
      </c>
      <c r="D30" s="264" t="str">
        <f>IFERROR(__xludf.DUMMYFUNCTION("""COMPUTED_VALUE"""),"An extremely rare condition in which a Chimera parent and a Faerie parent produces a child with Chimera traits. The odds are said to be less than 1%.
If your main race is Chimera, you may choose a Fae subrace instead of a Chimera one. If your main race is"&amp;" Fae, you may choose a Chimera subrace instead of a Fae one.
You do not get any of the base traits from the other race and keep the ones from your chosen main race. However, you do get the language from the other race (or a dialect of choosing a chimera s"&amp;"ubrace)
If you pick High Fae as your subrace, you gain Fae Flash instead of Fae Flash II.")</f>
        <v>An extremely rare condition in which a Chimera parent and a Faerie parent produces a child with Chimera traits. The odds are said to be less than 1%.
If your main race is Chimera, you may choose a Fae subrace instead of a Chimera one. If your main race is Fae, you may choose a Chimera subrace instead of a Fae one.
You do not get any of the base traits from the other race and keep the ones from your chosen main race. However, you do get the language from the other race (or a dialect of choosing a chimera subrace)
If you pick High Fae as your subrace, you gain Fae Flash instead of Fae Flash II.</v>
      </c>
      <c r="E30" s="263"/>
      <c r="F30" s="263"/>
      <c r="G30" s="263"/>
      <c r="H30" s="263"/>
      <c r="I30" s="263"/>
      <c r="J30" s="263"/>
      <c r="K30" s="263"/>
      <c r="L30" s="263"/>
      <c r="M30" s="263"/>
      <c r="N30" s="263"/>
      <c r="O30" s="263"/>
      <c r="P30" s="263"/>
      <c r="Q30" s="263"/>
      <c r="R30" s="263"/>
      <c r="S30" s="263"/>
      <c r="T30" s="263"/>
      <c r="U30" s="263"/>
      <c r="V30" s="263"/>
      <c r="W30" s="263"/>
      <c r="X30" s="263"/>
      <c r="Y30" s="263"/>
      <c r="Z30" s="263"/>
    </row>
    <row r="31">
      <c r="A31" s="264" t="str">
        <f>IFERROR(__xludf.DUMMYFUNCTION("""COMPUTED_VALUE"""),"Fast Metabolism")</f>
        <v>Fast Metabolism</v>
      </c>
      <c r="B31" s="264" t="str">
        <f>IFERROR(__xludf.DUMMYFUNCTION("""COMPUTED_VALUE"""),"150")</f>
        <v>150</v>
      </c>
      <c r="C31" s="263" t="str">
        <f>IFERROR(__xludf.DUMMYFUNCTION("""COMPUTED_VALUE"""),"")</f>
        <v/>
      </c>
      <c r="D31" s="264" t="str">
        <f>IFERROR(__xludf.DUMMYFUNCTION("""COMPUTED_VALUE"""),"Once per arc you may eat food and gain the benefits even if you already had gotten the benefits from eating food that day.")</f>
        <v>Once per arc you may eat food and gain the benefits even if you already had gotten the benefits from eating food that day.</v>
      </c>
      <c r="E31" s="263"/>
      <c r="F31" s="263"/>
      <c r="G31" s="263"/>
      <c r="H31" s="263"/>
      <c r="I31" s="263"/>
      <c r="J31" s="263"/>
      <c r="K31" s="263"/>
      <c r="L31" s="263"/>
      <c r="M31" s="263"/>
      <c r="N31" s="263"/>
      <c r="O31" s="263"/>
      <c r="P31" s="263"/>
      <c r="Q31" s="263"/>
      <c r="R31" s="263"/>
      <c r="S31" s="263"/>
      <c r="T31" s="263"/>
      <c r="U31" s="263"/>
      <c r="V31" s="263"/>
      <c r="W31" s="263"/>
      <c r="X31" s="263"/>
      <c r="Y31" s="263"/>
      <c r="Z31" s="263"/>
    </row>
    <row r="32">
      <c r="A32" s="264" t="str">
        <f>IFERROR(__xludf.DUMMYFUNCTION("""COMPUTED_VALUE"""),"Fast Movement (Centaur)")</f>
        <v>Fast Movement (Centaur)</v>
      </c>
      <c r="B32" s="264" t="str">
        <f>IFERROR(__xludf.DUMMYFUNCTION("""COMPUTED_VALUE"""),"200")</f>
        <v>200</v>
      </c>
      <c r="C32" s="264" t="str">
        <f>IFERROR(__xludf.DUMMYFUNCTION("""COMPUTED_VALUE"""),"Must be Centaur or Arachne Spiderfolk")</f>
        <v>Must be Centaur or Arachne Spiderfolk</v>
      </c>
      <c r="D32" s="264" t="str">
        <f>IFERROR(__xludf.DUMMYFUNCTION("""COMPUTED_VALUE"""),"Your base movement speed increases by 5ft.")</f>
        <v>Your base movement speed increases by 5ft.</v>
      </c>
      <c r="E32" s="263"/>
      <c r="F32" s="263"/>
      <c r="G32" s="263"/>
      <c r="H32" s="263"/>
      <c r="I32" s="263"/>
      <c r="J32" s="263"/>
      <c r="K32" s="263"/>
      <c r="L32" s="263"/>
      <c r="M32" s="263"/>
      <c r="N32" s="263"/>
      <c r="O32" s="263"/>
      <c r="P32" s="263"/>
      <c r="Q32" s="263"/>
      <c r="R32" s="263"/>
      <c r="S32" s="263"/>
      <c r="T32" s="263"/>
      <c r="U32" s="263"/>
      <c r="V32" s="263"/>
      <c r="W32" s="263"/>
      <c r="X32" s="263"/>
      <c r="Y32" s="263"/>
      <c r="Z32" s="263"/>
    </row>
    <row r="33">
      <c r="A33" s="264" t="str">
        <f>IFERROR(__xludf.DUMMYFUNCTION("""COMPUTED_VALUE"""),"Fearless")</f>
        <v>Fearless</v>
      </c>
      <c r="B33" s="264" t="str">
        <f>IFERROR(__xludf.DUMMYFUNCTION("""COMPUTED_VALUE"""),"200")</f>
        <v>200</v>
      </c>
      <c r="C33" s="264" t="str">
        <f>IFERROR(__xludf.DUMMYFUNCTION("""COMPUTED_VALUE"""),"")</f>
        <v/>
      </c>
      <c r="D33" s="264" t="str">
        <f>IFERROR(__xludf.DUMMYFUNCTION("""COMPUTED_VALUE"""),"Whenever you are afflicted by a Fear type condition, you may spend 1 RP or 0 AP to remove it.")</f>
        <v>Whenever you are afflicted by a Fear type condition, you may spend 1 RP or 0 AP to remove it.</v>
      </c>
      <c r="E33" s="263"/>
      <c r="F33" s="263"/>
      <c r="G33" s="263"/>
      <c r="H33" s="263"/>
      <c r="I33" s="263"/>
      <c r="J33" s="263"/>
      <c r="K33" s="263"/>
      <c r="L33" s="263"/>
      <c r="M33" s="263"/>
      <c r="N33" s="263"/>
      <c r="O33" s="263"/>
      <c r="P33" s="263"/>
      <c r="Q33" s="263"/>
      <c r="R33" s="263"/>
      <c r="S33" s="263"/>
      <c r="T33" s="263"/>
      <c r="U33" s="263"/>
      <c r="V33" s="263"/>
      <c r="W33" s="263"/>
      <c r="X33" s="263"/>
      <c r="Y33" s="263"/>
      <c r="Z33" s="263"/>
    </row>
    <row r="34">
      <c r="A34" s="264" t="str">
        <f>IFERROR(__xludf.DUMMYFUNCTION("""COMPUTED_VALUE"""),"Fight and Flight (Chimera)")</f>
        <v>Fight and Flight (Chimera)</v>
      </c>
      <c r="B34" s="264" t="str">
        <f>IFERROR(__xludf.DUMMYFUNCTION("""COMPUTED_VALUE"""),"200")</f>
        <v>200</v>
      </c>
      <c r="C34" s="264" t="str">
        <f>IFERROR(__xludf.DUMMYFUNCTION("""COMPUTED_VALUE"""),"Must be a Chimera.")</f>
        <v>Must be a Chimera.</v>
      </c>
      <c r="D34" s="264" t="str">
        <f>IFERROR(__xludf.DUMMYFUNCTION("""COMPUTED_VALUE"""),"When using Fight or Flight, you no longer receive the drawback.")</f>
        <v>When using Fight or Flight, you no longer receive the drawback.</v>
      </c>
      <c r="E34" s="263"/>
      <c r="F34" s="263"/>
      <c r="G34" s="263"/>
      <c r="H34" s="263"/>
      <c r="I34" s="263"/>
      <c r="J34" s="263"/>
      <c r="K34" s="263"/>
      <c r="L34" s="263"/>
      <c r="M34" s="263"/>
      <c r="N34" s="263"/>
      <c r="O34" s="263"/>
      <c r="P34" s="263"/>
      <c r="Q34" s="263"/>
      <c r="R34" s="263"/>
      <c r="S34" s="263"/>
      <c r="T34" s="263"/>
      <c r="U34" s="263"/>
      <c r="V34" s="263"/>
      <c r="W34" s="263"/>
      <c r="X34" s="263"/>
      <c r="Y34" s="263"/>
      <c r="Z34" s="263"/>
    </row>
    <row r="35">
      <c r="A35" s="264" t="str">
        <f>IFERROR(__xludf.DUMMYFUNCTION("""COMPUTED_VALUE"""),"Flesheater (Jiangshi)")</f>
        <v>Flesheater (Jiangshi)</v>
      </c>
      <c r="B35" s="264" t="str">
        <f>IFERROR(__xludf.DUMMYFUNCTION("""COMPUTED_VALUE"""),"100")</f>
        <v>100</v>
      </c>
      <c r="C35" s="264" t="str">
        <f>IFERROR(__xludf.DUMMYFUNCTION("""COMPUTED_VALUE"""),"Must be a Jiangshi.")</f>
        <v>Must be a Jiangshi.</v>
      </c>
      <c r="D35" s="264" t="str">
        <f>IFERROR(__xludf.DUMMYFUNCTION("""COMPUTED_VALUE"""),"When using Consume Enemy, you may consider that your food for the day and regain mana equal to a normal ration. You cannot gain this benefit if you already regained mana from food that day and using this benefit prevents you from regaining mana from food "&amp;"until you’ve rested.")</f>
        <v>When using Consume Enemy, you may consider that your food for the day and regain mana equal to a normal ration. You cannot gain this benefit if you already regained mana from food that day and using this benefit prevents you from regaining mana from food until you’ve rested.</v>
      </c>
      <c r="E35" s="263"/>
      <c r="F35" s="263"/>
      <c r="G35" s="263"/>
      <c r="H35" s="263"/>
      <c r="I35" s="263"/>
      <c r="J35" s="263"/>
      <c r="K35" s="263"/>
      <c r="L35" s="263"/>
      <c r="M35" s="263"/>
      <c r="N35" s="263"/>
      <c r="O35" s="263"/>
      <c r="P35" s="263"/>
      <c r="Q35" s="263"/>
      <c r="R35" s="263"/>
      <c r="S35" s="263"/>
      <c r="T35" s="263"/>
      <c r="U35" s="263"/>
      <c r="V35" s="263"/>
      <c r="W35" s="263"/>
      <c r="X35" s="263"/>
      <c r="Y35" s="263"/>
      <c r="Z35" s="263"/>
    </row>
    <row r="36">
      <c r="A36" s="264" t="str">
        <f>IFERROR(__xludf.DUMMYFUNCTION("""COMPUTED_VALUE"""),"Flying Counter (Kitsune)")</f>
        <v>Flying Counter (Kitsune)</v>
      </c>
      <c r="B36" s="264" t="str">
        <f>IFERROR(__xludf.DUMMYFUNCTION("""COMPUTED_VALUE"""),"200")</f>
        <v>200</v>
      </c>
      <c r="C36" s="264" t="str">
        <f>IFERROR(__xludf.DUMMYFUNCTION("""COMPUTED_VALUE"""),"Must be a Kitsune.")</f>
        <v>Must be a Kitsune.</v>
      </c>
      <c r="D36" s="264" t="str">
        <f>IFERROR(__xludf.DUMMYFUNCTION("""COMPUTED_VALUE"""),"When using Fading Counter, you may move up to your movement speed instead of 5ft. This movement has Flight and still does not provoke attacks of opportunity.")</f>
        <v>When using Fading Counter, you may move up to your movement speed instead of 5ft. This movement has Flight and still does not provoke attacks of opportunity.</v>
      </c>
      <c r="E36" s="263"/>
      <c r="F36" s="263"/>
      <c r="G36" s="263"/>
      <c r="H36" s="263"/>
      <c r="I36" s="263"/>
      <c r="J36" s="263"/>
      <c r="K36" s="263"/>
      <c r="L36" s="263"/>
      <c r="M36" s="263"/>
      <c r="N36" s="263"/>
      <c r="O36" s="263"/>
      <c r="P36" s="263"/>
      <c r="Q36" s="263"/>
      <c r="R36" s="263"/>
      <c r="S36" s="263"/>
      <c r="T36" s="263"/>
      <c r="U36" s="263"/>
      <c r="V36" s="263"/>
      <c r="W36" s="263"/>
      <c r="X36" s="263"/>
      <c r="Y36" s="263"/>
      <c r="Z36" s="263"/>
    </row>
    <row r="37">
      <c r="A37" s="264" t="str">
        <f>IFERROR(__xludf.DUMMYFUNCTION("""COMPUTED_VALUE"""),"Four Paw Sprint (Catfolk)")</f>
        <v>Four Paw Sprint (Catfolk)</v>
      </c>
      <c r="B37" s="264" t="str">
        <f>IFERROR(__xludf.DUMMYFUNCTION("""COMPUTED_VALUE"""),"100")</f>
        <v>100</v>
      </c>
      <c r="C37" s="264" t="str">
        <f>IFERROR(__xludf.DUMMYFUNCTION("""COMPUTED_VALUE"""),"Must be a Catfolk.")</f>
        <v>Must be a Catfolk.</v>
      </c>
      <c r="D37" s="264" t="str">
        <f>IFERROR(__xludf.DUMMYFUNCTION("""COMPUTED_VALUE"""),"When spending at least 3 AP of movement, your base movement speed is increased to 40ft instead of 25.")</f>
        <v>When spending at least 3 AP of movement, your base movement speed is increased to 40ft instead of 25.</v>
      </c>
      <c r="E37" s="263"/>
      <c r="F37" s="263"/>
      <c r="G37" s="263"/>
      <c r="H37" s="263"/>
      <c r="I37" s="263"/>
      <c r="J37" s="263"/>
      <c r="K37" s="263"/>
      <c r="L37" s="263"/>
      <c r="M37" s="263"/>
      <c r="N37" s="263"/>
      <c r="O37" s="263"/>
      <c r="P37" s="263"/>
      <c r="Q37" s="263"/>
      <c r="R37" s="263"/>
      <c r="S37" s="263"/>
      <c r="T37" s="263"/>
      <c r="U37" s="263"/>
      <c r="V37" s="263"/>
      <c r="W37" s="263"/>
      <c r="X37" s="263"/>
      <c r="Y37" s="263"/>
      <c r="Z37" s="263"/>
    </row>
    <row r="38">
      <c r="A38" s="264" t="str">
        <f>IFERROR(__xludf.DUMMYFUNCTION("""COMPUTED_VALUE"""),"Greatshield Training")</f>
        <v>Greatshield Training</v>
      </c>
      <c r="B38" s="264" t="str">
        <f>IFERROR(__xludf.DUMMYFUNCTION("""COMPUTED_VALUE"""),"100")</f>
        <v>100</v>
      </c>
      <c r="C38" s="264" t="str">
        <f>IFERROR(__xludf.DUMMYFUNCTION("""COMPUTED_VALUE"""),"You must be proficient with shields.")</f>
        <v>You must be proficient with shields.</v>
      </c>
      <c r="D38" s="264" t="str">
        <f>IFERROR(__xludf.DUMMYFUNCTION("""COMPUTED_VALUE"""),"You gain proficiency with Greatshields.")</f>
        <v>You gain proficiency with Greatshields.</v>
      </c>
      <c r="E38" s="263"/>
      <c r="F38" s="263"/>
      <c r="G38" s="263"/>
      <c r="H38" s="263"/>
      <c r="I38" s="263"/>
      <c r="J38" s="263"/>
      <c r="K38" s="263"/>
      <c r="L38" s="263"/>
      <c r="M38" s="263"/>
      <c r="N38" s="263"/>
      <c r="O38" s="263"/>
      <c r="P38" s="263"/>
      <c r="Q38" s="263"/>
      <c r="R38" s="263"/>
      <c r="S38" s="263"/>
      <c r="T38" s="263"/>
      <c r="U38" s="263"/>
      <c r="V38" s="263"/>
      <c r="W38" s="263"/>
      <c r="X38" s="263"/>
      <c r="Y38" s="263"/>
      <c r="Z38" s="263"/>
    </row>
    <row r="39">
      <c r="A39" s="264" t="str">
        <f>IFERROR(__xludf.DUMMYFUNCTION("""COMPUTED_VALUE"""),"Heavy Armor Training")</f>
        <v>Heavy Armor Training</v>
      </c>
      <c r="B39" s="264" t="str">
        <f>IFERROR(__xludf.DUMMYFUNCTION("""COMPUTED_VALUE"""),"100")</f>
        <v>100</v>
      </c>
      <c r="C39" s="264" t="str">
        <f>IFERROR(__xludf.DUMMYFUNCTION("""COMPUTED_VALUE"""),"You must be proficient with Light and Medium armor.")</f>
        <v>You must be proficient with Light and Medium armor.</v>
      </c>
      <c r="D39" s="264" t="str">
        <f>IFERROR(__xludf.DUMMYFUNCTION("""COMPUTED_VALUE"""),"You gain proficiency with Heavy Armor.")</f>
        <v>You gain proficiency with Heavy Armor.</v>
      </c>
      <c r="E39" s="263"/>
      <c r="F39" s="263"/>
      <c r="G39" s="263"/>
      <c r="H39" s="263"/>
      <c r="I39" s="263"/>
      <c r="J39" s="263"/>
      <c r="K39" s="263"/>
      <c r="L39" s="263"/>
      <c r="M39" s="263"/>
      <c r="N39" s="263"/>
      <c r="O39" s="263"/>
      <c r="P39" s="263"/>
      <c r="Q39" s="263"/>
      <c r="R39" s="263"/>
      <c r="S39" s="263"/>
      <c r="T39" s="263"/>
      <c r="U39" s="263"/>
      <c r="V39" s="263"/>
      <c r="W39" s="263"/>
      <c r="X39" s="263"/>
      <c r="Y39" s="263"/>
      <c r="Z39" s="263"/>
    </row>
    <row r="40">
      <c r="A40" s="264" t="str">
        <f>IFERROR(__xludf.DUMMYFUNCTION("""COMPUTED_VALUE"""),"Hide Behind Ally (Pixie)")</f>
        <v>Hide Behind Ally (Pixie)</v>
      </c>
      <c r="B40" s="264" t="str">
        <f>IFERROR(__xludf.DUMMYFUNCTION("""COMPUTED_VALUE"""),"300")</f>
        <v>300</v>
      </c>
      <c r="C40" s="264" t="str">
        <f>IFERROR(__xludf.DUMMYFUNCTION("""COMPUTED_VALUE"""),"Must be a Pixie.")</f>
        <v>Must be a Pixie.</v>
      </c>
      <c r="D40" s="264" t="str">
        <f>IFERROR(__xludf.DUMMYFUNCTION("""COMPUTED_VALUE"""),"When occupying the same space as a conscious ally that's at least a size bigger than you, you may choose to become untargetable to single target attacks. The ally must be willing to take the hits for you, though they may react to these attacks as normal. "&amp;"While occupying the same space as a conscious ally, any effect that triggers upon not being targeted by an enemy (such as Challenge) will not be triggered. Does not work against Attacks of Opportunity.")</f>
        <v>When occupying the same space as a conscious ally that's at least a size bigger than you, you may choose to become untargetable to single target attacks. The ally must be willing to take the hits for you, though they may react to these attacks as normal. While occupying the same space as a conscious ally, any effect that triggers upon not being targeted by an enemy (such as Challenge) will not be triggered. Does not work against Attacks of Opportunity.</v>
      </c>
      <c r="E40" s="263"/>
      <c r="F40" s="263"/>
      <c r="G40" s="263"/>
      <c r="H40" s="263"/>
      <c r="I40" s="263"/>
      <c r="J40" s="263"/>
      <c r="K40" s="263"/>
      <c r="L40" s="263"/>
      <c r="M40" s="263"/>
      <c r="N40" s="263"/>
      <c r="O40" s="263"/>
      <c r="P40" s="263"/>
      <c r="Q40" s="263"/>
      <c r="R40" s="263"/>
      <c r="S40" s="263"/>
      <c r="T40" s="263"/>
      <c r="U40" s="263"/>
      <c r="V40" s="263"/>
      <c r="W40" s="263"/>
      <c r="X40" s="263"/>
      <c r="Y40" s="263"/>
      <c r="Z40" s="263"/>
    </row>
    <row r="41">
      <c r="A41" s="264" t="str">
        <f>IFERROR(__xludf.DUMMYFUNCTION("""COMPUTED_VALUE"""),"Human-Chimera Hybrid (Race)")</f>
        <v>Human-Chimera Hybrid (Race)</v>
      </c>
      <c r="B41" s="264" t="str">
        <f>IFERROR(__xludf.DUMMYFUNCTION("""COMPUTED_VALUE"""),"200")</f>
        <v>200</v>
      </c>
      <c r="C41" s="264" t="str">
        <f>IFERROR(__xludf.DUMMYFUNCTION("""COMPUTED_VALUE"""),"Must be chosen at character creation. Must choose Human race.")</f>
        <v>Must be chosen at character creation. Must choose Human race.</v>
      </c>
      <c r="D41" s="264" t="str">
        <f>IFERROR(__xludf.DUMMYFUNCTION("""COMPUTED_VALUE"""),"While most unions of Human and Chimera parents result in the offspring being fully of Human or fully of Chimera, there are rare instances in which the Chimera traits are still present in a human offspring.
Choose one Chimera Subrace and gain all of its fe"&amp;"atures. You do not gain any of the Chimera base traits and instead have the Human ones, including Divine Providence. You do not get the 100 extra exp that humans normally get or human adaptability.")</f>
        <v>While most unions of Human and Chimera parents result in the offspring being fully of Human or fully of Chimera, there are rare instances in which the Chimera traits are still present in a human offspring.
Choose one Chimera Subrace and gain all of its features. You do not gain any of the Chimera base traits and instead have the Human ones, including Divine Providence. You do not get the 100 extra exp that humans normally get or human adaptability.</v>
      </c>
      <c r="E41" s="263"/>
      <c r="F41" s="263"/>
      <c r="G41" s="263"/>
      <c r="H41" s="263"/>
      <c r="I41" s="263"/>
      <c r="J41" s="263"/>
      <c r="K41" s="263"/>
      <c r="L41" s="263"/>
      <c r="M41" s="263"/>
      <c r="N41" s="263"/>
      <c r="O41" s="263"/>
      <c r="P41" s="263"/>
      <c r="Q41" s="263"/>
      <c r="R41" s="263"/>
      <c r="S41" s="263"/>
      <c r="T41" s="263"/>
      <c r="U41" s="263"/>
      <c r="V41" s="263"/>
      <c r="W41" s="263"/>
      <c r="X41" s="263"/>
      <c r="Y41" s="263"/>
      <c r="Z41" s="263"/>
    </row>
    <row r="42">
      <c r="A42" s="264" t="str">
        <f>IFERROR(__xludf.DUMMYFUNCTION("""COMPUTED_VALUE"""),"Improved Demonic Divine Release (Demon)")</f>
        <v>Improved Demonic Divine Release (Demon)</v>
      </c>
      <c r="B42" s="264" t="str">
        <f>IFERROR(__xludf.DUMMYFUNCTION("""COMPUTED_VALUE"""),"300")</f>
        <v>300</v>
      </c>
      <c r="C42" s="263" t="str">
        <f>IFERROR(__xludf.DUMMYFUNCTION("""COMPUTED_VALUE"""),"Must be a Demon")</f>
        <v>Must be a Demon</v>
      </c>
      <c r="D42" s="264" t="str">
        <f>IFERROR(__xludf.DUMMYFUNCTION("""COMPUTED_VALUE"""),"When activating your divine release you may choose to reduce your max HP by 22. When you do, you do not pay any additional HP cost to activate it and the HP Upkeep is reduced to 0 while above 0 HP.
When you fall below 0 HP, you pay the increased Upkeep co"&amp;"st as normal.")</f>
        <v>When activating your divine release you may choose to reduce your max HP by 22. When you do, you do not pay any additional HP cost to activate it and the HP Upkeep is reduced to 0 while above 0 HP.
When you fall below 0 HP, you pay the increased Upkeep cost as normal.</v>
      </c>
      <c r="E42" s="263"/>
      <c r="F42" s="263"/>
      <c r="G42" s="263"/>
      <c r="H42" s="263"/>
      <c r="I42" s="263"/>
      <c r="J42" s="263"/>
      <c r="K42" s="263"/>
      <c r="L42" s="263"/>
      <c r="M42" s="263"/>
      <c r="N42" s="263"/>
      <c r="O42" s="263"/>
      <c r="P42" s="263"/>
      <c r="Q42" s="263"/>
      <c r="R42" s="263"/>
      <c r="S42" s="263"/>
      <c r="T42" s="263"/>
      <c r="U42" s="263"/>
      <c r="V42" s="263"/>
      <c r="W42" s="263"/>
      <c r="X42" s="263"/>
      <c r="Y42" s="263"/>
      <c r="Z42" s="263"/>
    </row>
    <row r="43">
      <c r="A43" s="264" t="str">
        <f>IFERROR(__xludf.DUMMYFUNCTION("""COMPUTED_VALUE"""),"In Sync (Youkai)")</f>
        <v>In Sync (Youkai)</v>
      </c>
      <c r="B43" s="264" t="str">
        <f>IFERROR(__xludf.DUMMYFUNCTION("""COMPUTED_VALUE"""),"100")</f>
        <v>100</v>
      </c>
      <c r="C43" s="263" t="str">
        <f>IFERROR(__xludf.DUMMYFUNCTION("""COMPUTED_VALUE"""),"Must be a Youkai.")</f>
        <v>Must be a Youkai.</v>
      </c>
      <c r="D43" s="264" t="str">
        <f>IFERROR(__xludf.DUMMYFUNCTION("""COMPUTED_VALUE"""),"After you use Spiritual Sync, you may cancel the effect for 0 RP at any time. If you do, you regain mana like it is described in the ability or 8 HP for each temporary mana you still had remaining.
In addition, the maximum mana or HP you can spend on Spir"&amp;"itual Sync is doubled.")</f>
        <v>After you use Spiritual Sync, you may cancel the effect for 0 RP at any time. If you do, you regain mana like it is described in the ability or 8 HP for each temporary mana you still had remaining.
In addition, the maximum mana or HP you can spend on Spiritual Sync is doubled.</v>
      </c>
      <c r="E43" s="263"/>
      <c r="F43" s="263"/>
      <c r="G43" s="263"/>
      <c r="H43" s="263"/>
      <c r="I43" s="263"/>
      <c r="J43" s="263"/>
      <c r="K43" s="263"/>
      <c r="L43" s="263"/>
      <c r="M43" s="263"/>
      <c r="N43" s="263"/>
      <c r="O43" s="263"/>
      <c r="P43" s="263"/>
      <c r="Q43" s="263"/>
      <c r="R43" s="263"/>
      <c r="S43" s="263"/>
      <c r="T43" s="263"/>
      <c r="U43" s="263"/>
      <c r="V43" s="263"/>
      <c r="W43" s="263"/>
      <c r="X43" s="263"/>
      <c r="Y43" s="263"/>
      <c r="Z43" s="263"/>
    </row>
    <row r="44">
      <c r="A44" s="264" t="str">
        <f>IFERROR(__xludf.DUMMYFUNCTION("""COMPUTED_VALUE"""),"Kit Expert")</f>
        <v>Kit Expert</v>
      </c>
      <c r="B44" s="264" t="str">
        <f>IFERROR(__xludf.DUMMYFUNCTION("""COMPUTED_VALUE"""),"200")</f>
        <v>200</v>
      </c>
      <c r="C44" s="264" t="str">
        <f>IFERROR(__xludf.DUMMYFUNCTION("""COMPUTED_VALUE"""),"")</f>
        <v/>
      </c>
      <c r="D44" s="264" t="str">
        <f>IFERROR(__xludf.DUMMYFUNCTION("""COMPUTED_VALUE"""),"You may reduce the Burden cost of a single kit in your inventory by 2.")</f>
        <v>You may reduce the Burden cost of a single kit in your inventory by 2.</v>
      </c>
      <c r="E44" s="263"/>
      <c r="F44" s="263"/>
      <c r="G44" s="263"/>
      <c r="H44" s="263"/>
      <c r="I44" s="263"/>
      <c r="J44" s="263"/>
      <c r="K44" s="263"/>
      <c r="L44" s="263"/>
      <c r="M44" s="263"/>
      <c r="N44" s="263"/>
      <c r="O44" s="263"/>
      <c r="P44" s="263"/>
      <c r="Q44" s="263"/>
      <c r="R44" s="263"/>
      <c r="S44" s="263"/>
      <c r="T44" s="263"/>
      <c r="U44" s="263"/>
      <c r="V44" s="263"/>
      <c r="W44" s="263"/>
      <c r="X44" s="263"/>
      <c r="Y44" s="263"/>
      <c r="Z44" s="263"/>
    </row>
    <row r="45">
      <c r="A45" s="264" t="str">
        <f>IFERROR(__xludf.DUMMYFUNCTION("""COMPUTED_VALUE"""),"Language Training")</f>
        <v>Language Training</v>
      </c>
      <c r="B45" s="264" t="str">
        <f>IFERROR(__xludf.DUMMYFUNCTION("""COMPUTED_VALUE"""),"100")</f>
        <v>100</v>
      </c>
      <c r="C45" s="263" t="str">
        <f>IFERROR(__xludf.DUMMYFUNCTION("""COMPUTED_VALUE"""),"")</f>
        <v/>
      </c>
      <c r="D45" s="264" t="str">
        <f>IFERROR(__xludf.DUMMYFUNCTION("""COMPUTED_VALUE"""),"You learn a language of your choice. Rare, dead or similar languages may be unavailable (GM’s discretion).
You may take this breakthrough multiple times, picking a different language each time.")</f>
        <v>You learn a language of your choice. Rare, dead or similar languages may be unavailable (GM’s discretion).
You may take this breakthrough multiple times, picking a different language each time.</v>
      </c>
      <c r="E45" s="263"/>
      <c r="F45" s="263"/>
      <c r="G45" s="263"/>
      <c r="H45" s="263"/>
      <c r="I45" s="263"/>
      <c r="J45" s="263"/>
      <c r="K45" s="263"/>
      <c r="L45" s="263"/>
      <c r="M45" s="263"/>
      <c r="N45" s="263"/>
      <c r="O45" s="263"/>
      <c r="P45" s="263"/>
      <c r="Q45" s="263"/>
      <c r="R45" s="263"/>
      <c r="S45" s="263"/>
      <c r="T45" s="263"/>
      <c r="U45" s="263"/>
      <c r="V45" s="263"/>
      <c r="W45" s="263"/>
      <c r="X45" s="263"/>
      <c r="Y45" s="263"/>
      <c r="Z45" s="263"/>
    </row>
    <row r="46">
      <c r="A46" s="264" t="str">
        <f>IFERROR(__xludf.DUMMYFUNCTION("""COMPUTED_VALUE"""),"Large Specimen (Nio, Bullfolk or Bearfolk)")</f>
        <v>Large Specimen (Nio, Bullfolk or Bearfolk)</v>
      </c>
      <c r="B46" s="264" t="str">
        <f>IFERROR(__xludf.DUMMYFUNCTION("""COMPUTED_VALUE"""),"100")</f>
        <v>100</v>
      </c>
      <c r="C46" s="263" t="str">
        <f>IFERROR(__xludf.DUMMYFUNCTION("""COMPUTED_VALUE"""),"Must be a Nio, Bullfolk or Bearfolk.")</f>
        <v>Must be a Nio, Bullfolk or Bearfolk.</v>
      </c>
      <c r="D46" s="264" t="str">
        <f>IFERROR(__xludf.DUMMYFUNCTION("""COMPUTED_VALUE"""),"Your size becomes Large.")</f>
        <v>Your size becomes Large.</v>
      </c>
      <c r="E46" s="263"/>
      <c r="F46" s="263"/>
      <c r="G46" s="263"/>
      <c r="H46" s="263"/>
      <c r="I46" s="263"/>
      <c r="J46" s="263"/>
      <c r="K46" s="263"/>
      <c r="L46" s="263"/>
      <c r="M46" s="263"/>
      <c r="N46" s="263"/>
      <c r="O46" s="263"/>
      <c r="P46" s="263"/>
      <c r="Q46" s="263"/>
      <c r="R46" s="263"/>
      <c r="S46" s="263"/>
      <c r="T46" s="263"/>
      <c r="U46" s="263"/>
      <c r="V46" s="263"/>
      <c r="W46" s="263"/>
      <c r="X46" s="263"/>
      <c r="Y46" s="263"/>
      <c r="Z46" s="263"/>
    </row>
    <row r="47">
      <c r="A47" s="264" t="str">
        <f>IFERROR(__xludf.DUMMYFUNCTION("""COMPUTED_VALUE"""),"Light Armor Training")</f>
        <v>Light Armor Training</v>
      </c>
      <c r="B47" s="264" t="str">
        <f>IFERROR(__xludf.DUMMYFUNCTION("""COMPUTED_VALUE"""),"25")</f>
        <v>25</v>
      </c>
      <c r="C47" s="264" t="str">
        <f>IFERROR(__xludf.DUMMYFUNCTION("""COMPUTED_VALUE"""),"")</f>
        <v/>
      </c>
      <c r="D47" s="264" t="str">
        <f>IFERROR(__xludf.DUMMYFUNCTION("""COMPUTED_VALUE"""),"You gain proficiency with Light Armor and shields.")</f>
        <v>You gain proficiency with Light Armor and shields.</v>
      </c>
      <c r="E47" s="263"/>
      <c r="F47" s="263"/>
      <c r="G47" s="263"/>
      <c r="H47" s="263"/>
      <c r="I47" s="263"/>
      <c r="J47" s="263"/>
      <c r="K47" s="263"/>
      <c r="L47" s="263"/>
      <c r="M47" s="263"/>
      <c r="N47" s="263"/>
      <c r="O47" s="263"/>
      <c r="P47" s="263"/>
      <c r="Q47" s="263"/>
      <c r="R47" s="263"/>
      <c r="S47" s="263"/>
      <c r="T47" s="263"/>
      <c r="U47" s="263"/>
      <c r="V47" s="263"/>
      <c r="W47" s="263"/>
      <c r="X47" s="263"/>
      <c r="Y47" s="263"/>
      <c r="Z47" s="263"/>
    </row>
    <row r="48">
      <c r="A48" s="264" t="str">
        <f>IFERROR(__xludf.DUMMYFUNCTION("""COMPUTED_VALUE"""),"Light Sleeper")</f>
        <v>Light Sleeper</v>
      </c>
      <c r="B48" s="264" t="str">
        <f>IFERROR(__xludf.DUMMYFUNCTION("""COMPUTED_VALUE"""),"75")</f>
        <v>75</v>
      </c>
      <c r="C48" s="264" t="str">
        <f>IFERROR(__xludf.DUMMYFUNCTION("""COMPUTED_VALUE"""),"")</f>
        <v/>
      </c>
      <c r="D48" s="264" t="str">
        <f>IFERROR(__xludf.DUMMYFUNCTION("""COMPUTED_VALUE"""),"When asleep, you may roll Perception rolls as if you were awake to be aware of danger approaching.")</f>
        <v>When asleep, you may roll Perception rolls as if you were awake to be aware of danger approaching.</v>
      </c>
      <c r="E48" s="263"/>
      <c r="F48" s="263"/>
      <c r="G48" s="263"/>
      <c r="H48" s="263"/>
      <c r="I48" s="263"/>
      <c r="J48" s="263"/>
      <c r="K48" s="263"/>
      <c r="L48" s="263"/>
      <c r="M48" s="263"/>
      <c r="N48" s="263"/>
      <c r="O48" s="263"/>
      <c r="P48" s="263"/>
      <c r="Q48" s="263"/>
      <c r="R48" s="263"/>
      <c r="S48" s="263"/>
      <c r="T48" s="263"/>
      <c r="U48" s="263"/>
      <c r="V48" s="263"/>
      <c r="W48" s="263"/>
      <c r="X48" s="263"/>
      <c r="Y48" s="263"/>
      <c r="Z48" s="263"/>
    </row>
    <row r="49">
      <c r="A49" s="264" t="str">
        <f>IFERROR(__xludf.DUMMYFUNCTION("""COMPUTED_VALUE"""),"Mark of Conflict")</f>
        <v>Mark of Conflict</v>
      </c>
      <c r="B49" s="264" t="str">
        <f>IFERROR(__xludf.DUMMYFUNCTION("""COMPUTED_VALUE"""),"0")</f>
        <v>0</v>
      </c>
      <c r="C49" s="264" t="str">
        <f>IFERROR(__xludf.DUMMYFUNCTION("""COMPUTED_VALUE"""),"Must be an Unknown Paladin that follows Eisen. Must have the Mark of Justice ability.")</f>
        <v>Must be an Unknown Paladin that follows Eisen. Must have the Mark of Justice ability.</v>
      </c>
      <c r="D49" s="264" t="str">
        <f>IFERROR(__xludf.DUMMYFUNCTION("""COMPUTED_VALUE"""),"The effect of your Mark of Justice changes to the following:
“You mark a single enemy, inflicting the Mark of Conflict on them. If an enemy moves away from you and not towards another ally, they take Full Pierce physical damage equal to your Power for eac"&amp;"h 20ft of movement they spent moving away from you.”
The range and AP cost remain the same.")</f>
        <v>The effect of your Mark of Justice changes to the following:
“You mark a single enemy, inflicting the Mark of Conflict on them. If an enemy moves away from you and not towards another ally, they take Full Pierce physical damage equal to your Power for each 20ft of movement they spent moving away from you.”
The range and AP cost remain the same.</v>
      </c>
      <c r="E49" s="263"/>
      <c r="F49" s="263"/>
      <c r="G49" s="263"/>
      <c r="H49" s="263"/>
      <c r="I49" s="263"/>
      <c r="J49" s="263"/>
      <c r="K49" s="263"/>
      <c r="L49" s="263"/>
      <c r="M49" s="263"/>
      <c r="N49" s="263"/>
      <c r="O49" s="263"/>
      <c r="P49" s="263"/>
      <c r="Q49" s="263"/>
      <c r="R49" s="263"/>
      <c r="S49" s="263"/>
      <c r="T49" s="263"/>
      <c r="U49" s="263"/>
      <c r="V49" s="263"/>
      <c r="W49" s="263"/>
      <c r="X49" s="263"/>
      <c r="Y49" s="263"/>
      <c r="Z49" s="263"/>
    </row>
    <row r="50">
      <c r="A50" s="264" t="str">
        <f>IFERROR(__xludf.DUMMYFUNCTION("""COMPUTED_VALUE"""),"Medium Armor Training")</f>
        <v>Medium Armor Training</v>
      </c>
      <c r="B50" s="264" t="str">
        <f>IFERROR(__xludf.DUMMYFUNCTION("""COMPUTED_VALUE"""),"50")</f>
        <v>50</v>
      </c>
      <c r="C50" s="264" t="str">
        <f>IFERROR(__xludf.DUMMYFUNCTION("""COMPUTED_VALUE"""),"You must be proficient with Light Armor")</f>
        <v>You must be proficient with Light Armor</v>
      </c>
      <c r="D50" s="264" t="str">
        <f>IFERROR(__xludf.DUMMYFUNCTION("""COMPUTED_VALUE"""),"You gain proficiency with Medium Armor.")</f>
        <v>You gain proficiency with Medium Armor.</v>
      </c>
      <c r="E50" s="263"/>
      <c r="F50" s="263"/>
      <c r="G50" s="263"/>
      <c r="H50" s="263"/>
      <c r="I50" s="263"/>
      <c r="J50" s="263"/>
      <c r="K50" s="263"/>
      <c r="L50" s="263"/>
      <c r="M50" s="263"/>
      <c r="N50" s="263"/>
      <c r="O50" s="263"/>
      <c r="P50" s="263"/>
      <c r="Q50" s="263"/>
      <c r="R50" s="263"/>
      <c r="S50" s="263"/>
      <c r="T50" s="263"/>
      <c r="U50" s="263"/>
      <c r="V50" s="263"/>
      <c r="W50" s="263"/>
      <c r="X50" s="263"/>
      <c r="Y50" s="263"/>
      <c r="Z50" s="263"/>
    </row>
    <row r="51">
      <c r="A51" s="264" t="str">
        <f>IFERROR(__xludf.DUMMYFUNCTION("""COMPUTED_VALUE"""),"Mental Torture (Unseelie)")</f>
        <v>Mental Torture (Unseelie)</v>
      </c>
      <c r="B51" s="264" t="str">
        <f>IFERROR(__xludf.DUMMYFUNCTION("""COMPUTED_VALUE"""),"100")</f>
        <v>100</v>
      </c>
      <c r="C51" s="264" t="str">
        <f>IFERROR(__xludf.DUMMYFUNCTION("""COMPUTED_VALUE"""),"Must be an Unseelie.")</f>
        <v>Must be an Unseelie.</v>
      </c>
      <c r="D51" s="264" t="str">
        <f>IFERROR(__xludf.DUMMYFUNCTION("""COMPUTED_VALUE"""),"When you roll a natural 20 on your accuracy roll, you may apply the effects of Torture Techniques even if the enemy Dodges or Blocks it.")</f>
        <v>When you roll a natural 20 on your accuracy roll, you may apply the effects of Torture Techniques even if the enemy Dodges or Blocks it.</v>
      </c>
      <c r="E51" s="263"/>
      <c r="F51" s="263"/>
      <c r="G51" s="263"/>
      <c r="H51" s="263"/>
      <c r="I51" s="263"/>
      <c r="J51" s="263"/>
      <c r="K51" s="263"/>
      <c r="L51" s="263"/>
      <c r="M51" s="263"/>
      <c r="N51" s="263"/>
      <c r="O51" s="263"/>
      <c r="P51" s="263"/>
      <c r="Q51" s="263"/>
      <c r="R51" s="263"/>
      <c r="S51" s="263"/>
      <c r="T51" s="263"/>
      <c r="U51" s="263"/>
      <c r="V51" s="263"/>
      <c r="W51" s="263"/>
      <c r="X51" s="263"/>
      <c r="Y51" s="263"/>
      <c r="Z51" s="263"/>
    </row>
    <row r="52">
      <c r="A52" s="264" t="str">
        <f>IFERROR(__xludf.DUMMYFUNCTION("""COMPUTED_VALUE"""),"Mixed House (Demon)")</f>
        <v>Mixed House (Demon)</v>
      </c>
      <c r="B52" s="264" t="str">
        <f>IFERROR(__xludf.DUMMYFUNCTION("""COMPUTED_VALUE"""),"100")</f>
        <v>100</v>
      </c>
      <c r="C52" s="264" t="str">
        <f>IFERROR(__xludf.DUMMYFUNCTION("""COMPUTED_VALUE"""),"Must be a Demon.")</f>
        <v>Must be a Demon.</v>
      </c>
      <c r="D52" s="264" t="str">
        <f>IFERROR(__xludf.DUMMYFUNCTION("""COMPUTED_VALUE"""),"You choose another house to gain the benefit of.")</f>
        <v>You choose another house to gain the benefit of.</v>
      </c>
      <c r="E52" s="263"/>
      <c r="F52" s="263"/>
      <c r="G52" s="263"/>
      <c r="H52" s="263"/>
      <c r="I52" s="263"/>
      <c r="J52" s="263"/>
      <c r="K52" s="263"/>
      <c r="L52" s="263"/>
      <c r="M52" s="263"/>
      <c r="N52" s="263"/>
      <c r="O52" s="263"/>
      <c r="P52" s="263"/>
      <c r="Q52" s="263"/>
      <c r="R52" s="263"/>
      <c r="S52" s="263"/>
      <c r="T52" s="263"/>
      <c r="U52" s="263"/>
      <c r="V52" s="263"/>
      <c r="W52" s="263"/>
      <c r="X52" s="263"/>
      <c r="Y52" s="263"/>
      <c r="Z52" s="263"/>
    </row>
    <row r="53">
      <c r="A53" s="264" t="str">
        <f>IFERROR(__xludf.DUMMYFUNCTION("""COMPUTED_VALUE"""),"Mystic Eyes of Faerie Light (Fae)")</f>
        <v>Mystic Eyes of Faerie Light (Fae)</v>
      </c>
      <c r="B53" s="264" t="str">
        <f>IFERROR(__xludf.DUMMYFUNCTION("""COMPUTED_VALUE"""),"100")</f>
        <v>100</v>
      </c>
      <c r="C53" s="263" t="str">
        <f>IFERROR(__xludf.DUMMYFUNCTION("""COMPUTED_VALUE"""),"Must be a Fae.")</f>
        <v>Must be a Fae.</v>
      </c>
      <c r="D53" s="264" t="str">
        <f>IFERROR(__xludf.DUMMYFUNCTION("""COMPUTED_VALUE"""),"Your Fae eyes have developed into the Eyes of Faerie Light.  You may purchase the Faerie Light Eyes class.
In addition, you can make a Perception check at +10 bonus to determine if something is an illusion. You are not immune to these illusions however.")</f>
        <v>Your Fae eyes have developed into the Eyes of Faerie Light.  You may purchase the Faerie Light Eyes class.
In addition, you can make a Perception check at +10 bonus to determine if something is an illusion. You are not immune to these illusions however.</v>
      </c>
      <c r="E53" s="263"/>
      <c r="F53" s="263"/>
      <c r="G53" s="263"/>
      <c r="H53" s="263"/>
      <c r="I53" s="263"/>
      <c r="J53" s="263"/>
      <c r="K53" s="263"/>
      <c r="L53" s="263"/>
      <c r="M53" s="263"/>
      <c r="N53" s="263"/>
      <c r="O53" s="263"/>
      <c r="P53" s="263"/>
      <c r="Q53" s="263"/>
      <c r="R53" s="263"/>
      <c r="S53" s="263"/>
      <c r="T53" s="263"/>
      <c r="U53" s="263"/>
      <c r="V53" s="263"/>
      <c r="W53" s="263"/>
      <c r="X53" s="263"/>
      <c r="Y53" s="263"/>
      <c r="Z53" s="263"/>
    </row>
    <row r="54">
      <c r="A54" s="264" t="str">
        <f>IFERROR(__xludf.DUMMYFUNCTION("""COMPUTED_VALUE"""),"Natural Immunity (Ratfolk)")</f>
        <v>Natural Immunity (Ratfolk)</v>
      </c>
      <c r="B54" s="264" t="str">
        <f>IFERROR(__xludf.DUMMYFUNCTION("""COMPUTED_VALUE"""),"100")</f>
        <v>100</v>
      </c>
      <c r="C54" s="263" t="str">
        <f>IFERROR(__xludf.DUMMYFUNCTION("""COMPUTED_VALUE"""),"Must be Ratfolk")</f>
        <v>Must be Ratfolk</v>
      </c>
      <c r="D54" s="264" t="str">
        <f>IFERROR(__xludf.DUMMYFUNCTION("""COMPUTED_VALUE"""),"When you successfully resist the effect of a disease or poison (or are immune to the effect), you may choose to become afflicted anyway. You suffer no effects from a disease or poison you choose to accept this way. This poison or disease lasts the normal "&amp;"duration or until the end of the encounter, whichever is shorter.")</f>
        <v>When you successfully resist the effect of a disease or poison (or are immune to the effect), you may choose to become afflicted anyway. You suffer no effects from a disease or poison you choose to accept this way. This poison or disease lasts the normal duration or until the end of the encounter, whichever is shorter.</v>
      </c>
      <c r="E54" s="263"/>
      <c r="F54" s="263"/>
      <c r="G54" s="263"/>
      <c r="H54" s="263"/>
      <c r="I54" s="263"/>
      <c r="J54" s="263"/>
      <c r="K54" s="263"/>
      <c r="L54" s="263"/>
      <c r="M54" s="263"/>
      <c r="N54" s="263"/>
      <c r="O54" s="263"/>
      <c r="P54" s="263"/>
      <c r="Q54" s="263"/>
      <c r="R54" s="263"/>
      <c r="S54" s="263"/>
      <c r="T54" s="263"/>
      <c r="U54" s="263"/>
      <c r="V54" s="263"/>
      <c r="W54" s="263"/>
      <c r="X54" s="263"/>
      <c r="Y54" s="263"/>
      <c r="Z54" s="263"/>
    </row>
    <row r="55">
      <c r="A55" s="264" t="str">
        <f>IFERROR(__xludf.DUMMYFUNCTION("""COMPUTED_VALUE"""),"On the draw")</f>
        <v>On the draw</v>
      </c>
      <c r="B55" s="264" t="str">
        <f>IFERROR(__xludf.DUMMYFUNCTION("""COMPUTED_VALUE"""),"100")</f>
        <v>100</v>
      </c>
      <c r="C55" s="264" t="str">
        <f>IFERROR(__xludf.DUMMYFUNCTION("""COMPUTED_VALUE"""),"")</f>
        <v/>
      </c>
      <c r="D55" s="264" t="str">
        <f>IFERROR(__xludf.DUMMYFUNCTION("""COMPUTED_VALUE"""),"You gain +1 to your initiative.")</f>
        <v>You gain +1 to your initiative.</v>
      </c>
      <c r="E55" s="263"/>
      <c r="F55" s="263"/>
      <c r="G55" s="263"/>
      <c r="H55" s="263"/>
      <c r="I55" s="263"/>
      <c r="J55" s="263"/>
      <c r="K55" s="263"/>
      <c r="L55" s="263"/>
      <c r="M55" s="263"/>
      <c r="N55" s="263"/>
      <c r="O55" s="263"/>
      <c r="P55" s="263"/>
      <c r="Q55" s="263"/>
      <c r="R55" s="263"/>
      <c r="S55" s="263"/>
      <c r="T55" s="263"/>
      <c r="U55" s="263"/>
      <c r="V55" s="263"/>
      <c r="W55" s="263"/>
      <c r="X55" s="263"/>
      <c r="Y55" s="263"/>
      <c r="Z55" s="263"/>
    </row>
    <row r="56">
      <c r="A56" s="264" t="str">
        <f>IFERROR(__xludf.DUMMYFUNCTION("""COMPUTED_VALUE"""),"Organized Inventory")</f>
        <v>Organized Inventory</v>
      </c>
      <c r="B56" s="264" t="str">
        <f>IFERROR(__xludf.DUMMYFUNCTION("""COMPUTED_VALUE"""),"100")</f>
        <v>100</v>
      </c>
      <c r="C56" s="264" t="str">
        <f>IFERROR(__xludf.DUMMYFUNCTION("""COMPUTED_VALUE"""),"")</f>
        <v/>
      </c>
      <c r="D56" s="264" t="str">
        <f>IFERROR(__xludf.DUMMYFUNCTION("""COMPUTED_VALUE"""),"Increases your in-combat burden capacity by 1.")</f>
        <v>Increases your in-combat burden capacity by 1.</v>
      </c>
      <c r="E56" s="263"/>
      <c r="F56" s="263"/>
      <c r="G56" s="263"/>
      <c r="H56" s="263"/>
      <c r="I56" s="263"/>
      <c r="J56" s="263"/>
      <c r="K56" s="263"/>
      <c r="L56" s="263"/>
      <c r="M56" s="263"/>
      <c r="N56" s="263"/>
      <c r="O56" s="263"/>
      <c r="P56" s="263"/>
      <c r="Q56" s="263"/>
      <c r="R56" s="263"/>
      <c r="S56" s="263"/>
      <c r="T56" s="263"/>
      <c r="U56" s="263"/>
      <c r="V56" s="263"/>
      <c r="W56" s="263"/>
      <c r="X56" s="263"/>
      <c r="Y56" s="263"/>
      <c r="Z56" s="263"/>
    </row>
    <row r="57">
      <c r="A57" s="264" t="str">
        <f>IFERROR(__xludf.DUMMYFUNCTION("""COMPUTED_VALUE"""),"Organized Inventory II")</f>
        <v>Organized Inventory II</v>
      </c>
      <c r="B57" s="264" t="str">
        <f>IFERROR(__xludf.DUMMYFUNCTION("""COMPUTED_VALUE"""),"200")</f>
        <v>200</v>
      </c>
      <c r="C57" s="264" t="str">
        <f>IFERROR(__xludf.DUMMYFUNCTION("""COMPUTED_VALUE"""),"Must have the Organized Inventory breakthrough")</f>
        <v>Must have the Organized Inventory breakthrough</v>
      </c>
      <c r="D57" s="264" t="str">
        <f>IFERROR(__xludf.DUMMYFUNCTION("""COMPUTED_VALUE"""),"Your in-combat Burden capacity is increased by 1.")</f>
        <v>Your in-combat Burden capacity is increased by 1.</v>
      </c>
      <c r="E57" s="263"/>
      <c r="F57" s="263"/>
      <c r="G57" s="263"/>
      <c r="H57" s="263"/>
      <c r="I57" s="263"/>
      <c r="J57" s="263"/>
      <c r="K57" s="263"/>
      <c r="L57" s="263"/>
      <c r="M57" s="263"/>
      <c r="N57" s="263"/>
      <c r="O57" s="263"/>
      <c r="P57" s="263"/>
      <c r="Q57" s="263"/>
      <c r="R57" s="263"/>
      <c r="S57" s="263"/>
      <c r="T57" s="263"/>
      <c r="U57" s="263"/>
      <c r="V57" s="263"/>
      <c r="W57" s="263"/>
      <c r="X57" s="263"/>
      <c r="Y57" s="263"/>
      <c r="Z57" s="263"/>
    </row>
    <row r="58">
      <c r="A58" s="264" t="str">
        <f>IFERROR(__xludf.DUMMYFUNCTION("""COMPUTED_VALUE"""),"Organized Inventory III")</f>
        <v>Organized Inventory III</v>
      </c>
      <c r="B58" s="264" t="str">
        <f>IFERROR(__xludf.DUMMYFUNCTION("""COMPUTED_VALUE"""),"300")</f>
        <v>300</v>
      </c>
      <c r="C58" s="264" t="str">
        <f>IFERROR(__xludf.DUMMYFUNCTION("""COMPUTED_VALUE"""),"Must have the Organized Inventory II breakthrough")</f>
        <v>Must have the Organized Inventory II breakthrough</v>
      </c>
      <c r="D58" s="264" t="str">
        <f>IFERROR(__xludf.DUMMYFUNCTION("""COMPUTED_VALUE"""),"Your in-combat Burden capacity is increased by 1.")</f>
        <v>Your in-combat Burden capacity is increased by 1.</v>
      </c>
      <c r="E58" s="263"/>
      <c r="F58" s="263"/>
      <c r="G58" s="263"/>
      <c r="H58" s="263"/>
      <c r="I58" s="263"/>
      <c r="J58" s="263"/>
      <c r="K58" s="263"/>
      <c r="L58" s="263"/>
      <c r="M58" s="263"/>
      <c r="N58" s="263"/>
      <c r="O58" s="263"/>
      <c r="P58" s="263"/>
      <c r="Q58" s="263"/>
      <c r="R58" s="263"/>
      <c r="S58" s="263"/>
      <c r="T58" s="263"/>
      <c r="U58" s="263"/>
      <c r="V58" s="263"/>
      <c r="W58" s="263"/>
      <c r="X58" s="263"/>
      <c r="Y58" s="263"/>
      <c r="Z58" s="263"/>
    </row>
    <row r="59">
      <c r="A59" s="264" t="str">
        <f>IFERROR(__xludf.DUMMYFUNCTION("""COMPUTED_VALUE"""),"Overrun (Centaur)")</f>
        <v>Overrun (Centaur)</v>
      </c>
      <c r="B59" s="264" t="str">
        <f>IFERROR(__xludf.DUMMYFUNCTION("""COMPUTED_VALUE"""),"200")</f>
        <v>200</v>
      </c>
      <c r="C59" s="264" t="str">
        <f>IFERROR(__xludf.DUMMYFUNCTION("""COMPUTED_VALUE"""),"Must be a Centaur.")</f>
        <v>Must be a Centaur.</v>
      </c>
      <c r="D59" s="264" t="str">
        <f>IFERROR(__xludf.DUMMYFUNCTION("""COMPUTED_VALUE"""),"When using the Charge or Spear Charge ability your movement speed is increased by 5ft and if your attack made through the Charge ability does damage, it knocks the target prone.")</f>
        <v>When using the Charge or Spear Charge ability your movement speed is increased by 5ft and if your attack made through the Charge ability does damage, it knocks the target prone.</v>
      </c>
      <c r="E59" s="263"/>
      <c r="F59" s="263"/>
      <c r="G59" s="263"/>
      <c r="H59" s="263"/>
      <c r="I59" s="263"/>
      <c r="J59" s="263"/>
      <c r="K59" s="263"/>
      <c r="L59" s="263"/>
      <c r="M59" s="263"/>
      <c r="N59" s="263"/>
      <c r="O59" s="263"/>
      <c r="P59" s="263"/>
      <c r="Q59" s="263"/>
      <c r="R59" s="263"/>
      <c r="S59" s="263"/>
      <c r="T59" s="263"/>
      <c r="U59" s="263"/>
      <c r="V59" s="263"/>
      <c r="W59" s="263"/>
      <c r="X59" s="263"/>
      <c r="Y59" s="263"/>
      <c r="Z59" s="263"/>
    </row>
    <row r="60">
      <c r="A60" s="264" t="str">
        <f>IFERROR(__xludf.DUMMYFUNCTION("""COMPUTED_VALUE"""),"Panda Martial Arts (Red Panda)")</f>
        <v>Panda Martial Arts (Red Panda)</v>
      </c>
      <c r="B60" s="264" t="str">
        <f>IFERROR(__xludf.DUMMYFUNCTION("""COMPUTED_VALUE"""),"100")</f>
        <v>100</v>
      </c>
      <c r="C60" s="264" t="str">
        <f>IFERROR(__xludf.DUMMYFUNCTION("""COMPUTED_VALUE"""),"Must be Red Panda")</f>
        <v>Must be Red Panda</v>
      </c>
      <c r="D60" s="264" t="str">
        <f>IFERROR(__xludf.DUMMYFUNCTION("""COMPUTED_VALUE"""),"You can be in Panda stance at the same time as another stance without either stance ending.
Other rules for stance breaking (such as entering 2 non-panda stances) still apply.")</f>
        <v>You can be in Panda stance at the same time as another stance without either stance ending.
Other rules for stance breaking (such as entering 2 non-panda stances) still apply.</v>
      </c>
      <c r="E60" s="263"/>
      <c r="F60" s="263"/>
      <c r="G60" s="263"/>
      <c r="H60" s="263"/>
      <c r="I60" s="263"/>
      <c r="J60" s="263"/>
      <c r="K60" s="263"/>
      <c r="L60" s="263"/>
      <c r="M60" s="263"/>
      <c r="N60" s="263"/>
      <c r="O60" s="263"/>
      <c r="P60" s="263"/>
      <c r="Q60" s="263"/>
      <c r="R60" s="263"/>
      <c r="S60" s="263"/>
      <c r="T60" s="263"/>
      <c r="U60" s="263"/>
      <c r="V60" s="263"/>
      <c r="W60" s="263"/>
      <c r="X60" s="263"/>
      <c r="Y60" s="263"/>
      <c r="Z60" s="263"/>
    </row>
    <row r="61">
      <c r="A61" s="264" t="str">
        <f>IFERROR(__xludf.DUMMYFUNCTION("""COMPUTED_VALUE"""),"Photosynthesis (Dryad)")</f>
        <v>Photosynthesis (Dryad)</v>
      </c>
      <c r="B61" s="264" t="str">
        <f>IFERROR(__xludf.DUMMYFUNCTION("""COMPUTED_VALUE"""),"100")</f>
        <v>100</v>
      </c>
      <c r="C61" s="264" t="str">
        <f>IFERROR(__xludf.DUMMYFUNCTION("""COMPUTED_VALUE"""),"Must be Dryad.")</f>
        <v>Must be Dryad.</v>
      </c>
      <c r="D61" s="264" t="str">
        <f>IFERROR(__xludf.DUMMYFUNCTION("""COMPUTED_VALUE"""),"By spending at least an hour in the direct sunlight, you may gain the benefits of having eaten food and you do not need to eat or drink for the next 24 hours.")</f>
        <v>By spending at least an hour in the direct sunlight, you may gain the benefits of having eaten food and you do not need to eat or drink for the next 24 hours.</v>
      </c>
      <c r="E61" s="263"/>
      <c r="F61" s="263"/>
      <c r="G61" s="263"/>
      <c r="H61" s="263"/>
      <c r="I61" s="263"/>
      <c r="J61" s="263"/>
      <c r="K61" s="263"/>
      <c r="L61" s="263"/>
      <c r="M61" s="263"/>
      <c r="N61" s="263"/>
      <c r="O61" s="263"/>
      <c r="P61" s="263"/>
      <c r="Q61" s="263"/>
      <c r="R61" s="263"/>
      <c r="S61" s="263"/>
      <c r="T61" s="263"/>
      <c r="U61" s="263"/>
      <c r="V61" s="263"/>
      <c r="W61" s="263"/>
      <c r="X61" s="263"/>
      <c r="Y61" s="263"/>
      <c r="Z61" s="263"/>
    </row>
    <row r="62">
      <c r="A62" s="264" t="str">
        <f>IFERROR(__xludf.DUMMYFUNCTION("""COMPUTED_VALUE"""),"Power Saving Mode (Ancient Marionette)")</f>
        <v>Power Saving Mode (Ancient Marionette)</v>
      </c>
      <c r="B62" s="264" t="str">
        <f>IFERROR(__xludf.DUMMYFUNCTION("""COMPUTED_VALUE"""),"100")</f>
        <v>100</v>
      </c>
      <c r="C62" s="263" t="str">
        <f>IFERROR(__xludf.DUMMYFUNCTION("""COMPUTED_VALUE"""),"Must be an Ancient Marionette")</f>
        <v>Must be an Ancient Marionette</v>
      </c>
      <c r="D62" s="264" t="str">
        <f>IFERROR(__xludf.DUMMYFUNCTION("""COMPUTED_VALUE"""),"If you are at maximum mana during your meal, you only need to consume half the normal amount to be well fed.")</f>
        <v>If you are at maximum mana during your meal, you only need to consume half the normal amount to be well fed.</v>
      </c>
      <c r="E62" s="263"/>
      <c r="F62" s="263"/>
      <c r="G62" s="263"/>
      <c r="H62" s="263"/>
      <c r="I62" s="263"/>
      <c r="J62" s="263"/>
      <c r="K62" s="263"/>
      <c r="L62" s="263"/>
      <c r="M62" s="263"/>
      <c r="N62" s="263"/>
      <c r="O62" s="263"/>
      <c r="P62" s="263"/>
      <c r="Q62" s="263"/>
      <c r="R62" s="263"/>
      <c r="S62" s="263"/>
      <c r="T62" s="263"/>
      <c r="U62" s="263"/>
      <c r="V62" s="263"/>
      <c r="W62" s="263"/>
      <c r="X62" s="263"/>
      <c r="Y62" s="263"/>
      <c r="Z62" s="263"/>
    </row>
    <row r="63">
      <c r="A63" s="264" t="str">
        <f>IFERROR(__xludf.DUMMYFUNCTION("""COMPUTED_VALUE"""),"Powerful Ki (Oni)")</f>
        <v>Powerful Ki (Oni)</v>
      </c>
      <c r="B63" s="264" t="str">
        <f>IFERROR(__xludf.DUMMYFUNCTION("""COMPUTED_VALUE"""),"200")</f>
        <v>200</v>
      </c>
      <c r="C63" s="264" t="str">
        <f>IFERROR(__xludf.DUMMYFUNCTION("""COMPUTED_VALUE"""),"Must be an Oni.")</f>
        <v>Must be an Oni.</v>
      </c>
      <c r="D63" s="264" t="str">
        <f>IFERROR(__xludf.DUMMYFUNCTION("""COMPUTED_VALUE"""),"When using Gravitational Ki, the range increases by 30ft. The push and pull distance increases by up to 10ft. In addition, you may spend 1 AP instead of 1 RP on it.")</f>
        <v>When using Gravitational Ki, the range increases by 30ft. The push and pull distance increases by up to 10ft. In addition, you may spend 1 AP instead of 1 RP on it.</v>
      </c>
      <c r="E63" s="263"/>
      <c r="F63" s="263"/>
      <c r="G63" s="263"/>
      <c r="H63" s="263"/>
      <c r="I63" s="263"/>
      <c r="J63" s="263"/>
      <c r="K63" s="263"/>
      <c r="L63" s="263"/>
      <c r="M63" s="263"/>
      <c r="N63" s="263"/>
      <c r="O63" s="263"/>
      <c r="P63" s="263"/>
      <c r="Q63" s="263"/>
      <c r="R63" s="263"/>
      <c r="S63" s="263"/>
      <c r="T63" s="263"/>
      <c r="U63" s="263"/>
      <c r="V63" s="263"/>
      <c r="W63" s="263"/>
      <c r="X63" s="263"/>
      <c r="Y63" s="263"/>
      <c r="Z63" s="263"/>
    </row>
    <row r="64">
      <c r="A64" s="264" t="str">
        <f>IFERROR(__xludf.DUMMYFUNCTION("""COMPUTED_VALUE"""),"Primary Stat Training")</f>
        <v>Primary Stat Training</v>
      </c>
      <c r="B64" s="264" t="str">
        <f>IFERROR(__xludf.DUMMYFUNCTION("""COMPUTED_VALUE"""),"400")</f>
        <v>400</v>
      </c>
      <c r="C64" s="264" t="str">
        <f>IFERROR(__xludf.DUMMYFUNCTION("""COMPUTED_VALUE"""),"")</f>
        <v/>
      </c>
      <c r="D64" s="264" t="str">
        <f>IFERROR(__xludf.DUMMYFUNCTION("""COMPUTED_VALUE"""),"You gain a +1 bonus to Focus, Power, Agility or Toughness.
This breakthrough can be selected multiple times. The effects stack. Each time you take this breakthrough the cost increases by 100, up to a maximum of 700.")</f>
        <v>You gain a +1 bonus to Focus, Power, Agility or Toughness.
This breakthrough can be selected multiple times. The effects stack. Each time you take this breakthrough the cost increases by 100, up to a maximum of 700.</v>
      </c>
      <c r="E64" s="263"/>
      <c r="F64" s="263"/>
      <c r="G64" s="263"/>
      <c r="H64" s="263"/>
      <c r="I64" s="263"/>
      <c r="J64" s="263"/>
      <c r="K64" s="263"/>
      <c r="L64" s="263"/>
      <c r="M64" s="263"/>
      <c r="N64" s="263"/>
      <c r="O64" s="263"/>
      <c r="P64" s="263"/>
      <c r="Q64" s="263"/>
      <c r="R64" s="263"/>
      <c r="S64" s="263"/>
      <c r="T64" s="263"/>
      <c r="U64" s="263"/>
      <c r="V64" s="263"/>
      <c r="W64" s="263"/>
      <c r="X64" s="263"/>
      <c r="Y64" s="263"/>
      <c r="Z64" s="263"/>
    </row>
    <row r="65">
      <c r="A65" s="264" t="str">
        <f>IFERROR(__xludf.DUMMYFUNCTION("""COMPUTED_VALUE"""),"Racial Flight")</f>
        <v>Racial Flight</v>
      </c>
      <c r="B65" s="264" t="str">
        <f>IFERROR(__xludf.DUMMYFUNCTION("""COMPUTED_VALUE"""),"300")</f>
        <v>300</v>
      </c>
      <c r="C65" s="264" t="str">
        <f>IFERROR(__xludf.DUMMYFUNCTION("""COMPUTED_VALUE"""),"Must be Phoenix, Mothfolk, Lizardfolk or Willowisp race.")</f>
        <v>Must be Phoenix, Mothfolk, Lizardfolk or Willowisp race.</v>
      </c>
      <c r="D65" s="264" t="str">
        <f>IFERROR(__xludf.DUMMYFUNCTION("""COMPUTED_VALUE"""),"You gain controlled Flight up to your speed. If you take damage while flying higher than 5ft above the ground, your altitude drops by 20ft. If this would reduce your altitude to the point where you touch the ground, you become rooted and cannot fly again "&amp;"until the end of your next turn. If the attack that reduced your HP came from a flying creature other than yourself, you do not lose altitude.
When you end your turn within 5ft of the ground, Flight ends.")</f>
        <v>You gain controlled Flight up to your speed. If you take damage while flying higher than 5ft above the ground, your altitude drops by 20ft. If this would reduce your altitude to the point where you touch the ground, you become rooted and cannot fly again until the end of your next turn. If the attack that reduced your HP came from a flying creature other than yourself, you do not lose altitude.
When you end your turn within 5ft of the ground, Flight ends.</v>
      </c>
      <c r="E65" s="263"/>
      <c r="F65" s="263"/>
      <c r="G65" s="263"/>
      <c r="H65" s="263"/>
      <c r="I65" s="263"/>
      <c r="J65" s="263"/>
      <c r="K65" s="263"/>
      <c r="L65" s="263"/>
      <c r="M65" s="263"/>
      <c r="N65" s="263"/>
      <c r="O65" s="263"/>
      <c r="P65" s="263"/>
      <c r="Q65" s="263"/>
      <c r="R65" s="263"/>
      <c r="S65" s="263"/>
      <c r="T65" s="263"/>
      <c r="U65" s="263"/>
      <c r="V65" s="263"/>
      <c r="W65" s="263"/>
      <c r="X65" s="263"/>
      <c r="Y65" s="263"/>
      <c r="Z65" s="263"/>
    </row>
    <row r="66">
      <c r="A66" s="264" t="str">
        <f>IFERROR(__xludf.DUMMYFUNCTION("""COMPUTED_VALUE"""),"Rapid Flash (High Fae)")</f>
        <v>Rapid Flash (High Fae)</v>
      </c>
      <c r="B66" s="264" t="str">
        <f>IFERROR(__xludf.DUMMYFUNCTION("""COMPUTED_VALUE"""),"100")</f>
        <v>100</v>
      </c>
      <c r="C66" s="263" t="str">
        <f>IFERROR(__xludf.DUMMYFUNCTION("""COMPUTED_VALUE"""),"Must be a High Fae.")</f>
        <v>Must be a High Fae.</v>
      </c>
      <c r="D66" s="264" t="str">
        <f>IFERROR(__xludf.DUMMYFUNCTION("""COMPUTED_VALUE"""),"Your Fae Flash gains the Rapid keyword.")</f>
        <v>Your Fae Flash gains the Rapid keyword.</v>
      </c>
      <c r="E66" s="263"/>
      <c r="F66" s="263"/>
      <c r="G66" s="263"/>
      <c r="H66" s="263"/>
      <c r="I66" s="263"/>
      <c r="J66" s="263"/>
      <c r="K66" s="263"/>
      <c r="L66" s="263"/>
      <c r="M66" s="263"/>
      <c r="N66" s="263"/>
      <c r="O66" s="263"/>
      <c r="P66" s="263"/>
      <c r="Q66" s="263"/>
      <c r="R66" s="263"/>
      <c r="S66" s="263"/>
      <c r="T66" s="263"/>
      <c r="U66" s="263"/>
      <c r="V66" s="263"/>
      <c r="W66" s="263"/>
      <c r="X66" s="263"/>
      <c r="Y66" s="263"/>
      <c r="Z66" s="263"/>
    </row>
    <row r="67">
      <c r="A67" s="264" t="str">
        <f>IFERROR(__xludf.DUMMYFUNCTION("""COMPUTED_VALUE"""),"Rich Parents")</f>
        <v>Rich Parents</v>
      </c>
      <c r="B67" s="264" t="str">
        <f>IFERROR(__xludf.DUMMYFUNCTION("""COMPUTED_VALUE"""),"300")</f>
        <v>300</v>
      </c>
      <c r="C67" s="263" t="str">
        <f>IFERROR(__xludf.DUMMYFUNCTION("""COMPUTED_VALUE"""),"Must be taken at character creation.")</f>
        <v>Must be taken at character creation.</v>
      </c>
      <c r="D67" s="264" t="str">
        <f>IFERROR(__xludf.DUMMYFUNCTION("""COMPUTED_VALUE"""),"You start the game with an additional 3000 Clim of funds.")</f>
        <v>You start the game with an additional 3000 Clim of funds.</v>
      </c>
      <c r="E67" s="263"/>
      <c r="F67" s="263"/>
      <c r="G67" s="263"/>
      <c r="H67" s="263"/>
      <c r="I67" s="263"/>
      <c r="J67" s="263"/>
      <c r="K67" s="263"/>
      <c r="L67" s="263"/>
      <c r="M67" s="263"/>
      <c r="N67" s="263"/>
      <c r="O67" s="263"/>
      <c r="P67" s="263"/>
      <c r="Q67" s="263"/>
      <c r="R67" s="263"/>
      <c r="S67" s="263"/>
      <c r="T67" s="263"/>
      <c r="U67" s="263"/>
      <c r="V67" s="263"/>
      <c r="W67" s="263"/>
      <c r="X67" s="263"/>
      <c r="Y67" s="263"/>
      <c r="Z67" s="263"/>
    </row>
    <row r="68">
      <c r="A68" s="264" t="str">
        <f>IFERROR(__xludf.DUMMYFUNCTION("""COMPUTED_VALUE"""),"Secondary Stat Training")</f>
        <v>Secondary Stat Training</v>
      </c>
      <c r="B68" s="264" t="str">
        <f>IFERROR(__xludf.DUMMYFUNCTION("""COMPUTED_VALUE"""),"200")</f>
        <v>200</v>
      </c>
      <c r="C68" s="264" t="str">
        <f>IFERROR(__xludf.DUMMYFUNCTION("""COMPUTED_VALUE"""),"")</f>
        <v/>
      </c>
      <c r="D68" s="264" t="str">
        <f>IFERROR(__xludf.DUMMYFUNCTION("""COMPUTED_VALUE"""),"You gain a +1 bonus to Fitness, Cunning, Reason, Awareness or Presence.
This breakthrough can be selected multiple times. The effects stack.")</f>
        <v>You gain a +1 bonus to Fitness, Cunning, Reason, Awareness or Presence.
This breakthrough can be selected multiple times. The effects stack.</v>
      </c>
      <c r="E68" s="263"/>
      <c r="F68" s="263"/>
      <c r="G68" s="263"/>
      <c r="H68" s="263"/>
      <c r="I68" s="263"/>
      <c r="J68" s="263"/>
      <c r="K68" s="263"/>
      <c r="L68" s="263"/>
      <c r="M68" s="263"/>
      <c r="N68" s="263"/>
      <c r="O68" s="263"/>
      <c r="P68" s="263"/>
      <c r="Q68" s="263"/>
      <c r="R68" s="263"/>
      <c r="S68" s="263"/>
      <c r="T68" s="263"/>
      <c r="U68" s="263"/>
      <c r="V68" s="263"/>
      <c r="W68" s="263"/>
      <c r="X68" s="263"/>
      <c r="Y68" s="263"/>
      <c r="Z68" s="263"/>
    </row>
    <row r="69">
      <c r="A69" s="264" t="str">
        <f>IFERROR(__xludf.DUMMYFUNCTION("""COMPUTED_VALUE"""),"Skill Training")</f>
        <v>Skill Training</v>
      </c>
      <c r="B69" s="264" t="str">
        <f>IFERROR(__xludf.DUMMYFUNCTION("""COMPUTED_VALUE"""),"25")</f>
        <v>25</v>
      </c>
      <c r="C69" s="264" t="str">
        <f>IFERROR(__xludf.DUMMYFUNCTION("""COMPUTED_VALUE"""),"")</f>
        <v/>
      </c>
      <c r="D69" s="264" t="str">
        <f>IFERROR(__xludf.DUMMYFUNCTION("""COMPUTED_VALUE"""),"You gain a single skill point or two expertise points to spend on a skill. Crafting skills cannot be selected with this training.
You may select this breakthrough multiple times. Its effects can stack.")</f>
        <v>You gain a single skill point or two expertise points to spend on a skill. Crafting skills cannot be selected with this training.
You may select this breakthrough multiple times. Its effects can stack.</v>
      </c>
      <c r="E69" s="263"/>
      <c r="F69" s="263"/>
      <c r="G69" s="263"/>
      <c r="H69" s="263"/>
      <c r="I69" s="263"/>
      <c r="J69" s="263"/>
      <c r="K69" s="263"/>
      <c r="L69" s="263"/>
      <c r="M69" s="263"/>
      <c r="N69" s="263"/>
      <c r="O69" s="263"/>
      <c r="P69" s="263"/>
      <c r="Q69" s="263"/>
      <c r="R69" s="263"/>
      <c r="S69" s="263"/>
      <c r="T69" s="263"/>
      <c r="U69" s="263"/>
      <c r="V69" s="263"/>
      <c r="W69" s="263"/>
      <c r="X69" s="263"/>
      <c r="Y69" s="263"/>
      <c r="Z69" s="263"/>
    </row>
    <row r="70">
      <c r="A70" s="264" t="str">
        <f>IFERROR(__xludf.DUMMYFUNCTION("""COMPUTED_VALUE"""),"Skilled Flier")</f>
        <v>Skilled Flier</v>
      </c>
      <c r="B70" s="264" t="str">
        <f>IFERROR(__xludf.DUMMYFUNCTION("""COMPUTED_VALUE"""),"100")</f>
        <v>100</v>
      </c>
      <c r="C70" s="264" t="str">
        <f>IFERROR(__xludf.DUMMYFUNCTION("""COMPUTED_VALUE"""),"Must have Flight racial ability or Racial Flight breakthrough")</f>
        <v>Must have Flight racial ability or Racial Flight breakthrough</v>
      </c>
      <c r="D70" s="264" t="str">
        <f>IFERROR(__xludf.DUMMYFUNCTION("""COMPUTED_VALUE"""),"When you are about to lose Height from taking damage due to your Flight ability, you may instead spend 3 Mana to negate losing height from the flight mechanic until the start of your next turn.
Abilities that make you lose height not part of the Flight ab"&amp;"ility (such as downburst) may still knock you out of the air.")</f>
        <v>When you are about to lose Height from taking damage due to your Flight ability, you may instead spend 3 Mana to negate losing height from the flight mechanic until the start of your next turn.
Abilities that make you lose height not part of the Flight ability (such as downburst) may still knock you out of the air.</v>
      </c>
      <c r="E70" s="263"/>
      <c r="F70" s="263"/>
      <c r="G70" s="263"/>
      <c r="H70" s="263"/>
      <c r="I70" s="263"/>
      <c r="J70" s="263"/>
      <c r="K70" s="263"/>
      <c r="L70" s="263"/>
      <c r="M70" s="263"/>
      <c r="N70" s="263"/>
      <c r="O70" s="263"/>
      <c r="P70" s="263"/>
      <c r="Q70" s="263"/>
      <c r="R70" s="263"/>
      <c r="S70" s="263"/>
      <c r="T70" s="263"/>
      <c r="U70" s="263"/>
      <c r="V70" s="263"/>
      <c r="W70" s="263"/>
      <c r="X70" s="263"/>
      <c r="Y70" s="263"/>
      <c r="Z70" s="263"/>
    </row>
    <row r="71">
      <c r="A71" s="264" t="str">
        <f>IFERROR(__xludf.DUMMYFUNCTION("""COMPUTED_VALUE"""),"Slime Summoner")</f>
        <v>Slime Summoner</v>
      </c>
      <c r="B71" s="264" t="str">
        <f>IFERROR(__xludf.DUMMYFUNCTION("""COMPUTED_VALUE"""),"100")</f>
        <v>100</v>
      </c>
      <c r="C71" s="264" t="str">
        <f>IFERROR(__xludf.DUMMYFUNCTION("""COMPUTED_VALUE"""),"Must be a mastered Animal Summoner.")</f>
        <v>Must be a mastered Animal Summoner.</v>
      </c>
      <c r="D71" s="264" t="str">
        <f>IFERROR(__xludf.DUMMYFUNCTION("""COMPUTED_VALUE"""),"When using the Summon Animal ability, you may instead choose to summon slimes. You roll randomly from the following slimes: Slime, Fire Slime, Earth Slime, Water Slime, Wind Slime or Mana Slime.
Even if you have the Wildheart class, you still cannot choos"&amp;"e which slime you summon except you may choose to summon the regular Slime.")</f>
        <v>When using the Summon Animal ability, you may instead choose to summon slimes. You roll randomly from the following slimes: Slime, Fire Slime, Earth Slime, Water Slime, Wind Slime or Mana Slime.
Even if you have the Wildheart class, you still cannot choose which slime you summon except you may choose to summon the regular Slime.</v>
      </c>
      <c r="E71" s="263"/>
      <c r="F71" s="263"/>
      <c r="G71" s="263"/>
      <c r="H71" s="263"/>
      <c r="I71" s="263"/>
      <c r="J71" s="263"/>
      <c r="K71" s="263"/>
      <c r="L71" s="263"/>
      <c r="M71" s="263"/>
      <c r="N71" s="263"/>
      <c r="O71" s="263"/>
      <c r="P71" s="263"/>
      <c r="Q71" s="263"/>
      <c r="R71" s="263"/>
      <c r="S71" s="263"/>
      <c r="T71" s="263"/>
      <c r="U71" s="263"/>
      <c r="V71" s="263"/>
      <c r="W71" s="263"/>
      <c r="X71" s="263"/>
      <c r="Y71" s="263"/>
      <c r="Z71" s="263"/>
    </row>
    <row r="72">
      <c r="A72" s="264" t="str">
        <f>IFERROR(__xludf.DUMMYFUNCTION("""COMPUTED_VALUE"""),"Slow Starter")</f>
        <v>Slow Starter</v>
      </c>
      <c r="B72" s="264" t="str">
        <f>IFERROR(__xludf.DUMMYFUNCTION("""COMPUTED_VALUE"""),"300")</f>
        <v>300</v>
      </c>
      <c r="C72" s="264" t="str">
        <f>IFERROR(__xludf.DUMMYFUNCTION("""COMPUTED_VALUE"""),"Must be taken at character creation.")</f>
        <v>Must be taken at character creation.</v>
      </c>
      <c r="D72" s="264" t="str">
        <f>IFERROR(__xludf.DUMMYFUNCTION("""COMPUTED_VALUE"""),"You receive 200 less EXP at character creation to spend on classes and abilities. Every time you get EXP after character creation, you get twice as much. This lasts until you’ve received a total of 500 (1000 when doubled) exp.")</f>
        <v>You receive 200 less EXP at character creation to spend on classes and abilities. Every time you get EXP after character creation, you get twice as much. This lasts until you’ve received a total of 500 (1000 when doubled) exp.</v>
      </c>
      <c r="E72" s="263"/>
      <c r="F72" s="263"/>
      <c r="G72" s="263"/>
      <c r="H72" s="263"/>
      <c r="I72" s="263"/>
      <c r="J72" s="263"/>
      <c r="K72" s="263"/>
      <c r="L72" s="263"/>
      <c r="M72" s="263"/>
      <c r="N72" s="263"/>
      <c r="O72" s="263"/>
      <c r="P72" s="263"/>
      <c r="Q72" s="263"/>
      <c r="R72" s="263"/>
      <c r="S72" s="263"/>
      <c r="T72" s="263"/>
      <c r="U72" s="263"/>
      <c r="V72" s="263"/>
      <c r="W72" s="263"/>
      <c r="X72" s="263"/>
      <c r="Y72" s="263"/>
      <c r="Z72" s="263"/>
    </row>
    <row r="73">
      <c r="A73" s="264" t="str">
        <f>IFERROR(__xludf.DUMMYFUNCTION("""COMPUTED_VALUE"""),"Small Doggy (Cu Sith)")</f>
        <v>Small Doggy (Cu Sith)</v>
      </c>
      <c r="B73" s="264" t="str">
        <f>IFERROR(__xludf.DUMMYFUNCTION("""COMPUTED_VALUE"""),"0")</f>
        <v>0</v>
      </c>
      <c r="C73" s="263" t="str">
        <f>IFERROR(__xludf.DUMMYFUNCTION("""COMPUTED_VALUE"""),"Must be a Cu Sith.")</f>
        <v>Must be a Cu Sith.</v>
      </c>
      <c r="D73" s="264" t="str">
        <f>IFERROR(__xludf.DUMMYFUNCTION("""COMPUTED_VALUE"""),"When you enter your Dog Form, you become a small dog instead. Instead of the usual bonuses and penalties, you instead lose 4 guard and 8 Block but gain a +2 Size bonus to Evasion and Dodge.")</f>
        <v>When you enter your Dog Form, you become a small dog instead. Instead of the usual bonuses and penalties, you instead lose 4 guard and 8 Block but gain a +2 Size bonus to Evasion and Dodge.</v>
      </c>
      <c r="E73" s="263"/>
      <c r="F73" s="263"/>
      <c r="G73" s="263"/>
      <c r="H73" s="263"/>
      <c r="I73" s="263"/>
      <c r="J73" s="263"/>
      <c r="K73" s="263"/>
      <c r="L73" s="263"/>
      <c r="M73" s="263"/>
      <c r="N73" s="263"/>
      <c r="O73" s="263"/>
      <c r="P73" s="263"/>
      <c r="Q73" s="263"/>
      <c r="R73" s="263"/>
      <c r="S73" s="263"/>
      <c r="T73" s="263"/>
      <c r="U73" s="263"/>
      <c r="V73" s="263"/>
      <c r="W73" s="263"/>
      <c r="X73" s="263"/>
      <c r="Y73" s="263"/>
      <c r="Z73" s="263"/>
    </row>
    <row r="74">
      <c r="A74" s="264" t="str">
        <f>IFERROR(__xludf.DUMMYFUNCTION("""COMPUTED_VALUE"""),"Small Specimen (Cowfolk)")</f>
        <v>Small Specimen (Cowfolk)</v>
      </c>
      <c r="B74" s="264" t="str">
        <f>IFERROR(__xludf.DUMMYFUNCTION("""COMPUTED_VALUE"""),"25")</f>
        <v>25</v>
      </c>
      <c r="C74" s="264" t="str">
        <f>IFERROR(__xludf.DUMMYFUNCTION("""COMPUTED_VALUE"""),"Cowfolk only. Must be taken at character creation.")</f>
        <v>Cowfolk only. Must be taken at character creation.</v>
      </c>
      <c r="D74" s="264" t="str">
        <f>IFERROR(__xludf.DUMMYFUNCTION("""COMPUTED_VALUE"""),"Your size is Small instead of Medium.")</f>
        <v>Your size is Small instead of Medium.</v>
      </c>
      <c r="E74" s="263"/>
      <c r="F74" s="263"/>
      <c r="G74" s="263"/>
      <c r="H74" s="263"/>
      <c r="I74" s="263"/>
      <c r="J74" s="263"/>
      <c r="K74" s="263"/>
      <c r="L74" s="263"/>
      <c r="M74" s="263"/>
      <c r="N74" s="263"/>
      <c r="O74" s="263"/>
      <c r="P74" s="263"/>
      <c r="Q74" s="263"/>
      <c r="R74" s="263"/>
      <c r="S74" s="263"/>
      <c r="T74" s="263"/>
      <c r="U74" s="263"/>
      <c r="V74" s="263"/>
      <c r="W74" s="263"/>
      <c r="X74" s="263"/>
      <c r="Y74" s="263"/>
      <c r="Z74" s="263"/>
    </row>
    <row r="75">
      <c r="A75" s="264" t="str">
        <f>IFERROR(__xludf.DUMMYFUNCTION("""COMPUTED_VALUE"""),"Speciality Weapon Training")</f>
        <v>Speciality Weapon Training</v>
      </c>
      <c r="B75" s="264" t="str">
        <f>IFERROR(__xludf.DUMMYFUNCTION("""COMPUTED_VALUE"""),"100")</f>
        <v>100</v>
      </c>
      <c r="C75" s="264" t="str">
        <f>IFERROR(__xludf.DUMMYFUNCTION("""COMPUTED_VALUE"""),"")</f>
        <v/>
      </c>
      <c r="D75" s="264" t="str">
        <f>IFERROR(__xludf.DUMMYFUNCTION("""COMPUTED_VALUE"""),"You gain proficiency with a Speciality Weapon group.
This breakthrough can be selected multiple times. You must select a different weapon group each time you select it.")</f>
        <v>You gain proficiency with a Speciality Weapon group.
This breakthrough can be selected multiple times. You must select a different weapon group each time you select it.</v>
      </c>
      <c r="E75" s="263"/>
      <c r="F75" s="263"/>
      <c r="G75" s="263"/>
      <c r="H75" s="263"/>
      <c r="I75" s="263"/>
      <c r="J75" s="263"/>
      <c r="K75" s="263"/>
      <c r="L75" s="263"/>
      <c r="M75" s="263"/>
      <c r="N75" s="263"/>
      <c r="O75" s="263"/>
      <c r="P75" s="263"/>
      <c r="Q75" s="263"/>
      <c r="R75" s="263"/>
      <c r="S75" s="263"/>
      <c r="T75" s="263"/>
      <c r="U75" s="263"/>
      <c r="V75" s="263"/>
      <c r="W75" s="263"/>
      <c r="X75" s="263"/>
      <c r="Y75" s="263"/>
      <c r="Z75" s="263"/>
    </row>
    <row r="76">
      <c r="A76" s="264" t="str">
        <f>IFERROR(__xludf.DUMMYFUNCTION("""COMPUTED_VALUE"""),"Summon Contract: Fortuna, Lady Luck")</f>
        <v>Summon Contract: Fortuna, Lady Luck</v>
      </c>
      <c r="B76" s="264" t="str">
        <f>IFERROR(__xludf.DUMMYFUNCTION("""COMPUTED_VALUE"""),"0")</f>
        <v>0</v>
      </c>
      <c r="C76" s="264" t="str">
        <f>IFERROR(__xludf.DUMMYFUNCTION("""COMPUTED_VALUE"""),"Must be a summoner and have visited the eidolon.")</f>
        <v>Must be a summoner and have visited the eidolon.</v>
      </c>
      <c r="D76" s="264" t="str">
        <f>IFERROR(__xludf.DUMMYFUNCTION("""COMPUTED_VALUE"""),"You draw on your luck, manipulating the circumstances around you to the best possible state. If you are the target of an attack, that attack becomes a 1. If you made a roll, that roll becomes a 20 (despite the pact cost).
May also be used in situations th"&amp;"at don’t have you making a roll, such as flipping a coin, but the act that you’re influencing cannot take more than 5 seconds to complete.
After using this ability, you become temporarily afflicted with bad luck. The GM decides what exactly happens and wh"&amp;"at triggers it, but it could turn your roll into a 1, make an enemy roll a 20 against you or something related to the environment. After a bad luck action happens, the bad luck is removed.
You cannot use this ability again until after the bad luck has bee"&amp;"n removed.")</f>
        <v>You draw on your luck, manipulating the circumstances around you to the best possible state. If you are the target of an attack, that attack becomes a 1. If you made a roll, that roll becomes a 20 (despite the pact cost).
May also be used in situations that don’t have you making a roll, such as flipping a coin, but the act that you’re influencing cannot take more than 5 seconds to complete.
After using this ability, you become temporarily afflicted with bad luck. The GM decides what exactly happens and what triggers it, but it could turn your roll into a 1, make an enemy roll a 20 against you or something related to the environment. After a bad luck action happens, the bad luck is removed.
You cannot use this ability again until after the bad luck has been removed.</v>
      </c>
      <c r="E76" s="263"/>
      <c r="F76" s="263"/>
      <c r="G76" s="263"/>
      <c r="H76" s="263"/>
      <c r="I76" s="263"/>
      <c r="J76" s="263"/>
      <c r="K76" s="263"/>
      <c r="L76" s="263"/>
      <c r="M76" s="263"/>
      <c r="N76" s="263"/>
      <c r="O76" s="263"/>
      <c r="P76" s="263"/>
      <c r="Q76" s="263"/>
      <c r="R76" s="263"/>
      <c r="S76" s="263"/>
      <c r="T76" s="263"/>
      <c r="U76" s="263"/>
      <c r="V76" s="263"/>
      <c r="W76" s="263"/>
      <c r="X76" s="263"/>
      <c r="Y76" s="263"/>
      <c r="Z76" s="263"/>
    </row>
    <row r="77">
      <c r="A77" s="264" t="str">
        <f>IFERROR(__xludf.DUMMYFUNCTION("""COMPUTED_VALUE"""),"Summon Contract: Ixilune, The Swarm")</f>
        <v>Summon Contract: Ixilune, The Swarm</v>
      </c>
      <c r="B77" s="264" t="str">
        <f>IFERROR(__xludf.DUMMYFUNCTION("""COMPUTED_VALUE"""),"0")</f>
        <v>0</v>
      </c>
      <c r="C77" s="264" t="str">
        <f>IFERROR(__xludf.DUMMYFUNCTION("""COMPUTED_VALUE"""),"Must be a summoner and have visited the eidolon.")</f>
        <v>Must be a summoner and have visited the eidolon.</v>
      </c>
      <c r="D77" s="264" t="str">
        <f>IFERROR(__xludf.DUMMYFUNCTION("""COMPUTED_VALUE"""),"You summon a distracting swarm around a target. The target immediately loses any Concentration effects and suffers -5 penalty to Perception checks unless they spend 1 RP to sidestep out of the effect. If they did not move, they also cannot use any abiliti"&amp;"es with the Concentration keyword until they move.
You can only have 1 Distracting Swarm active at the same time.")</f>
        <v>You summon a distracting swarm around a target. The target immediately loses any Concentration effects and suffers -5 penalty to Perception checks unless they spend 1 RP to sidestep out of the effect. If they did not move, they also cannot use any abilities with the Concentration keyword until they move.
You can only have 1 Distracting Swarm active at the same time.</v>
      </c>
      <c r="E77" s="263"/>
      <c r="F77" s="263"/>
      <c r="G77" s="263"/>
      <c r="H77" s="263"/>
      <c r="I77" s="263"/>
      <c r="J77" s="263"/>
      <c r="K77" s="263"/>
      <c r="L77" s="263"/>
      <c r="M77" s="263"/>
      <c r="N77" s="263"/>
      <c r="O77" s="263"/>
      <c r="P77" s="263"/>
      <c r="Q77" s="263"/>
      <c r="R77" s="263"/>
      <c r="S77" s="263"/>
      <c r="T77" s="263"/>
      <c r="U77" s="263"/>
      <c r="V77" s="263"/>
      <c r="W77" s="263"/>
      <c r="X77" s="263"/>
      <c r="Y77" s="263"/>
      <c r="Z77" s="263"/>
    </row>
    <row r="78">
      <c r="A78" s="264" t="str">
        <f>IFERROR(__xludf.DUMMYFUNCTION("""COMPUTED_VALUE"""),"Summon Contract: Pipoltr, The Gardener")</f>
        <v>Summon Contract: Pipoltr, The Gardener</v>
      </c>
      <c r="B78" s="264" t="str">
        <f>IFERROR(__xludf.DUMMYFUNCTION("""COMPUTED_VALUE"""),"0")</f>
        <v>0</v>
      </c>
      <c r="C78" s="264" t="str">
        <f>IFERROR(__xludf.DUMMYFUNCTION("""COMPUTED_VALUE"""),"Must be a summoner and have visited the eidolon.")</f>
        <v>Must be a summoner and have visited the eidolon.</v>
      </c>
      <c r="D78" s="264" t="str">
        <f>IFERROR(__xludf.DUMMYFUNCTION("""COMPUTED_VALUE"""),"Thick vines sprout from the ground or natural wall as you create a 5x5 wall of vines that is 10ft high. The wall of vines counts as full cover (unless you peek from it) and has HP equal to your Toughness x6. The vines are sturdy enough to stand on.
Lasts "&amp;"for up to 5 minutes and you can only have 5 instances of Vine Wall Cover at one time.")</f>
        <v>Thick vines sprout from the ground or natural wall as you create a 5x5 wall of vines that is 10ft high. The wall of vines counts as full cover (unless you peek from it) and has HP equal to your Toughness x6. The vines are sturdy enough to stand on.
Lasts for up to 5 minutes and you can only have 5 instances of Vine Wall Cover at one time.</v>
      </c>
      <c r="E78" s="263"/>
      <c r="F78" s="263"/>
      <c r="G78" s="263"/>
      <c r="H78" s="263"/>
      <c r="I78" s="263"/>
      <c r="J78" s="263"/>
      <c r="K78" s="263"/>
      <c r="L78" s="263"/>
      <c r="M78" s="263"/>
      <c r="N78" s="263"/>
      <c r="O78" s="263"/>
      <c r="P78" s="263"/>
      <c r="Q78" s="263"/>
      <c r="R78" s="263"/>
      <c r="S78" s="263"/>
      <c r="T78" s="263"/>
      <c r="U78" s="263"/>
      <c r="V78" s="263"/>
      <c r="W78" s="263"/>
      <c r="X78" s="263"/>
      <c r="Y78" s="263"/>
      <c r="Z78" s="263"/>
    </row>
    <row r="79">
      <c r="A79" s="264" t="str">
        <f>IFERROR(__xludf.DUMMYFUNCTION("""COMPUTED_VALUE"""),"Superior Escapist (Rabbitfolk)")</f>
        <v>Superior Escapist (Rabbitfolk)</v>
      </c>
      <c r="B79" s="264" t="str">
        <f>IFERROR(__xludf.DUMMYFUNCTION("""COMPUTED_VALUE"""),"100")</f>
        <v>100</v>
      </c>
      <c r="C79" s="263" t="str">
        <f>IFERROR(__xludf.DUMMYFUNCTION("""COMPUTED_VALUE"""),"Must be a Rabbitfolk.")</f>
        <v>Must be a Rabbitfolk.</v>
      </c>
      <c r="D79" s="264" t="str">
        <f>IFERROR(__xludf.DUMMYFUNCTION("""COMPUTED_VALUE"""),"You may use your Escape Artist when Rooted to remove it in addition to grapples.")</f>
        <v>You may use your Escape Artist when Rooted to remove it in addition to grapples.</v>
      </c>
      <c r="E79" s="263"/>
      <c r="F79" s="263"/>
      <c r="G79" s="263"/>
      <c r="H79" s="263"/>
      <c r="I79" s="263"/>
      <c r="J79" s="263"/>
      <c r="K79" s="263"/>
      <c r="L79" s="263"/>
      <c r="M79" s="263"/>
      <c r="N79" s="263"/>
      <c r="O79" s="263"/>
      <c r="P79" s="263"/>
      <c r="Q79" s="263"/>
      <c r="R79" s="263"/>
      <c r="S79" s="263"/>
      <c r="T79" s="263"/>
      <c r="U79" s="263"/>
      <c r="V79" s="263"/>
      <c r="W79" s="263"/>
      <c r="X79" s="263"/>
      <c r="Y79" s="263"/>
      <c r="Z79" s="263"/>
    </row>
    <row r="80">
      <c r="A80" s="264" t="str">
        <f>IFERROR(__xludf.DUMMYFUNCTION("""COMPUTED_VALUE"""),"Tengu Defensive Aura (Tengu)")</f>
        <v>Tengu Defensive Aura (Tengu)</v>
      </c>
      <c r="B80" s="264" t="str">
        <f>IFERROR(__xludf.DUMMYFUNCTION("""COMPUTED_VALUE"""),"100")</f>
        <v>100</v>
      </c>
      <c r="C80" s="264" t="str">
        <f>IFERROR(__xludf.DUMMYFUNCTION("""COMPUTED_VALUE"""),"Must be a Tengu.")</f>
        <v>Must be a Tengu.</v>
      </c>
      <c r="D80" s="264" t="str">
        <f>IFERROR(__xludf.DUMMYFUNCTION("""COMPUTED_VALUE"""),"Your resistance to astra corruption is increased by 1 (Your SC is treated as 500 higher when determining if you suffer from astra corruption). In addition, you do not suffer any negative effects when the astra level is raised artificially. (such as from E"&amp;"xousiai's).")</f>
        <v>Your resistance to astra corruption is increased by 1 (Your SC is treated as 500 higher when determining if you suffer from astra corruption). In addition, you do not suffer any negative effects when the astra level is raised artificially. (such as from Exousiai's).</v>
      </c>
      <c r="E80" s="263"/>
      <c r="F80" s="263"/>
      <c r="G80" s="263"/>
      <c r="H80" s="263"/>
      <c r="I80" s="263"/>
      <c r="J80" s="263"/>
      <c r="K80" s="263"/>
      <c r="L80" s="263"/>
      <c r="M80" s="263"/>
      <c r="N80" s="263"/>
      <c r="O80" s="263"/>
      <c r="P80" s="263"/>
      <c r="Q80" s="263"/>
      <c r="R80" s="263"/>
      <c r="S80" s="263"/>
      <c r="T80" s="263"/>
      <c r="U80" s="263"/>
      <c r="V80" s="263"/>
      <c r="W80" s="263"/>
      <c r="X80" s="263"/>
      <c r="Y80" s="263"/>
      <c r="Z80" s="263"/>
    </row>
    <row r="81">
      <c r="A81" s="264" t="str">
        <f>IFERROR(__xludf.DUMMYFUNCTION("""COMPUTED_VALUE"""),"The Unknown Paladin")</f>
        <v>The Unknown Paladin</v>
      </c>
      <c r="B81" s="264" t="str">
        <f>IFERROR(__xludf.DUMMYFUNCTION("""COMPUTED_VALUE"""),"200")</f>
        <v>200</v>
      </c>
      <c r="C81" s="263" t="str">
        <f>IFERROR(__xludf.DUMMYFUNCTION("""COMPUTED_VALUE"""),"Must be a believer in a god.")</f>
        <v>Must be a believer in a god.</v>
      </c>
      <c r="D81" s="264" t="str">
        <f>IFERROR(__xludf.DUMMYFUNCTION("""COMPUTED_VALUE"""),"Despite not being human, you fulfill the human requirement to become a Paladin. In addition, your Smite skill's damage type changes to one that represents your chosen Divine. The paladin holy weapon key ability also changes its damage type to the one that"&amp;" represents your chosen Divine.
Kari: Holy
Heira: Astra
Pandora: Arcane
Makai: Water
Ayuzi Kirara: Fire
Eisen: Physical
Athena: Lightning
Clio: Arcane
Yggdrasil: Earth")</f>
        <v>Despite not being human, you fulfill the human requirement to become a Paladin. In addition, your Smite skill's damage type changes to one that represents your chosen Divine. The paladin holy weapon key ability also changes its damage type to the one that represents your chosen Divine.
Kari: Holy
Heira: Astra
Pandora: Arcane
Makai: Water
Ayuzi Kirara: Fire
Eisen: Physical
Athena: Lightning
Clio: Arcane
Yggdrasil: Earth</v>
      </c>
      <c r="E81" s="263"/>
      <c r="F81" s="263"/>
      <c r="G81" s="263"/>
      <c r="H81" s="263"/>
      <c r="I81" s="263"/>
      <c r="J81" s="263"/>
      <c r="K81" s="263"/>
      <c r="L81" s="263"/>
      <c r="M81" s="263"/>
      <c r="N81" s="263"/>
      <c r="O81" s="263"/>
      <c r="P81" s="263"/>
      <c r="Q81" s="263"/>
      <c r="R81" s="263"/>
      <c r="S81" s="263"/>
      <c r="T81" s="263"/>
      <c r="U81" s="263"/>
      <c r="V81" s="263"/>
      <c r="W81" s="263"/>
      <c r="X81" s="263"/>
      <c r="Y81" s="263"/>
      <c r="Z81" s="263"/>
    </row>
    <row r="82">
      <c r="A82" s="264" t="str">
        <f>IFERROR(__xludf.DUMMYFUNCTION("""COMPUTED_VALUE"""),"Third Eye")</f>
        <v>Third Eye</v>
      </c>
      <c r="B82" s="264" t="str">
        <f>IFERROR(__xludf.DUMMYFUNCTION("""COMPUTED_VALUE"""),"200")</f>
        <v>200</v>
      </c>
      <c r="C82" s="263" t="str">
        <f>IFERROR(__xludf.DUMMYFUNCTION("""COMPUTED_VALUE"""),"")</f>
        <v/>
      </c>
      <c r="D82" s="264" t="str">
        <f>IFERROR(__xludf.DUMMYFUNCTION("""COMPUTED_VALUE"""),"You may have up to 3 Mystic Eyes instead of the regular 2.")</f>
        <v>You may have up to 3 Mystic Eyes instead of the regular 2.</v>
      </c>
      <c r="E82" s="263"/>
      <c r="F82" s="263"/>
      <c r="G82" s="263"/>
      <c r="H82" s="263"/>
      <c r="I82" s="263"/>
      <c r="J82" s="263"/>
      <c r="K82" s="263"/>
      <c r="L82" s="263"/>
      <c r="M82" s="263"/>
      <c r="N82" s="263"/>
      <c r="O82" s="263"/>
      <c r="P82" s="263"/>
      <c r="Q82" s="263"/>
      <c r="R82" s="263"/>
      <c r="S82" s="263"/>
      <c r="T82" s="263"/>
      <c r="U82" s="263"/>
      <c r="V82" s="263"/>
      <c r="W82" s="263"/>
      <c r="X82" s="263"/>
      <c r="Y82" s="263"/>
      <c r="Z82" s="263"/>
    </row>
    <row r="83">
      <c r="A83" s="264" t="str">
        <f>IFERROR(__xludf.DUMMYFUNCTION("""COMPUTED_VALUE"""),"Touched by Death")</f>
        <v>Touched by Death</v>
      </c>
      <c r="B83" s="264" t="str">
        <f>IFERROR(__xludf.DUMMYFUNCTION("""COMPUTED_VALUE"""),"200")</f>
        <v>200</v>
      </c>
      <c r="C83" s="263" t="str">
        <f>IFERROR(__xludf.DUMMYFUNCTION("""COMPUTED_VALUE"""),"Must be taken at character creation or after your HP has dropped below 0 in an encounter.")</f>
        <v>Must be taken at character creation or after your HP has dropped below 0 in an encounter.</v>
      </c>
      <c r="D83" s="264" t="str">
        <f>IFERROR(__xludf.DUMMYFUNCTION("""COMPUTED_VALUE"""),"Near-death experiences sometimes leave people more sensitive to death itself, manifesting in what is called the Shinigami’s Eyes. You may purchase the Shinigami Eyes class.
In addition, you may spend 1 AP to see the HP percentage and weak spots (if any) o"&amp;"f all creatures for 1 turn.")</f>
        <v>Near-death experiences sometimes leave people more sensitive to death itself, manifesting in what is called the Shinigami’s Eyes. You may purchase the Shinigami Eyes class.
In addition, you may spend 1 AP to see the HP percentage and weak spots (if any) of all creatures for 1 turn.</v>
      </c>
      <c r="E83" s="263"/>
      <c r="F83" s="263"/>
      <c r="G83" s="263"/>
      <c r="H83" s="263"/>
      <c r="I83" s="263"/>
      <c r="J83" s="263"/>
      <c r="K83" s="263"/>
      <c r="L83" s="263"/>
      <c r="M83" s="263"/>
      <c r="N83" s="263"/>
      <c r="O83" s="263"/>
      <c r="P83" s="263"/>
      <c r="Q83" s="263"/>
      <c r="R83" s="263"/>
      <c r="S83" s="263"/>
      <c r="T83" s="263"/>
      <c r="U83" s="263"/>
      <c r="V83" s="263"/>
      <c r="W83" s="263"/>
      <c r="X83" s="263"/>
      <c r="Y83" s="263"/>
      <c r="Z83" s="263"/>
    </row>
    <row r="84">
      <c r="A84" s="264" t="str">
        <f>IFERROR(__xludf.DUMMYFUNCTION("""COMPUTED_VALUE"""),"Universal Training")</f>
        <v>Universal Training</v>
      </c>
      <c r="B84" s="264" t="str">
        <f>IFERROR(__xludf.DUMMYFUNCTION("""COMPUTED_VALUE"""),"700")</f>
        <v>700</v>
      </c>
      <c r="C84" s="264" t="str">
        <f>IFERROR(__xludf.DUMMYFUNCTION("""COMPUTED_VALUE"""),"")</f>
        <v/>
      </c>
      <c r="D84" s="264" t="str">
        <f>IFERROR(__xludf.DUMMYFUNCTION("""COMPUTED_VALUE"""),"You gain +1 to any primary stat, +1 to any secondary stat and 5 skill points. You may put these skill points into any normal skill, except crafting and gathering skills.
This breakthrough may be taken multiple times. The effects stack.")</f>
        <v>You gain +1 to any primary stat, +1 to any secondary stat and 5 skill points. You may put these skill points into any normal skill, except crafting and gathering skills.
This breakthrough may be taken multiple times. The effects stack.</v>
      </c>
      <c r="E84" s="263"/>
      <c r="F84" s="263"/>
      <c r="G84" s="263"/>
      <c r="H84" s="263"/>
      <c r="I84" s="263"/>
      <c r="J84" s="263"/>
      <c r="K84" s="263"/>
      <c r="L84" s="263"/>
      <c r="M84" s="263"/>
      <c r="N84" s="263"/>
      <c r="O84" s="263"/>
      <c r="P84" s="263"/>
      <c r="Q84" s="263"/>
      <c r="R84" s="263"/>
      <c r="S84" s="263"/>
      <c r="T84" s="263"/>
      <c r="U84" s="263"/>
      <c r="V84" s="263"/>
      <c r="W84" s="263"/>
      <c r="X84" s="263"/>
      <c r="Y84" s="263"/>
      <c r="Z84" s="263"/>
    </row>
    <row r="85">
      <c r="A85" s="264" t="str">
        <f>IFERROR(__xludf.DUMMYFUNCTION("""COMPUTED_VALUE"""),"Weapon Training")</f>
        <v>Weapon Training</v>
      </c>
      <c r="B85" s="264" t="str">
        <f>IFERROR(__xludf.DUMMYFUNCTION("""COMPUTED_VALUE"""),"25")</f>
        <v>25</v>
      </c>
      <c r="C85" s="264" t="str">
        <f>IFERROR(__xludf.DUMMYFUNCTION("""COMPUTED_VALUE"""),"")</f>
        <v/>
      </c>
      <c r="D85" s="264" t="str">
        <f>IFERROR(__xludf.DUMMYFUNCTION("""COMPUTED_VALUE"""),"You gain proficiency with a weapon group. You may not select Speciality Weapons with this.
This breakthrough can be selected multiple times. You must select a different weapon group each time you select it.")</f>
        <v>You gain proficiency with a weapon group. You may not select Speciality Weapons with this.
This breakthrough can be selected multiple times. You must select a different weapon group each time you select it.</v>
      </c>
      <c r="E85" s="263"/>
      <c r="F85" s="263"/>
      <c r="G85" s="263"/>
      <c r="H85" s="263"/>
      <c r="I85" s="263"/>
      <c r="J85" s="263"/>
      <c r="K85" s="263"/>
      <c r="L85" s="263"/>
      <c r="M85" s="263"/>
      <c r="N85" s="263"/>
      <c r="O85" s="263"/>
      <c r="P85" s="263"/>
      <c r="Q85" s="263"/>
      <c r="R85" s="263"/>
      <c r="S85" s="263"/>
      <c r="T85" s="263"/>
      <c r="U85" s="263"/>
      <c r="V85" s="263"/>
      <c r="W85" s="263"/>
      <c r="X85" s="263"/>
      <c r="Y85" s="263"/>
      <c r="Z85" s="263"/>
    </row>
    <row r="86">
      <c r="A86" s="264" t="str">
        <f>IFERROR(__xludf.DUMMYFUNCTION("""COMPUTED_VALUE"""),"Wide Circuits I")</f>
        <v>Wide Circuits I</v>
      </c>
      <c r="B86" s="264" t="str">
        <f>IFERROR(__xludf.DUMMYFUNCTION("""COMPUTED_VALUE"""),"150")</f>
        <v>150</v>
      </c>
      <c r="C86" s="264" t="str">
        <f>IFERROR(__xludf.DUMMYFUNCTION("""COMPUTED_VALUE"""),"")</f>
        <v/>
      </c>
      <c r="D86" s="264" t="str">
        <f>IFERROR(__xludf.DUMMYFUNCTION("""COMPUTED_VALUE"""),"Your maximum mana increases by 1.")</f>
        <v>Your maximum mana increases by 1.</v>
      </c>
      <c r="E86" s="263"/>
      <c r="F86" s="263"/>
      <c r="G86" s="263"/>
      <c r="H86" s="263"/>
      <c r="I86" s="263"/>
      <c r="J86" s="263"/>
      <c r="K86" s="263"/>
      <c r="L86" s="263"/>
      <c r="M86" s="263"/>
      <c r="N86" s="263"/>
      <c r="O86" s="263"/>
      <c r="P86" s="263"/>
      <c r="Q86" s="263"/>
      <c r="R86" s="263"/>
      <c r="S86" s="263"/>
      <c r="T86" s="263"/>
      <c r="U86" s="263"/>
      <c r="V86" s="263"/>
      <c r="W86" s="263"/>
      <c r="X86" s="263"/>
      <c r="Y86" s="263"/>
      <c r="Z86" s="263"/>
    </row>
    <row r="87">
      <c r="A87" s="263" t="str">
        <f>IFERROR(__xludf.DUMMYFUNCTION("""COMPUTED_VALUE"""),"Wide Circuits II")</f>
        <v>Wide Circuits II</v>
      </c>
      <c r="B87" s="263" t="str">
        <f>IFERROR(__xludf.DUMMYFUNCTION("""COMPUTED_VALUE"""),"175")</f>
        <v>175</v>
      </c>
      <c r="C87" s="263" t="str">
        <f>IFERROR(__xludf.DUMMYFUNCTION("""COMPUTED_VALUE"""),"Must have the Wide Circuits breakthrough.")</f>
        <v>Must have the Wide Circuits breakthrough.</v>
      </c>
      <c r="D87" s="263" t="str">
        <f>IFERROR(__xludf.DUMMYFUNCTION("""COMPUTED_VALUE"""),"Your maximum Mana is increased by 1.")</f>
        <v>Your maximum Mana is increased by 1.</v>
      </c>
      <c r="E87" s="263"/>
      <c r="F87" s="263"/>
      <c r="G87" s="263"/>
      <c r="H87" s="263"/>
      <c r="I87" s="263"/>
      <c r="J87" s="263"/>
      <c r="K87" s="263"/>
      <c r="L87" s="263"/>
      <c r="M87" s="263"/>
      <c r="N87" s="263"/>
      <c r="O87" s="263"/>
      <c r="P87" s="263"/>
      <c r="Q87" s="263"/>
      <c r="R87" s="263"/>
      <c r="S87" s="263"/>
      <c r="T87" s="263"/>
      <c r="U87" s="263"/>
      <c r="V87" s="263"/>
      <c r="W87" s="263"/>
      <c r="X87" s="263"/>
      <c r="Y87" s="263"/>
      <c r="Z87" s="263"/>
    </row>
    <row r="88">
      <c r="A88" s="263" t="str">
        <f>IFERROR(__xludf.DUMMYFUNCTION("""COMPUTED_VALUE"""),"Wide Circuits III")</f>
        <v>Wide Circuits III</v>
      </c>
      <c r="B88" s="263" t="str">
        <f>IFERROR(__xludf.DUMMYFUNCTION("""COMPUTED_VALUE"""),"200")</f>
        <v>200</v>
      </c>
      <c r="C88" s="263" t="str">
        <f>IFERROR(__xludf.DUMMYFUNCTION("""COMPUTED_VALUE"""),"Must have the Wide Circuits II breakthrough.")</f>
        <v>Must have the Wide Circuits II breakthrough.</v>
      </c>
      <c r="D88" s="263" t="str">
        <f>IFERROR(__xludf.DUMMYFUNCTION("""COMPUTED_VALUE"""),"Your maximum Mana is increased by 1.")</f>
        <v>Your maximum Mana is increased by 1.</v>
      </c>
      <c r="E88" s="263"/>
      <c r="F88" s="263"/>
      <c r="G88" s="263"/>
      <c r="H88" s="263"/>
      <c r="I88" s="263"/>
      <c r="J88" s="263"/>
      <c r="K88" s="263"/>
      <c r="L88" s="263"/>
      <c r="M88" s="263"/>
      <c r="N88" s="263"/>
      <c r="O88" s="263"/>
      <c r="P88" s="263"/>
      <c r="Q88" s="263"/>
      <c r="R88" s="263"/>
      <c r="S88" s="263"/>
      <c r="T88" s="263"/>
      <c r="U88" s="263"/>
      <c r="V88" s="263"/>
      <c r="W88" s="263"/>
      <c r="X88" s="263"/>
      <c r="Y88" s="263"/>
      <c r="Z88" s="263"/>
    </row>
    <row r="89">
      <c r="A89" s="263" t="str">
        <f>IFERROR(__xludf.DUMMYFUNCTION("""COMPUTED_VALUE"""),"Wide Circuits IV")</f>
        <v>Wide Circuits IV</v>
      </c>
      <c r="B89" s="263" t="str">
        <f>IFERROR(__xludf.DUMMYFUNCTION("""COMPUTED_VALUE"""),"250")</f>
        <v>250</v>
      </c>
      <c r="C89" s="263" t="str">
        <f>IFERROR(__xludf.DUMMYFUNCTION("""COMPUTED_VALUE"""),"Must have the Wide Circuits III breakthrough")</f>
        <v>Must have the Wide Circuits III breakthrough</v>
      </c>
      <c r="D89" s="263" t="str">
        <f>IFERROR(__xludf.DUMMYFUNCTION("""COMPUTED_VALUE"""),"Your maximum Mana is increased by 1.
You may take this breakthrough multiple times. The effects stack.")</f>
        <v>Your maximum Mana is increased by 1.
You may take this breakthrough multiple times. The effects stack.</v>
      </c>
      <c r="E89" s="263"/>
      <c r="F89" s="263"/>
      <c r="G89" s="263"/>
      <c r="H89" s="263"/>
      <c r="I89" s="263"/>
      <c r="J89" s="263"/>
      <c r="K89" s="263"/>
      <c r="L89" s="263"/>
      <c r="M89" s="263"/>
      <c r="N89" s="263"/>
      <c r="O89" s="263"/>
      <c r="P89" s="263"/>
      <c r="Q89" s="263"/>
      <c r="R89" s="263"/>
      <c r="S89" s="263"/>
      <c r="T89" s="263"/>
      <c r="U89" s="263"/>
      <c r="V89" s="263"/>
      <c r="W89" s="263"/>
      <c r="X89" s="263"/>
      <c r="Y89" s="263"/>
      <c r="Z89" s="263"/>
    </row>
    <row r="90">
      <c r="A90" s="263"/>
      <c r="B90" s="263"/>
      <c r="C90" s="263"/>
      <c r="D90" s="263"/>
      <c r="E90" s="263"/>
      <c r="F90" s="263"/>
      <c r="G90" s="263"/>
      <c r="H90" s="263"/>
      <c r="I90" s="263"/>
      <c r="J90" s="263"/>
      <c r="K90" s="263"/>
      <c r="L90" s="263"/>
      <c r="M90" s="263"/>
      <c r="N90" s="263"/>
      <c r="O90" s="263"/>
      <c r="P90" s="263"/>
      <c r="Q90" s="263"/>
      <c r="R90" s="263"/>
      <c r="S90" s="263"/>
      <c r="T90" s="263"/>
      <c r="U90" s="263"/>
      <c r="V90" s="263"/>
      <c r="W90" s="263"/>
      <c r="X90" s="263"/>
      <c r="Y90" s="263"/>
      <c r="Z90" s="263"/>
    </row>
    <row r="91">
      <c r="A91" s="263"/>
      <c r="B91" s="263"/>
      <c r="C91" s="263"/>
      <c r="D91" s="263"/>
      <c r="E91" s="263"/>
      <c r="F91" s="263"/>
      <c r="G91" s="263"/>
      <c r="H91" s="263"/>
      <c r="I91" s="263"/>
      <c r="J91" s="263"/>
      <c r="K91" s="263"/>
      <c r="L91" s="263"/>
      <c r="M91" s="263"/>
      <c r="N91" s="263"/>
      <c r="O91" s="263"/>
      <c r="P91" s="263"/>
      <c r="Q91" s="263"/>
      <c r="R91" s="263"/>
      <c r="S91" s="263"/>
      <c r="T91" s="263"/>
      <c r="U91" s="263"/>
      <c r="V91" s="263"/>
      <c r="W91" s="263"/>
      <c r="X91" s="263"/>
      <c r="Y91" s="263"/>
      <c r="Z91" s="263"/>
    </row>
    <row r="92">
      <c r="A92" s="263"/>
      <c r="B92" s="263"/>
      <c r="C92" s="263"/>
      <c r="D92" s="263"/>
      <c r="E92" s="263"/>
      <c r="F92" s="263"/>
      <c r="G92" s="263"/>
      <c r="H92" s="263"/>
      <c r="I92" s="263"/>
      <c r="J92" s="263"/>
      <c r="K92" s="263"/>
      <c r="L92" s="263"/>
      <c r="M92" s="263"/>
      <c r="N92" s="263"/>
      <c r="O92" s="263"/>
      <c r="P92" s="263"/>
      <c r="Q92" s="263"/>
      <c r="R92" s="263"/>
      <c r="S92" s="263"/>
      <c r="T92" s="263"/>
      <c r="U92" s="263"/>
      <c r="V92" s="263"/>
      <c r="W92" s="263"/>
      <c r="X92" s="263"/>
      <c r="Y92" s="263"/>
      <c r="Z92" s="263"/>
    </row>
    <row r="93">
      <c r="A93" s="263"/>
      <c r="B93" s="263"/>
      <c r="C93" s="263"/>
      <c r="D93" s="263"/>
      <c r="E93" s="263"/>
      <c r="F93" s="263"/>
      <c r="G93" s="263"/>
      <c r="H93" s="263"/>
      <c r="I93" s="263"/>
      <c r="J93" s="263"/>
      <c r="K93" s="263"/>
      <c r="L93" s="263"/>
      <c r="M93" s="263"/>
      <c r="N93" s="263"/>
      <c r="O93" s="263"/>
      <c r="P93" s="263"/>
      <c r="Q93" s="263"/>
      <c r="R93" s="263"/>
      <c r="S93" s="263"/>
      <c r="T93" s="263"/>
      <c r="U93" s="263"/>
      <c r="V93" s="263"/>
      <c r="W93" s="263"/>
      <c r="X93" s="263"/>
      <c r="Y93" s="263"/>
      <c r="Z93" s="263"/>
    </row>
    <row r="94">
      <c r="A94" s="263"/>
      <c r="B94" s="263"/>
      <c r="C94" s="263"/>
      <c r="D94" s="263"/>
      <c r="E94" s="263"/>
      <c r="F94" s="263"/>
      <c r="G94" s="263"/>
      <c r="H94" s="263"/>
      <c r="I94" s="263"/>
      <c r="J94" s="263"/>
      <c r="K94" s="263"/>
      <c r="L94" s="263"/>
      <c r="M94" s="263"/>
      <c r="N94" s="263"/>
      <c r="O94" s="263"/>
      <c r="P94" s="263"/>
      <c r="Q94" s="263"/>
      <c r="R94" s="263"/>
      <c r="S94" s="263"/>
      <c r="T94" s="263"/>
      <c r="U94" s="263"/>
      <c r="V94" s="263"/>
      <c r="W94" s="263"/>
      <c r="X94" s="263"/>
      <c r="Y94" s="263"/>
      <c r="Z94" s="263"/>
    </row>
    <row r="95">
      <c r="A95" s="263"/>
      <c r="B95" s="263"/>
      <c r="C95" s="263"/>
      <c r="D95" s="263"/>
      <c r="E95" s="263"/>
      <c r="F95" s="263"/>
      <c r="G95" s="263"/>
      <c r="H95" s="263"/>
      <c r="I95" s="263"/>
      <c r="J95" s="263"/>
      <c r="K95" s="263"/>
      <c r="L95" s="263"/>
      <c r="M95" s="263"/>
      <c r="N95" s="263"/>
      <c r="O95" s="263"/>
      <c r="P95" s="263"/>
      <c r="Q95" s="263"/>
      <c r="R95" s="263"/>
      <c r="S95" s="263"/>
      <c r="T95" s="263"/>
      <c r="U95" s="263"/>
      <c r="V95" s="263"/>
      <c r="W95" s="263"/>
      <c r="X95" s="263"/>
      <c r="Y95" s="263"/>
      <c r="Z95" s="263"/>
    </row>
    <row r="96">
      <c r="A96" s="263"/>
      <c r="B96" s="263"/>
      <c r="C96" s="263"/>
      <c r="D96" s="263"/>
      <c r="E96" s="263"/>
      <c r="F96" s="263"/>
      <c r="G96" s="263"/>
      <c r="H96" s="263"/>
      <c r="I96" s="263"/>
      <c r="J96" s="263"/>
      <c r="K96" s="263"/>
      <c r="L96" s="263"/>
      <c r="M96" s="263"/>
      <c r="N96" s="263"/>
      <c r="O96" s="263"/>
      <c r="P96" s="263"/>
      <c r="Q96" s="263"/>
      <c r="R96" s="263"/>
      <c r="S96" s="263"/>
      <c r="T96" s="263"/>
      <c r="U96" s="263"/>
      <c r="V96" s="263"/>
      <c r="W96" s="263"/>
      <c r="X96" s="263"/>
      <c r="Y96" s="263"/>
      <c r="Z96" s="263"/>
    </row>
    <row r="97">
      <c r="A97" s="263"/>
      <c r="B97" s="263"/>
      <c r="C97" s="263"/>
      <c r="D97" s="263"/>
      <c r="E97" s="263"/>
      <c r="F97" s="263"/>
      <c r="G97" s="263"/>
      <c r="H97" s="263"/>
      <c r="I97" s="263"/>
      <c r="J97" s="263"/>
      <c r="K97" s="263"/>
      <c r="L97" s="263"/>
      <c r="M97" s="263"/>
      <c r="N97" s="263"/>
      <c r="O97" s="263"/>
      <c r="P97" s="263"/>
      <c r="Q97" s="263"/>
      <c r="R97" s="263"/>
      <c r="S97" s="263"/>
      <c r="T97" s="263"/>
      <c r="U97" s="263"/>
      <c r="V97" s="263"/>
      <c r="W97" s="263"/>
      <c r="X97" s="263"/>
      <c r="Y97" s="263"/>
      <c r="Z97" s="263"/>
    </row>
    <row r="98">
      <c r="A98" s="263"/>
      <c r="B98" s="263"/>
      <c r="C98" s="263"/>
      <c r="D98" s="263"/>
      <c r="E98" s="263"/>
      <c r="F98" s="263"/>
      <c r="G98" s="263"/>
      <c r="H98" s="263"/>
      <c r="I98" s="263"/>
      <c r="J98" s="263"/>
      <c r="K98" s="263"/>
      <c r="L98" s="263"/>
      <c r="M98" s="263"/>
      <c r="N98" s="263"/>
      <c r="O98" s="263"/>
      <c r="P98" s="263"/>
      <c r="Q98" s="263"/>
      <c r="R98" s="263"/>
      <c r="S98" s="263"/>
      <c r="T98" s="263"/>
      <c r="U98" s="263"/>
      <c r="V98" s="263"/>
      <c r="W98" s="263"/>
      <c r="X98" s="263"/>
      <c r="Y98" s="263"/>
      <c r="Z98" s="263"/>
    </row>
    <row r="99">
      <c r="A99" s="263"/>
      <c r="B99" s="263"/>
      <c r="C99" s="263"/>
      <c r="D99" s="263"/>
      <c r="E99" s="263"/>
      <c r="F99" s="263"/>
      <c r="G99" s="263"/>
      <c r="H99" s="263"/>
      <c r="I99" s="263"/>
      <c r="J99" s="263"/>
      <c r="K99" s="263"/>
      <c r="L99" s="263"/>
      <c r="M99" s="263"/>
      <c r="N99" s="263"/>
      <c r="O99" s="263"/>
      <c r="P99" s="263"/>
      <c r="Q99" s="263"/>
      <c r="R99" s="263"/>
      <c r="S99" s="263"/>
      <c r="T99" s="263"/>
      <c r="U99" s="263"/>
      <c r="V99" s="263"/>
      <c r="W99" s="263"/>
      <c r="X99" s="263"/>
      <c r="Y99" s="263"/>
      <c r="Z99" s="263"/>
    </row>
    <row r="100">
      <c r="A100" s="263"/>
      <c r="B100" s="263"/>
      <c r="C100" s="263"/>
      <c r="D100" s="263"/>
      <c r="E100" s="263"/>
      <c r="F100" s="263"/>
      <c r="G100" s="263"/>
      <c r="H100" s="263"/>
      <c r="I100" s="263"/>
      <c r="J100" s="263"/>
      <c r="K100" s="263"/>
      <c r="L100" s="263"/>
      <c r="M100" s="263"/>
      <c r="N100" s="263"/>
      <c r="O100" s="263"/>
      <c r="P100" s="263"/>
      <c r="Q100" s="263"/>
      <c r="R100" s="263"/>
      <c r="S100" s="263"/>
      <c r="T100" s="263"/>
      <c r="U100" s="263"/>
      <c r="V100" s="263"/>
      <c r="W100" s="263"/>
      <c r="X100" s="263"/>
      <c r="Y100" s="263"/>
      <c r="Z100" s="263"/>
    </row>
    <row r="101">
      <c r="A101" s="263"/>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263"/>
      <c r="Z101" s="263"/>
    </row>
    <row r="102">
      <c r="A102" s="263"/>
      <c r="B102" s="263"/>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263"/>
      <c r="Z102" s="263"/>
    </row>
    <row r="103">
      <c r="A103" s="263"/>
      <c r="B103" s="263"/>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263"/>
      <c r="Z103" s="263"/>
    </row>
    <row r="104">
      <c r="A104" s="263"/>
      <c r="B104" s="263"/>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263"/>
      <c r="Z104" s="263"/>
    </row>
    <row r="105">
      <c r="A105" s="263"/>
      <c r="B105" s="263"/>
      <c r="C105" s="263"/>
      <c r="D105" s="263"/>
      <c r="E105" s="263"/>
      <c r="F105" s="263"/>
      <c r="G105" s="263"/>
      <c r="H105" s="263"/>
      <c r="I105" s="263"/>
      <c r="J105" s="263"/>
      <c r="K105" s="263"/>
      <c r="L105" s="263"/>
      <c r="M105" s="263"/>
      <c r="N105" s="263"/>
      <c r="O105" s="263"/>
      <c r="P105" s="263"/>
      <c r="Q105" s="263"/>
      <c r="R105" s="263"/>
      <c r="S105" s="263"/>
      <c r="T105" s="263"/>
      <c r="U105" s="263"/>
      <c r="V105" s="263"/>
      <c r="W105" s="263"/>
      <c r="X105" s="263"/>
      <c r="Y105" s="263"/>
      <c r="Z105" s="263"/>
    </row>
    <row r="106">
      <c r="A106" s="263"/>
      <c r="B106" s="263"/>
      <c r="C106" s="263"/>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263"/>
      <c r="Z106" s="263"/>
    </row>
    <row r="107">
      <c r="A107" s="263"/>
      <c r="B107" s="263"/>
      <c r="C107" s="263"/>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263"/>
      <c r="Z107" s="263"/>
    </row>
    <row r="108">
      <c r="A108" s="263"/>
      <c r="B108" s="263"/>
      <c r="C108" s="263"/>
      <c r="D108" s="263"/>
      <c r="E108" s="263"/>
      <c r="F108" s="263"/>
      <c r="G108" s="263"/>
      <c r="H108" s="263"/>
      <c r="I108" s="263"/>
      <c r="J108" s="263"/>
      <c r="K108" s="263"/>
      <c r="L108" s="263"/>
      <c r="M108" s="263"/>
      <c r="N108" s="263"/>
      <c r="O108" s="263"/>
      <c r="P108" s="263"/>
      <c r="Q108" s="263"/>
      <c r="R108" s="263"/>
      <c r="S108" s="263"/>
      <c r="T108" s="263"/>
      <c r="U108" s="263"/>
      <c r="V108" s="263"/>
      <c r="W108" s="263"/>
      <c r="X108" s="263"/>
      <c r="Y108" s="263"/>
      <c r="Z108" s="263"/>
    </row>
    <row r="109">
      <c r="A109" s="263"/>
      <c r="B109" s="263"/>
      <c r="C109" s="263"/>
      <c r="D109" s="263"/>
      <c r="E109" s="263"/>
      <c r="F109" s="263"/>
      <c r="G109" s="263"/>
      <c r="H109" s="263"/>
      <c r="I109" s="263"/>
      <c r="J109" s="263"/>
      <c r="K109" s="263"/>
      <c r="L109" s="263"/>
      <c r="M109" s="263"/>
      <c r="N109" s="263"/>
      <c r="O109" s="263"/>
      <c r="P109" s="263"/>
      <c r="Q109" s="263"/>
      <c r="R109" s="263"/>
      <c r="S109" s="263"/>
      <c r="T109" s="263"/>
      <c r="U109" s="263"/>
      <c r="V109" s="263"/>
      <c r="W109" s="263"/>
      <c r="X109" s="263"/>
      <c r="Y109" s="263"/>
      <c r="Z109" s="263"/>
    </row>
    <row r="110">
      <c r="A110" s="263"/>
      <c r="B110" s="263"/>
      <c r="C110" s="263"/>
      <c r="D110" s="263"/>
      <c r="E110" s="263"/>
      <c r="F110" s="263"/>
      <c r="G110" s="263"/>
      <c r="H110" s="263"/>
      <c r="I110" s="263"/>
      <c r="J110" s="263"/>
      <c r="K110" s="263"/>
      <c r="L110" s="263"/>
      <c r="M110" s="263"/>
      <c r="N110" s="263"/>
      <c r="O110" s="263"/>
      <c r="P110" s="263"/>
      <c r="Q110" s="263"/>
      <c r="R110" s="263"/>
      <c r="S110" s="263"/>
      <c r="T110" s="263"/>
      <c r="U110" s="263"/>
      <c r="V110" s="263"/>
      <c r="W110" s="263"/>
      <c r="X110" s="263"/>
      <c r="Y110" s="263"/>
      <c r="Z110" s="263"/>
    </row>
    <row r="111">
      <c r="A111" s="263"/>
      <c r="B111" s="263"/>
      <c r="C111" s="263"/>
      <c r="D111" s="263"/>
      <c r="E111" s="263"/>
      <c r="F111" s="263"/>
      <c r="G111" s="263"/>
      <c r="H111" s="263"/>
      <c r="I111" s="263"/>
      <c r="J111" s="263"/>
      <c r="K111" s="263"/>
      <c r="L111" s="263"/>
      <c r="M111" s="263"/>
      <c r="N111" s="263"/>
      <c r="O111" s="263"/>
      <c r="P111" s="263"/>
      <c r="Q111" s="263"/>
      <c r="R111" s="263"/>
      <c r="S111" s="263"/>
      <c r="T111" s="263"/>
      <c r="U111" s="263"/>
      <c r="V111" s="263"/>
      <c r="W111" s="263"/>
      <c r="X111" s="263"/>
      <c r="Y111" s="263"/>
      <c r="Z111" s="263"/>
    </row>
    <row r="112">
      <c r="A112" s="263"/>
      <c r="B112" s="263"/>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263"/>
      <c r="Z112" s="263"/>
    </row>
    <row r="113">
      <c r="A113" s="263"/>
      <c r="B113" s="263"/>
      <c r="C113" s="263"/>
      <c r="D113" s="263"/>
      <c r="E113" s="263"/>
      <c r="F113" s="263"/>
      <c r="G113" s="263"/>
      <c r="H113" s="263"/>
      <c r="I113" s="263"/>
      <c r="J113" s="263"/>
      <c r="K113" s="263"/>
      <c r="L113" s="263"/>
      <c r="M113" s="263"/>
      <c r="N113" s="263"/>
      <c r="O113" s="263"/>
      <c r="P113" s="263"/>
      <c r="Q113" s="263"/>
      <c r="R113" s="263"/>
      <c r="S113" s="263"/>
      <c r="T113" s="263"/>
      <c r="U113" s="263"/>
      <c r="V113" s="263"/>
      <c r="W113" s="263"/>
      <c r="X113" s="263"/>
      <c r="Y113" s="263"/>
      <c r="Z113" s="263"/>
    </row>
    <row r="114">
      <c r="A114" s="263"/>
      <c r="B114" s="263"/>
      <c r="C114" s="263"/>
      <c r="D114" s="263"/>
      <c r="E114" s="263"/>
      <c r="F114" s="263"/>
      <c r="G114" s="263"/>
      <c r="H114" s="263"/>
      <c r="I114" s="263"/>
      <c r="J114" s="263"/>
      <c r="K114" s="263"/>
      <c r="L114" s="263"/>
      <c r="M114" s="263"/>
      <c r="N114" s="263"/>
      <c r="O114" s="263"/>
      <c r="P114" s="263"/>
      <c r="Q114" s="263"/>
      <c r="R114" s="263"/>
      <c r="S114" s="263"/>
      <c r="T114" s="263"/>
      <c r="U114" s="263"/>
      <c r="V114" s="263"/>
      <c r="W114" s="263"/>
      <c r="X114" s="263"/>
      <c r="Y114" s="263"/>
      <c r="Z114" s="263"/>
    </row>
    <row r="115">
      <c r="A115" s="263"/>
      <c r="B115" s="263"/>
      <c r="C115" s="263"/>
      <c r="D115" s="263"/>
      <c r="E115" s="263"/>
      <c r="F115" s="263"/>
      <c r="G115" s="263"/>
      <c r="H115" s="263"/>
      <c r="I115" s="263"/>
      <c r="J115" s="263"/>
      <c r="K115" s="263"/>
      <c r="L115" s="263"/>
      <c r="M115" s="263"/>
      <c r="N115" s="263"/>
      <c r="O115" s="263"/>
      <c r="P115" s="263"/>
      <c r="Q115" s="263"/>
      <c r="R115" s="263"/>
      <c r="S115" s="263"/>
      <c r="T115" s="263"/>
      <c r="U115" s="263"/>
      <c r="V115" s="263"/>
      <c r="W115" s="263"/>
      <c r="X115" s="263"/>
      <c r="Y115" s="263"/>
      <c r="Z115" s="263"/>
    </row>
    <row r="116">
      <c r="A116" s="263"/>
      <c r="B116" s="263"/>
      <c r="C116" s="263"/>
      <c r="D116" s="263"/>
      <c r="E116" s="263"/>
      <c r="F116" s="263"/>
      <c r="G116" s="263"/>
      <c r="H116" s="263"/>
      <c r="I116" s="263"/>
      <c r="J116" s="263"/>
      <c r="K116" s="263"/>
      <c r="L116" s="263"/>
      <c r="M116" s="263"/>
      <c r="N116" s="263"/>
      <c r="O116" s="263"/>
      <c r="P116" s="263"/>
      <c r="Q116" s="263"/>
      <c r="R116" s="263"/>
      <c r="S116" s="263"/>
      <c r="T116" s="263"/>
      <c r="U116" s="263"/>
      <c r="V116" s="263"/>
      <c r="W116" s="263"/>
      <c r="X116" s="263"/>
      <c r="Y116" s="263"/>
      <c r="Z116" s="263"/>
    </row>
    <row r="117">
      <c r="A117" s="263"/>
      <c r="B117" s="263"/>
      <c r="C117" s="263"/>
      <c r="D117" s="263"/>
      <c r="E117" s="263"/>
      <c r="F117" s="263"/>
      <c r="G117" s="263"/>
      <c r="H117" s="263"/>
      <c r="I117" s="263"/>
      <c r="J117" s="263"/>
      <c r="K117" s="263"/>
      <c r="L117" s="263"/>
      <c r="M117" s="263"/>
      <c r="N117" s="263"/>
      <c r="O117" s="263"/>
      <c r="P117" s="263"/>
      <c r="Q117" s="263"/>
      <c r="R117" s="263"/>
      <c r="S117" s="263"/>
      <c r="T117" s="263"/>
      <c r="U117" s="263"/>
      <c r="V117" s="263"/>
      <c r="W117" s="263"/>
      <c r="X117" s="263"/>
      <c r="Y117" s="263"/>
      <c r="Z117" s="263"/>
    </row>
    <row r="118">
      <c r="A118" s="263"/>
      <c r="B118" s="263"/>
      <c r="C118" s="263"/>
      <c r="D118" s="263"/>
      <c r="E118" s="263"/>
      <c r="F118" s="263"/>
      <c r="G118" s="263"/>
      <c r="H118" s="263"/>
      <c r="I118" s="263"/>
      <c r="J118" s="263"/>
      <c r="K118" s="263"/>
      <c r="L118" s="263"/>
      <c r="M118" s="263"/>
      <c r="N118" s="263"/>
      <c r="O118" s="263"/>
      <c r="P118" s="263"/>
      <c r="Q118" s="263"/>
      <c r="R118" s="263"/>
      <c r="S118" s="263"/>
      <c r="T118" s="263"/>
      <c r="U118" s="263"/>
      <c r="V118" s="263"/>
      <c r="W118" s="263"/>
      <c r="X118" s="263"/>
      <c r="Y118" s="263"/>
      <c r="Z118" s="263"/>
    </row>
    <row r="119">
      <c r="A119" s="263"/>
      <c r="B119" s="263"/>
      <c r="C119" s="263"/>
      <c r="D119" s="263"/>
      <c r="E119" s="263"/>
      <c r="F119" s="263"/>
      <c r="G119" s="263"/>
      <c r="H119" s="263"/>
      <c r="I119" s="263"/>
      <c r="J119" s="263"/>
      <c r="K119" s="263"/>
      <c r="L119" s="263"/>
      <c r="M119" s="263"/>
      <c r="N119" s="263"/>
      <c r="O119" s="263"/>
      <c r="P119" s="263"/>
      <c r="Q119" s="263"/>
      <c r="R119" s="263"/>
      <c r="S119" s="263"/>
      <c r="T119" s="263"/>
      <c r="U119" s="263"/>
      <c r="V119" s="263"/>
      <c r="W119" s="263"/>
      <c r="X119" s="263"/>
      <c r="Y119" s="263"/>
      <c r="Z119" s="263"/>
    </row>
    <row r="120">
      <c r="A120" s="263"/>
      <c r="B120" s="263"/>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263"/>
      <c r="Z120" s="263"/>
    </row>
    <row r="121">
      <c r="A121" s="263"/>
      <c r="B121" s="263"/>
      <c r="C121" s="263"/>
      <c r="D121" s="263"/>
      <c r="E121" s="263"/>
      <c r="F121" s="263"/>
      <c r="G121" s="263"/>
      <c r="H121" s="263"/>
      <c r="I121" s="263"/>
      <c r="J121" s="263"/>
      <c r="K121" s="263"/>
      <c r="L121" s="263"/>
      <c r="M121" s="263"/>
      <c r="N121" s="263"/>
      <c r="O121" s="263"/>
      <c r="P121" s="263"/>
      <c r="Q121" s="263"/>
      <c r="R121" s="263"/>
      <c r="S121" s="263"/>
      <c r="T121" s="263"/>
      <c r="U121" s="263"/>
      <c r="V121" s="263"/>
      <c r="W121" s="263"/>
      <c r="X121" s="263"/>
      <c r="Y121" s="263"/>
      <c r="Z121" s="263"/>
    </row>
    <row r="122">
      <c r="A122" s="263"/>
      <c r="B122" s="263"/>
      <c r="C122" s="263"/>
      <c r="D122" s="263"/>
      <c r="E122" s="263"/>
      <c r="F122" s="263"/>
      <c r="G122" s="263"/>
      <c r="H122" s="263"/>
      <c r="I122" s="263"/>
      <c r="J122" s="263"/>
      <c r="K122" s="263"/>
      <c r="L122" s="263"/>
      <c r="M122" s="263"/>
      <c r="N122" s="263"/>
      <c r="O122" s="263"/>
      <c r="P122" s="263"/>
      <c r="Q122" s="263"/>
      <c r="R122" s="263"/>
      <c r="S122" s="263"/>
      <c r="T122" s="263"/>
      <c r="U122" s="263"/>
      <c r="V122" s="263"/>
      <c r="W122" s="263"/>
      <c r="X122" s="263"/>
      <c r="Y122" s="263"/>
      <c r="Z122" s="263"/>
    </row>
    <row r="123">
      <c r="A123" s="263"/>
      <c r="B123" s="263"/>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263"/>
      <c r="Z123" s="263"/>
    </row>
    <row r="124">
      <c r="A124" s="263"/>
      <c r="B124" s="263"/>
      <c r="C124" s="263"/>
      <c r="D124" s="263"/>
      <c r="E124" s="263"/>
      <c r="F124" s="263"/>
      <c r="G124" s="263"/>
      <c r="H124" s="263"/>
      <c r="I124" s="263"/>
      <c r="J124" s="263"/>
      <c r="K124" s="263"/>
      <c r="L124" s="263"/>
      <c r="M124" s="263"/>
      <c r="N124" s="263"/>
      <c r="O124" s="263"/>
      <c r="P124" s="263"/>
      <c r="Q124" s="263"/>
      <c r="R124" s="263"/>
      <c r="S124" s="263"/>
      <c r="T124" s="263"/>
      <c r="U124" s="263"/>
      <c r="V124" s="263"/>
      <c r="W124" s="263"/>
      <c r="X124" s="263"/>
      <c r="Y124" s="263"/>
      <c r="Z124" s="263"/>
    </row>
    <row r="125">
      <c r="A125" s="263"/>
      <c r="B125" s="263"/>
      <c r="C125" s="263"/>
      <c r="D125" s="263"/>
      <c r="E125" s="263"/>
      <c r="F125" s="263"/>
      <c r="G125" s="263"/>
      <c r="H125" s="263"/>
      <c r="I125" s="263"/>
      <c r="J125" s="263"/>
      <c r="K125" s="263"/>
      <c r="L125" s="263"/>
      <c r="M125" s="263"/>
      <c r="N125" s="263"/>
      <c r="O125" s="263"/>
      <c r="P125" s="263"/>
      <c r="Q125" s="263"/>
      <c r="R125" s="263"/>
      <c r="S125" s="263"/>
      <c r="T125" s="263"/>
      <c r="U125" s="263"/>
      <c r="V125" s="263"/>
      <c r="W125" s="263"/>
      <c r="X125" s="263"/>
      <c r="Y125" s="263"/>
      <c r="Z125" s="263"/>
    </row>
    <row r="126">
      <c r="A126" s="263"/>
      <c r="B126" s="263"/>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263"/>
      <c r="Z126" s="263"/>
    </row>
    <row r="127">
      <c r="A127" s="263"/>
      <c r="B127" s="263"/>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263"/>
      <c r="Z127" s="263"/>
    </row>
    <row r="128">
      <c r="A128" s="263"/>
      <c r="B128" s="263"/>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263"/>
      <c r="Z128" s="263"/>
    </row>
    <row r="129">
      <c r="A129" s="263"/>
      <c r="B129" s="263"/>
      <c r="C129" s="263"/>
      <c r="D129" s="263"/>
      <c r="E129" s="263"/>
      <c r="F129" s="263"/>
      <c r="G129" s="263"/>
      <c r="H129" s="263"/>
      <c r="I129" s="263"/>
      <c r="J129" s="263"/>
      <c r="K129" s="263"/>
      <c r="L129" s="263"/>
      <c r="M129" s="263"/>
      <c r="N129" s="263"/>
      <c r="O129" s="263"/>
      <c r="P129" s="263"/>
      <c r="Q129" s="263"/>
      <c r="R129" s="263"/>
      <c r="S129" s="263"/>
      <c r="T129" s="263"/>
      <c r="U129" s="263"/>
      <c r="V129" s="263"/>
      <c r="W129" s="263"/>
      <c r="X129" s="263"/>
      <c r="Y129" s="263"/>
      <c r="Z129" s="263"/>
    </row>
    <row r="130">
      <c r="A130" s="263"/>
      <c r="B130" s="263"/>
      <c r="C130" s="263"/>
      <c r="D130" s="263"/>
      <c r="E130" s="263"/>
      <c r="F130" s="263"/>
      <c r="G130" s="263"/>
      <c r="H130" s="263"/>
      <c r="I130" s="263"/>
      <c r="J130" s="263"/>
      <c r="K130" s="263"/>
      <c r="L130" s="263"/>
      <c r="M130" s="263"/>
      <c r="N130" s="263"/>
      <c r="O130" s="263"/>
      <c r="P130" s="263"/>
      <c r="Q130" s="263"/>
      <c r="R130" s="263"/>
      <c r="S130" s="263"/>
      <c r="T130" s="263"/>
      <c r="U130" s="263"/>
      <c r="V130" s="263"/>
      <c r="W130" s="263"/>
      <c r="X130" s="263"/>
      <c r="Y130" s="263"/>
      <c r="Z130" s="263"/>
    </row>
    <row r="131">
      <c r="A131" s="263"/>
      <c r="B131" s="263"/>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263"/>
      <c r="Z131" s="263"/>
    </row>
    <row r="132">
      <c r="A132" s="263"/>
      <c r="B132" s="263"/>
      <c r="C132" s="263"/>
      <c r="D132" s="263"/>
      <c r="E132" s="263"/>
      <c r="F132" s="263"/>
      <c r="G132" s="263"/>
      <c r="H132" s="263"/>
      <c r="I132" s="263"/>
      <c r="J132" s="263"/>
      <c r="K132" s="263"/>
      <c r="L132" s="263"/>
      <c r="M132" s="263"/>
      <c r="N132" s="263"/>
      <c r="O132" s="263"/>
      <c r="P132" s="263"/>
      <c r="Q132" s="263"/>
      <c r="R132" s="263"/>
      <c r="S132" s="263"/>
      <c r="T132" s="263"/>
      <c r="U132" s="263"/>
      <c r="V132" s="263"/>
      <c r="W132" s="263"/>
      <c r="X132" s="263"/>
      <c r="Y132" s="263"/>
      <c r="Z132" s="263"/>
    </row>
    <row r="133">
      <c r="A133" s="263"/>
      <c r="B133" s="263"/>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263"/>
      <c r="Z133" s="263"/>
    </row>
    <row r="134">
      <c r="A134" s="263"/>
      <c r="B134" s="263"/>
      <c r="C134" s="263"/>
      <c r="D134" s="263"/>
      <c r="E134" s="263"/>
      <c r="F134" s="263"/>
      <c r="G134" s="263"/>
      <c r="H134" s="263"/>
      <c r="I134" s="263"/>
      <c r="J134" s="263"/>
      <c r="K134" s="263"/>
      <c r="L134" s="263"/>
      <c r="M134" s="263"/>
      <c r="N134" s="263"/>
      <c r="O134" s="263"/>
      <c r="P134" s="263"/>
      <c r="Q134" s="263"/>
      <c r="R134" s="263"/>
      <c r="S134" s="263"/>
      <c r="T134" s="263"/>
      <c r="U134" s="263"/>
      <c r="V134" s="263"/>
      <c r="W134" s="263"/>
      <c r="X134" s="263"/>
      <c r="Y134" s="263"/>
      <c r="Z134" s="263"/>
    </row>
    <row r="135">
      <c r="A135" s="263"/>
      <c r="B135" s="263"/>
      <c r="C135" s="263"/>
      <c r="D135" s="263"/>
      <c r="E135" s="263"/>
      <c r="F135" s="263"/>
      <c r="G135" s="263"/>
      <c r="H135" s="263"/>
      <c r="I135" s="263"/>
      <c r="J135" s="263"/>
      <c r="K135" s="263"/>
      <c r="L135" s="263"/>
      <c r="M135" s="263"/>
      <c r="N135" s="263"/>
      <c r="O135" s="263"/>
      <c r="P135" s="263"/>
      <c r="Q135" s="263"/>
      <c r="R135" s="263"/>
      <c r="S135" s="263"/>
      <c r="T135" s="263"/>
      <c r="U135" s="263"/>
      <c r="V135" s="263"/>
      <c r="W135" s="263"/>
      <c r="X135" s="263"/>
      <c r="Y135" s="263"/>
      <c r="Z135" s="263"/>
    </row>
    <row r="136">
      <c r="A136" s="263"/>
      <c r="B136" s="263"/>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263"/>
      <c r="Z136" s="263"/>
    </row>
    <row r="137">
      <c r="A137" s="263"/>
      <c r="B137" s="263"/>
      <c r="C137" s="263"/>
      <c r="D137" s="263"/>
      <c r="E137" s="263"/>
      <c r="F137" s="263"/>
      <c r="G137" s="263"/>
      <c r="H137" s="263"/>
      <c r="I137" s="263"/>
      <c r="J137" s="263"/>
      <c r="K137" s="263"/>
      <c r="L137" s="263"/>
      <c r="M137" s="263"/>
      <c r="N137" s="263"/>
      <c r="O137" s="263"/>
      <c r="P137" s="263"/>
      <c r="Q137" s="263"/>
      <c r="R137" s="263"/>
      <c r="S137" s="263"/>
      <c r="T137" s="263"/>
      <c r="U137" s="263"/>
      <c r="V137" s="263"/>
      <c r="W137" s="263"/>
      <c r="X137" s="263"/>
      <c r="Y137" s="263"/>
      <c r="Z137" s="263"/>
    </row>
    <row r="138">
      <c r="A138" s="263"/>
      <c r="B138" s="263"/>
      <c r="C138" s="263"/>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263"/>
      <c r="Z138" s="263"/>
    </row>
    <row r="139">
      <c r="A139" s="263"/>
      <c r="B139" s="263"/>
      <c r="C139" s="263"/>
      <c r="D139" s="263"/>
      <c r="E139" s="263"/>
      <c r="F139" s="263"/>
      <c r="G139" s="263"/>
      <c r="H139" s="263"/>
      <c r="I139" s="263"/>
      <c r="J139" s="263"/>
      <c r="K139" s="263"/>
      <c r="L139" s="263"/>
      <c r="M139" s="263"/>
      <c r="N139" s="263"/>
      <c r="O139" s="263"/>
      <c r="P139" s="263"/>
      <c r="Q139" s="263"/>
      <c r="R139" s="263"/>
      <c r="S139" s="263"/>
      <c r="T139" s="263"/>
      <c r="U139" s="263"/>
      <c r="V139" s="263"/>
      <c r="W139" s="263"/>
      <c r="X139" s="263"/>
      <c r="Y139" s="263"/>
      <c r="Z139" s="263"/>
    </row>
    <row r="140">
      <c r="A140" s="263"/>
      <c r="B140" s="263"/>
      <c r="C140" s="263"/>
      <c r="D140" s="263"/>
      <c r="E140" s="263"/>
      <c r="F140" s="263"/>
      <c r="G140" s="263"/>
      <c r="H140" s="263"/>
      <c r="I140" s="263"/>
      <c r="J140" s="263"/>
      <c r="K140" s="263"/>
      <c r="L140" s="263"/>
      <c r="M140" s="263"/>
      <c r="N140" s="263"/>
      <c r="O140" s="263"/>
      <c r="P140" s="263"/>
      <c r="Q140" s="263"/>
      <c r="R140" s="263"/>
      <c r="S140" s="263"/>
      <c r="T140" s="263"/>
      <c r="U140" s="263"/>
      <c r="V140" s="263"/>
      <c r="W140" s="263"/>
      <c r="X140" s="263"/>
      <c r="Y140" s="263"/>
      <c r="Z140" s="263"/>
    </row>
    <row r="141">
      <c r="A141" s="263"/>
      <c r="B141" s="263"/>
      <c r="C141" s="263"/>
      <c r="D141" s="263"/>
      <c r="E141" s="263"/>
      <c r="F141" s="263"/>
      <c r="G141" s="263"/>
      <c r="H141" s="263"/>
      <c r="I141" s="263"/>
      <c r="J141" s="263"/>
      <c r="K141" s="263"/>
      <c r="L141" s="263"/>
      <c r="M141" s="263"/>
      <c r="N141" s="263"/>
      <c r="O141" s="263"/>
      <c r="P141" s="263"/>
      <c r="Q141" s="263"/>
      <c r="R141" s="263"/>
      <c r="S141" s="263"/>
      <c r="T141" s="263"/>
      <c r="U141" s="263"/>
      <c r="V141" s="263"/>
      <c r="W141" s="263"/>
      <c r="X141" s="263"/>
      <c r="Y141" s="263"/>
      <c r="Z141" s="263"/>
    </row>
    <row r="142">
      <c r="A142" s="263"/>
      <c r="B142" s="263"/>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263"/>
      <c r="Z142" s="263"/>
    </row>
    <row r="143">
      <c r="A143" s="263"/>
      <c r="B143" s="263"/>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3"/>
    </row>
    <row r="144">
      <c r="A144" s="263"/>
      <c r="B144" s="263"/>
      <c r="C144" s="263"/>
      <c r="D144" s="263"/>
      <c r="E144" s="263"/>
      <c r="F144" s="263"/>
      <c r="G144" s="263"/>
      <c r="H144" s="263"/>
      <c r="I144" s="263"/>
      <c r="J144" s="263"/>
      <c r="K144" s="263"/>
      <c r="L144" s="263"/>
      <c r="M144" s="263"/>
      <c r="N144" s="263"/>
      <c r="O144" s="263"/>
      <c r="P144" s="263"/>
      <c r="Q144" s="263"/>
      <c r="R144" s="263"/>
      <c r="S144" s="263"/>
      <c r="T144" s="263"/>
      <c r="U144" s="263"/>
      <c r="V144" s="263"/>
      <c r="W144" s="263"/>
      <c r="X144" s="263"/>
      <c r="Y144" s="263"/>
      <c r="Z144" s="263"/>
    </row>
    <row r="145">
      <c r="A145" s="263"/>
      <c r="B145" s="263"/>
      <c r="C145" s="263"/>
      <c r="D145" s="263"/>
      <c r="E145" s="263"/>
      <c r="F145" s="263"/>
      <c r="G145" s="263"/>
      <c r="H145" s="263"/>
      <c r="I145" s="263"/>
      <c r="J145" s="263"/>
      <c r="K145" s="263"/>
      <c r="L145" s="263"/>
      <c r="M145" s="263"/>
      <c r="N145" s="263"/>
      <c r="O145" s="263"/>
      <c r="P145" s="263"/>
      <c r="Q145" s="263"/>
      <c r="R145" s="263"/>
      <c r="S145" s="263"/>
      <c r="T145" s="263"/>
      <c r="U145" s="263"/>
      <c r="V145" s="263"/>
      <c r="W145" s="263"/>
      <c r="X145" s="263"/>
      <c r="Y145" s="263"/>
      <c r="Z145" s="263"/>
    </row>
    <row r="146">
      <c r="A146" s="263"/>
      <c r="B146" s="263"/>
      <c r="C146" s="263"/>
      <c r="D146" s="263"/>
      <c r="E146" s="263"/>
      <c r="F146" s="263"/>
      <c r="G146" s="263"/>
      <c r="H146" s="263"/>
      <c r="I146" s="263"/>
      <c r="J146" s="263"/>
      <c r="K146" s="263"/>
      <c r="L146" s="263"/>
      <c r="M146" s="263"/>
      <c r="N146" s="263"/>
      <c r="O146" s="263"/>
      <c r="P146" s="263"/>
      <c r="Q146" s="263"/>
      <c r="R146" s="263"/>
      <c r="S146" s="263"/>
      <c r="T146" s="263"/>
      <c r="U146" s="263"/>
      <c r="V146" s="263"/>
      <c r="W146" s="263"/>
      <c r="X146" s="263"/>
      <c r="Y146" s="263"/>
      <c r="Z146" s="263"/>
    </row>
    <row r="147">
      <c r="A147" s="263"/>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263"/>
      <c r="Z147" s="263"/>
    </row>
    <row r="148">
      <c r="A148" s="263"/>
      <c r="B148" s="263"/>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263"/>
      <c r="Z148" s="263"/>
    </row>
    <row r="149">
      <c r="A149" s="263"/>
      <c r="B149" s="263"/>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263"/>
      <c r="Z149" s="263"/>
    </row>
    <row r="150">
      <c r="A150" s="263"/>
      <c r="B150" s="263"/>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63"/>
      <c r="Y150" s="263"/>
      <c r="Z150" s="263"/>
    </row>
    <row r="151">
      <c r="A151" s="263"/>
      <c r="B151" s="263"/>
      <c r="C151" s="263"/>
      <c r="D151" s="263"/>
      <c r="E151" s="263"/>
      <c r="F151" s="263"/>
      <c r="G151" s="263"/>
      <c r="H151" s="263"/>
      <c r="I151" s="263"/>
      <c r="J151" s="263"/>
      <c r="K151" s="263"/>
      <c r="L151" s="263"/>
      <c r="M151" s="263"/>
      <c r="N151" s="263"/>
      <c r="O151" s="263"/>
      <c r="P151" s="263"/>
      <c r="Q151" s="263"/>
      <c r="R151" s="263"/>
      <c r="S151" s="263"/>
      <c r="T151" s="263"/>
      <c r="U151" s="263"/>
      <c r="V151" s="263"/>
      <c r="W151" s="263"/>
      <c r="X151" s="263"/>
      <c r="Y151" s="263"/>
      <c r="Z151" s="263"/>
    </row>
    <row r="152">
      <c r="A152" s="263"/>
      <c r="B152" s="263"/>
      <c r="C152" s="263"/>
      <c r="D152" s="263"/>
      <c r="E152" s="263"/>
      <c r="F152" s="263"/>
      <c r="G152" s="263"/>
      <c r="H152" s="263"/>
      <c r="I152" s="263"/>
      <c r="J152" s="263"/>
      <c r="K152" s="263"/>
      <c r="L152" s="263"/>
      <c r="M152" s="263"/>
      <c r="N152" s="263"/>
      <c r="O152" s="263"/>
      <c r="P152" s="263"/>
      <c r="Q152" s="263"/>
      <c r="R152" s="263"/>
      <c r="S152" s="263"/>
      <c r="T152" s="263"/>
      <c r="U152" s="263"/>
      <c r="V152" s="263"/>
      <c r="W152" s="263"/>
      <c r="X152" s="263"/>
      <c r="Y152" s="263"/>
      <c r="Z152" s="263"/>
    </row>
    <row r="153">
      <c r="A153" s="263"/>
      <c r="B153" s="263"/>
      <c r="C153" s="263"/>
      <c r="D153" s="263"/>
      <c r="E153" s="263"/>
      <c r="F153" s="263"/>
      <c r="G153" s="263"/>
      <c r="H153" s="263"/>
      <c r="I153" s="263"/>
      <c r="J153" s="263"/>
      <c r="K153" s="263"/>
      <c r="L153" s="263"/>
      <c r="M153" s="263"/>
      <c r="N153" s="263"/>
      <c r="O153" s="263"/>
      <c r="P153" s="263"/>
      <c r="Q153" s="263"/>
      <c r="R153" s="263"/>
      <c r="S153" s="263"/>
      <c r="T153" s="263"/>
      <c r="U153" s="263"/>
      <c r="V153" s="263"/>
      <c r="W153" s="263"/>
      <c r="X153" s="263"/>
      <c r="Y153" s="263"/>
      <c r="Z153" s="263"/>
    </row>
    <row r="154">
      <c r="A154" s="263"/>
      <c r="B154" s="263"/>
      <c r="C154" s="263"/>
      <c r="D154" s="263"/>
      <c r="E154" s="263"/>
      <c r="F154" s="263"/>
      <c r="G154" s="263"/>
      <c r="H154" s="263"/>
      <c r="I154" s="263"/>
      <c r="J154" s="263"/>
      <c r="K154" s="263"/>
      <c r="L154" s="263"/>
      <c r="M154" s="263"/>
      <c r="N154" s="263"/>
      <c r="O154" s="263"/>
      <c r="P154" s="263"/>
      <c r="Q154" s="263"/>
      <c r="R154" s="263"/>
      <c r="S154" s="263"/>
      <c r="T154" s="263"/>
      <c r="U154" s="263"/>
      <c r="V154" s="263"/>
      <c r="W154" s="263"/>
      <c r="X154" s="263"/>
      <c r="Y154" s="263"/>
      <c r="Z154" s="263"/>
    </row>
    <row r="155">
      <c r="A155" s="263"/>
      <c r="B155" s="263"/>
      <c r="C155" s="263"/>
      <c r="D155" s="263"/>
      <c r="E155" s="263"/>
      <c r="F155" s="263"/>
      <c r="G155" s="263"/>
      <c r="H155" s="263"/>
      <c r="I155" s="263"/>
      <c r="J155" s="263"/>
      <c r="K155" s="263"/>
      <c r="L155" s="263"/>
      <c r="M155" s="263"/>
      <c r="N155" s="263"/>
      <c r="O155" s="263"/>
      <c r="P155" s="263"/>
      <c r="Q155" s="263"/>
      <c r="R155" s="263"/>
      <c r="S155" s="263"/>
      <c r="T155" s="263"/>
      <c r="U155" s="263"/>
      <c r="V155" s="263"/>
      <c r="W155" s="263"/>
      <c r="X155" s="263"/>
      <c r="Y155" s="263"/>
      <c r="Z155" s="263"/>
    </row>
    <row r="156">
      <c r="A156" s="263"/>
      <c r="B156" s="263"/>
      <c r="C156" s="263"/>
      <c r="D156" s="263"/>
      <c r="E156" s="263"/>
      <c r="F156" s="263"/>
      <c r="G156" s="263"/>
      <c r="H156" s="263"/>
      <c r="I156" s="263"/>
      <c r="J156" s="263"/>
      <c r="K156" s="263"/>
      <c r="L156" s="263"/>
      <c r="M156" s="263"/>
      <c r="N156" s="263"/>
      <c r="O156" s="263"/>
      <c r="P156" s="263"/>
      <c r="Q156" s="263"/>
      <c r="R156" s="263"/>
      <c r="S156" s="263"/>
      <c r="T156" s="263"/>
      <c r="U156" s="263"/>
      <c r="V156" s="263"/>
      <c r="W156" s="263"/>
      <c r="X156" s="263"/>
      <c r="Y156" s="263"/>
      <c r="Z156" s="263"/>
    </row>
    <row r="157">
      <c r="A157" s="263"/>
      <c r="B157" s="263"/>
      <c r="C157" s="263"/>
      <c r="D157" s="263"/>
      <c r="E157" s="263"/>
      <c r="F157" s="263"/>
      <c r="G157" s="263"/>
      <c r="H157" s="263"/>
      <c r="I157" s="263"/>
      <c r="J157" s="263"/>
      <c r="K157" s="263"/>
      <c r="L157" s="263"/>
      <c r="M157" s="263"/>
      <c r="N157" s="263"/>
      <c r="O157" s="263"/>
      <c r="P157" s="263"/>
      <c r="Q157" s="263"/>
      <c r="R157" s="263"/>
      <c r="S157" s="263"/>
      <c r="T157" s="263"/>
      <c r="U157" s="263"/>
      <c r="V157" s="263"/>
      <c r="W157" s="263"/>
      <c r="X157" s="263"/>
      <c r="Y157" s="263"/>
      <c r="Z157" s="263"/>
    </row>
    <row r="158">
      <c r="A158" s="263"/>
      <c r="B158" s="263"/>
      <c r="C158" s="263"/>
      <c r="D158" s="263"/>
      <c r="E158" s="263"/>
      <c r="F158" s="263"/>
      <c r="G158" s="263"/>
      <c r="H158" s="263"/>
      <c r="I158" s="263"/>
      <c r="J158" s="263"/>
      <c r="K158" s="263"/>
      <c r="L158" s="263"/>
      <c r="M158" s="263"/>
      <c r="N158" s="263"/>
      <c r="O158" s="263"/>
      <c r="P158" s="263"/>
      <c r="Q158" s="263"/>
      <c r="R158" s="263"/>
      <c r="S158" s="263"/>
      <c r="T158" s="263"/>
      <c r="U158" s="263"/>
      <c r="V158" s="263"/>
      <c r="W158" s="263"/>
      <c r="X158" s="263"/>
      <c r="Y158" s="263"/>
      <c r="Z158" s="263"/>
    </row>
    <row r="159">
      <c r="A159" s="263"/>
      <c r="B159" s="263"/>
      <c r="C159" s="263"/>
      <c r="D159" s="263"/>
      <c r="E159" s="263"/>
      <c r="F159" s="263"/>
      <c r="G159" s="263"/>
      <c r="H159" s="263"/>
      <c r="I159" s="263"/>
      <c r="J159" s="263"/>
      <c r="K159" s="263"/>
      <c r="L159" s="263"/>
      <c r="M159" s="263"/>
      <c r="N159" s="263"/>
      <c r="O159" s="263"/>
      <c r="P159" s="263"/>
      <c r="Q159" s="263"/>
      <c r="R159" s="263"/>
      <c r="S159" s="263"/>
      <c r="T159" s="263"/>
      <c r="U159" s="263"/>
      <c r="V159" s="263"/>
      <c r="W159" s="263"/>
      <c r="X159" s="263"/>
      <c r="Y159" s="263"/>
      <c r="Z159" s="263"/>
    </row>
    <row r="160">
      <c r="A160" s="263"/>
      <c r="B160" s="263"/>
      <c r="C160" s="263"/>
      <c r="D160" s="263"/>
      <c r="E160" s="263"/>
      <c r="F160" s="263"/>
      <c r="G160" s="263"/>
      <c r="H160" s="263"/>
      <c r="I160" s="263"/>
      <c r="J160" s="263"/>
      <c r="K160" s="263"/>
      <c r="L160" s="263"/>
      <c r="M160" s="263"/>
      <c r="N160" s="263"/>
      <c r="O160" s="263"/>
      <c r="P160" s="263"/>
      <c r="Q160" s="263"/>
      <c r="R160" s="263"/>
      <c r="S160" s="263"/>
      <c r="T160" s="263"/>
      <c r="U160" s="263"/>
      <c r="V160" s="263"/>
      <c r="W160" s="263"/>
      <c r="X160" s="263"/>
      <c r="Y160" s="263"/>
      <c r="Z160" s="263"/>
    </row>
    <row r="161">
      <c r="A161" s="263"/>
      <c r="B161" s="263"/>
      <c r="C161" s="263"/>
      <c r="D161" s="263"/>
      <c r="E161" s="263"/>
      <c r="F161" s="263"/>
      <c r="G161" s="263"/>
      <c r="H161" s="263"/>
      <c r="I161" s="263"/>
      <c r="J161" s="263"/>
      <c r="K161" s="263"/>
      <c r="L161" s="263"/>
      <c r="M161" s="263"/>
      <c r="N161" s="263"/>
      <c r="O161" s="263"/>
      <c r="P161" s="263"/>
      <c r="Q161" s="263"/>
      <c r="R161" s="263"/>
      <c r="S161" s="263"/>
      <c r="T161" s="263"/>
      <c r="U161" s="263"/>
      <c r="V161" s="263"/>
      <c r="W161" s="263"/>
      <c r="X161" s="263"/>
      <c r="Y161" s="263"/>
      <c r="Z161" s="263"/>
    </row>
    <row r="162">
      <c r="A162" s="263"/>
      <c r="B162" s="263"/>
      <c r="C162" s="263"/>
      <c r="D162" s="263"/>
      <c r="E162" s="263"/>
      <c r="F162" s="263"/>
      <c r="G162" s="263"/>
      <c r="H162" s="263"/>
      <c r="I162" s="263"/>
      <c r="J162" s="263"/>
      <c r="K162" s="263"/>
      <c r="L162" s="263"/>
      <c r="M162" s="263"/>
      <c r="N162" s="263"/>
      <c r="O162" s="263"/>
      <c r="P162" s="263"/>
      <c r="Q162" s="263"/>
      <c r="R162" s="263"/>
      <c r="S162" s="263"/>
      <c r="T162" s="263"/>
      <c r="U162" s="263"/>
      <c r="V162" s="263"/>
      <c r="W162" s="263"/>
      <c r="X162" s="263"/>
      <c r="Y162" s="263"/>
      <c r="Z162" s="263"/>
    </row>
    <row r="163">
      <c r="A163" s="263"/>
      <c r="B163" s="263"/>
      <c r="C163" s="263"/>
      <c r="D163" s="263"/>
      <c r="E163" s="263"/>
      <c r="F163" s="263"/>
      <c r="G163" s="263"/>
      <c r="H163" s="263"/>
      <c r="I163" s="263"/>
      <c r="J163" s="263"/>
      <c r="K163" s="263"/>
      <c r="L163" s="263"/>
      <c r="M163" s="263"/>
      <c r="N163" s="263"/>
      <c r="O163" s="263"/>
      <c r="P163" s="263"/>
      <c r="Q163" s="263"/>
      <c r="R163" s="263"/>
      <c r="S163" s="263"/>
      <c r="T163" s="263"/>
      <c r="U163" s="263"/>
      <c r="V163" s="263"/>
      <c r="W163" s="263"/>
      <c r="X163" s="263"/>
      <c r="Y163" s="263"/>
      <c r="Z163" s="263"/>
    </row>
    <row r="164">
      <c r="A164" s="263"/>
      <c r="B164" s="263"/>
      <c r="C164" s="263"/>
      <c r="D164" s="263"/>
      <c r="E164" s="263"/>
      <c r="F164" s="263"/>
      <c r="G164" s="263"/>
      <c r="H164" s="263"/>
      <c r="I164" s="263"/>
      <c r="J164" s="263"/>
      <c r="K164" s="263"/>
      <c r="L164" s="263"/>
      <c r="M164" s="263"/>
      <c r="N164" s="263"/>
      <c r="O164" s="263"/>
      <c r="P164" s="263"/>
      <c r="Q164" s="263"/>
      <c r="R164" s="263"/>
      <c r="S164" s="263"/>
      <c r="T164" s="263"/>
      <c r="U164" s="263"/>
      <c r="V164" s="263"/>
      <c r="W164" s="263"/>
      <c r="X164" s="263"/>
      <c r="Y164" s="263"/>
      <c r="Z164" s="263"/>
    </row>
    <row r="165">
      <c r="A165" s="263"/>
      <c r="B165" s="263"/>
      <c r="C165" s="263"/>
      <c r="D165" s="263"/>
      <c r="E165" s="263"/>
      <c r="F165" s="263"/>
      <c r="G165" s="263"/>
      <c r="H165" s="263"/>
      <c r="I165" s="263"/>
      <c r="J165" s="263"/>
      <c r="K165" s="263"/>
      <c r="L165" s="263"/>
      <c r="M165" s="263"/>
      <c r="N165" s="263"/>
      <c r="O165" s="263"/>
      <c r="P165" s="263"/>
      <c r="Q165" s="263"/>
      <c r="R165" s="263"/>
      <c r="S165" s="263"/>
      <c r="T165" s="263"/>
      <c r="U165" s="263"/>
      <c r="V165" s="263"/>
      <c r="W165" s="263"/>
      <c r="X165" s="263"/>
      <c r="Y165" s="263"/>
      <c r="Z165" s="263"/>
    </row>
    <row r="166">
      <c r="A166" s="263"/>
      <c r="B166" s="263"/>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263"/>
      <c r="Z166" s="263"/>
    </row>
    <row r="167">
      <c r="A167" s="263"/>
      <c r="B167" s="263"/>
      <c r="C167" s="263"/>
      <c r="D167" s="263"/>
      <c r="E167" s="263"/>
      <c r="F167" s="263"/>
      <c r="G167" s="263"/>
      <c r="H167" s="263"/>
      <c r="I167" s="263"/>
      <c r="J167" s="263"/>
      <c r="K167" s="263"/>
      <c r="L167" s="263"/>
      <c r="M167" s="263"/>
      <c r="N167" s="263"/>
      <c r="O167" s="263"/>
      <c r="P167" s="263"/>
      <c r="Q167" s="263"/>
      <c r="R167" s="263"/>
      <c r="S167" s="263"/>
      <c r="T167" s="263"/>
      <c r="U167" s="263"/>
      <c r="V167" s="263"/>
      <c r="W167" s="263"/>
      <c r="X167" s="263"/>
      <c r="Y167" s="263"/>
      <c r="Z167" s="263"/>
    </row>
    <row r="168">
      <c r="A168" s="263"/>
      <c r="B168" s="263"/>
      <c r="C168" s="263"/>
      <c r="D168" s="263"/>
      <c r="E168" s="263"/>
      <c r="F168" s="263"/>
      <c r="G168" s="263"/>
      <c r="H168" s="263"/>
      <c r="I168" s="263"/>
      <c r="J168" s="263"/>
      <c r="K168" s="263"/>
      <c r="L168" s="263"/>
      <c r="M168" s="263"/>
      <c r="N168" s="263"/>
      <c r="O168" s="263"/>
      <c r="P168" s="263"/>
      <c r="Q168" s="263"/>
      <c r="R168" s="263"/>
      <c r="S168" s="263"/>
      <c r="T168" s="263"/>
      <c r="U168" s="263"/>
      <c r="V168" s="263"/>
      <c r="W168" s="263"/>
      <c r="X168" s="263"/>
      <c r="Y168" s="263"/>
      <c r="Z168" s="263"/>
    </row>
    <row r="169">
      <c r="A169" s="263"/>
      <c r="B169" s="263"/>
      <c r="C169" s="263"/>
      <c r="D169" s="263"/>
      <c r="E169" s="263"/>
      <c r="F169" s="263"/>
      <c r="G169" s="263"/>
      <c r="H169" s="263"/>
      <c r="I169" s="263"/>
      <c r="J169" s="263"/>
      <c r="K169" s="263"/>
      <c r="L169" s="263"/>
      <c r="M169" s="263"/>
      <c r="N169" s="263"/>
      <c r="O169" s="263"/>
      <c r="P169" s="263"/>
      <c r="Q169" s="263"/>
      <c r="R169" s="263"/>
      <c r="S169" s="263"/>
      <c r="T169" s="263"/>
      <c r="U169" s="263"/>
      <c r="V169" s="263"/>
      <c r="W169" s="263"/>
      <c r="X169" s="263"/>
      <c r="Y169" s="263"/>
      <c r="Z169" s="263"/>
    </row>
    <row r="170">
      <c r="A170" s="263"/>
      <c r="B170" s="263"/>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263"/>
      <c r="Z170" s="263"/>
    </row>
    <row r="171">
      <c r="A171" s="263"/>
      <c r="B171" s="263"/>
      <c r="C171" s="263"/>
      <c r="D171" s="263"/>
      <c r="E171" s="263"/>
      <c r="F171" s="263"/>
      <c r="G171" s="263"/>
      <c r="H171" s="263"/>
      <c r="I171" s="263"/>
      <c r="J171" s="263"/>
      <c r="K171" s="263"/>
      <c r="L171" s="263"/>
      <c r="M171" s="263"/>
      <c r="N171" s="263"/>
      <c r="O171" s="263"/>
      <c r="P171" s="263"/>
      <c r="Q171" s="263"/>
      <c r="R171" s="263"/>
      <c r="S171" s="263"/>
      <c r="T171" s="263"/>
      <c r="U171" s="263"/>
      <c r="V171" s="263"/>
      <c r="W171" s="263"/>
      <c r="X171" s="263"/>
      <c r="Y171" s="263"/>
      <c r="Z171" s="263"/>
    </row>
    <row r="172">
      <c r="A172" s="263"/>
      <c r="B172" s="263"/>
      <c r="C172" s="263"/>
      <c r="D172" s="263"/>
      <c r="E172" s="263"/>
      <c r="F172" s="263"/>
      <c r="G172" s="263"/>
      <c r="H172" s="263"/>
      <c r="I172" s="263"/>
      <c r="J172" s="263"/>
      <c r="K172" s="263"/>
      <c r="L172" s="263"/>
      <c r="M172" s="263"/>
      <c r="N172" s="263"/>
      <c r="O172" s="263"/>
      <c r="P172" s="263"/>
      <c r="Q172" s="263"/>
      <c r="R172" s="263"/>
      <c r="S172" s="263"/>
      <c r="T172" s="263"/>
      <c r="U172" s="263"/>
      <c r="V172" s="263"/>
      <c r="W172" s="263"/>
      <c r="X172" s="263"/>
      <c r="Y172" s="263"/>
      <c r="Z172" s="263"/>
    </row>
    <row r="173">
      <c r="A173" s="263"/>
      <c r="B173" s="263"/>
      <c r="C173" s="263"/>
      <c r="D173" s="263"/>
      <c r="E173" s="263"/>
      <c r="F173" s="263"/>
      <c r="G173" s="263"/>
      <c r="H173" s="263"/>
      <c r="I173" s="263"/>
      <c r="J173" s="263"/>
      <c r="K173" s="263"/>
      <c r="L173" s="263"/>
      <c r="M173" s="263"/>
      <c r="N173" s="263"/>
      <c r="O173" s="263"/>
      <c r="P173" s="263"/>
      <c r="Q173" s="263"/>
      <c r="R173" s="263"/>
      <c r="S173" s="263"/>
      <c r="T173" s="263"/>
      <c r="U173" s="263"/>
      <c r="V173" s="263"/>
      <c r="W173" s="263"/>
      <c r="X173" s="263"/>
      <c r="Y173" s="263"/>
      <c r="Z173" s="263"/>
    </row>
    <row r="174">
      <c r="A174" s="263"/>
      <c r="B174" s="263"/>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row>
    <row r="175">
      <c r="A175" s="263"/>
      <c r="B175" s="263"/>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row>
    <row r="176">
      <c r="A176" s="263"/>
      <c r="B176" s="263"/>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row>
    <row r="177">
      <c r="A177" s="263"/>
      <c r="B177" s="263"/>
      <c r="C177" s="263"/>
      <c r="D177" s="263"/>
      <c r="E177" s="263"/>
      <c r="F177" s="263"/>
      <c r="G177" s="263"/>
      <c r="H177" s="263"/>
      <c r="I177" s="263"/>
      <c r="J177" s="263"/>
      <c r="K177" s="263"/>
      <c r="L177" s="263"/>
      <c r="M177" s="263"/>
      <c r="N177" s="263"/>
      <c r="O177" s="263"/>
      <c r="P177" s="263"/>
      <c r="Q177" s="263"/>
      <c r="R177" s="263"/>
      <c r="S177" s="263"/>
      <c r="T177" s="263"/>
      <c r="U177" s="263"/>
      <c r="V177" s="263"/>
      <c r="W177" s="263"/>
      <c r="X177" s="263"/>
      <c r="Y177" s="263"/>
      <c r="Z177" s="263"/>
    </row>
    <row r="178">
      <c r="A178" s="263"/>
      <c r="B178" s="263"/>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263"/>
      <c r="Z178" s="263"/>
    </row>
    <row r="179">
      <c r="A179" s="263"/>
      <c r="B179" s="263"/>
      <c r="C179" s="263"/>
      <c r="D179" s="263"/>
      <c r="E179" s="263"/>
      <c r="F179" s="263"/>
      <c r="G179" s="263"/>
      <c r="H179" s="263"/>
      <c r="I179" s="263"/>
      <c r="J179" s="263"/>
      <c r="K179" s="263"/>
      <c r="L179" s="263"/>
      <c r="M179" s="263"/>
      <c r="N179" s="263"/>
      <c r="O179" s="263"/>
      <c r="P179" s="263"/>
      <c r="Q179" s="263"/>
      <c r="R179" s="263"/>
      <c r="S179" s="263"/>
      <c r="T179" s="263"/>
      <c r="U179" s="263"/>
      <c r="V179" s="263"/>
      <c r="W179" s="263"/>
      <c r="X179" s="263"/>
      <c r="Y179" s="263"/>
      <c r="Z179" s="263"/>
    </row>
    <row r="180">
      <c r="A180" s="263"/>
      <c r="B180" s="263"/>
      <c r="C180" s="263"/>
      <c r="D180" s="263"/>
      <c r="E180" s="263"/>
      <c r="F180" s="263"/>
      <c r="G180" s="263"/>
      <c r="H180" s="263"/>
      <c r="I180" s="263"/>
      <c r="J180" s="263"/>
      <c r="K180" s="263"/>
      <c r="L180" s="263"/>
      <c r="M180" s="263"/>
      <c r="N180" s="263"/>
      <c r="O180" s="263"/>
      <c r="P180" s="263"/>
      <c r="Q180" s="263"/>
      <c r="R180" s="263"/>
      <c r="S180" s="263"/>
      <c r="T180" s="263"/>
      <c r="U180" s="263"/>
      <c r="V180" s="263"/>
      <c r="W180" s="263"/>
      <c r="X180" s="263"/>
      <c r="Y180" s="263"/>
      <c r="Z180" s="263"/>
    </row>
    <row r="181">
      <c r="A181" s="263"/>
      <c r="B181" s="263"/>
      <c r="C181" s="263"/>
      <c r="D181" s="263"/>
      <c r="E181" s="263"/>
      <c r="F181" s="263"/>
      <c r="G181" s="263"/>
      <c r="H181" s="263"/>
      <c r="I181" s="263"/>
      <c r="J181" s="263"/>
      <c r="K181" s="263"/>
      <c r="L181" s="263"/>
      <c r="M181" s="263"/>
      <c r="N181" s="263"/>
      <c r="O181" s="263"/>
      <c r="P181" s="263"/>
      <c r="Q181" s="263"/>
      <c r="R181" s="263"/>
      <c r="S181" s="263"/>
      <c r="T181" s="263"/>
      <c r="U181" s="263"/>
      <c r="V181" s="263"/>
      <c r="W181" s="263"/>
      <c r="X181" s="263"/>
      <c r="Y181" s="263"/>
      <c r="Z181" s="263"/>
    </row>
    <row r="182">
      <c r="A182" s="263"/>
      <c r="B182" s="263"/>
      <c r="C182" s="263"/>
      <c r="D182" s="263"/>
      <c r="E182" s="263"/>
      <c r="F182" s="263"/>
      <c r="G182" s="263"/>
      <c r="H182" s="263"/>
      <c r="I182" s="263"/>
      <c r="J182" s="263"/>
      <c r="K182" s="263"/>
      <c r="L182" s="263"/>
      <c r="M182" s="263"/>
      <c r="N182" s="263"/>
      <c r="O182" s="263"/>
      <c r="P182" s="263"/>
      <c r="Q182" s="263"/>
      <c r="R182" s="263"/>
      <c r="S182" s="263"/>
      <c r="T182" s="263"/>
      <c r="U182" s="263"/>
      <c r="V182" s="263"/>
      <c r="W182" s="263"/>
      <c r="X182" s="263"/>
      <c r="Y182" s="263"/>
      <c r="Z182" s="263"/>
    </row>
    <row r="183">
      <c r="A183" s="263"/>
      <c r="B183" s="263"/>
      <c r="C183" s="263"/>
      <c r="D183" s="263"/>
      <c r="E183" s="263"/>
      <c r="F183" s="263"/>
      <c r="G183" s="263"/>
      <c r="H183" s="263"/>
      <c r="I183" s="263"/>
      <c r="J183" s="263"/>
      <c r="K183" s="263"/>
      <c r="L183" s="263"/>
      <c r="M183" s="263"/>
      <c r="N183" s="263"/>
      <c r="O183" s="263"/>
      <c r="P183" s="263"/>
      <c r="Q183" s="263"/>
      <c r="R183" s="263"/>
      <c r="S183" s="263"/>
      <c r="T183" s="263"/>
      <c r="U183" s="263"/>
      <c r="V183" s="263"/>
      <c r="W183" s="263"/>
      <c r="X183" s="263"/>
      <c r="Y183" s="263"/>
      <c r="Z183" s="263"/>
    </row>
    <row r="184">
      <c r="A184" s="263"/>
      <c r="B184" s="263"/>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263"/>
      <c r="Z184" s="263"/>
    </row>
    <row r="185">
      <c r="A185" s="263"/>
      <c r="B185" s="263"/>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263"/>
      <c r="Z185" s="263"/>
    </row>
    <row r="186">
      <c r="A186" s="263"/>
      <c r="B186" s="263"/>
      <c r="C186" s="263"/>
      <c r="D186" s="263"/>
      <c r="E186" s="263"/>
      <c r="F186" s="263"/>
      <c r="G186" s="263"/>
      <c r="H186" s="263"/>
      <c r="I186" s="263"/>
      <c r="J186" s="263"/>
      <c r="K186" s="263"/>
      <c r="L186" s="263"/>
      <c r="M186" s="263"/>
      <c r="N186" s="263"/>
      <c r="O186" s="263"/>
      <c r="P186" s="263"/>
      <c r="Q186" s="263"/>
      <c r="R186" s="263"/>
      <c r="S186" s="263"/>
      <c r="T186" s="263"/>
      <c r="U186" s="263"/>
      <c r="V186" s="263"/>
      <c r="W186" s="263"/>
      <c r="X186" s="263"/>
      <c r="Y186" s="263"/>
      <c r="Z186" s="263"/>
    </row>
    <row r="187">
      <c r="A187" s="263"/>
      <c r="B187" s="263"/>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263"/>
      <c r="Z187" s="263"/>
    </row>
    <row r="188">
      <c r="A188" s="263"/>
      <c r="B188" s="263"/>
      <c r="C188" s="263"/>
      <c r="D188" s="263"/>
      <c r="E188" s="263"/>
      <c r="F188" s="263"/>
      <c r="G188" s="263"/>
      <c r="H188" s="263"/>
      <c r="I188" s="263"/>
      <c r="J188" s="263"/>
      <c r="K188" s="263"/>
      <c r="L188" s="263"/>
      <c r="M188" s="263"/>
      <c r="N188" s="263"/>
      <c r="O188" s="263"/>
      <c r="P188" s="263"/>
      <c r="Q188" s="263"/>
      <c r="R188" s="263"/>
      <c r="S188" s="263"/>
      <c r="T188" s="263"/>
      <c r="U188" s="263"/>
      <c r="V188" s="263"/>
      <c r="W188" s="263"/>
      <c r="X188" s="263"/>
      <c r="Y188" s="263"/>
      <c r="Z188" s="263"/>
    </row>
    <row r="189">
      <c r="A189" s="263"/>
      <c r="B189" s="263"/>
      <c r="C189" s="263"/>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263"/>
      <c r="Z189" s="263"/>
    </row>
    <row r="190">
      <c r="A190" s="263"/>
      <c r="B190" s="263"/>
      <c r="C190" s="263"/>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263"/>
      <c r="Z190" s="263"/>
    </row>
    <row r="191">
      <c r="A191" s="263"/>
      <c r="B191" s="263"/>
      <c r="C191" s="263"/>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263"/>
      <c r="Z191" s="263"/>
    </row>
    <row r="192">
      <c r="A192" s="263"/>
      <c r="B192" s="263"/>
      <c r="C192" s="263"/>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263"/>
      <c r="Z192" s="263"/>
    </row>
    <row r="193">
      <c r="A193" s="263"/>
      <c r="B193" s="263"/>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263"/>
      <c r="Z193" s="263"/>
    </row>
    <row r="194">
      <c r="A194" s="263"/>
      <c r="B194" s="263"/>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263"/>
      <c r="Z194" s="263"/>
    </row>
    <row r="195">
      <c r="A195" s="263"/>
      <c r="B195" s="263"/>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263"/>
      <c r="Z195" s="263"/>
    </row>
    <row r="196">
      <c r="A196" s="263"/>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263"/>
      <c r="Z196" s="263"/>
    </row>
    <row r="197">
      <c r="A197" s="263"/>
      <c r="B197" s="26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263"/>
      <c r="Z197" s="263"/>
    </row>
    <row r="198">
      <c r="A198" s="263"/>
      <c r="B198" s="26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263"/>
      <c r="Z198" s="263"/>
    </row>
    <row r="199">
      <c r="A199" s="263"/>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263"/>
      <c r="Z199" s="263"/>
    </row>
    <row r="200">
      <c r="A200" s="263"/>
      <c r="B200" s="26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263"/>
      <c r="Z200" s="263"/>
    </row>
    <row r="201">
      <c r="A201" s="263"/>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263"/>
      <c r="Z201" s="263"/>
    </row>
    <row r="202">
      <c r="A202" s="263"/>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263"/>
      <c r="Z202" s="263"/>
    </row>
    <row r="203">
      <c r="A203" s="263"/>
      <c r="B203" s="26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263"/>
      <c r="Z203" s="263"/>
    </row>
    <row r="204">
      <c r="A204" s="263"/>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263"/>
      <c r="Z204" s="263"/>
    </row>
    <row r="205">
      <c r="A205" s="263"/>
      <c r="B205" s="26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263"/>
      <c r="Z205" s="263"/>
    </row>
    <row r="206">
      <c r="A206" s="263"/>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263"/>
      <c r="Z206" s="263"/>
    </row>
    <row r="207">
      <c r="A207" s="263"/>
      <c r="B207" s="26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263"/>
      <c r="Z207" s="263"/>
    </row>
    <row r="208">
      <c r="A208" s="263"/>
      <c r="B208" s="26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263"/>
      <c r="Z208" s="263"/>
    </row>
    <row r="209">
      <c r="A209" s="263"/>
      <c r="B209" s="26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263"/>
      <c r="Z209" s="263"/>
    </row>
    <row r="210">
      <c r="A210" s="263"/>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263"/>
      <c r="Z210" s="263"/>
    </row>
    <row r="211">
      <c r="A211" s="263"/>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263"/>
      <c r="Z211" s="263"/>
    </row>
    <row r="212">
      <c r="A212" s="263"/>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263"/>
      <c r="Z212" s="263"/>
    </row>
    <row r="213">
      <c r="A213" s="263"/>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263"/>
      <c r="Z213" s="263"/>
    </row>
    <row r="214">
      <c r="A214" s="263"/>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263"/>
      <c r="Z214" s="263"/>
    </row>
    <row r="215">
      <c r="A215" s="263"/>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263"/>
      <c r="Z215" s="263"/>
    </row>
    <row r="216">
      <c r="A216" s="263"/>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263"/>
      <c r="Z216" s="263"/>
    </row>
    <row r="217">
      <c r="A217" s="263"/>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263"/>
      <c r="Z217" s="263"/>
    </row>
    <row r="218">
      <c r="A218" s="263"/>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263"/>
      <c r="Z218" s="263"/>
    </row>
    <row r="219">
      <c r="A219" s="263"/>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263"/>
      <c r="Z219" s="263"/>
    </row>
    <row r="220">
      <c r="A220" s="263"/>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263"/>
      <c r="Z220" s="263"/>
    </row>
    <row r="221">
      <c r="A221" s="263"/>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263"/>
      <c r="Z221" s="263"/>
    </row>
    <row r="222">
      <c r="A222" s="263"/>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263"/>
      <c r="Z222" s="263"/>
    </row>
    <row r="223">
      <c r="A223" s="263"/>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263"/>
      <c r="Z223" s="263"/>
    </row>
    <row r="224">
      <c r="A224" s="263"/>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row>
    <row r="225">
      <c r="A225" s="263"/>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263"/>
      <c r="Z225" s="263"/>
    </row>
    <row r="226">
      <c r="A226" s="263"/>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row>
    <row r="227">
      <c r="A227" s="263"/>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row>
    <row r="228">
      <c r="A228" s="263"/>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263"/>
      <c r="Z228" s="263"/>
    </row>
    <row r="229">
      <c r="A229" s="263"/>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row>
    <row r="230">
      <c r="A230" s="263"/>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263"/>
      <c r="Z230" s="263"/>
    </row>
    <row r="231">
      <c r="A231" s="263"/>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263"/>
      <c r="Z231" s="263"/>
    </row>
    <row r="232">
      <c r="A232" s="263"/>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263"/>
      <c r="Z232" s="263"/>
    </row>
    <row r="233">
      <c r="A233" s="263"/>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row>
    <row r="234">
      <c r="A234" s="263"/>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263"/>
      <c r="Z234" s="263"/>
    </row>
    <row r="235">
      <c r="A235" s="263"/>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row>
    <row r="236">
      <c r="A236" s="263"/>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row>
    <row r="237">
      <c r="A237" s="263"/>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263"/>
      <c r="Z237" s="263"/>
    </row>
    <row r="238">
      <c r="A238" s="263"/>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263"/>
      <c r="Z238" s="263"/>
    </row>
    <row r="239">
      <c r="A239" s="263"/>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263"/>
      <c r="Z239" s="263"/>
    </row>
    <row r="240">
      <c r="A240" s="263"/>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263"/>
      <c r="Z240" s="263"/>
    </row>
    <row r="241">
      <c r="A241" s="263"/>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263"/>
      <c r="Z241" s="263"/>
    </row>
    <row r="242">
      <c r="A242" s="263"/>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263"/>
      <c r="Z242" s="263"/>
    </row>
    <row r="243">
      <c r="A243" s="263"/>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263"/>
      <c r="Z243" s="263"/>
    </row>
    <row r="244">
      <c r="A244" s="263"/>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263"/>
      <c r="Z244" s="263"/>
    </row>
    <row r="245">
      <c r="A245" s="263"/>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263"/>
      <c r="Z245" s="263"/>
    </row>
    <row r="246">
      <c r="A246" s="263"/>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263"/>
      <c r="Z246" s="263"/>
    </row>
    <row r="247">
      <c r="A247" s="263"/>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263"/>
      <c r="Z247" s="263"/>
    </row>
    <row r="248">
      <c r="A248" s="263"/>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263"/>
      <c r="Z248" s="263"/>
    </row>
    <row r="249">
      <c r="A249" s="263"/>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263"/>
      <c r="Z249" s="263"/>
    </row>
    <row r="250">
      <c r="A250" s="263"/>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263"/>
      <c r="Z250" s="263"/>
    </row>
    <row r="251">
      <c r="A251" s="263"/>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263"/>
      <c r="Z251" s="263"/>
    </row>
    <row r="252">
      <c r="A252" s="263"/>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263"/>
      <c r="Z252" s="263"/>
    </row>
    <row r="253">
      <c r="A253" s="263"/>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263"/>
      <c r="Z253" s="263"/>
    </row>
    <row r="254">
      <c r="A254" s="263"/>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263"/>
      <c r="Z254" s="263"/>
    </row>
    <row r="255">
      <c r="A255" s="263"/>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263"/>
      <c r="Z255" s="263"/>
    </row>
    <row r="256">
      <c r="A256" s="263"/>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263"/>
      <c r="Z256" s="263"/>
    </row>
    <row r="257">
      <c r="A257" s="263"/>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263"/>
      <c r="Z257" s="263"/>
    </row>
    <row r="258">
      <c r="A258" s="263"/>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263"/>
      <c r="Z258" s="263"/>
    </row>
    <row r="259">
      <c r="A259" s="263"/>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263"/>
      <c r="Z259" s="263"/>
    </row>
    <row r="260">
      <c r="A260" s="263"/>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263"/>
      <c r="Z260" s="263"/>
    </row>
    <row r="261">
      <c r="A261" s="263"/>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263"/>
      <c r="Z261" s="263"/>
    </row>
    <row r="262">
      <c r="A262" s="263"/>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263"/>
      <c r="Z262" s="263"/>
    </row>
    <row r="263">
      <c r="A263" s="263"/>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263"/>
      <c r="Z263" s="263"/>
    </row>
    <row r="264">
      <c r="A264" s="263"/>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263"/>
      <c r="Z264" s="263"/>
    </row>
    <row r="265">
      <c r="A265" s="263"/>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263"/>
      <c r="Z265" s="263"/>
    </row>
    <row r="266">
      <c r="A266" s="263"/>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263"/>
      <c r="Z266" s="263"/>
    </row>
    <row r="267">
      <c r="A267" s="263"/>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263"/>
      <c r="Z267" s="263"/>
    </row>
    <row r="268">
      <c r="A268" s="263"/>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263"/>
      <c r="Z268" s="263"/>
    </row>
    <row r="269">
      <c r="A269" s="263"/>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263"/>
      <c r="Z269" s="263"/>
    </row>
    <row r="270">
      <c r="A270" s="263"/>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263"/>
      <c r="Z270" s="263"/>
    </row>
    <row r="271">
      <c r="A271" s="263"/>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263"/>
      <c r="Z271" s="263"/>
    </row>
    <row r="272">
      <c r="A272" s="263"/>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263"/>
      <c r="Z272" s="263"/>
    </row>
    <row r="273">
      <c r="A273" s="263"/>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263"/>
      <c r="Z273" s="263"/>
    </row>
    <row r="274">
      <c r="A274" s="263"/>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263"/>
      <c r="Z274" s="263"/>
    </row>
    <row r="275">
      <c r="A275" s="263"/>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263"/>
      <c r="Z275" s="263"/>
    </row>
    <row r="276">
      <c r="A276" s="263"/>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263"/>
      <c r="Z276" s="263"/>
    </row>
    <row r="277">
      <c r="A277" s="263"/>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263"/>
      <c r="Z277" s="263"/>
    </row>
    <row r="278">
      <c r="A278" s="263"/>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263"/>
      <c r="Z278" s="263"/>
    </row>
    <row r="279">
      <c r="A279" s="263"/>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263"/>
      <c r="Z279" s="263"/>
    </row>
    <row r="280">
      <c r="A280" s="263"/>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263"/>
      <c r="Z280" s="263"/>
    </row>
    <row r="281">
      <c r="A281" s="263"/>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263"/>
      <c r="Z281" s="263"/>
    </row>
    <row r="282">
      <c r="A282" s="263"/>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263"/>
      <c r="Z282" s="263"/>
    </row>
    <row r="283">
      <c r="A283" s="263"/>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263"/>
      <c r="Z283" s="263"/>
    </row>
    <row r="284">
      <c r="A284" s="263"/>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263"/>
      <c r="Z284" s="263"/>
    </row>
    <row r="285">
      <c r="A285" s="263"/>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263"/>
      <c r="Z285" s="263"/>
    </row>
    <row r="286">
      <c r="A286" s="263"/>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263"/>
      <c r="Z286" s="263"/>
    </row>
    <row r="287">
      <c r="A287" s="263"/>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263"/>
      <c r="Z287" s="263"/>
    </row>
    <row r="288">
      <c r="A288" s="263"/>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263"/>
      <c r="Z288" s="263"/>
    </row>
    <row r="289">
      <c r="A289" s="263"/>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263"/>
      <c r="Z289" s="263"/>
    </row>
    <row r="290">
      <c r="A290" s="263"/>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row>
    <row r="291">
      <c r="A291" s="263"/>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263"/>
      <c r="Z291" s="263"/>
    </row>
    <row r="292">
      <c r="A292" s="263"/>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row>
    <row r="293">
      <c r="A293" s="263"/>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263"/>
      <c r="Z293" s="263"/>
    </row>
    <row r="294">
      <c r="A294" s="263"/>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263"/>
      <c r="Z294" s="263"/>
    </row>
    <row r="295">
      <c r="A295" s="263"/>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263"/>
      <c r="Z295" s="263"/>
    </row>
    <row r="296">
      <c r="A296" s="263"/>
      <c r="B296" s="263"/>
      <c r="C296" s="263"/>
      <c r="D296" s="263"/>
      <c r="E296" s="263"/>
      <c r="F296" s="263"/>
      <c r="G296" s="263"/>
      <c r="H296" s="263"/>
      <c r="I296" s="263"/>
      <c r="J296" s="263"/>
      <c r="K296" s="263"/>
      <c r="L296" s="263"/>
      <c r="M296" s="263"/>
      <c r="N296" s="263"/>
      <c r="O296" s="263"/>
      <c r="P296" s="263"/>
      <c r="Q296" s="263"/>
      <c r="R296" s="263"/>
      <c r="S296" s="263"/>
      <c r="T296" s="263"/>
      <c r="U296" s="263"/>
      <c r="V296" s="263"/>
      <c r="W296" s="263"/>
      <c r="X296" s="263"/>
      <c r="Y296" s="263"/>
      <c r="Z296" s="263"/>
    </row>
    <row r="297">
      <c r="A297" s="263"/>
      <c r="B297" s="263"/>
      <c r="C297" s="263"/>
      <c r="D297" s="263"/>
      <c r="E297" s="263"/>
      <c r="F297" s="263"/>
      <c r="G297" s="263"/>
      <c r="H297" s="263"/>
      <c r="I297" s="263"/>
      <c r="J297" s="263"/>
      <c r="K297" s="263"/>
      <c r="L297" s="263"/>
      <c r="M297" s="263"/>
      <c r="N297" s="263"/>
      <c r="O297" s="263"/>
      <c r="P297" s="263"/>
      <c r="Q297" s="263"/>
      <c r="R297" s="263"/>
      <c r="S297" s="263"/>
      <c r="T297" s="263"/>
      <c r="U297" s="263"/>
      <c r="V297" s="263"/>
      <c r="W297" s="263"/>
      <c r="X297" s="263"/>
      <c r="Y297" s="263"/>
      <c r="Z297" s="263"/>
    </row>
    <row r="298">
      <c r="A298" s="263"/>
      <c r="B298" s="263"/>
      <c r="C298" s="263"/>
      <c r="D298" s="263"/>
      <c r="E298" s="263"/>
      <c r="F298" s="263"/>
      <c r="G298" s="263"/>
      <c r="H298" s="263"/>
      <c r="I298" s="263"/>
      <c r="J298" s="263"/>
      <c r="K298" s="263"/>
      <c r="L298" s="263"/>
      <c r="M298" s="263"/>
      <c r="N298" s="263"/>
      <c r="O298" s="263"/>
      <c r="P298" s="263"/>
      <c r="Q298" s="263"/>
      <c r="R298" s="263"/>
      <c r="S298" s="263"/>
      <c r="T298" s="263"/>
      <c r="U298" s="263"/>
      <c r="V298" s="263"/>
      <c r="W298" s="263"/>
      <c r="X298" s="263"/>
      <c r="Y298" s="263"/>
      <c r="Z298" s="263"/>
    </row>
    <row r="299">
      <c r="A299" s="263"/>
      <c r="B299" s="263"/>
      <c r="C299" s="263"/>
      <c r="D299" s="263"/>
      <c r="E299" s="263"/>
      <c r="F299" s="263"/>
      <c r="G299" s="263"/>
      <c r="H299" s="263"/>
      <c r="I299" s="263"/>
      <c r="J299" s="263"/>
      <c r="K299" s="263"/>
      <c r="L299" s="263"/>
      <c r="M299" s="263"/>
      <c r="N299" s="263"/>
      <c r="O299" s="263"/>
      <c r="P299" s="263"/>
      <c r="Q299" s="263"/>
      <c r="R299" s="263"/>
      <c r="S299" s="263"/>
      <c r="T299" s="263"/>
      <c r="U299" s="263"/>
      <c r="V299" s="263"/>
      <c r="W299" s="263"/>
      <c r="X299" s="263"/>
      <c r="Y299" s="263"/>
      <c r="Z299" s="263"/>
    </row>
    <row r="300">
      <c r="A300" s="263"/>
      <c r="B300" s="263"/>
      <c r="C300" s="263"/>
      <c r="D300" s="263"/>
      <c r="E300" s="263"/>
      <c r="F300" s="263"/>
      <c r="G300" s="263"/>
      <c r="H300" s="263"/>
      <c r="I300" s="263"/>
      <c r="J300" s="263"/>
      <c r="K300" s="263"/>
      <c r="L300" s="263"/>
      <c r="M300" s="263"/>
      <c r="N300" s="263"/>
      <c r="O300" s="263"/>
      <c r="P300" s="263"/>
      <c r="Q300" s="263"/>
      <c r="R300" s="263"/>
      <c r="S300" s="263"/>
      <c r="T300" s="263"/>
      <c r="U300" s="263"/>
      <c r="V300" s="263"/>
      <c r="W300" s="263"/>
      <c r="X300" s="263"/>
      <c r="Y300" s="263"/>
      <c r="Z300" s="263"/>
    </row>
    <row r="301">
      <c r="A301" s="263"/>
      <c r="B301" s="263"/>
      <c r="C301" s="263"/>
      <c r="D301" s="263"/>
      <c r="E301" s="263"/>
      <c r="F301" s="263"/>
      <c r="G301" s="263"/>
      <c r="H301" s="263"/>
      <c r="I301" s="263"/>
      <c r="J301" s="263"/>
      <c r="K301" s="263"/>
      <c r="L301" s="263"/>
      <c r="M301" s="263"/>
      <c r="N301" s="263"/>
      <c r="O301" s="263"/>
      <c r="P301" s="263"/>
      <c r="Q301" s="263"/>
      <c r="R301" s="263"/>
      <c r="S301" s="263"/>
      <c r="T301" s="263"/>
      <c r="U301" s="263"/>
      <c r="V301" s="263"/>
      <c r="W301" s="263"/>
      <c r="X301" s="263"/>
      <c r="Y301" s="263"/>
      <c r="Z301" s="263"/>
    </row>
    <row r="302">
      <c r="A302" s="263"/>
      <c r="B302" s="263"/>
      <c r="C302" s="263"/>
      <c r="D302" s="263"/>
      <c r="E302" s="263"/>
      <c r="F302" s="263"/>
      <c r="G302" s="263"/>
      <c r="H302" s="263"/>
      <c r="I302" s="263"/>
      <c r="J302" s="263"/>
      <c r="K302" s="263"/>
      <c r="L302" s="263"/>
      <c r="M302" s="263"/>
      <c r="N302" s="263"/>
      <c r="O302" s="263"/>
      <c r="P302" s="263"/>
      <c r="Q302" s="263"/>
      <c r="R302" s="263"/>
      <c r="S302" s="263"/>
      <c r="T302" s="263"/>
      <c r="U302" s="263"/>
      <c r="V302" s="263"/>
      <c r="W302" s="263"/>
      <c r="X302" s="263"/>
      <c r="Y302" s="263"/>
      <c r="Z302" s="263"/>
    </row>
    <row r="303">
      <c r="A303" s="263"/>
      <c r="B303" s="263"/>
      <c r="C303" s="263"/>
      <c r="D303" s="263"/>
      <c r="E303" s="263"/>
      <c r="F303" s="263"/>
      <c r="G303" s="263"/>
      <c r="H303" s="263"/>
      <c r="I303" s="263"/>
      <c r="J303" s="263"/>
      <c r="K303" s="263"/>
      <c r="L303" s="263"/>
      <c r="M303" s="263"/>
      <c r="N303" s="263"/>
      <c r="O303" s="263"/>
      <c r="P303" s="263"/>
      <c r="Q303" s="263"/>
      <c r="R303" s="263"/>
      <c r="S303" s="263"/>
      <c r="T303" s="263"/>
      <c r="U303" s="263"/>
      <c r="V303" s="263"/>
      <c r="W303" s="263"/>
      <c r="X303" s="263"/>
      <c r="Y303" s="263"/>
      <c r="Z303" s="263"/>
    </row>
    <row r="304">
      <c r="A304" s="263"/>
      <c r="B304" s="263"/>
      <c r="C304" s="263"/>
      <c r="D304" s="263"/>
      <c r="E304" s="263"/>
      <c r="F304" s="263"/>
      <c r="G304" s="263"/>
      <c r="H304" s="263"/>
      <c r="I304" s="263"/>
      <c r="J304" s="263"/>
      <c r="K304" s="263"/>
      <c r="L304" s="263"/>
      <c r="M304" s="263"/>
      <c r="N304" s="263"/>
      <c r="O304" s="263"/>
      <c r="P304" s="263"/>
      <c r="Q304" s="263"/>
      <c r="R304" s="263"/>
      <c r="S304" s="263"/>
      <c r="T304" s="263"/>
      <c r="U304" s="263"/>
      <c r="V304" s="263"/>
      <c r="W304" s="263"/>
      <c r="X304" s="263"/>
      <c r="Y304" s="263"/>
      <c r="Z304" s="263"/>
    </row>
    <row r="305">
      <c r="A305" s="263"/>
      <c r="B305" s="263"/>
      <c r="C305" s="263"/>
      <c r="D305" s="263"/>
      <c r="E305" s="263"/>
      <c r="F305" s="263"/>
      <c r="G305" s="263"/>
      <c r="H305" s="263"/>
      <c r="I305" s="263"/>
      <c r="J305" s="263"/>
      <c r="K305" s="263"/>
      <c r="L305" s="263"/>
      <c r="M305" s="263"/>
      <c r="N305" s="263"/>
      <c r="O305" s="263"/>
      <c r="P305" s="263"/>
      <c r="Q305" s="263"/>
      <c r="R305" s="263"/>
      <c r="S305" s="263"/>
      <c r="T305" s="263"/>
      <c r="U305" s="263"/>
      <c r="V305" s="263"/>
      <c r="W305" s="263"/>
      <c r="X305" s="263"/>
      <c r="Y305" s="263"/>
      <c r="Z305" s="263"/>
    </row>
    <row r="306">
      <c r="A306" s="263"/>
      <c r="B306" s="263"/>
      <c r="C306" s="263"/>
      <c r="D306" s="263"/>
      <c r="E306" s="263"/>
      <c r="F306" s="263"/>
      <c r="G306" s="263"/>
      <c r="H306" s="263"/>
      <c r="I306" s="263"/>
      <c r="J306" s="263"/>
      <c r="K306" s="263"/>
      <c r="L306" s="263"/>
      <c r="M306" s="263"/>
      <c r="N306" s="263"/>
      <c r="O306" s="263"/>
      <c r="P306" s="263"/>
      <c r="Q306" s="263"/>
      <c r="R306" s="263"/>
      <c r="S306" s="263"/>
      <c r="T306" s="263"/>
      <c r="U306" s="263"/>
      <c r="V306" s="263"/>
      <c r="W306" s="263"/>
      <c r="X306" s="263"/>
      <c r="Y306" s="263"/>
      <c r="Z306" s="263"/>
    </row>
    <row r="307">
      <c r="A307" s="263"/>
      <c r="B307" s="263"/>
      <c r="C307" s="263"/>
      <c r="D307" s="263"/>
      <c r="E307" s="263"/>
      <c r="F307" s="263"/>
      <c r="G307" s="263"/>
      <c r="H307" s="263"/>
      <c r="I307" s="263"/>
      <c r="J307" s="263"/>
      <c r="K307" s="263"/>
      <c r="L307" s="263"/>
      <c r="M307" s="263"/>
      <c r="N307" s="263"/>
      <c r="O307" s="263"/>
      <c r="P307" s="263"/>
      <c r="Q307" s="263"/>
      <c r="R307" s="263"/>
      <c r="S307" s="263"/>
      <c r="T307" s="263"/>
      <c r="U307" s="263"/>
      <c r="V307" s="263"/>
      <c r="W307" s="263"/>
      <c r="X307" s="263"/>
      <c r="Y307" s="263"/>
      <c r="Z307" s="263"/>
    </row>
    <row r="308">
      <c r="A308" s="263"/>
      <c r="B308" s="263"/>
      <c r="C308" s="263"/>
      <c r="D308" s="263"/>
      <c r="E308" s="263"/>
      <c r="F308" s="263"/>
      <c r="G308" s="263"/>
      <c r="H308" s="263"/>
      <c r="I308" s="263"/>
      <c r="J308" s="263"/>
      <c r="K308" s="263"/>
      <c r="L308" s="263"/>
      <c r="M308" s="263"/>
      <c r="N308" s="263"/>
      <c r="O308" s="263"/>
      <c r="P308" s="263"/>
      <c r="Q308" s="263"/>
      <c r="R308" s="263"/>
      <c r="S308" s="263"/>
      <c r="T308" s="263"/>
      <c r="U308" s="263"/>
      <c r="V308" s="263"/>
      <c r="W308" s="263"/>
      <c r="X308" s="263"/>
      <c r="Y308" s="263"/>
      <c r="Z308" s="263"/>
    </row>
    <row r="309">
      <c r="A309" s="263"/>
      <c r="B309" s="263"/>
      <c r="C309" s="263"/>
      <c r="D309" s="263"/>
      <c r="E309" s="263"/>
      <c r="F309" s="263"/>
      <c r="G309" s="263"/>
      <c r="H309" s="263"/>
      <c r="I309" s="263"/>
      <c r="J309" s="263"/>
      <c r="K309" s="263"/>
      <c r="L309" s="263"/>
      <c r="M309" s="263"/>
      <c r="N309" s="263"/>
      <c r="O309" s="263"/>
      <c r="P309" s="263"/>
      <c r="Q309" s="263"/>
      <c r="R309" s="263"/>
      <c r="S309" s="263"/>
      <c r="T309" s="263"/>
      <c r="U309" s="263"/>
      <c r="V309" s="263"/>
      <c r="W309" s="263"/>
      <c r="X309" s="263"/>
      <c r="Y309" s="263"/>
      <c r="Z309" s="263"/>
    </row>
    <row r="310">
      <c r="A310" s="263"/>
      <c r="B310" s="263"/>
      <c r="C310" s="263"/>
      <c r="D310" s="263"/>
      <c r="E310" s="263"/>
      <c r="F310" s="263"/>
      <c r="G310" s="263"/>
      <c r="H310" s="263"/>
      <c r="I310" s="263"/>
      <c r="J310" s="263"/>
      <c r="K310" s="263"/>
      <c r="L310" s="263"/>
      <c r="M310" s="263"/>
      <c r="N310" s="263"/>
      <c r="O310" s="263"/>
      <c r="P310" s="263"/>
      <c r="Q310" s="263"/>
      <c r="R310" s="263"/>
      <c r="S310" s="263"/>
      <c r="T310" s="263"/>
      <c r="U310" s="263"/>
      <c r="V310" s="263"/>
      <c r="W310" s="263"/>
      <c r="X310" s="263"/>
      <c r="Y310" s="263"/>
      <c r="Z310" s="263"/>
    </row>
    <row r="311">
      <c r="A311" s="263"/>
      <c r="B311" s="263"/>
      <c r="C311" s="263"/>
      <c r="D311" s="263"/>
      <c r="E311" s="263"/>
      <c r="F311" s="263"/>
      <c r="G311" s="263"/>
      <c r="H311" s="263"/>
      <c r="I311" s="263"/>
      <c r="J311" s="263"/>
      <c r="K311" s="263"/>
      <c r="L311" s="263"/>
      <c r="M311" s="263"/>
      <c r="N311" s="263"/>
      <c r="O311" s="263"/>
      <c r="P311" s="263"/>
      <c r="Q311" s="263"/>
      <c r="R311" s="263"/>
      <c r="S311" s="263"/>
      <c r="T311" s="263"/>
      <c r="U311" s="263"/>
      <c r="V311" s="263"/>
      <c r="W311" s="263"/>
      <c r="X311" s="263"/>
      <c r="Y311" s="263"/>
      <c r="Z311" s="263"/>
    </row>
    <row r="312">
      <c r="A312" s="263"/>
      <c r="B312" s="263"/>
      <c r="C312" s="263"/>
      <c r="D312" s="263"/>
      <c r="E312" s="263"/>
      <c r="F312" s="263"/>
      <c r="G312" s="263"/>
      <c r="H312" s="263"/>
      <c r="I312" s="263"/>
      <c r="J312" s="263"/>
      <c r="K312" s="263"/>
      <c r="L312" s="263"/>
      <c r="M312" s="263"/>
      <c r="N312" s="263"/>
      <c r="O312" s="263"/>
      <c r="P312" s="263"/>
      <c r="Q312" s="263"/>
      <c r="R312" s="263"/>
      <c r="S312" s="263"/>
      <c r="T312" s="263"/>
      <c r="U312" s="263"/>
      <c r="V312" s="263"/>
      <c r="W312" s="263"/>
      <c r="X312" s="263"/>
      <c r="Y312" s="263"/>
      <c r="Z312" s="263"/>
    </row>
    <row r="313">
      <c r="A313" s="263"/>
      <c r="B313" s="263"/>
      <c r="C313" s="263"/>
      <c r="D313" s="263"/>
      <c r="E313" s="263"/>
      <c r="F313" s="263"/>
      <c r="G313" s="263"/>
      <c r="H313" s="263"/>
      <c r="I313" s="263"/>
      <c r="J313" s="263"/>
      <c r="K313" s="263"/>
      <c r="L313" s="263"/>
      <c r="M313" s="263"/>
      <c r="N313" s="263"/>
      <c r="O313" s="263"/>
      <c r="P313" s="263"/>
      <c r="Q313" s="263"/>
      <c r="R313" s="263"/>
      <c r="S313" s="263"/>
      <c r="T313" s="263"/>
      <c r="U313" s="263"/>
      <c r="V313" s="263"/>
      <c r="W313" s="263"/>
      <c r="X313" s="263"/>
      <c r="Y313" s="263"/>
      <c r="Z313" s="263"/>
    </row>
    <row r="314">
      <c r="A314" s="263"/>
      <c r="B314" s="263"/>
      <c r="C314" s="263"/>
      <c r="D314" s="263"/>
      <c r="E314" s="263"/>
      <c r="F314" s="263"/>
      <c r="G314" s="263"/>
      <c r="H314" s="263"/>
      <c r="I314" s="263"/>
      <c r="J314" s="263"/>
      <c r="K314" s="263"/>
      <c r="L314" s="263"/>
      <c r="M314" s="263"/>
      <c r="N314" s="263"/>
      <c r="O314" s="263"/>
      <c r="P314" s="263"/>
      <c r="Q314" s="263"/>
      <c r="R314" s="263"/>
      <c r="S314" s="263"/>
      <c r="T314" s="263"/>
      <c r="U314" s="263"/>
      <c r="V314" s="263"/>
      <c r="W314" s="263"/>
      <c r="X314" s="263"/>
      <c r="Y314" s="263"/>
      <c r="Z314" s="263"/>
    </row>
    <row r="315">
      <c r="A315" s="263"/>
      <c r="B315" s="263"/>
      <c r="C315" s="263"/>
      <c r="D315" s="263"/>
      <c r="E315" s="263"/>
      <c r="F315" s="263"/>
      <c r="G315" s="263"/>
      <c r="H315" s="263"/>
      <c r="I315" s="263"/>
      <c r="J315" s="263"/>
      <c r="K315" s="263"/>
      <c r="L315" s="263"/>
      <c r="M315" s="263"/>
      <c r="N315" s="263"/>
      <c r="O315" s="263"/>
      <c r="P315" s="263"/>
      <c r="Q315" s="263"/>
      <c r="R315" s="263"/>
      <c r="S315" s="263"/>
      <c r="T315" s="263"/>
      <c r="U315" s="263"/>
      <c r="V315" s="263"/>
      <c r="W315" s="263"/>
      <c r="X315" s="263"/>
      <c r="Y315" s="263"/>
      <c r="Z315" s="263"/>
    </row>
    <row r="316">
      <c r="A316" s="263"/>
      <c r="B316" s="263"/>
      <c r="C316" s="263"/>
      <c r="D316" s="263"/>
      <c r="E316" s="263"/>
      <c r="F316" s="263"/>
      <c r="G316" s="263"/>
      <c r="H316" s="263"/>
      <c r="I316" s="263"/>
      <c r="J316" s="263"/>
      <c r="K316" s="263"/>
      <c r="L316" s="263"/>
      <c r="M316" s="263"/>
      <c r="N316" s="263"/>
      <c r="O316" s="263"/>
      <c r="P316" s="263"/>
      <c r="Q316" s="263"/>
      <c r="R316" s="263"/>
      <c r="S316" s="263"/>
      <c r="T316" s="263"/>
      <c r="U316" s="263"/>
      <c r="V316" s="263"/>
      <c r="W316" s="263"/>
      <c r="X316" s="263"/>
      <c r="Y316" s="263"/>
      <c r="Z316" s="263"/>
    </row>
    <row r="317">
      <c r="A317" s="263"/>
      <c r="B317" s="263"/>
      <c r="C317" s="263"/>
      <c r="D317" s="263"/>
      <c r="E317" s="263"/>
      <c r="F317" s="263"/>
      <c r="G317" s="263"/>
      <c r="H317" s="263"/>
      <c r="I317" s="263"/>
      <c r="J317" s="263"/>
      <c r="K317" s="263"/>
      <c r="L317" s="263"/>
      <c r="M317" s="263"/>
      <c r="N317" s="263"/>
      <c r="O317" s="263"/>
      <c r="P317" s="263"/>
      <c r="Q317" s="263"/>
      <c r="R317" s="263"/>
      <c r="S317" s="263"/>
      <c r="T317" s="263"/>
      <c r="U317" s="263"/>
      <c r="V317" s="263"/>
      <c r="W317" s="263"/>
      <c r="X317" s="263"/>
      <c r="Y317" s="263"/>
      <c r="Z317" s="263"/>
    </row>
    <row r="318">
      <c r="A318" s="263"/>
      <c r="B318" s="263"/>
      <c r="C318" s="263"/>
      <c r="D318" s="263"/>
      <c r="E318" s="263"/>
      <c r="F318" s="263"/>
      <c r="G318" s="263"/>
      <c r="H318" s="263"/>
      <c r="I318" s="263"/>
      <c r="J318" s="263"/>
      <c r="K318" s="263"/>
      <c r="L318" s="263"/>
      <c r="M318" s="263"/>
      <c r="N318" s="263"/>
      <c r="O318" s="263"/>
      <c r="P318" s="263"/>
      <c r="Q318" s="263"/>
      <c r="R318" s="263"/>
      <c r="S318" s="263"/>
      <c r="T318" s="263"/>
      <c r="U318" s="263"/>
      <c r="V318" s="263"/>
      <c r="W318" s="263"/>
      <c r="X318" s="263"/>
      <c r="Y318" s="263"/>
      <c r="Z318" s="263"/>
    </row>
    <row r="319">
      <c r="A319" s="263"/>
      <c r="B319" s="263"/>
      <c r="C319" s="263"/>
      <c r="D319" s="263"/>
      <c r="E319" s="263"/>
      <c r="F319" s="263"/>
      <c r="G319" s="263"/>
      <c r="H319" s="263"/>
      <c r="I319" s="263"/>
      <c r="J319" s="263"/>
      <c r="K319" s="263"/>
      <c r="L319" s="263"/>
      <c r="M319" s="263"/>
      <c r="N319" s="263"/>
      <c r="O319" s="263"/>
      <c r="P319" s="263"/>
      <c r="Q319" s="263"/>
      <c r="R319" s="263"/>
      <c r="S319" s="263"/>
      <c r="T319" s="263"/>
      <c r="U319" s="263"/>
      <c r="V319" s="263"/>
      <c r="W319" s="263"/>
      <c r="X319" s="263"/>
      <c r="Y319" s="263"/>
      <c r="Z319" s="263"/>
    </row>
    <row r="320">
      <c r="A320" s="263"/>
      <c r="B320" s="263"/>
      <c r="C320" s="263"/>
      <c r="D320" s="263"/>
      <c r="E320" s="263"/>
      <c r="F320" s="263"/>
      <c r="G320" s="263"/>
      <c r="H320" s="263"/>
      <c r="I320" s="263"/>
      <c r="J320" s="263"/>
      <c r="K320" s="263"/>
      <c r="L320" s="263"/>
      <c r="M320" s="263"/>
      <c r="N320" s="263"/>
      <c r="O320" s="263"/>
      <c r="P320" s="263"/>
      <c r="Q320" s="263"/>
      <c r="R320" s="263"/>
      <c r="S320" s="263"/>
      <c r="T320" s="263"/>
      <c r="U320" s="263"/>
      <c r="V320" s="263"/>
      <c r="W320" s="263"/>
      <c r="X320" s="263"/>
      <c r="Y320" s="263"/>
      <c r="Z320" s="263"/>
    </row>
    <row r="321">
      <c r="A321" s="263"/>
      <c r="B321" s="263"/>
      <c r="C321" s="263"/>
      <c r="D321" s="263"/>
      <c r="E321" s="263"/>
      <c r="F321" s="263"/>
      <c r="G321" s="263"/>
      <c r="H321" s="263"/>
      <c r="I321" s="263"/>
      <c r="J321" s="263"/>
      <c r="K321" s="263"/>
      <c r="L321" s="263"/>
      <c r="M321" s="263"/>
      <c r="N321" s="263"/>
      <c r="O321" s="263"/>
      <c r="P321" s="263"/>
      <c r="Q321" s="263"/>
      <c r="R321" s="263"/>
      <c r="S321" s="263"/>
      <c r="T321" s="263"/>
      <c r="U321" s="263"/>
      <c r="V321" s="263"/>
      <c r="W321" s="263"/>
      <c r="X321" s="263"/>
      <c r="Y321" s="263"/>
      <c r="Z321" s="263"/>
    </row>
    <row r="322">
      <c r="A322" s="263"/>
      <c r="B322" s="263"/>
      <c r="C322" s="263"/>
      <c r="D322" s="263"/>
      <c r="E322" s="263"/>
      <c r="F322" s="263"/>
      <c r="G322" s="263"/>
      <c r="H322" s="263"/>
      <c r="I322" s="263"/>
      <c r="J322" s="263"/>
      <c r="K322" s="263"/>
      <c r="L322" s="263"/>
      <c r="M322" s="263"/>
      <c r="N322" s="263"/>
      <c r="O322" s="263"/>
      <c r="P322" s="263"/>
      <c r="Q322" s="263"/>
      <c r="R322" s="263"/>
      <c r="S322" s="263"/>
      <c r="T322" s="263"/>
      <c r="U322" s="263"/>
      <c r="V322" s="263"/>
      <c r="W322" s="263"/>
      <c r="X322" s="263"/>
      <c r="Y322" s="263"/>
      <c r="Z322" s="263"/>
    </row>
    <row r="323">
      <c r="A323" s="263"/>
      <c r="B323" s="263"/>
      <c r="C323" s="263"/>
      <c r="D323" s="263"/>
      <c r="E323" s="263"/>
      <c r="F323" s="263"/>
      <c r="G323" s="263"/>
      <c r="H323" s="263"/>
      <c r="I323" s="263"/>
      <c r="J323" s="263"/>
      <c r="K323" s="263"/>
      <c r="L323" s="263"/>
      <c r="M323" s="263"/>
      <c r="N323" s="263"/>
      <c r="O323" s="263"/>
      <c r="P323" s="263"/>
      <c r="Q323" s="263"/>
      <c r="R323" s="263"/>
      <c r="S323" s="263"/>
      <c r="T323" s="263"/>
      <c r="U323" s="263"/>
      <c r="V323" s="263"/>
      <c r="W323" s="263"/>
      <c r="X323" s="263"/>
      <c r="Y323" s="263"/>
      <c r="Z323" s="263"/>
    </row>
    <row r="324">
      <c r="A324" s="263"/>
      <c r="B324" s="263"/>
      <c r="C324" s="263"/>
      <c r="D324" s="263"/>
      <c r="E324" s="263"/>
      <c r="F324" s="263"/>
      <c r="G324" s="263"/>
      <c r="H324" s="263"/>
      <c r="I324" s="263"/>
      <c r="J324" s="263"/>
      <c r="K324" s="263"/>
      <c r="L324" s="263"/>
      <c r="M324" s="263"/>
      <c r="N324" s="263"/>
      <c r="O324" s="263"/>
      <c r="P324" s="263"/>
      <c r="Q324" s="263"/>
      <c r="R324" s="263"/>
      <c r="S324" s="263"/>
      <c r="T324" s="263"/>
      <c r="U324" s="263"/>
      <c r="V324" s="263"/>
      <c r="W324" s="263"/>
      <c r="X324" s="263"/>
      <c r="Y324" s="263"/>
      <c r="Z324" s="263"/>
    </row>
    <row r="325">
      <c r="A325" s="263"/>
      <c r="B325" s="263"/>
      <c r="C325" s="263"/>
      <c r="D325" s="263"/>
      <c r="E325" s="263"/>
      <c r="F325" s="263"/>
      <c r="G325" s="263"/>
      <c r="H325" s="263"/>
      <c r="I325" s="263"/>
      <c r="J325" s="263"/>
      <c r="K325" s="263"/>
      <c r="L325" s="263"/>
      <c r="M325" s="263"/>
      <c r="N325" s="263"/>
      <c r="O325" s="263"/>
      <c r="P325" s="263"/>
      <c r="Q325" s="263"/>
      <c r="R325" s="263"/>
      <c r="S325" s="263"/>
      <c r="T325" s="263"/>
      <c r="U325" s="263"/>
      <c r="V325" s="263"/>
      <c r="W325" s="263"/>
      <c r="X325" s="263"/>
      <c r="Y325" s="263"/>
      <c r="Z325" s="263"/>
    </row>
    <row r="326">
      <c r="A326" s="263"/>
      <c r="B326" s="263"/>
      <c r="C326" s="263"/>
      <c r="D326" s="263"/>
      <c r="E326" s="263"/>
      <c r="F326" s="263"/>
      <c r="G326" s="263"/>
      <c r="H326" s="263"/>
      <c r="I326" s="263"/>
      <c r="J326" s="263"/>
      <c r="K326" s="263"/>
      <c r="L326" s="263"/>
      <c r="M326" s="263"/>
      <c r="N326" s="263"/>
      <c r="O326" s="263"/>
      <c r="P326" s="263"/>
      <c r="Q326" s="263"/>
      <c r="R326" s="263"/>
      <c r="S326" s="263"/>
      <c r="T326" s="263"/>
      <c r="U326" s="263"/>
      <c r="V326" s="263"/>
      <c r="W326" s="263"/>
      <c r="X326" s="263"/>
      <c r="Y326" s="263"/>
      <c r="Z326" s="263"/>
    </row>
    <row r="327">
      <c r="A327" s="263"/>
      <c r="B327" s="263"/>
      <c r="C327" s="263"/>
      <c r="D327" s="263"/>
      <c r="E327" s="263"/>
      <c r="F327" s="263"/>
      <c r="G327" s="263"/>
      <c r="H327" s="263"/>
      <c r="I327" s="263"/>
      <c r="J327" s="263"/>
      <c r="K327" s="263"/>
      <c r="L327" s="263"/>
      <c r="M327" s="263"/>
      <c r="N327" s="263"/>
      <c r="O327" s="263"/>
      <c r="P327" s="263"/>
      <c r="Q327" s="263"/>
      <c r="R327" s="263"/>
      <c r="S327" s="263"/>
      <c r="T327" s="263"/>
      <c r="U327" s="263"/>
      <c r="V327" s="263"/>
      <c r="W327" s="263"/>
      <c r="X327" s="263"/>
      <c r="Y327" s="263"/>
      <c r="Z327" s="263"/>
    </row>
    <row r="328">
      <c r="A328" s="263"/>
      <c r="B328" s="263"/>
      <c r="C328" s="263"/>
      <c r="D328" s="263"/>
      <c r="E328" s="263"/>
      <c r="F328" s="263"/>
      <c r="G328" s="263"/>
      <c r="H328" s="263"/>
      <c r="I328" s="263"/>
      <c r="J328" s="263"/>
      <c r="K328" s="263"/>
      <c r="L328" s="263"/>
      <c r="M328" s="263"/>
      <c r="N328" s="263"/>
      <c r="O328" s="263"/>
      <c r="P328" s="263"/>
      <c r="Q328" s="263"/>
      <c r="R328" s="263"/>
      <c r="S328" s="263"/>
      <c r="T328" s="263"/>
      <c r="U328" s="263"/>
      <c r="V328" s="263"/>
      <c r="W328" s="263"/>
      <c r="X328" s="263"/>
      <c r="Y328" s="263"/>
      <c r="Z328" s="263"/>
    </row>
    <row r="329">
      <c r="A329" s="263"/>
      <c r="B329" s="263"/>
      <c r="C329" s="263"/>
      <c r="D329" s="263"/>
      <c r="E329" s="263"/>
      <c r="F329" s="263"/>
      <c r="G329" s="263"/>
      <c r="H329" s="263"/>
      <c r="I329" s="263"/>
      <c r="J329" s="263"/>
      <c r="K329" s="263"/>
      <c r="L329" s="263"/>
      <c r="M329" s="263"/>
      <c r="N329" s="263"/>
      <c r="O329" s="263"/>
      <c r="P329" s="263"/>
      <c r="Q329" s="263"/>
      <c r="R329" s="263"/>
      <c r="S329" s="263"/>
      <c r="T329" s="263"/>
      <c r="U329" s="263"/>
      <c r="V329" s="263"/>
      <c r="W329" s="263"/>
      <c r="X329" s="263"/>
      <c r="Y329" s="263"/>
      <c r="Z329" s="263"/>
    </row>
    <row r="330">
      <c r="A330" s="263"/>
      <c r="B330" s="263"/>
      <c r="C330" s="263"/>
      <c r="D330" s="263"/>
      <c r="E330" s="263"/>
      <c r="F330" s="263"/>
      <c r="G330" s="263"/>
      <c r="H330" s="263"/>
      <c r="I330" s="263"/>
      <c r="J330" s="263"/>
      <c r="K330" s="263"/>
      <c r="L330" s="263"/>
      <c r="M330" s="263"/>
      <c r="N330" s="263"/>
      <c r="O330" s="263"/>
      <c r="P330" s="263"/>
      <c r="Q330" s="263"/>
      <c r="R330" s="263"/>
      <c r="S330" s="263"/>
      <c r="T330" s="263"/>
      <c r="U330" s="263"/>
      <c r="V330" s="263"/>
      <c r="W330" s="263"/>
      <c r="X330" s="263"/>
      <c r="Y330" s="263"/>
      <c r="Z330" s="263"/>
    </row>
    <row r="331">
      <c r="A331" s="263"/>
      <c r="B331" s="263"/>
      <c r="C331" s="263"/>
      <c r="D331" s="263"/>
      <c r="E331" s="263"/>
      <c r="F331" s="263"/>
      <c r="G331" s="263"/>
      <c r="H331" s="263"/>
      <c r="I331" s="263"/>
      <c r="J331" s="263"/>
      <c r="K331" s="263"/>
      <c r="L331" s="263"/>
      <c r="M331" s="263"/>
      <c r="N331" s="263"/>
      <c r="O331" s="263"/>
      <c r="P331" s="263"/>
      <c r="Q331" s="263"/>
      <c r="R331" s="263"/>
      <c r="S331" s="263"/>
      <c r="T331" s="263"/>
      <c r="U331" s="263"/>
      <c r="V331" s="263"/>
      <c r="W331" s="263"/>
      <c r="X331" s="263"/>
      <c r="Y331" s="263"/>
      <c r="Z331" s="263"/>
    </row>
    <row r="332">
      <c r="A332" s="263"/>
      <c r="B332" s="263"/>
      <c r="C332" s="263"/>
      <c r="D332" s="263"/>
      <c r="E332" s="263"/>
      <c r="F332" s="263"/>
      <c r="G332" s="263"/>
      <c r="H332" s="263"/>
      <c r="I332" s="263"/>
      <c r="J332" s="263"/>
      <c r="K332" s="263"/>
      <c r="L332" s="263"/>
      <c r="M332" s="263"/>
      <c r="N332" s="263"/>
      <c r="O332" s="263"/>
      <c r="P332" s="263"/>
      <c r="Q332" s="263"/>
      <c r="R332" s="263"/>
      <c r="S332" s="263"/>
      <c r="T332" s="263"/>
      <c r="U332" s="263"/>
      <c r="V332" s="263"/>
      <c r="W332" s="263"/>
      <c r="X332" s="263"/>
      <c r="Y332" s="263"/>
      <c r="Z332" s="263"/>
    </row>
    <row r="333">
      <c r="A333" s="263"/>
      <c r="B333" s="263"/>
      <c r="C333" s="263"/>
      <c r="D333" s="263"/>
      <c r="E333" s="263"/>
      <c r="F333" s="263"/>
      <c r="G333" s="263"/>
      <c r="H333" s="263"/>
      <c r="I333" s="263"/>
      <c r="J333" s="263"/>
      <c r="K333" s="263"/>
      <c r="L333" s="263"/>
      <c r="M333" s="263"/>
      <c r="N333" s="263"/>
      <c r="O333" s="263"/>
      <c r="P333" s="263"/>
      <c r="Q333" s="263"/>
      <c r="R333" s="263"/>
      <c r="S333" s="263"/>
      <c r="T333" s="263"/>
      <c r="U333" s="263"/>
      <c r="V333" s="263"/>
      <c r="W333" s="263"/>
      <c r="X333" s="263"/>
      <c r="Y333" s="263"/>
      <c r="Z333" s="263"/>
    </row>
    <row r="334">
      <c r="A334" s="263"/>
      <c r="B334" s="263"/>
      <c r="C334" s="263"/>
      <c r="D334" s="263"/>
      <c r="E334" s="263"/>
      <c r="F334" s="263"/>
      <c r="G334" s="263"/>
      <c r="H334" s="263"/>
      <c r="I334" s="263"/>
      <c r="J334" s="263"/>
      <c r="K334" s="263"/>
      <c r="L334" s="263"/>
      <c r="M334" s="263"/>
      <c r="N334" s="263"/>
      <c r="O334" s="263"/>
      <c r="P334" s="263"/>
      <c r="Q334" s="263"/>
      <c r="R334" s="263"/>
      <c r="S334" s="263"/>
      <c r="T334" s="263"/>
      <c r="U334" s="263"/>
      <c r="V334" s="263"/>
      <c r="W334" s="263"/>
      <c r="X334" s="263"/>
      <c r="Y334" s="263"/>
      <c r="Z334" s="263"/>
    </row>
    <row r="335">
      <c r="A335" s="263"/>
      <c r="B335" s="263"/>
      <c r="C335" s="263"/>
      <c r="D335" s="263"/>
      <c r="E335" s="263"/>
      <c r="F335" s="263"/>
      <c r="G335" s="263"/>
      <c r="H335" s="263"/>
      <c r="I335" s="263"/>
      <c r="J335" s="263"/>
      <c r="K335" s="263"/>
      <c r="L335" s="263"/>
      <c r="M335" s="263"/>
      <c r="N335" s="263"/>
      <c r="O335" s="263"/>
      <c r="P335" s="263"/>
      <c r="Q335" s="263"/>
      <c r="R335" s="263"/>
      <c r="S335" s="263"/>
      <c r="T335" s="263"/>
      <c r="U335" s="263"/>
      <c r="V335" s="263"/>
      <c r="W335" s="263"/>
      <c r="X335" s="263"/>
      <c r="Y335" s="263"/>
      <c r="Z335" s="263"/>
    </row>
    <row r="336">
      <c r="A336" s="263"/>
      <c r="B336" s="263"/>
      <c r="C336" s="263"/>
      <c r="D336" s="263"/>
      <c r="E336" s="263"/>
      <c r="F336" s="263"/>
      <c r="G336" s="263"/>
      <c r="H336" s="263"/>
      <c r="I336" s="263"/>
      <c r="J336" s="263"/>
      <c r="K336" s="263"/>
      <c r="L336" s="263"/>
      <c r="M336" s="263"/>
      <c r="N336" s="263"/>
      <c r="O336" s="263"/>
      <c r="P336" s="263"/>
      <c r="Q336" s="263"/>
      <c r="R336" s="263"/>
      <c r="S336" s="263"/>
      <c r="T336" s="263"/>
      <c r="U336" s="263"/>
      <c r="V336" s="263"/>
      <c r="W336" s="263"/>
      <c r="X336" s="263"/>
      <c r="Y336" s="263"/>
      <c r="Z336" s="263"/>
    </row>
    <row r="337">
      <c r="A337" s="263"/>
      <c r="B337" s="263"/>
      <c r="C337" s="263"/>
      <c r="D337" s="263"/>
      <c r="E337" s="263"/>
      <c r="F337" s="263"/>
      <c r="G337" s="263"/>
      <c r="H337" s="263"/>
      <c r="I337" s="263"/>
      <c r="J337" s="263"/>
      <c r="K337" s="263"/>
      <c r="L337" s="263"/>
      <c r="M337" s="263"/>
      <c r="N337" s="263"/>
      <c r="O337" s="263"/>
      <c r="P337" s="263"/>
      <c r="Q337" s="263"/>
      <c r="R337" s="263"/>
      <c r="S337" s="263"/>
      <c r="T337" s="263"/>
      <c r="U337" s="263"/>
      <c r="V337" s="263"/>
      <c r="W337" s="263"/>
      <c r="X337" s="263"/>
      <c r="Y337" s="263"/>
      <c r="Z337" s="263"/>
    </row>
    <row r="338">
      <c r="A338" s="263"/>
      <c r="B338" s="263"/>
      <c r="C338" s="263"/>
      <c r="D338" s="263"/>
      <c r="E338" s="263"/>
      <c r="F338" s="263"/>
      <c r="G338" s="263"/>
      <c r="H338" s="263"/>
      <c r="I338" s="263"/>
      <c r="J338" s="263"/>
      <c r="K338" s="263"/>
      <c r="L338" s="263"/>
      <c r="M338" s="263"/>
      <c r="N338" s="263"/>
      <c r="O338" s="263"/>
      <c r="P338" s="263"/>
      <c r="Q338" s="263"/>
      <c r="R338" s="263"/>
      <c r="S338" s="263"/>
      <c r="T338" s="263"/>
      <c r="U338" s="263"/>
      <c r="V338" s="263"/>
      <c r="W338" s="263"/>
      <c r="X338" s="263"/>
      <c r="Y338" s="263"/>
      <c r="Z338" s="263"/>
    </row>
    <row r="339">
      <c r="A339" s="263"/>
      <c r="B339" s="263"/>
      <c r="C339" s="263"/>
      <c r="D339" s="263"/>
      <c r="E339" s="263"/>
      <c r="F339" s="263"/>
      <c r="G339" s="263"/>
      <c r="H339" s="263"/>
      <c r="I339" s="263"/>
      <c r="J339" s="263"/>
      <c r="K339" s="263"/>
      <c r="L339" s="263"/>
      <c r="M339" s="263"/>
      <c r="N339" s="263"/>
      <c r="O339" s="263"/>
      <c r="P339" s="263"/>
      <c r="Q339" s="263"/>
      <c r="R339" s="263"/>
      <c r="S339" s="263"/>
      <c r="T339" s="263"/>
      <c r="U339" s="263"/>
      <c r="V339" s="263"/>
      <c r="W339" s="263"/>
      <c r="X339" s="263"/>
      <c r="Y339" s="263"/>
      <c r="Z339" s="263"/>
    </row>
    <row r="340">
      <c r="A340" s="263"/>
      <c r="B340" s="263"/>
      <c r="C340" s="263"/>
      <c r="D340" s="263"/>
      <c r="E340" s="263"/>
      <c r="F340" s="263"/>
      <c r="G340" s="263"/>
      <c r="H340" s="263"/>
      <c r="I340" s="263"/>
      <c r="J340" s="263"/>
      <c r="K340" s="263"/>
      <c r="L340" s="263"/>
      <c r="M340" s="263"/>
      <c r="N340" s="263"/>
      <c r="O340" s="263"/>
      <c r="P340" s="263"/>
      <c r="Q340" s="263"/>
      <c r="R340" s="263"/>
      <c r="S340" s="263"/>
      <c r="T340" s="263"/>
      <c r="U340" s="263"/>
      <c r="V340" s="263"/>
      <c r="W340" s="263"/>
      <c r="X340" s="263"/>
      <c r="Y340" s="263"/>
      <c r="Z340" s="263"/>
    </row>
    <row r="341">
      <c r="A341" s="263"/>
      <c r="B341" s="263"/>
      <c r="C341" s="263"/>
      <c r="D341" s="263"/>
      <c r="E341" s="263"/>
      <c r="F341" s="263"/>
      <c r="G341" s="263"/>
      <c r="H341" s="263"/>
      <c r="I341" s="263"/>
      <c r="J341" s="263"/>
      <c r="K341" s="263"/>
      <c r="L341" s="263"/>
      <c r="M341" s="263"/>
      <c r="N341" s="263"/>
      <c r="O341" s="263"/>
      <c r="P341" s="263"/>
      <c r="Q341" s="263"/>
      <c r="R341" s="263"/>
      <c r="S341" s="263"/>
      <c r="T341" s="263"/>
      <c r="U341" s="263"/>
      <c r="V341" s="263"/>
      <c r="W341" s="263"/>
      <c r="X341" s="263"/>
      <c r="Y341" s="263"/>
      <c r="Z341" s="263"/>
    </row>
    <row r="342">
      <c r="A342" s="263"/>
      <c r="B342" s="263"/>
      <c r="C342" s="263"/>
      <c r="D342" s="263"/>
      <c r="E342" s="263"/>
      <c r="F342" s="263"/>
      <c r="G342" s="263"/>
      <c r="H342" s="263"/>
      <c r="I342" s="263"/>
      <c r="J342" s="263"/>
      <c r="K342" s="263"/>
      <c r="L342" s="263"/>
      <c r="M342" s="263"/>
      <c r="N342" s="263"/>
      <c r="O342" s="263"/>
      <c r="P342" s="263"/>
      <c r="Q342" s="263"/>
      <c r="R342" s="263"/>
      <c r="S342" s="263"/>
      <c r="T342" s="263"/>
      <c r="U342" s="263"/>
      <c r="V342" s="263"/>
      <c r="W342" s="263"/>
      <c r="X342" s="263"/>
      <c r="Y342" s="263"/>
      <c r="Z342" s="263"/>
    </row>
    <row r="343">
      <c r="A343" s="263"/>
      <c r="B343" s="263"/>
      <c r="C343" s="263"/>
      <c r="D343" s="263"/>
      <c r="E343" s="263"/>
      <c r="F343" s="263"/>
      <c r="G343" s="263"/>
      <c r="H343" s="263"/>
      <c r="I343" s="263"/>
      <c r="J343" s="263"/>
      <c r="K343" s="263"/>
      <c r="L343" s="263"/>
      <c r="M343" s="263"/>
      <c r="N343" s="263"/>
      <c r="O343" s="263"/>
      <c r="P343" s="263"/>
      <c r="Q343" s="263"/>
      <c r="R343" s="263"/>
      <c r="S343" s="263"/>
      <c r="T343" s="263"/>
      <c r="U343" s="263"/>
      <c r="V343" s="263"/>
      <c r="W343" s="263"/>
      <c r="X343" s="263"/>
      <c r="Y343" s="263"/>
      <c r="Z343" s="263"/>
    </row>
    <row r="344">
      <c r="A344" s="263"/>
      <c r="B344" s="263"/>
      <c r="C344" s="263"/>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3"/>
    </row>
    <row r="345">
      <c r="A345" s="263"/>
      <c r="B345" s="263"/>
      <c r="C345" s="263"/>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3"/>
    </row>
    <row r="346">
      <c r="A346" s="263"/>
      <c r="B346" s="263"/>
      <c r="C346" s="263"/>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3"/>
    </row>
    <row r="347">
      <c r="A347" s="263"/>
      <c r="B347" s="263"/>
      <c r="C347" s="263"/>
      <c r="D347" s="263"/>
      <c r="E347" s="263"/>
      <c r="F347" s="263"/>
      <c r="G347" s="263"/>
      <c r="H347" s="263"/>
      <c r="I347" s="263"/>
      <c r="J347" s="263"/>
      <c r="K347" s="263"/>
      <c r="L347" s="263"/>
      <c r="M347" s="263"/>
      <c r="N347" s="263"/>
      <c r="O347" s="263"/>
      <c r="P347" s="263"/>
      <c r="Q347" s="263"/>
      <c r="R347" s="263"/>
      <c r="S347" s="263"/>
      <c r="T347" s="263"/>
      <c r="U347" s="263"/>
      <c r="V347" s="263"/>
      <c r="W347" s="263"/>
      <c r="X347" s="263"/>
      <c r="Y347" s="263"/>
      <c r="Z347" s="263"/>
    </row>
    <row r="348">
      <c r="A348" s="263"/>
      <c r="B348" s="263"/>
      <c r="C348" s="263"/>
      <c r="D348" s="263"/>
      <c r="E348" s="263"/>
      <c r="F348" s="263"/>
      <c r="G348" s="263"/>
      <c r="H348" s="263"/>
      <c r="I348" s="263"/>
      <c r="J348" s="263"/>
      <c r="K348" s="263"/>
      <c r="L348" s="263"/>
      <c r="M348" s="263"/>
      <c r="N348" s="263"/>
      <c r="O348" s="263"/>
      <c r="P348" s="263"/>
      <c r="Q348" s="263"/>
      <c r="R348" s="263"/>
      <c r="S348" s="263"/>
      <c r="T348" s="263"/>
      <c r="U348" s="263"/>
      <c r="V348" s="263"/>
      <c r="W348" s="263"/>
      <c r="X348" s="263"/>
      <c r="Y348" s="263"/>
      <c r="Z348" s="263"/>
    </row>
    <row r="349">
      <c r="A349" s="263"/>
      <c r="B349" s="263"/>
      <c r="C349" s="263"/>
      <c r="D349" s="263"/>
      <c r="E349" s="263"/>
      <c r="F349" s="263"/>
      <c r="G349" s="263"/>
      <c r="H349" s="263"/>
      <c r="I349" s="263"/>
      <c r="J349" s="263"/>
      <c r="K349" s="263"/>
      <c r="L349" s="263"/>
      <c r="M349" s="263"/>
      <c r="N349" s="263"/>
      <c r="O349" s="263"/>
      <c r="P349" s="263"/>
      <c r="Q349" s="263"/>
      <c r="R349" s="263"/>
      <c r="S349" s="263"/>
      <c r="T349" s="263"/>
      <c r="U349" s="263"/>
      <c r="V349" s="263"/>
      <c r="W349" s="263"/>
      <c r="X349" s="263"/>
      <c r="Y349" s="263"/>
      <c r="Z349" s="263"/>
    </row>
    <row r="350">
      <c r="A350" s="263"/>
      <c r="B350" s="263"/>
      <c r="C350" s="263"/>
      <c r="D350" s="263"/>
      <c r="E350" s="263"/>
      <c r="F350" s="263"/>
      <c r="G350" s="263"/>
      <c r="H350" s="263"/>
      <c r="I350" s="263"/>
      <c r="J350" s="263"/>
      <c r="K350" s="263"/>
      <c r="L350" s="263"/>
      <c r="M350" s="263"/>
      <c r="N350" s="263"/>
      <c r="O350" s="263"/>
      <c r="P350" s="263"/>
      <c r="Q350" s="263"/>
      <c r="R350" s="263"/>
      <c r="S350" s="263"/>
      <c r="T350" s="263"/>
      <c r="U350" s="263"/>
      <c r="V350" s="263"/>
      <c r="W350" s="263"/>
      <c r="X350" s="263"/>
      <c r="Y350" s="263"/>
      <c r="Z350" s="263"/>
    </row>
    <row r="351">
      <c r="A351" s="263"/>
      <c r="B351" s="263"/>
      <c r="C351" s="263"/>
      <c r="D351" s="263"/>
      <c r="E351" s="263"/>
      <c r="F351" s="263"/>
      <c r="G351" s="263"/>
      <c r="H351" s="263"/>
      <c r="I351" s="263"/>
      <c r="J351" s="263"/>
      <c r="K351" s="263"/>
      <c r="L351" s="263"/>
      <c r="M351" s="263"/>
      <c r="N351" s="263"/>
      <c r="O351" s="263"/>
      <c r="P351" s="263"/>
      <c r="Q351" s="263"/>
      <c r="R351" s="263"/>
      <c r="S351" s="263"/>
      <c r="T351" s="263"/>
      <c r="U351" s="263"/>
      <c r="V351" s="263"/>
      <c r="W351" s="263"/>
      <c r="X351" s="263"/>
      <c r="Y351" s="263"/>
      <c r="Z351" s="263"/>
    </row>
    <row r="352">
      <c r="A352" s="263"/>
      <c r="B352" s="263"/>
      <c r="C352" s="263"/>
      <c r="D352" s="263"/>
      <c r="E352" s="263"/>
      <c r="F352" s="263"/>
      <c r="G352" s="263"/>
      <c r="H352" s="263"/>
      <c r="I352" s="263"/>
      <c r="J352" s="263"/>
      <c r="K352" s="263"/>
      <c r="L352" s="263"/>
      <c r="M352" s="263"/>
      <c r="N352" s="263"/>
      <c r="O352" s="263"/>
      <c r="P352" s="263"/>
      <c r="Q352" s="263"/>
      <c r="R352" s="263"/>
      <c r="S352" s="263"/>
      <c r="T352" s="263"/>
      <c r="U352" s="263"/>
      <c r="V352" s="263"/>
      <c r="W352" s="263"/>
      <c r="X352" s="263"/>
      <c r="Y352" s="263"/>
      <c r="Z352" s="263"/>
    </row>
    <row r="353">
      <c r="A353" s="263"/>
      <c r="B353" s="263"/>
      <c r="C353" s="263"/>
      <c r="D353" s="263"/>
      <c r="E353" s="263"/>
      <c r="F353" s="263"/>
      <c r="G353" s="263"/>
      <c r="H353" s="263"/>
      <c r="I353" s="263"/>
      <c r="J353" s="263"/>
      <c r="K353" s="263"/>
      <c r="L353" s="263"/>
      <c r="M353" s="263"/>
      <c r="N353" s="263"/>
      <c r="O353" s="263"/>
      <c r="P353" s="263"/>
      <c r="Q353" s="263"/>
      <c r="R353" s="263"/>
      <c r="S353" s="263"/>
      <c r="T353" s="263"/>
      <c r="U353" s="263"/>
      <c r="V353" s="263"/>
      <c r="W353" s="263"/>
      <c r="X353" s="263"/>
      <c r="Y353" s="263"/>
      <c r="Z353" s="263"/>
    </row>
    <row r="354">
      <c r="A354" s="263"/>
      <c r="B354" s="263"/>
      <c r="C354" s="263"/>
      <c r="D354" s="263"/>
      <c r="E354" s="263"/>
      <c r="F354" s="263"/>
      <c r="G354" s="263"/>
      <c r="H354" s="263"/>
      <c r="I354" s="263"/>
      <c r="J354" s="263"/>
      <c r="K354" s="263"/>
      <c r="L354" s="263"/>
      <c r="M354" s="263"/>
      <c r="N354" s="263"/>
      <c r="O354" s="263"/>
      <c r="P354" s="263"/>
      <c r="Q354" s="263"/>
      <c r="R354" s="263"/>
      <c r="S354" s="263"/>
      <c r="T354" s="263"/>
      <c r="U354" s="263"/>
      <c r="V354" s="263"/>
      <c r="W354" s="263"/>
      <c r="X354" s="263"/>
      <c r="Y354" s="263"/>
      <c r="Z354" s="263"/>
    </row>
    <row r="355">
      <c r="A355" s="263"/>
      <c r="B355" s="263"/>
      <c r="C355" s="263"/>
      <c r="D355" s="263"/>
      <c r="E355" s="263"/>
      <c r="F355" s="263"/>
      <c r="G355" s="263"/>
      <c r="H355" s="263"/>
      <c r="I355" s="263"/>
      <c r="J355" s="263"/>
      <c r="K355" s="263"/>
      <c r="L355" s="263"/>
      <c r="M355" s="263"/>
      <c r="N355" s="263"/>
      <c r="O355" s="263"/>
      <c r="P355" s="263"/>
      <c r="Q355" s="263"/>
      <c r="R355" s="263"/>
      <c r="S355" s="263"/>
      <c r="T355" s="263"/>
      <c r="U355" s="263"/>
      <c r="V355" s="263"/>
      <c r="W355" s="263"/>
      <c r="X355" s="263"/>
      <c r="Y355" s="263"/>
      <c r="Z355" s="263"/>
    </row>
    <row r="356">
      <c r="A356" s="263"/>
      <c r="B356" s="263"/>
      <c r="C356" s="263"/>
      <c r="D356" s="263"/>
      <c r="E356" s="263"/>
      <c r="F356" s="263"/>
      <c r="G356" s="263"/>
      <c r="H356" s="263"/>
      <c r="I356" s="263"/>
      <c r="J356" s="263"/>
      <c r="K356" s="263"/>
      <c r="L356" s="263"/>
      <c r="M356" s="263"/>
      <c r="N356" s="263"/>
      <c r="O356" s="263"/>
      <c r="P356" s="263"/>
      <c r="Q356" s="263"/>
      <c r="R356" s="263"/>
      <c r="S356" s="263"/>
      <c r="T356" s="263"/>
      <c r="U356" s="263"/>
      <c r="V356" s="263"/>
      <c r="W356" s="263"/>
      <c r="X356" s="263"/>
      <c r="Y356" s="263"/>
      <c r="Z356" s="263"/>
    </row>
    <row r="357">
      <c r="A357" s="263"/>
      <c r="B357" s="263"/>
      <c r="C357" s="263"/>
      <c r="D357" s="263"/>
      <c r="E357" s="263"/>
      <c r="F357" s="263"/>
      <c r="G357" s="263"/>
      <c r="H357" s="263"/>
      <c r="I357" s="263"/>
      <c r="J357" s="263"/>
      <c r="K357" s="263"/>
      <c r="L357" s="263"/>
      <c r="M357" s="263"/>
      <c r="N357" s="263"/>
      <c r="O357" s="263"/>
      <c r="P357" s="263"/>
      <c r="Q357" s="263"/>
      <c r="R357" s="263"/>
      <c r="S357" s="263"/>
      <c r="T357" s="263"/>
      <c r="U357" s="263"/>
      <c r="V357" s="263"/>
      <c r="W357" s="263"/>
      <c r="X357" s="263"/>
      <c r="Y357" s="263"/>
      <c r="Z357" s="263"/>
    </row>
    <row r="358">
      <c r="A358" s="263"/>
      <c r="B358" s="263"/>
      <c r="C358" s="263"/>
      <c r="D358" s="263"/>
      <c r="E358" s="263"/>
      <c r="F358" s="263"/>
      <c r="G358" s="263"/>
      <c r="H358" s="263"/>
      <c r="I358" s="263"/>
      <c r="J358" s="263"/>
      <c r="K358" s="263"/>
      <c r="L358" s="263"/>
      <c r="M358" s="263"/>
      <c r="N358" s="263"/>
      <c r="O358" s="263"/>
      <c r="P358" s="263"/>
      <c r="Q358" s="263"/>
      <c r="R358" s="263"/>
      <c r="S358" s="263"/>
      <c r="T358" s="263"/>
      <c r="U358" s="263"/>
      <c r="V358" s="263"/>
      <c r="W358" s="263"/>
      <c r="X358" s="263"/>
      <c r="Y358" s="263"/>
      <c r="Z358" s="263"/>
    </row>
    <row r="359">
      <c r="A359" s="263"/>
      <c r="B359" s="263"/>
      <c r="C359" s="263"/>
      <c r="D359" s="263"/>
      <c r="E359" s="263"/>
      <c r="F359" s="263"/>
      <c r="G359" s="263"/>
      <c r="H359" s="263"/>
      <c r="I359" s="263"/>
      <c r="J359" s="263"/>
      <c r="K359" s="263"/>
      <c r="L359" s="263"/>
      <c r="M359" s="263"/>
      <c r="N359" s="263"/>
      <c r="O359" s="263"/>
      <c r="P359" s="263"/>
      <c r="Q359" s="263"/>
      <c r="R359" s="263"/>
      <c r="S359" s="263"/>
      <c r="T359" s="263"/>
      <c r="U359" s="263"/>
      <c r="V359" s="263"/>
      <c r="W359" s="263"/>
      <c r="X359" s="263"/>
      <c r="Y359" s="263"/>
      <c r="Z359" s="263"/>
    </row>
    <row r="360">
      <c r="A360" s="263"/>
      <c r="B360" s="263"/>
      <c r="C360" s="263"/>
      <c r="D360" s="263"/>
      <c r="E360" s="263"/>
      <c r="F360" s="263"/>
      <c r="G360" s="263"/>
      <c r="H360" s="263"/>
      <c r="I360" s="263"/>
      <c r="J360" s="263"/>
      <c r="K360" s="263"/>
      <c r="L360" s="263"/>
      <c r="M360" s="263"/>
      <c r="N360" s="263"/>
      <c r="O360" s="263"/>
      <c r="P360" s="263"/>
      <c r="Q360" s="263"/>
      <c r="R360" s="263"/>
      <c r="S360" s="263"/>
      <c r="T360" s="263"/>
      <c r="U360" s="263"/>
      <c r="V360" s="263"/>
      <c r="W360" s="263"/>
      <c r="X360" s="263"/>
      <c r="Y360" s="263"/>
      <c r="Z360" s="263"/>
    </row>
    <row r="361">
      <c r="A361" s="263"/>
      <c r="B361" s="263"/>
      <c r="C361" s="263"/>
      <c r="D361" s="263"/>
      <c r="E361" s="263"/>
      <c r="F361" s="263"/>
      <c r="G361" s="263"/>
      <c r="H361" s="263"/>
      <c r="I361" s="263"/>
      <c r="J361" s="263"/>
      <c r="K361" s="263"/>
      <c r="L361" s="263"/>
      <c r="M361" s="263"/>
      <c r="N361" s="263"/>
      <c r="O361" s="263"/>
      <c r="P361" s="263"/>
      <c r="Q361" s="263"/>
      <c r="R361" s="263"/>
      <c r="S361" s="263"/>
      <c r="T361" s="263"/>
      <c r="U361" s="263"/>
      <c r="V361" s="263"/>
      <c r="W361" s="263"/>
      <c r="X361" s="263"/>
      <c r="Y361" s="263"/>
      <c r="Z361" s="263"/>
    </row>
    <row r="362">
      <c r="A362" s="263"/>
      <c r="B362" s="263"/>
      <c r="C362" s="263"/>
      <c r="D362" s="263"/>
      <c r="E362" s="263"/>
      <c r="F362" s="263"/>
      <c r="G362" s="263"/>
      <c r="H362" s="263"/>
      <c r="I362" s="263"/>
      <c r="J362" s="263"/>
      <c r="K362" s="263"/>
      <c r="L362" s="263"/>
      <c r="M362" s="263"/>
      <c r="N362" s="263"/>
      <c r="O362" s="263"/>
      <c r="P362" s="263"/>
      <c r="Q362" s="263"/>
      <c r="R362" s="263"/>
      <c r="S362" s="263"/>
      <c r="T362" s="263"/>
      <c r="U362" s="263"/>
      <c r="V362" s="263"/>
      <c r="W362" s="263"/>
      <c r="X362" s="263"/>
      <c r="Y362" s="263"/>
      <c r="Z362" s="263"/>
    </row>
    <row r="363">
      <c r="A363" s="263"/>
      <c r="B363" s="263"/>
      <c r="C363" s="263"/>
      <c r="D363" s="263"/>
      <c r="E363" s="263"/>
      <c r="F363" s="263"/>
      <c r="G363" s="263"/>
      <c r="H363" s="263"/>
      <c r="I363" s="263"/>
      <c r="J363" s="263"/>
      <c r="K363" s="263"/>
      <c r="L363" s="263"/>
      <c r="M363" s="263"/>
      <c r="N363" s="263"/>
      <c r="O363" s="263"/>
      <c r="P363" s="263"/>
      <c r="Q363" s="263"/>
      <c r="R363" s="263"/>
      <c r="S363" s="263"/>
      <c r="T363" s="263"/>
      <c r="U363" s="263"/>
      <c r="V363" s="263"/>
      <c r="W363" s="263"/>
      <c r="X363" s="263"/>
      <c r="Y363" s="263"/>
      <c r="Z363" s="263"/>
    </row>
    <row r="364">
      <c r="A364" s="263"/>
      <c r="B364" s="263"/>
      <c r="C364" s="263"/>
      <c r="D364" s="263"/>
      <c r="E364" s="263"/>
      <c r="F364" s="263"/>
      <c r="G364" s="263"/>
      <c r="H364" s="263"/>
      <c r="I364" s="263"/>
      <c r="J364" s="263"/>
      <c r="K364" s="263"/>
      <c r="L364" s="263"/>
      <c r="M364" s="263"/>
      <c r="N364" s="263"/>
      <c r="O364" s="263"/>
      <c r="P364" s="263"/>
      <c r="Q364" s="263"/>
      <c r="R364" s="263"/>
      <c r="S364" s="263"/>
      <c r="T364" s="263"/>
      <c r="U364" s="263"/>
      <c r="V364" s="263"/>
      <c r="W364" s="263"/>
      <c r="X364" s="263"/>
      <c r="Y364" s="263"/>
      <c r="Z364" s="263"/>
    </row>
    <row r="365">
      <c r="A365" s="263"/>
      <c r="B365" s="263"/>
      <c r="C365" s="263"/>
      <c r="D365" s="263"/>
      <c r="E365" s="263"/>
      <c r="F365" s="263"/>
      <c r="G365" s="263"/>
      <c r="H365" s="263"/>
      <c r="I365" s="263"/>
      <c r="J365" s="263"/>
      <c r="K365" s="263"/>
      <c r="L365" s="263"/>
      <c r="M365" s="263"/>
      <c r="N365" s="263"/>
      <c r="O365" s="263"/>
      <c r="P365" s="263"/>
      <c r="Q365" s="263"/>
      <c r="R365" s="263"/>
      <c r="S365" s="263"/>
      <c r="T365" s="263"/>
      <c r="U365" s="263"/>
      <c r="V365" s="263"/>
      <c r="W365" s="263"/>
      <c r="X365" s="263"/>
      <c r="Y365" s="263"/>
      <c r="Z365" s="263"/>
    </row>
    <row r="366">
      <c r="A366" s="263"/>
      <c r="B366" s="263"/>
      <c r="C366" s="263"/>
      <c r="D366" s="263"/>
      <c r="E366" s="263"/>
      <c r="F366" s="263"/>
      <c r="G366" s="263"/>
      <c r="H366" s="263"/>
      <c r="I366" s="263"/>
      <c r="J366" s="263"/>
      <c r="K366" s="263"/>
      <c r="L366" s="263"/>
      <c r="M366" s="263"/>
      <c r="N366" s="263"/>
      <c r="O366" s="263"/>
      <c r="P366" s="263"/>
      <c r="Q366" s="263"/>
      <c r="R366" s="263"/>
      <c r="S366" s="263"/>
      <c r="T366" s="263"/>
      <c r="U366" s="263"/>
      <c r="V366" s="263"/>
      <c r="W366" s="263"/>
      <c r="X366" s="263"/>
      <c r="Y366" s="263"/>
      <c r="Z366" s="263"/>
    </row>
    <row r="367">
      <c r="A367" s="263"/>
      <c r="B367" s="263"/>
      <c r="C367" s="263"/>
      <c r="D367" s="263"/>
      <c r="E367" s="263"/>
      <c r="F367" s="263"/>
      <c r="G367" s="263"/>
      <c r="H367" s="263"/>
      <c r="I367" s="263"/>
      <c r="J367" s="263"/>
      <c r="K367" s="263"/>
      <c r="L367" s="263"/>
      <c r="M367" s="263"/>
      <c r="N367" s="263"/>
      <c r="O367" s="263"/>
      <c r="P367" s="263"/>
      <c r="Q367" s="263"/>
      <c r="R367" s="263"/>
      <c r="S367" s="263"/>
      <c r="T367" s="263"/>
      <c r="U367" s="263"/>
      <c r="V367" s="263"/>
      <c r="W367" s="263"/>
      <c r="X367" s="263"/>
      <c r="Y367" s="263"/>
      <c r="Z367" s="263"/>
    </row>
    <row r="368">
      <c r="A368" s="263"/>
      <c r="B368" s="263"/>
      <c r="C368" s="263"/>
      <c r="D368" s="263"/>
      <c r="E368" s="263"/>
      <c r="F368" s="263"/>
      <c r="G368" s="263"/>
      <c r="H368" s="263"/>
      <c r="I368" s="263"/>
      <c r="J368" s="263"/>
      <c r="K368" s="263"/>
      <c r="L368" s="263"/>
      <c r="M368" s="263"/>
      <c r="N368" s="263"/>
      <c r="O368" s="263"/>
      <c r="P368" s="263"/>
      <c r="Q368" s="263"/>
      <c r="R368" s="263"/>
      <c r="S368" s="263"/>
      <c r="T368" s="263"/>
      <c r="U368" s="263"/>
      <c r="V368" s="263"/>
      <c r="W368" s="263"/>
      <c r="X368" s="263"/>
      <c r="Y368" s="263"/>
      <c r="Z368" s="263"/>
    </row>
    <row r="369">
      <c r="A369" s="263"/>
      <c r="B369" s="263"/>
      <c r="C369" s="263"/>
      <c r="D369" s="263"/>
      <c r="E369" s="263"/>
      <c r="F369" s="263"/>
      <c r="G369" s="263"/>
      <c r="H369" s="263"/>
      <c r="I369" s="263"/>
      <c r="J369" s="263"/>
      <c r="K369" s="263"/>
      <c r="L369" s="263"/>
      <c r="M369" s="263"/>
      <c r="N369" s="263"/>
      <c r="O369" s="263"/>
      <c r="P369" s="263"/>
      <c r="Q369" s="263"/>
      <c r="R369" s="263"/>
      <c r="S369" s="263"/>
      <c r="T369" s="263"/>
      <c r="U369" s="263"/>
      <c r="V369" s="263"/>
      <c r="W369" s="263"/>
      <c r="X369" s="263"/>
      <c r="Y369" s="263"/>
      <c r="Z369" s="263"/>
    </row>
    <row r="370">
      <c r="A370" s="263"/>
      <c r="B370" s="263"/>
      <c r="C370" s="263"/>
      <c r="D370" s="263"/>
      <c r="E370" s="263"/>
      <c r="F370" s="263"/>
      <c r="G370" s="263"/>
      <c r="H370" s="263"/>
      <c r="I370" s="263"/>
      <c r="J370" s="263"/>
      <c r="K370" s="263"/>
      <c r="L370" s="263"/>
      <c r="M370" s="263"/>
      <c r="N370" s="263"/>
      <c r="O370" s="263"/>
      <c r="P370" s="263"/>
      <c r="Q370" s="263"/>
      <c r="R370" s="263"/>
      <c r="S370" s="263"/>
      <c r="T370" s="263"/>
      <c r="U370" s="263"/>
      <c r="V370" s="263"/>
      <c r="W370" s="263"/>
      <c r="X370" s="263"/>
      <c r="Y370" s="263"/>
      <c r="Z370" s="263"/>
    </row>
    <row r="371">
      <c r="A371" s="263"/>
      <c r="B371" s="263"/>
      <c r="C371" s="263"/>
      <c r="D371" s="263"/>
      <c r="E371" s="263"/>
      <c r="F371" s="263"/>
      <c r="G371" s="263"/>
      <c r="H371" s="263"/>
      <c r="I371" s="263"/>
      <c r="J371" s="263"/>
      <c r="K371" s="263"/>
      <c r="L371" s="263"/>
      <c r="M371" s="263"/>
      <c r="N371" s="263"/>
      <c r="O371" s="263"/>
      <c r="P371" s="263"/>
      <c r="Q371" s="263"/>
      <c r="R371" s="263"/>
      <c r="S371" s="263"/>
      <c r="T371" s="263"/>
      <c r="U371" s="263"/>
      <c r="V371" s="263"/>
      <c r="W371" s="263"/>
      <c r="X371" s="263"/>
      <c r="Y371" s="263"/>
      <c r="Z371" s="263"/>
    </row>
    <row r="372">
      <c r="A372" s="263"/>
      <c r="B372" s="263"/>
      <c r="C372" s="263"/>
      <c r="D372" s="263"/>
      <c r="E372" s="263"/>
      <c r="F372" s="263"/>
      <c r="G372" s="263"/>
      <c r="H372" s="263"/>
      <c r="I372" s="263"/>
      <c r="J372" s="263"/>
      <c r="K372" s="263"/>
      <c r="L372" s="263"/>
      <c r="M372" s="263"/>
      <c r="N372" s="263"/>
      <c r="O372" s="263"/>
      <c r="P372" s="263"/>
      <c r="Q372" s="263"/>
      <c r="R372" s="263"/>
      <c r="S372" s="263"/>
      <c r="T372" s="263"/>
      <c r="U372" s="263"/>
      <c r="V372" s="263"/>
      <c r="W372" s="263"/>
      <c r="X372" s="263"/>
      <c r="Y372" s="263"/>
      <c r="Z372" s="263"/>
    </row>
    <row r="373">
      <c r="A373" s="263"/>
      <c r="B373" s="263"/>
      <c r="C373" s="263"/>
      <c r="D373" s="263"/>
      <c r="E373" s="263"/>
      <c r="F373" s="263"/>
      <c r="G373" s="263"/>
      <c r="H373" s="263"/>
      <c r="I373" s="263"/>
      <c r="J373" s="263"/>
      <c r="K373" s="263"/>
      <c r="L373" s="263"/>
      <c r="M373" s="263"/>
      <c r="N373" s="263"/>
      <c r="O373" s="263"/>
      <c r="P373" s="263"/>
      <c r="Q373" s="263"/>
      <c r="R373" s="263"/>
      <c r="S373" s="263"/>
      <c r="T373" s="263"/>
      <c r="U373" s="263"/>
      <c r="V373" s="263"/>
      <c r="W373" s="263"/>
      <c r="X373" s="263"/>
      <c r="Y373" s="263"/>
      <c r="Z373" s="263"/>
    </row>
    <row r="374">
      <c r="A374" s="263"/>
      <c r="B374" s="263"/>
      <c r="C374" s="263"/>
      <c r="D374" s="263"/>
      <c r="E374" s="263"/>
      <c r="F374" s="263"/>
      <c r="G374" s="263"/>
      <c r="H374" s="263"/>
      <c r="I374" s="263"/>
      <c r="J374" s="263"/>
      <c r="K374" s="263"/>
      <c r="L374" s="263"/>
      <c r="M374" s="263"/>
      <c r="N374" s="263"/>
      <c r="O374" s="263"/>
      <c r="P374" s="263"/>
      <c r="Q374" s="263"/>
      <c r="R374" s="263"/>
      <c r="S374" s="263"/>
      <c r="T374" s="263"/>
      <c r="U374" s="263"/>
      <c r="V374" s="263"/>
      <c r="W374" s="263"/>
      <c r="X374" s="263"/>
      <c r="Y374" s="263"/>
      <c r="Z374" s="263"/>
    </row>
    <row r="375">
      <c r="A375" s="263"/>
      <c r="B375" s="263"/>
      <c r="C375" s="263"/>
      <c r="D375" s="263"/>
      <c r="E375" s="263"/>
      <c r="F375" s="263"/>
      <c r="G375" s="263"/>
      <c r="H375" s="263"/>
      <c r="I375" s="263"/>
      <c r="J375" s="263"/>
      <c r="K375" s="263"/>
      <c r="L375" s="263"/>
      <c r="M375" s="263"/>
      <c r="N375" s="263"/>
      <c r="O375" s="263"/>
      <c r="P375" s="263"/>
      <c r="Q375" s="263"/>
      <c r="R375" s="263"/>
      <c r="S375" s="263"/>
      <c r="T375" s="263"/>
      <c r="U375" s="263"/>
      <c r="V375" s="263"/>
      <c r="W375" s="263"/>
      <c r="X375" s="263"/>
      <c r="Y375" s="263"/>
      <c r="Z375" s="263"/>
    </row>
    <row r="376">
      <c r="A376" s="263"/>
      <c r="B376" s="263"/>
      <c r="C376" s="263"/>
      <c r="D376" s="263"/>
      <c r="E376" s="263"/>
      <c r="F376" s="263"/>
      <c r="G376" s="263"/>
      <c r="H376" s="263"/>
      <c r="I376" s="263"/>
      <c r="J376" s="263"/>
      <c r="K376" s="263"/>
      <c r="L376" s="263"/>
      <c r="M376" s="263"/>
      <c r="N376" s="263"/>
      <c r="O376" s="263"/>
      <c r="P376" s="263"/>
      <c r="Q376" s="263"/>
      <c r="R376" s="263"/>
      <c r="S376" s="263"/>
      <c r="T376" s="263"/>
      <c r="U376" s="263"/>
      <c r="V376" s="263"/>
      <c r="W376" s="263"/>
      <c r="X376" s="263"/>
      <c r="Y376" s="263"/>
      <c r="Z376" s="263"/>
    </row>
    <row r="377">
      <c r="A377" s="263"/>
      <c r="B377" s="263"/>
      <c r="C377" s="263"/>
      <c r="D377" s="263"/>
      <c r="E377" s="263"/>
      <c r="F377" s="263"/>
      <c r="G377" s="263"/>
      <c r="H377" s="263"/>
      <c r="I377" s="263"/>
      <c r="J377" s="263"/>
      <c r="K377" s="263"/>
      <c r="L377" s="263"/>
      <c r="M377" s="263"/>
      <c r="N377" s="263"/>
      <c r="O377" s="263"/>
      <c r="P377" s="263"/>
      <c r="Q377" s="263"/>
      <c r="R377" s="263"/>
      <c r="S377" s="263"/>
      <c r="T377" s="263"/>
      <c r="U377" s="263"/>
      <c r="V377" s="263"/>
      <c r="W377" s="263"/>
      <c r="X377" s="263"/>
      <c r="Y377" s="263"/>
      <c r="Z377" s="263"/>
    </row>
    <row r="378">
      <c r="A378" s="263"/>
      <c r="B378" s="263"/>
      <c r="C378" s="263"/>
      <c r="D378" s="263"/>
      <c r="E378" s="263"/>
      <c r="F378" s="263"/>
      <c r="G378" s="263"/>
      <c r="H378" s="263"/>
      <c r="I378" s="263"/>
      <c r="J378" s="263"/>
      <c r="K378" s="263"/>
      <c r="L378" s="263"/>
      <c r="M378" s="263"/>
      <c r="N378" s="263"/>
      <c r="O378" s="263"/>
      <c r="P378" s="263"/>
      <c r="Q378" s="263"/>
      <c r="R378" s="263"/>
      <c r="S378" s="263"/>
      <c r="T378" s="263"/>
      <c r="U378" s="263"/>
      <c r="V378" s="263"/>
      <c r="W378" s="263"/>
      <c r="X378" s="263"/>
      <c r="Y378" s="263"/>
      <c r="Z378" s="263"/>
    </row>
    <row r="379">
      <c r="A379" s="263"/>
      <c r="B379" s="263"/>
      <c r="C379" s="263"/>
      <c r="D379" s="263"/>
      <c r="E379" s="263"/>
      <c r="F379" s="263"/>
      <c r="G379" s="263"/>
      <c r="H379" s="263"/>
      <c r="I379" s="263"/>
      <c r="J379" s="263"/>
      <c r="K379" s="263"/>
      <c r="L379" s="263"/>
      <c r="M379" s="263"/>
      <c r="N379" s="263"/>
      <c r="O379" s="263"/>
      <c r="P379" s="263"/>
      <c r="Q379" s="263"/>
      <c r="R379" s="263"/>
      <c r="S379" s="263"/>
      <c r="T379" s="263"/>
      <c r="U379" s="263"/>
      <c r="V379" s="263"/>
      <c r="W379" s="263"/>
      <c r="X379" s="263"/>
      <c r="Y379" s="263"/>
      <c r="Z379" s="263"/>
    </row>
    <row r="380">
      <c r="A380" s="263"/>
      <c r="B380" s="263"/>
      <c r="C380" s="263"/>
      <c r="D380" s="263"/>
      <c r="E380" s="263"/>
      <c r="F380" s="263"/>
      <c r="G380" s="263"/>
      <c r="H380" s="263"/>
      <c r="I380" s="263"/>
      <c r="J380" s="263"/>
      <c r="K380" s="263"/>
      <c r="L380" s="263"/>
      <c r="M380" s="263"/>
      <c r="N380" s="263"/>
      <c r="O380" s="263"/>
      <c r="P380" s="263"/>
      <c r="Q380" s="263"/>
      <c r="R380" s="263"/>
      <c r="S380" s="263"/>
      <c r="T380" s="263"/>
      <c r="U380" s="263"/>
      <c r="V380" s="263"/>
      <c r="W380" s="263"/>
      <c r="X380" s="263"/>
      <c r="Y380" s="263"/>
      <c r="Z380" s="263"/>
    </row>
    <row r="381">
      <c r="A381" s="263"/>
      <c r="B381" s="263"/>
      <c r="C381" s="263"/>
      <c r="D381" s="263"/>
      <c r="E381" s="263"/>
      <c r="F381" s="263"/>
      <c r="G381" s="263"/>
      <c r="H381" s="263"/>
      <c r="I381" s="263"/>
      <c r="J381" s="263"/>
      <c r="K381" s="263"/>
      <c r="L381" s="263"/>
      <c r="M381" s="263"/>
      <c r="N381" s="263"/>
      <c r="O381" s="263"/>
      <c r="P381" s="263"/>
      <c r="Q381" s="263"/>
      <c r="R381" s="263"/>
      <c r="S381" s="263"/>
      <c r="T381" s="263"/>
      <c r="U381" s="263"/>
      <c r="V381" s="263"/>
      <c r="W381" s="263"/>
      <c r="X381" s="263"/>
      <c r="Y381" s="263"/>
      <c r="Z381" s="263"/>
    </row>
    <row r="382">
      <c r="A382" s="263"/>
      <c r="B382" s="263"/>
      <c r="C382" s="263"/>
      <c r="D382" s="263"/>
      <c r="E382" s="263"/>
      <c r="F382" s="263"/>
      <c r="G382" s="263"/>
      <c r="H382" s="263"/>
      <c r="I382" s="263"/>
      <c r="J382" s="263"/>
      <c r="K382" s="263"/>
      <c r="L382" s="263"/>
      <c r="M382" s="263"/>
      <c r="N382" s="263"/>
      <c r="O382" s="263"/>
      <c r="P382" s="263"/>
      <c r="Q382" s="263"/>
      <c r="R382" s="263"/>
      <c r="S382" s="263"/>
      <c r="T382" s="263"/>
      <c r="U382" s="263"/>
      <c r="V382" s="263"/>
      <c r="W382" s="263"/>
      <c r="X382" s="263"/>
      <c r="Y382" s="263"/>
      <c r="Z382" s="263"/>
    </row>
    <row r="383">
      <c r="A383" s="263"/>
      <c r="B383" s="263"/>
      <c r="C383" s="263"/>
      <c r="D383" s="263"/>
      <c r="E383" s="263"/>
      <c r="F383" s="263"/>
      <c r="G383" s="263"/>
      <c r="H383" s="263"/>
      <c r="I383" s="263"/>
      <c r="J383" s="263"/>
      <c r="K383" s="263"/>
      <c r="L383" s="263"/>
      <c r="M383" s="263"/>
      <c r="N383" s="263"/>
      <c r="O383" s="263"/>
      <c r="P383" s="263"/>
      <c r="Q383" s="263"/>
      <c r="R383" s="263"/>
      <c r="S383" s="263"/>
      <c r="T383" s="263"/>
      <c r="U383" s="263"/>
      <c r="V383" s="263"/>
      <c r="W383" s="263"/>
      <c r="X383" s="263"/>
      <c r="Y383" s="263"/>
      <c r="Z383" s="263"/>
    </row>
    <row r="384">
      <c r="A384" s="263"/>
      <c r="B384" s="263"/>
      <c r="C384" s="263"/>
      <c r="D384" s="263"/>
      <c r="E384" s="263"/>
      <c r="F384" s="263"/>
      <c r="G384" s="263"/>
      <c r="H384" s="263"/>
      <c r="I384" s="263"/>
      <c r="J384" s="263"/>
      <c r="K384" s="263"/>
      <c r="L384" s="263"/>
      <c r="M384" s="263"/>
      <c r="N384" s="263"/>
      <c r="O384" s="263"/>
      <c r="P384" s="263"/>
      <c r="Q384" s="263"/>
      <c r="R384" s="263"/>
      <c r="S384" s="263"/>
      <c r="T384" s="263"/>
      <c r="U384" s="263"/>
      <c r="V384" s="263"/>
      <c r="W384" s="263"/>
      <c r="X384" s="263"/>
      <c r="Y384" s="263"/>
      <c r="Z384" s="263"/>
    </row>
    <row r="385">
      <c r="A385" s="263"/>
      <c r="B385" s="263"/>
      <c r="C385" s="263"/>
      <c r="D385" s="263"/>
      <c r="E385" s="263"/>
      <c r="F385" s="263"/>
      <c r="G385" s="263"/>
      <c r="H385" s="263"/>
      <c r="I385" s="263"/>
      <c r="J385" s="263"/>
      <c r="K385" s="263"/>
      <c r="L385" s="263"/>
      <c r="M385" s="263"/>
      <c r="N385" s="263"/>
      <c r="O385" s="263"/>
      <c r="P385" s="263"/>
      <c r="Q385" s="263"/>
      <c r="R385" s="263"/>
      <c r="S385" s="263"/>
      <c r="T385" s="263"/>
      <c r="U385" s="263"/>
      <c r="V385" s="263"/>
      <c r="W385" s="263"/>
      <c r="X385" s="263"/>
      <c r="Y385" s="263"/>
      <c r="Z385" s="263"/>
    </row>
    <row r="386">
      <c r="A386" s="263"/>
      <c r="B386" s="263"/>
      <c r="C386" s="263"/>
      <c r="D386" s="263"/>
      <c r="E386" s="263"/>
      <c r="F386" s="263"/>
      <c r="G386" s="263"/>
      <c r="H386" s="263"/>
      <c r="I386" s="263"/>
      <c r="J386" s="263"/>
      <c r="K386" s="263"/>
      <c r="L386" s="263"/>
      <c r="M386" s="263"/>
      <c r="N386" s="263"/>
      <c r="O386" s="263"/>
      <c r="P386" s="263"/>
      <c r="Q386" s="263"/>
      <c r="R386" s="263"/>
      <c r="S386" s="263"/>
      <c r="T386" s="263"/>
      <c r="U386" s="263"/>
      <c r="V386" s="263"/>
      <c r="W386" s="263"/>
      <c r="X386" s="263"/>
      <c r="Y386" s="263"/>
      <c r="Z386" s="263"/>
    </row>
    <row r="387">
      <c r="A387" s="263"/>
      <c r="B387" s="263"/>
      <c r="C387" s="263"/>
      <c r="D387" s="263"/>
      <c r="E387" s="263"/>
      <c r="F387" s="263"/>
      <c r="G387" s="263"/>
      <c r="H387" s="263"/>
      <c r="I387" s="263"/>
      <c r="J387" s="263"/>
      <c r="K387" s="263"/>
      <c r="L387" s="263"/>
      <c r="M387" s="263"/>
      <c r="N387" s="263"/>
      <c r="O387" s="263"/>
      <c r="P387" s="263"/>
      <c r="Q387" s="263"/>
      <c r="R387" s="263"/>
      <c r="S387" s="263"/>
      <c r="T387" s="263"/>
      <c r="U387" s="263"/>
      <c r="V387" s="263"/>
      <c r="W387" s="263"/>
      <c r="X387" s="263"/>
      <c r="Y387" s="263"/>
      <c r="Z387" s="263"/>
    </row>
    <row r="388">
      <c r="A388" s="263"/>
      <c r="B388" s="263"/>
      <c r="C388" s="263"/>
      <c r="D388" s="263"/>
      <c r="E388" s="263"/>
      <c r="F388" s="263"/>
      <c r="G388" s="263"/>
      <c r="H388" s="263"/>
      <c r="I388" s="263"/>
      <c r="J388" s="263"/>
      <c r="K388" s="263"/>
      <c r="L388" s="263"/>
      <c r="M388" s="263"/>
      <c r="N388" s="263"/>
      <c r="O388" s="263"/>
      <c r="P388" s="263"/>
      <c r="Q388" s="263"/>
      <c r="R388" s="263"/>
      <c r="S388" s="263"/>
      <c r="T388" s="263"/>
      <c r="U388" s="263"/>
      <c r="V388" s="263"/>
      <c r="W388" s="263"/>
      <c r="X388" s="263"/>
      <c r="Y388" s="263"/>
      <c r="Z388" s="263"/>
    </row>
    <row r="389">
      <c r="A389" s="263"/>
      <c r="B389" s="263"/>
      <c r="C389" s="263"/>
      <c r="D389" s="263"/>
      <c r="E389" s="263"/>
      <c r="F389" s="263"/>
      <c r="G389" s="263"/>
      <c r="H389" s="263"/>
      <c r="I389" s="263"/>
      <c r="J389" s="263"/>
      <c r="K389" s="263"/>
      <c r="L389" s="263"/>
      <c r="M389" s="263"/>
      <c r="N389" s="263"/>
      <c r="O389" s="263"/>
      <c r="P389" s="263"/>
      <c r="Q389" s="263"/>
      <c r="R389" s="263"/>
      <c r="S389" s="263"/>
      <c r="T389" s="263"/>
      <c r="U389" s="263"/>
      <c r="V389" s="263"/>
      <c r="W389" s="263"/>
      <c r="X389" s="263"/>
      <c r="Y389" s="263"/>
      <c r="Z389" s="263"/>
    </row>
    <row r="390">
      <c r="A390" s="263"/>
      <c r="B390" s="263"/>
      <c r="C390" s="263"/>
      <c r="D390" s="263"/>
      <c r="E390" s="263"/>
      <c r="F390" s="263"/>
      <c r="G390" s="263"/>
      <c r="H390" s="263"/>
      <c r="I390" s="263"/>
      <c r="J390" s="263"/>
      <c r="K390" s="263"/>
      <c r="L390" s="263"/>
      <c r="M390" s="263"/>
      <c r="N390" s="263"/>
      <c r="O390" s="263"/>
      <c r="P390" s="263"/>
      <c r="Q390" s="263"/>
      <c r="R390" s="263"/>
      <c r="S390" s="263"/>
      <c r="T390" s="263"/>
      <c r="U390" s="263"/>
      <c r="V390" s="263"/>
      <c r="W390" s="263"/>
      <c r="X390" s="263"/>
      <c r="Y390" s="263"/>
      <c r="Z390" s="263"/>
    </row>
    <row r="391">
      <c r="A391" s="263"/>
      <c r="B391" s="263"/>
      <c r="C391" s="263"/>
      <c r="D391" s="263"/>
      <c r="E391" s="263"/>
      <c r="F391" s="263"/>
      <c r="G391" s="263"/>
      <c r="H391" s="263"/>
      <c r="I391" s="263"/>
      <c r="J391" s="263"/>
      <c r="K391" s="263"/>
      <c r="L391" s="263"/>
      <c r="M391" s="263"/>
      <c r="N391" s="263"/>
      <c r="O391" s="263"/>
      <c r="P391" s="263"/>
      <c r="Q391" s="263"/>
      <c r="R391" s="263"/>
      <c r="S391" s="263"/>
      <c r="T391" s="263"/>
      <c r="U391" s="263"/>
      <c r="V391" s="263"/>
      <c r="W391" s="263"/>
      <c r="X391" s="263"/>
      <c r="Y391" s="263"/>
      <c r="Z391" s="263"/>
    </row>
    <row r="392">
      <c r="A392" s="263"/>
      <c r="B392" s="263"/>
      <c r="C392" s="263"/>
      <c r="D392" s="263"/>
      <c r="E392" s="263"/>
      <c r="F392" s="263"/>
      <c r="G392" s="263"/>
      <c r="H392" s="263"/>
      <c r="I392" s="263"/>
      <c r="J392" s="263"/>
      <c r="K392" s="263"/>
      <c r="L392" s="263"/>
      <c r="M392" s="263"/>
      <c r="N392" s="263"/>
      <c r="O392" s="263"/>
      <c r="P392" s="263"/>
      <c r="Q392" s="263"/>
      <c r="R392" s="263"/>
      <c r="S392" s="263"/>
      <c r="T392" s="263"/>
      <c r="U392" s="263"/>
      <c r="V392" s="263"/>
      <c r="W392" s="263"/>
      <c r="X392" s="263"/>
      <c r="Y392" s="263"/>
      <c r="Z392" s="263"/>
    </row>
    <row r="393">
      <c r="A393" s="263"/>
      <c r="B393" s="263"/>
      <c r="C393" s="263"/>
      <c r="D393" s="263"/>
      <c r="E393" s="263"/>
      <c r="F393" s="263"/>
      <c r="G393" s="263"/>
      <c r="H393" s="263"/>
      <c r="I393" s="263"/>
      <c r="J393" s="263"/>
      <c r="K393" s="263"/>
      <c r="L393" s="263"/>
      <c r="M393" s="263"/>
      <c r="N393" s="263"/>
      <c r="O393" s="263"/>
      <c r="P393" s="263"/>
      <c r="Q393" s="263"/>
      <c r="R393" s="263"/>
      <c r="S393" s="263"/>
      <c r="T393" s="263"/>
      <c r="U393" s="263"/>
      <c r="V393" s="263"/>
      <c r="W393" s="263"/>
      <c r="X393" s="263"/>
      <c r="Y393" s="263"/>
      <c r="Z393" s="263"/>
    </row>
    <row r="394">
      <c r="A394" s="263"/>
      <c r="B394" s="263"/>
      <c r="C394" s="263"/>
      <c r="D394" s="263"/>
      <c r="E394" s="263"/>
      <c r="F394" s="263"/>
      <c r="G394" s="263"/>
      <c r="H394" s="263"/>
      <c r="I394" s="263"/>
      <c r="J394" s="263"/>
      <c r="K394" s="263"/>
      <c r="L394" s="263"/>
      <c r="M394" s="263"/>
      <c r="N394" s="263"/>
      <c r="O394" s="263"/>
      <c r="P394" s="263"/>
      <c r="Q394" s="263"/>
      <c r="R394" s="263"/>
      <c r="S394" s="263"/>
      <c r="T394" s="263"/>
      <c r="U394" s="263"/>
      <c r="V394" s="263"/>
      <c r="W394" s="263"/>
      <c r="X394" s="263"/>
      <c r="Y394" s="263"/>
      <c r="Z394" s="263"/>
    </row>
    <row r="395">
      <c r="A395" s="263"/>
      <c r="B395" s="263"/>
      <c r="C395" s="263"/>
      <c r="D395" s="263"/>
      <c r="E395" s="263"/>
      <c r="F395" s="263"/>
      <c r="G395" s="263"/>
      <c r="H395" s="263"/>
      <c r="I395" s="263"/>
      <c r="J395" s="263"/>
      <c r="K395" s="263"/>
      <c r="L395" s="263"/>
      <c r="M395" s="263"/>
      <c r="N395" s="263"/>
      <c r="O395" s="263"/>
      <c r="P395" s="263"/>
      <c r="Q395" s="263"/>
      <c r="R395" s="263"/>
      <c r="S395" s="263"/>
      <c r="T395" s="263"/>
      <c r="U395" s="263"/>
      <c r="V395" s="263"/>
      <c r="W395" s="263"/>
      <c r="X395" s="263"/>
      <c r="Y395" s="263"/>
      <c r="Z395" s="263"/>
    </row>
    <row r="396">
      <c r="A396" s="263"/>
      <c r="B396" s="263"/>
      <c r="C396" s="263"/>
      <c r="D396" s="263"/>
      <c r="E396" s="263"/>
      <c r="F396" s="263"/>
      <c r="G396" s="263"/>
      <c r="H396" s="263"/>
      <c r="I396" s="263"/>
      <c r="J396" s="263"/>
      <c r="K396" s="263"/>
      <c r="L396" s="263"/>
      <c r="M396" s="263"/>
      <c r="N396" s="263"/>
      <c r="O396" s="263"/>
      <c r="P396" s="263"/>
      <c r="Q396" s="263"/>
      <c r="R396" s="263"/>
      <c r="S396" s="263"/>
      <c r="T396" s="263"/>
      <c r="U396" s="263"/>
      <c r="V396" s="263"/>
      <c r="W396" s="263"/>
      <c r="X396" s="263"/>
      <c r="Y396" s="263"/>
      <c r="Z396" s="263"/>
    </row>
    <row r="397">
      <c r="A397" s="263"/>
      <c r="B397" s="263"/>
      <c r="C397" s="263"/>
      <c r="D397" s="263"/>
      <c r="E397" s="263"/>
      <c r="F397" s="263"/>
      <c r="G397" s="263"/>
      <c r="H397" s="263"/>
      <c r="I397" s="263"/>
      <c r="J397" s="263"/>
      <c r="K397" s="263"/>
      <c r="L397" s="263"/>
      <c r="M397" s="263"/>
      <c r="N397" s="263"/>
      <c r="O397" s="263"/>
      <c r="P397" s="263"/>
      <c r="Q397" s="263"/>
      <c r="R397" s="263"/>
      <c r="S397" s="263"/>
      <c r="T397" s="263"/>
      <c r="U397" s="263"/>
      <c r="V397" s="263"/>
      <c r="W397" s="263"/>
      <c r="X397" s="263"/>
      <c r="Y397" s="263"/>
      <c r="Z397" s="263"/>
    </row>
    <row r="398">
      <c r="A398" s="263"/>
      <c r="B398" s="263"/>
      <c r="C398" s="263"/>
      <c r="D398" s="263"/>
      <c r="E398" s="263"/>
      <c r="F398" s="263"/>
      <c r="G398" s="263"/>
      <c r="H398" s="263"/>
      <c r="I398" s="263"/>
      <c r="J398" s="263"/>
      <c r="K398" s="263"/>
      <c r="L398" s="263"/>
      <c r="M398" s="263"/>
      <c r="N398" s="263"/>
      <c r="O398" s="263"/>
      <c r="P398" s="263"/>
      <c r="Q398" s="263"/>
      <c r="R398" s="263"/>
      <c r="S398" s="263"/>
      <c r="T398" s="263"/>
      <c r="U398" s="263"/>
      <c r="V398" s="263"/>
      <c r="W398" s="263"/>
      <c r="X398" s="263"/>
      <c r="Y398" s="263"/>
      <c r="Z398" s="263"/>
    </row>
    <row r="399">
      <c r="A399" s="263"/>
      <c r="B399" s="263"/>
      <c r="C399" s="263"/>
      <c r="D399" s="263"/>
      <c r="E399" s="263"/>
      <c r="F399" s="263"/>
      <c r="G399" s="263"/>
      <c r="H399" s="263"/>
      <c r="I399" s="263"/>
      <c r="J399" s="263"/>
      <c r="K399" s="263"/>
      <c r="L399" s="263"/>
      <c r="M399" s="263"/>
      <c r="N399" s="263"/>
      <c r="O399" s="263"/>
      <c r="P399" s="263"/>
      <c r="Q399" s="263"/>
      <c r="R399" s="263"/>
      <c r="S399" s="263"/>
      <c r="T399" s="263"/>
      <c r="U399" s="263"/>
      <c r="V399" s="263"/>
      <c r="W399" s="263"/>
      <c r="X399" s="263"/>
      <c r="Y399" s="263"/>
      <c r="Z399" s="263"/>
    </row>
    <row r="400">
      <c r="A400" s="263"/>
      <c r="B400" s="263"/>
      <c r="C400" s="263"/>
      <c r="D400" s="263"/>
      <c r="E400" s="263"/>
      <c r="F400" s="263"/>
      <c r="G400" s="263"/>
      <c r="H400" s="263"/>
      <c r="I400" s="263"/>
      <c r="J400" s="263"/>
      <c r="K400" s="263"/>
      <c r="L400" s="263"/>
      <c r="M400" s="263"/>
      <c r="N400" s="263"/>
      <c r="O400" s="263"/>
      <c r="P400" s="263"/>
      <c r="Q400" s="263"/>
      <c r="R400" s="263"/>
      <c r="S400" s="263"/>
      <c r="T400" s="263"/>
      <c r="U400" s="263"/>
      <c r="V400" s="263"/>
      <c r="W400" s="263"/>
      <c r="X400" s="263"/>
      <c r="Y400" s="263"/>
      <c r="Z400" s="263"/>
    </row>
    <row r="401">
      <c r="A401" s="263"/>
      <c r="B401" s="263"/>
      <c r="C401" s="263"/>
      <c r="D401" s="263"/>
      <c r="E401" s="263"/>
      <c r="F401" s="263"/>
      <c r="G401" s="263"/>
      <c r="H401" s="263"/>
      <c r="I401" s="263"/>
      <c r="J401" s="263"/>
      <c r="K401" s="263"/>
      <c r="L401" s="263"/>
      <c r="M401" s="263"/>
      <c r="N401" s="263"/>
      <c r="O401" s="263"/>
      <c r="P401" s="263"/>
      <c r="Q401" s="263"/>
      <c r="R401" s="263"/>
      <c r="S401" s="263"/>
      <c r="T401" s="263"/>
      <c r="U401" s="263"/>
      <c r="V401" s="263"/>
      <c r="W401" s="263"/>
      <c r="X401" s="263"/>
      <c r="Y401" s="263"/>
      <c r="Z401" s="263"/>
    </row>
    <row r="402">
      <c r="A402" s="263"/>
      <c r="B402" s="263"/>
      <c r="C402" s="263"/>
      <c r="D402" s="263"/>
      <c r="E402" s="263"/>
      <c r="F402" s="263"/>
      <c r="G402" s="263"/>
      <c r="H402" s="263"/>
      <c r="I402" s="263"/>
      <c r="J402" s="263"/>
      <c r="K402" s="263"/>
      <c r="L402" s="263"/>
      <c r="M402" s="263"/>
      <c r="N402" s="263"/>
      <c r="O402" s="263"/>
      <c r="P402" s="263"/>
      <c r="Q402" s="263"/>
      <c r="R402" s="263"/>
      <c r="S402" s="263"/>
      <c r="T402" s="263"/>
      <c r="U402" s="263"/>
      <c r="V402" s="263"/>
      <c r="W402" s="263"/>
      <c r="X402" s="263"/>
      <c r="Y402" s="263"/>
      <c r="Z402" s="263"/>
    </row>
    <row r="403">
      <c r="A403" s="263"/>
      <c r="B403" s="263"/>
      <c r="C403" s="263"/>
      <c r="D403" s="263"/>
      <c r="E403" s="263"/>
      <c r="F403" s="263"/>
      <c r="G403" s="263"/>
      <c r="H403" s="263"/>
      <c r="I403" s="263"/>
      <c r="J403" s="263"/>
      <c r="K403" s="263"/>
      <c r="L403" s="263"/>
      <c r="M403" s="263"/>
      <c r="N403" s="263"/>
      <c r="O403" s="263"/>
      <c r="P403" s="263"/>
      <c r="Q403" s="263"/>
      <c r="R403" s="263"/>
      <c r="S403" s="263"/>
      <c r="T403" s="263"/>
      <c r="U403" s="263"/>
      <c r="V403" s="263"/>
      <c r="W403" s="263"/>
      <c r="X403" s="263"/>
      <c r="Y403" s="263"/>
      <c r="Z403" s="263"/>
    </row>
    <row r="404">
      <c r="A404" s="263"/>
      <c r="B404" s="263"/>
      <c r="C404" s="263"/>
      <c r="D404" s="263"/>
      <c r="E404" s="263"/>
      <c r="F404" s="263"/>
      <c r="G404" s="263"/>
      <c r="H404" s="263"/>
      <c r="I404" s="263"/>
      <c r="J404" s="263"/>
      <c r="K404" s="263"/>
      <c r="L404" s="263"/>
      <c r="M404" s="263"/>
      <c r="N404" s="263"/>
      <c r="O404" s="263"/>
      <c r="P404" s="263"/>
      <c r="Q404" s="263"/>
      <c r="R404" s="263"/>
      <c r="S404" s="263"/>
      <c r="T404" s="263"/>
      <c r="U404" s="263"/>
      <c r="V404" s="263"/>
      <c r="W404" s="263"/>
      <c r="X404" s="263"/>
      <c r="Y404" s="263"/>
      <c r="Z404" s="263"/>
    </row>
    <row r="405">
      <c r="A405" s="263"/>
      <c r="B405" s="263"/>
      <c r="C405" s="263"/>
      <c r="D405" s="263"/>
      <c r="E405" s="263"/>
      <c r="F405" s="263"/>
      <c r="G405" s="263"/>
      <c r="H405" s="263"/>
      <c r="I405" s="263"/>
      <c r="J405" s="263"/>
      <c r="K405" s="263"/>
      <c r="L405" s="263"/>
      <c r="M405" s="263"/>
      <c r="N405" s="263"/>
      <c r="O405" s="263"/>
      <c r="P405" s="263"/>
      <c r="Q405" s="263"/>
      <c r="R405" s="263"/>
      <c r="S405" s="263"/>
      <c r="T405" s="263"/>
      <c r="U405" s="263"/>
      <c r="V405" s="263"/>
      <c r="W405" s="263"/>
      <c r="X405" s="263"/>
      <c r="Y405" s="263"/>
      <c r="Z405" s="263"/>
    </row>
    <row r="406">
      <c r="A406" s="263"/>
      <c r="B406" s="263"/>
      <c r="C406" s="263"/>
      <c r="D406" s="263"/>
      <c r="E406" s="263"/>
      <c r="F406" s="263"/>
      <c r="G406" s="263"/>
      <c r="H406" s="263"/>
      <c r="I406" s="263"/>
      <c r="J406" s="263"/>
      <c r="K406" s="263"/>
      <c r="L406" s="263"/>
      <c r="M406" s="263"/>
      <c r="N406" s="263"/>
      <c r="O406" s="263"/>
      <c r="P406" s="263"/>
      <c r="Q406" s="263"/>
      <c r="R406" s="263"/>
      <c r="S406" s="263"/>
      <c r="T406" s="263"/>
      <c r="U406" s="263"/>
      <c r="V406" s="263"/>
      <c r="W406" s="263"/>
      <c r="X406" s="263"/>
      <c r="Y406" s="263"/>
      <c r="Z406" s="263"/>
    </row>
    <row r="407">
      <c r="A407" s="263"/>
      <c r="B407" s="263"/>
      <c r="C407" s="263"/>
      <c r="D407" s="263"/>
      <c r="E407" s="263"/>
      <c r="F407" s="263"/>
      <c r="G407" s="263"/>
      <c r="H407" s="263"/>
      <c r="I407" s="263"/>
      <c r="J407" s="263"/>
      <c r="K407" s="263"/>
      <c r="L407" s="263"/>
      <c r="M407" s="263"/>
      <c r="N407" s="263"/>
      <c r="O407" s="263"/>
      <c r="P407" s="263"/>
      <c r="Q407" s="263"/>
      <c r="R407" s="263"/>
      <c r="S407" s="263"/>
      <c r="T407" s="263"/>
      <c r="U407" s="263"/>
      <c r="V407" s="263"/>
      <c r="W407" s="263"/>
      <c r="X407" s="263"/>
      <c r="Y407" s="263"/>
      <c r="Z407" s="263"/>
    </row>
    <row r="408">
      <c r="A408" s="263"/>
      <c r="B408" s="263"/>
      <c r="C408" s="263"/>
      <c r="D408" s="263"/>
      <c r="E408" s="263"/>
      <c r="F408" s="263"/>
      <c r="G408" s="263"/>
      <c r="H408" s="263"/>
      <c r="I408" s="263"/>
      <c r="J408" s="263"/>
      <c r="K408" s="263"/>
      <c r="L408" s="263"/>
      <c r="M408" s="263"/>
      <c r="N408" s="263"/>
      <c r="O408" s="263"/>
      <c r="P408" s="263"/>
      <c r="Q408" s="263"/>
      <c r="R408" s="263"/>
      <c r="S408" s="263"/>
      <c r="T408" s="263"/>
      <c r="U408" s="263"/>
      <c r="V408" s="263"/>
      <c r="W408" s="263"/>
      <c r="X408" s="263"/>
      <c r="Y408" s="263"/>
      <c r="Z408" s="263"/>
    </row>
    <row r="409">
      <c r="A409" s="263"/>
      <c r="B409" s="263"/>
      <c r="C409" s="263"/>
      <c r="D409" s="263"/>
      <c r="E409" s="263"/>
      <c r="F409" s="263"/>
      <c r="G409" s="263"/>
      <c r="H409" s="263"/>
      <c r="I409" s="263"/>
      <c r="J409" s="263"/>
      <c r="K409" s="263"/>
      <c r="L409" s="263"/>
      <c r="M409" s="263"/>
      <c r="N409" s="263"/>
      <c r="O409" s="263"/>
      <c r="P409" s="263"/>
      <c r="Q409" s="263"/>
      <c r="R409" s="263"/>
      <c r="S409" s="263"/>
      <c r="T409" s="263"/>
      <c r="U409" s="263"/>
      <c r="V409" s="263"/>
      <c r="W409" s="263"/>
      <c r="X409" s="263"/>
      <c r="Y409" s="263"/>
      <c r="Z409" s="263"/>
    </row>
    <row r="410">
      <c r="A410" s="263"/>
      <c r="B410" s="263"/>
      <c r="C410" s="263"/>
      <c r="D410" s="263"/>
      <c r="E410" s="263"/>
      <c r="F410" s="263"/>
      <c r="G410" s="263"/>
      <c r="H410" s="263"/>
      <c r="I410" s="263"/>
      <c r="J410" s="263"/>
      <c r="K410" s="263"/>
      <c r="L410" s="263"/>
      <c r="M410" s="263"/>
      <c r="N410" s="263"/>
      <c r="O410" s="263"/>
      <c r="P410" s="263"/>
      <c r="Q410" s="263"/>
      <c r="R410" s="263"/>
      <c r="S410" s="263"/>
      <c r="T410" s="263"/>
      <c r="U410" s="263"/>
      <c r="V410" s="263"/>
      <c r="W410" s="263"/>
      <c r="X410" s="263"/>
      <c r="Y410" s="263"/>
      <c r="Z410" s="263"/>
    </row>
    <row r="411">
      <c r="A411" s="263"/>
      <c r="B411" s="263"/>
      <c r="C411" s="263"/>
      <c r="D411" s="263"/>
      <c r="E411" s="263"/>
      <c r="F411" s="263"/>
      <c r="G411" s="263"/>
      <c r="H411" s="263"/>
      <c r="I411" s="263"/>
      <c r="J411" s="263"/>
      <c r="K411" s="263"/>
      <c r="L411" s="263"/>
      <c r="M411" s="263"/>
      <c r="N411" s="263"/>
      <c r="O411" s="263"/>
      <c r="P411" s="263"/>
      <c r="Q411" s="263"/>
      <c r="R411" s="263"/>
      <c r="S411" s="263"/>
      <c r="T411" s="263"/>
      <c r="U411" s="263"/>
      <c r="V411" s="263"/>
      <c r="W411" s="263"/>
      <c r="X411" s="263"/>
      <c r="Y411" s="263"/>
      <c r="Z411" s="263"/>
    </row>
    <row r="412">
      <c r="A412" s="263"/>
      <c r="B412" s="263"/>
      <c r="C412" s="263"/>
      <c r="D412" s="263"/>
      <c r="E412" s="263"/>
      <c r="F412" s="263"/>
      <c r="G412" s="263"/>
      <c r="H412" s="263"/>
      <c r="I412" s="263"/>
      <c r="J412" s="263"/>
      <c r="K412" s="263"/>
      <c r="L412" s="263"/>
      <c r="M412" s="263"/>
      <c r="N412" s="263"/>
      <c r="O412" s="263"/>
      <c r="P412" s="263"/>
      <c r="Q412" s="263"/>
      <c r="R412" s="263"/>
      <c r="S412" s="263"/>
      <c r="T412" s="263"/>
      <c r="U412" s="263"/>
      <c r="V412" s="263"/>
      <c r="W412" s="263"/>
      <c r="X412" s="263"/>
      <c r="Y412" s="263"/>
      <c r="Z412" s="263"/>
    </row>
    <row r="413">
      <c r="A413" s="263"/>
      <c r="B413" s="263"/>
      <c r="C413" s="263"/>
      <c r="D413" s="263"/>
      <c r="E413" s="263"/>
      <c r="F413" s="263"/>
      <c r="G413" s="263"/>
      <c r="H413" s="263"/>
      <c r="I413" s="263"/>
      <c r="J413" s="263"/>
      <c r="K413" s="263"/>
      <c r="L413" s="263"/>
      <c r="M413" s="263"/>
      <c r="N413" s="263"/>
      <c r="O413" s="263"/>
      <c r="P413" s="263"/>
      <c r="Q413" s="263"/>
      <c r="R413" s="263"/>
      <c r="S413" s="263"/>
      <c r="T413" s="263"/>
      <c r="U413" s="263"/>
      <c r="V413" s="263"/>
      <c r="W413" s="263"/>
      <c r="X413" s="263"/>
      <c r="Y413" s="263"/>
      <c r="Z413" s="263"/>
    </row>
    <row r="414">
      <c r="A414" s="263"/>
      <c r="B414" s="263"/>
      <c r="C414" s="263"/>
      <c r="D414" s="263"/>
      <c r="E414" s="263"/>
      <c r="F414" s="263"/>
      <c r="G414" s="263"/>
      <c r="H414" s="263"/>
      <c r="I414" s="263"/>
      <c r="J414" s="263"/>
      <c r="K414" s="263"/>
      <c r="L414" s="263"/>
      <c r="M414" s="263"/>
      <c r="N414" s="263"/>
      <c r="O414" s="263"/>
      <c r="P414" s="263"/>
      <c r="Q414" s="263"/>
      <c r="R414" s="263"/>
      <c r="S414" s="263"/>
      <c r="T414" s="263"/>
      <c r="U414" s="263"/>
      <c r="V414" s="263"/>
      <c r="W414" s="263"/>
      <c r="X414" s="263"/>
      <c r="Y414" s="263"/>
      <c r="Z414" s="263"/>
    </row>
    <row r="415">
      <c r="A415" s="263"/>
      <c r="B415" s="263"/>
      <c r="C415" s="263"/>
      <c r="D415" s="263"/>
      <c r="E415" s="263"/>
      <c r="F415" s="263"/>
      <c r="G415" s="263"/>
      <c r="H415" s="263"/>
      <c r="I415" s="263"/>
      <c r="J415" s="263"/>
      <c r="K415" s="263"/>
      <c r="L415" s="263"/>
      <c r="M415" s="263"/>
      <c r="N415" s="263"/>
      <c r="O415" s="263"/>
      <c r="P415" s="263"/>
      <c r="Q415" s="263"/>
      <c r="R415" s="263"/>
      <c r="S415" s="263"/>
      <c r="T415" s="263"/>
      <c r="U415" s="263"/>
      <c r="V415" s="263"/>
      <c r="W415" s="263"/>
      <c r="X415" s="263"/>
      <c r="Y415" s="263"/>
      <c r="Z415" s="263"/>
    </row>
    <row r="416">
      <c r="A416" s="263"/>
      <c r="B416" s="263"/>
      <c r="C416" s="263"/>
      <c r="D416" s="263"/>
      <c r="E416" s="263"/>
      <c r="F416" s="263"/>
      <c r="G416" s="263"/>
      <c r="H416" s="263"/>
      <c r="I416" s="263"/>
      <c r="J416" s="263"/>
      <c r="K416" s="263"/>
      <c r="L416" s="263"/>
      <c r="M416" s="263"/>
      <c r="N416" s="263"/>
      <c r="O416" s="263"/>
      <c r="P416" s="263"/>
      <c r="Q416" s="263"/>
      <c r="R416" s="263"/>
      <c r="S416" s="263"/>
      <c r="T416" s="263"/>
      <c r="U416" s="263"/>
      <c r="V416" s="263"/>
      <c r="W416" s="263"/>
      <c r="X416" s="263"/>
      <c r="Y416" s="263"/>
      <c r="Z416" s="263"/>
    </row>
    <row r="417">
      <c r="A417" s="263"/>
      <c r="B417" s="263"/>
      <c r="C417" s="263"/>
      <c r="D417" s="263"/>
      <c r="E417" s="263"/>
      <c r="F417" s="263"/>
      <c r="G417" s="263"/>
      <c r="H417" s="263"/>
      <c r="I417" s="263"/>
      <c r="J417" s="263"/>
      <c r="K417" s="263"/>
      <c r="L417" s="263"/>
      <c r="M417" s="263"/>
      <c r="N417" s="263"/>
      <c r="O417" s="263"/>
      <c r="P417" s="263"/>
      <c r="Q417" s="263"/>
      <c r="R417" s="263"/>
      <c r="S417" s="263"/>
      <c r="T417" s="263"/>
      <c r="U417" s="263"/>
      <c r="V417" s="263"/>
      <c r="W417" s="263"/>
      <c r="X417" s="263"/>
      <c r="Y417" s="263"/>
      <c r="Z417" s="263"/>
    </row>
    <row r="418">
      <c r="A418" s="263"/>
      <c r="B418" s="263"/>
      <c r="C418" s="263"/>
      <c r="D418" s="263"/>
      <c r="E418" s="263"/>
      <c r="F418" s="263"/>
      <c r="G418" s="263"/>
      <c r="H418" s="263"/>
      <c r="I418" s="263"/>
      <c r="J418" s="263"/>
      <c r="K418" s="263"/>
      <c r="L418" s="263"/>
      <c r="M418" s="263"/>
      <c r="N418" s="263"/>
      <c r="O418" s="263"/>
      <c r="P418" s="263"/>
      <c r="Q418" s="263"/>
      <c r="R418" s="263"/>
      <c r="S418" s="263"/>
      <c r="T418" s="263"/>
      <c r="U418" s="263"/>
      <c r="V418" s="263"/>
      <c r="W418" s="263"/>
      <c r="X418" s="263"/>
      <c r="Y418" s="263"/>
      <c r="Z418" s="263"/>
    </row>
    <row r="419">
      <c r="A419" s="263"/>
      <c r="B419" s="263"/>
      <c r="C419" s="263"/>
      <c r="D419" s="263"/>
      <c r="E419" s="263"/>
      <c r="F419" s="263"/>
      <c r="G419" s="263"/>
      <c r="H419" s="263"/>
      <c r="I419" s="263"/>
      <c r="J419" s="263"/>
      <c r="K419" s="263"/>
      <c r="L419" s="263"/>
      <c r="M419" s="263"/>
      <c r="N419" s="263"/>
      <c r="O419" s="263"/>
      <c r="P419" s="263"/>
      <c r="Q419" s="263"/>
      <c r="R419" s="263"/>
      <c r="S419" s="263"/>
      <c r="T419" s="263"/>
      <c r="U419" s="263"/>
      <c r="V419" s="263"/>
      <c r="W419" s="263"/>
      <c r="X419" s="263"/>
      <c r="Y419" s="263"/>
      <c r="Z419" s="263"/>
    </row>
    <row r="420">
      <c r="A420" s="263"/>
      <c r="B420" s="263"/>
      <c r="C420" s="263"/>
      <c r="D420" s="263"/>
      <c r="E420" s="263"/>
      <c r="F420" s="263"/>
      <c r="G420" s="263"/>
      <c r="H420" s="263"/>
      <c r="I420" s="263"/>
      <c r="J420" s="263"/>
      <c r="K420" s="263"/>
      <c r="L420" s="263"/>
      <c r="M420" s="263"/>
      <c r="N420" s="263"/>
      <c r="O420" s="263"/>
      <c r="P420" s="263"/>
      <c r="Q420" s="263"/>
      <c r="R420" s="263"/>
      <c r="S420" s="263"/>
      <c r="T420" s="263"/>
      <c r="U420" s="263"/>
      <c r="V420" s="263"/>
      <c r="W420" s="263"/>
      <c r="X420" s="263"/>
      <c r="Y420" s="263"/>
      <c r="Z420" s="263"/>
    </row>
    <row r="421">
      <c r="A421" s="263"/>
      <c r="B421" s="263"/>
      <c r="C421" s="263"/>
      <c r="D421" s="263"/>
      <c r="E421" s="263"/>
      <c r="F421" s="263"/>
      <c r="G421" s="263"/>
      <c r="H421" s="263"/>
      <c r="I421" s="263"/>
      <c r="J421" s="263"/>
      <c r="K421" s="263"/>
      <c r="L421" s="263"/>
      <c r="M421" s="263"/>
      <c r="N421" s="263"/>
      <c r="O421" s="263"/>
      <c r="P421" s="263"/>
      <c r="Q421" s="263"/>
      <c r="R421" s="263"/>
      <c r="S421" s="263"/>
      <c r="T421" s="263"/>
      <c r="U421" s="263"/>
      <c r="V421" s="263"/>
      <c r="W421" s="263"/>
      <c r="X421" s="263"/>
      <c r="Y421" s="263"/>
      <c r="Z421" s="263"/>
    </row>
    <row r="422">
      <c r="A422" s="263"/>
      <c r="B422" s="263"/>
      <c r="C422" s="263"/>
      <c r="D422" s="263"/>
      <c r="E422" s="263"/>
      <c r="F422" s="263"/>
      <c r="G422" s="263"/>
      <c r="H422" s="263"/>
      <c r="I422" s="263"/>
      <c r="J422" s="263"/>
      <c r="K422" s="263"/>
      <c r="L422" s="263"/>
      <c r="M422" s="263"/>
      <c r="N422" s="263"/>
      <c r="O422" s="263"/>
      <c r="P422" s="263"/>
      <c r="Q422" s="263"/>
      <c r="R422" s="263"/>
      <c r="S422" s="263"/>
      <c r="T422" s="263"/>
      <c r="U422" s="263"/>
      <c r="V422" s="263"/>
      <c r="W422" s="263"/>
      <c r="X422" s="263"/>
      <c r="Y422" s="263"/>
      <c r="Z422" s="263"/>
    </row>
    <row r="423">
      <c r="A423" s="263"/>
      <c r="B423" s="263"/>
      <c r="C423" s="263"/>
      <c r="D423" s="263"/>
      <c r="E423" s="263"/>
      <c r="F423" s="263"/>
      <c r="G423" s="263"/>
      <c r="H423" s="263"/>
      <c r="I423" s="263"/>
      <c r="J423" s="263"/>
      <c r="K423" s="263"/>
      <c r="L423" s="263"/>
      <c r="M423" s="263"/>
      <c r="N423" s="263"/>
      <c r="O423" s="263"/>
      <c r="P423" s="263"/>
      <c r="Q423" s="263"/>
      <c r="R423" s="263"/>
      <c r="S423" s="263"/>
      <c r="T423" s="263"/>
      <c r="U423" s="263"/>
      <c r="V423" s="263"/>
      <c r="W423" s="263"/>
      <c r="X423" s="263"/>
      <c r="Y423" s="263"/>
      <c r="Z423" s="263"/>
    </row>
    <row r="424">
      <c r="A424" s="263"/>
      <c r="B424" s="263"/>
      <c r="C424" s="263"/>
      <c r="D424" s="263"/>
      <c r="E424" s="263"/>
      <c r="F424" s="263"/>
      <c r="G424" s="263"/>
      <c r="H424" s="263"/>
      <c r="I424" s="263"/>
      <c r="J424" s="263"/>
      <c r="K424" s="263"/>
      <c r="L424" s="263"/>
      <c r="M424" s="263"/>
      <c r="N424" s="263"/>
      <c r="O424" s="263"/>
      <c r="P424" s="263"/>
      <c r="Q424" s="263"/>
      <c r="R424" s="263"/>
      <c r="S424" s="263"/>
      <c r="T424" s="263"/>
      <c r="U424" s="263"/>
      <c r="V424" s="263"/>
      <c r="W424" s="263"/>
      <c r="X424" s="263"/>
      <c r="Y424" s="263"/>
      <c r="Z424" s="263"/>
    </row>
    <row r="425">
      <c r="A425" s="263"/>
      <c r="B425" s="263"/>
      <c r="C425" s="263"/>
      <c r="D425" s="263"/>
      <c r="E425" s="263"/>
      <c r="F425" s="263"/>
      <c r="G425" s="263"/>
      <c r="H425" s="263"/>
      <c r="I425" s="263"/>
      <c r="J425" s="263"/>
      <c r="K425" s="263"/>
      <c r="L425" s="263"/>
      <c r="M425" s="263"/>
      <c r="N425" s="263"/>
      <c r="O425" s="263"/>
      <c r="P425" s="263"/>
      <c r="Q425" s="263"/>
      <c r="R425" s="263"/>
      <c r="S425" s="263"/>
      <c r="T425" s="263"/>
      <c r="U425" s="263"/>
      <c r="V425" s="263"/>
      <c r="W425" s="263"/>
      <c r="X425" s="263"/>
      <c r="Y425" s="263"/>
      <c r="Z425" s="263"/>
    </row>
    <row r="426">
      <c r="A426" s="263"/>
      <c r="B426" s="263"/>
      <c r="C426" s="263"/>
      <c r="D426" s="263"/>
      <c r="E426" s="263"/>
      <c r="F426" s="263"/>
      <c r="G426" s="263"/>
      <c r="H426" s="263"/>
      <c r="I426" s="263"/>
      <c r="J426" s="263"/>
      <c r="K426" s="263"/>
      <c r="L426" s="263"/>
      <c r="M426" s="263"/>
      <c r="N426" s="263"/>
      <c r="O426" s="263"/>
      <c r="P426" s="263"/>
      <c r="Q426" s="263"/>
      <c r="R426" s="263"/>
      <c r="S426" s="263"/>
      <c r="T426" s="263"/>
      <c r="U426" s="263"/>
      <c r="V426" s="263"/>
      <c r="W426" s="263"/>
      <c r="X426" s="263"/>
      <c r="Y426" s="263"/>
      <c r="Z426" s="263"/>
    </row>
    <row r="427">
      <c r="A427" s="263"/>
      <c r="B427" s="263"/>
      <c r="C427" s="263"/>
      <c r="D427" s="263"/>
      <c r="E427" s="263"/>
      <c r="F427" s="263"/>
      <c r="G427" s="263"/>
      <c r="H427" s="263"/>
      <c r="I427" s="263"/>
      <c r="J427" s="263"/>
      <c r="K427" s="263"/>
      <c r="L427" s="263"/>
      <c r="M427" s="263"/>
      <c r="N427" s="263"/>
      <c r="O427" s="263"/>
      <c r="P427" s="263"/>
      <c r="Q427" s="263"/>
      <c r="R427" s="263"/>
      <c r="S427" s="263"/>
      <c r="T427" s="263"/>
      <c r="U427" s="263"/>
      <c r="V427" s="263"/>
      <c r="W427" s="263"/>
      <c r="X427" s="263"/>
      <c r="Y427" s="263"/>
      <c r="Z427" s="263"/>
    </row>
    <row r="428">
      <c r="A428" s="263"/>
      <c r="B428" s="263"/>
      <c r="C428" s="263"/>
      <c r="D428" s="263"/>
      <c r="E428" s="263"/>
      <c r="F428" s="263"/>
      <c r="G428" s="263"/>
      <c r="H428" s="263"/>
      <c r="I428" s="263"/>
      <c r="J428" s="263"/>
      <c r="K428" s="263"/>
      <c r="L428" s="263"/>
      <c r="M428" s="263"/>
      <c r="N428" s="263"/>
      <c r="O428" s="263"/>
      <c r="P428" s="263"/>
      <c r="Q428" s="263"/>
      <c r="R428" s="263"/>
      <c r="S428" s="263"/>
      <c r="T428" s="263"/>
      <c r="U428" s="263"/>
      <c r="V428" s="263"/>
      <c r="W428" s="263"/>
      <c r="X428" s="263"/>
      <c r="Y428" s="263"/>
      <c r="Z428" s="263"/>
    </row>
    <row r="429">
      <c r="A429" s="263"/>
      <c r="B429" s="263"/>
      <c r="C429" s="263"/>
      <c r="D429" s="263"/>
      <c r="E429" s="263"/>
      <c r="F429" s="263"/>
      <c r="G429" s="263"/>
      <c r="H429" s="263"/>
      <c r="I429" s="263"/>
      <c r="J429" s="263"/>
      <c r="K429" s="263"/>
      <c r="L429" s="263"/>
      <c r="M429" s="263"/>
      <c r="N429" s="263"/>
      <c r="O429" s="263"/>
      <c r="P429" s="263"/>
      <c r="Q429" s="263"/>
      <c r="R429" s="263"/>
      <c r="S429" s="263"/>
      <c r="T429" s="263"/>
      <c r="U429" s="263"/>
      <c r="V429" s="263"/>
      <c r="W429" s="263"/>
      <c r="X429" s="263"/>
      <c r="Y429" s="263"/>
      <c r="Z429" s="263"/>
    </row>
    <row r="430">
      <c r="A430" s="263"/>
      <c r="B430" s="263"/>
      <c r="C430" s="263"/>
      <c r="D430" s="263"/>
      <c r="E430" s="263"/>
      <c r="F430" s="263"/>
      <c r="G430" s="263"/>
      <c r="H430" s="263"/>
      <c r="I430" s="263"/>
      <c r="J430" s="263"/>
      <c r="K430" s="263"/>
      <c r="L430" s="263"/>
      <c r="M430" s="263"/>
      <c r="N430" s="263"/>
      <c r="O430" s="263"/>
      <c r="P430" s="263"/>
      <c r="Q430" s="263"/>
      <c r="R430" s="263"/>
      <c r="S430" s="263"/>
      <c r="T430" s="263"/>
      <c r="U430" s="263"/>
      <c r="V430" s="263"/>
      <c r="W430" s="263"/>
      <c r="X430" s="263"/>
      <c r="Y430" s="263"/>
      <c r="Z430" s="263"/>
    </row>
    <row r="431">
      <c r="A431" s="263"/>
      <c r="B431" s="263"/>
      <c r="C431" s="263"/>
      <c r="D431" s="263"/>
      <c r="E431" s="263"/>
      <c r="F431" s="263"/>
      <c r="G431" s="263"/>
      <c r="H431" s="263"/>
      <c r="I431" s="263"/>
      <c r="J431" s="263"/>
      <c r="K431" s="263"/>
      <c r="L431" s="263"/>
      <c r="M431" s="263"/>
      <c r="N431" s="263"/>
      <c r="O431" s="263"/>
      <c r="P431" s="263"/>
      <c r="Q431" s="263"/>
      <c r="R431" s="263"/>
      <c r="S431" s="263"/>
      <c r="T431" s="263"/>
      <c r="U431" s="263"/>
      <c r="V431" s="263"/>
      <c r="W431" s="263"/>
      <c r="X431" s="263"/>
      <c r="Y431" s="263"/>
      <c r="Z431" s="263"/>
    </row>
    <row r="432">
      <c r="A432" s="263"/>
      <c r="B432" s="263"/>
      <c r="C432" s="263"/>
      <c r="D432" s="263"/>
      <c r="E432" s="263"/>
      <c r="F432" s="263"/>
      <c r="G432" s="263"/>
      <c r="H432" s="263"/>
      <c r="I432" s="263"/>
      <c r="J432" s="263"/>
      <c r="K432" s="263"/>
      <c r="L432" s="263"/>
      <c r="M432" s="263"/>
      <c r="N432" s="263"/>
      <c r="O432" s="263"/>
      <c r="P432" s="263"/>
      <c r="Q432" s="263"/>
      <c r="R432" s="263"/>
      <c r="S432" s="263"/>
      <c r="T432" s="263"/>
      <c r="U432" s="263"/>
      <c r="V432" s="263"/>
      <c r="W432" s="263"/>
      <c r="X432" s="263"/>
      <c r="Y432" s="263"/>
      <c r="Z432" s="263"/>
    </row>
    <row r="433">
      <c r="A433" s="263"/>
      <c r="B433" s="263"/>
      <c r="C433" s="263"/>
      <c r="D433" s="263"/>
      <c r="E433" s="263"/>
      <c r="F433" s="263"/>
      <c r="G433" s="263"/>
      <c r="H433" s="263"/>
      <c r="I433" s="263"/>
      <c r="J433" s="263"/>
      <c r="K433" s="263"/>
      <c r="L433" s="263"/>
      <c r="M433" s="263"/>
      <c r="N433" s="263"/>
      <c r="O433" s="263"/>
      <c r="P433" s="263"/>
      <c r="Q433" s="263"/>
      <c r="R433" s="263"/>
      <c r="S433" s="263"/>
      <c r="T433" s="263"/>
      <c r="U433" s="263"/>
      <c r="V433" s="263"/>
      <c r="W433" s="263"/>
      <c r="X433" s="263"/>
      <c r="Y433" s="263"/>
      <c r="Z433" s="263"/>
    </row>
    <row r="434">
      <c r="A434" s="263"/>
      <c r="B434" s="263"/>
      <c r="C434" s="263"/>
      <c r="D434" s="263"/>
      <c r="E434" s="263"/>
      <c r="F434" s="263"/>
      <c r="G434" s="263"/>
      <c r="H434" s="263"/>
      <c r="I434" s="263"/>
      <c r="J434" s="263"/>
      <c r="K434" s="263"/>
      <c r="L434" s="263"/>
      <c r="M434" s="263"/>
      <c r="N434" s="263"/>
      <c r="O434" s="263"/>
      <c r="P434" s="263"/>
      <c r="Q434" s="263"/>
      <c r="R434" s="263"/>
      <c r="S434" s="263"/>
      <c r="T434" s="263"/>
      <c r="U434" s="263"/>
      <c r="V434" s="263"/>
      <c r="W434" s="263"/>
      <c r="X434" s="263"/>
      <c r="Y434" s="263"/>
      <c r="Z434" s="263"/>
    </row>
    <row r="435">
      <c r="A435" s="263"/>
      <c r="B435" s="263"/>
      <c r="C435" s="263"/>
      <c r="D435" s="263"/>
      <c r="E435" s="263"/>
      <c r="F435" s="263"/>
      <c r="G435" s="263"/>
      <c r="H435" s="263"/>
      <c r="I435" s="263"/>
      <c r="J435" s="263"/>
      <c r="K435" s="263"/>
      <c r="L435" s="263"/>
      <c r="M435" s="263"/>
      <c r="N435" s="263"/>
      <c r="O435" s="263"/>
      <c r="P435" s="263"/>
      <c r="Q435" s="263"/>
      <c r="R435" s="263"/>
      <c r="S435" s="263"/>
      <c r="T435" s="263"/>
      <c r="U435" s="263"/>
      <c r="V435" s="263"/>
      <c r="W435" s="263"/>
      <c r="X435" s="263"/>
      <c r="Y435" s="263"/>
      <c r="Z435" s="263"/>
    </row>
    <row r="436">
      <c r="A436" s="263"/>
      <c r="B436" s="263"/>
      <c r="C436" s="263"/>
      <c r="D436" s="263"/>
      <c r="E436" s="263"/>
      <c r="F436" s="263"/>
      <c r="G436" s="263"/>
      <c r="H436" s="263"/>
      <c r="I436" s="263"/>
      <c r="J436" s="263"/>
      <c r="K436" s="263"/>
      <c r="L436" s="263"/>
      <c r="M436" s="263"/>
      <c r="N436" s="263"/>
      <c r="O436" s="263"/>
      <c r="P436" s="263"/>
      <c r="Q436" s="263"/>
      <c r="R436" s="263"/>
      <c r="S436" s="263"/>
      <c r="T436" s="263"/>
      <c r="U436" s="263"/>
      <c r="V436" s="263"/>
      <c r="W436" s="263"/>
      <c r="X436" s="263"/>
      <c r="Y436" s="263"/>
      <c r="Z436" s="263"/>
    </row>
    <row r="437">
      <c r="A437" s="263"/>
      <c r="B437" s="263"/>
      <c r="C437" s="263"/>
      <c r="D437" s="263"/>
      <c r="E437" s="263"/>
      <c r="F437" s="263"/>
      <c r="G437" s="263"/>
      <c r="H437" s="263"/>
      <c r="I437" s="263"/>
      <c r="J437" s="263"/>
      <c r="K437" s="263"/>
      <c r="L437" s="263"/>
      <c r="M437" s="263"/>
      <c r="N437" s="263"/>
      <c r="O437" s="263"/>
      <c r="P437" s="263"/>
      <c r="Q437" s="263"/>
      <c r="R437" s="263"/>
      <c r="S437" s="263"/>
      <c r="T437" s="263"/>
      <c r="U437" s="263"/>
      <c r="V437" s="263"/>
      <c r="W437" s="263"/>
      <c r="X437" s="263"/>
      <c r="Y437" s="263"/>
      <c r="Z437" s="263"/>
    </row>
    <row r="438">
      <c r="A438" s="263"/>
      <c r="B438" s="263"/>
      <c r="C438" s="263"/>
      <c r="D438" s="263"/>
      <c r="E438" s="263"/>
      <c r="F438" s="263"/>
      <c r="G438" s="263"/>
      <c r="H438" s="263"/>
      <c r="I438" s="263"/>
      <c r="J438" s="263"/>
      <c r="K438" s="263"/>
      <c r="L438" s="263"/>
      <c r="M438" s="263"/>
      <c r="N438" s="263"/>
      <c r="O438" s="263"/>
      <c r="P438" s="263"/>
      <c r="Q438" s="263"/>
      <c r="R438" s="263"/>
      <c r="S438" s="263"/>
      <c r="T438" s="263"/>
      <c r="U438" s="263"/>
      <c r="V438" s="263"/>
      <c r="W438" s="263"/>
      <c r="X438" s="263"/>
      <c r="Y438" s="263"/>
      <c r="Z438" s="263"/>
    </row>
    <row r="439">
      <c r="A439" s="263"/>
      <c r="B439" s="263"/>
      <c r="C439" s="263"/>
      <c r="D439" s="263"/>
      <c r="E439" s="263"/>
      <c r="F439" s="263"/>
      <c r="G439" s="263"/>
      <c r="H439" s="263"/>
      <c r="I439" s="263"/>
      <c r="J439" s="263"/>
      <c r="K439" s="263"/>
      <c r="L439" s="263"/>
      <c r="M439" s="263"/>
      <c r="N439" s="263"/>
      <c r="O439" s="263"/>
      <c r="P439" s="263"/>
      <c r="Q439" s="263"/>
      <c r="R439" s="263"/>
      <c r="S439" s="263"/>
      <c r="T439" s="263"/>
      <c r="U439" s="263"/>
      <c r="V439" s="263"/>
      <c r="W439" s="263"/>
      <c r="X439" s="263"/>
      <c r="Y439" s="263"/>
      <c r="Z439" s="263"/>
    </row>
    <row r="440">
      <c r="A440" s="263"/>
      <c r="B440" s="263"/>
      <c r="C440" s="263"/>
      <c r="D440" s="263"/>
      <c r="E440" s="263"/>
      <c r="F440" s="263"/>
      <c r="G440" s="263"/>
      <c r="H440" s="263"/>
      <c r="I440" s="263"/>
      <c r="J440" s="263"/>
      <c r="K440" s="263"/>
      <c r="L440" s="263"/>
      <c r="M440" s="263"/>
      <c r="N440" s="263"/>
      <c r="O440" s="263"/>
      <c r="P440" s="263"/>
      <c r="Q440" s="263"/>
      <c r="R440" s="263"/>
      <c r="S440" s="263"/>
      <c r="T440" s="263"/>
      <c r="U440" s="263"/>
      <c r="V440" s="263"/>
      <c r="W440" s="263"/>
      <c r="X440" s="263"/>
      <c r="Y440" s="263"/>
      <c r="Z440" s="263"/>
    </row>
    <row r="441">
      <c r="A441" s="263"/>
      <c r="B441" s="263"/>
      <c r="C441" s="263"/>
      <c r="D441" s="263"/>
      <c r="E441" s="263"/>
      <c r="F441" s="263"/>
      <c r="G441" s="263"/>
      <c r="H441" s="263"/>
      <c r="I441" s="263"/>
      <c r="J441" s="263"/>
      <c r="K441" s="263"/>
      <c r="L441" s="263"/>
      <c r="M441" s="263"/>
      <c r="N441" s="263"/>
      <c r="O441" s="263"/>
      <c r="P441" s="263"/>
      <c r="Q441" s="263"/>
      <c r="R441" s="263"/>
      <c r="S441" s="263"/>
      <c r="T441" s="263"/>
      <c r="U441" s="263"/>
      <c r="V441" s="263"/>
      <c r="W441" s="263"/>
      <c r="X441" s="263"/>
      <c r="Y441" s="263"/>
      <c r="Z441" s="263"/>
    </row>
    <row r="442">
      <c r="A442" s="263"/>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263"/>
      <c r="Z442" s="263"/>
    </row>
    <row r="443">
      <c r="A443" s="263"/>
      <c r="B443" s="263"/>
      <c r="C443" s="263"/>
      <c r="D443" s="263"/>
      <c r="E443" s="263"/>
      <c r="F443" s="263"/>
      <c r="G443" s="263"/>
      <c r="H443" s="263"/>
      <c r="I443" s="263"/>
      <c r="J443" s="263"/>
      <c r="K443" s="263"/>
      <c r="L443" s="263"/>
      <c r="M443" s="263"/>
      <c r="N443" s="263"/>
      <c r="O443" s="263"/>
      <c r="P443" s="263"/>
      <c r="Q443" s="263"/>
      <c r="R443" s="263"/>
      <c r="S443" s="263"/>
      <c r="T443" s="263"/>
      <c r="U443" s="263"/>
      <c r="V443" s="263"/>
      <c r="W443" s="263"/>
      <c r="X443" s="263"/>
      <c r="Y443" s="263"/>
      <c r="Z443" s="263"/>
    </row>
    <row r="444">
      <c r="A444" s="263"/>
      <c r="B444" s="263"/>
      <c r="C444" s="263"/>
      <c r="D444" s="263"/>
      <c r="E444" s="263"/>
      <c r="F444" s="263"/>
      <c r="G444" s="263"/>
      <c r="H444" s="263"/>
      <c r="I444" s="263"/>
      <c r="J444" s="263"/>
      <c r="K444" s="263"/>
      <c r="L444" s="263"/>
      <c r="M444" s="263"/>
      <c r="N444" s="263"/>
      <c r="O444" s="263"/>
      <c r="P444" s="263"/>
      <c r="Q444" s="263"/>
      <c r="R444" s="263"/>
      <c r="S444" s="263"/>
      <c r="T444" s="263"/>
      <c r="U444" s="263"/>
      <c r="V444" s="263"/>
      <c r="W444" s="263"/>
      <c r="X444" s="263"/>
      <c r="Y444" s="263"/>
      <c r="Z444" s="263"/>
    </row>
    <row r="445">
      <c r="A445" s="263"/>
      <c r="B445" s="263"/>
      <c r="C445" s="263"/>
      <c r="D445" s="263"/>
      <c r="E445" s="263"/>
      <c r="F445" s="263"/>
      <c r="G445" s="263"/>
      <c r="H445" s="263"/>
      <c r="I445" s="263"/>
      <c r="J445" s="263"/>
      <c r="K445" s="263"/>
      <c r="L445" s="263"/>
      <c r="M445" s="263"/>
      <c r="N445" s="263"/>
      <c r="O445" s="263"/>
      <c r="P445" s="263"/>
      <c r="Q445" s="263"/>
      <c r="R445" s="263"/>
      <c r="S445" s="263"/>
      <c r="T445" s="263"/>
      <c r="U445" s="263"/>
      <c r="V445" s="263"/>
      <c r="W445" s="263"/>
      <c r="X445" s="263"/>
      <c r="Y445" s="263"/>
      <c r="Z445" s="263"/>
    </row>
    <row r="446">
      <c r="A446" s="263"/>
      <c r="B446" s="263"/>
      <c r="C446" s="263"/>
      <c r="D446" s="263"/>
      <c r="E446" s="263"/>
      <c r="F446" s="263"/>
      <c r="G446" s="263"/>
      <c r="H446" s="263"/>
      <c r="I446" s="263"/>
      <c r="J446" s="263"/>
      <c r="K446" s="263"/>
      <c r="L446" s="263"/>
      <c r="M446" s="263"/>
      <c r="N446" s="263"/>
      <c r="O446" s="263"/>
      <c r="P446" s="263"/>
      <c r="Q446" s="263"/>
      <c r="R446" s="263"/>
      <c r="S446" s="263"/>
      <c r="T446" s="263"/>
      <c r="U446" s="263"/>
      <c r="V446" s="263"/>
      <c r="W446" s="263"/>
      <c r="X446" s="263"/>
      <c r="Y446" s="263"/>
      <c r="Z446" s="263"/>
    </row>
    <row r="447">
      <c r="A447" s="263"/>
      <c r="B447" s="263"/>
      <c r="C447" s="263"/>
      <c r="D447" s="263"/>
      <c r="E447" s="263"/>
      <c r="F447" s="263"/>
      <c r="G447" s="263"/>
      <c r="H447" s="263"/>
      <c r="I447" s="263"/>
      <c r="J447" s="263"/>
      <c r="K447" s="263"/>
      <c r="L447" s="263"/>
      <c r="M447" s="263"/>
      <c r="N447" s="263"/>
      <c r="O447" s="263"/>
      <c r="P447" s="263"/>
      <c r="Q447" s="263"/>
      <c r="R447" s="263"/>
      <c r="S447" s="263"/>
      <c r="T447" s="263"/>
      <c r="U447" s="263"/>
      <c r="V447" s="263"/>
      <c r="W447" s="263"/>
      <c r="X447" s="263"/>
      <c r="Y447" s="263"/>
      <c r="Z447" s="263"/>
    </row>
    <row r="448">
      <c r="A448" s="263"/>
      <c r="B448" s="263"/>
      <c r="C448" s="263"/>
      <c r="D448" s="263"/>
      <c r="E448" s="263"/>
      <c r="F448" s="263"/>
      <c r="G448" s="263"/>
      <c r="H448" s="263"/>
      <c r="I448" s="263"/>
      <c r="J448" s="263"/>
      <c r="K448" s="263"/>
      <c r="L448" s="263"/>
      <c r="M448" s="263"/>
      <c r="N448" s="263"/>
      <c r="O448" s="263"/>
      <c r="P448" s="263"/>
      <c r="Q448" s="263"/>
      <c r="R448" s="263"/>
      <c r="S448" s="263"/>
      <c r="T448" s="263"/>
      <c r="U448" s="263"/>
      <c r="V448" s="263"/>
      <c r="W448" s="263"/>
      <c r="X448" s="263"/>
      <c r="Y448" s="263"/>
      <c r="Z448" s="263"/>
    </row>
    <row r="449">
      <c r="A449" s="263"/>
      <c r="B449" s="263"/>
      <c r="C449" s="263"/>
      <c r="D449" s="263"/>
      <c r="E449" s="263"/>
      <c r="F449" s="263"/>
      <c r="G449" s="263"/>
      <c r="H449" s="263"/>
      <c r="I449" s="263"/>
      <c r="J449" s="263"/>
      <c r="K449" s="263"/>
      <c r="L449" s="263"/>
      <c r="M449" s="263"/>
      <c r="N449" s="263"/>
      <c r="O449" s="263"/>
      <c r="P449" s="263"/>
      <c r="Q449" s="263"/>
      <c r="R449" s="263"/>
      <c r="S449" s="263"/>
      <c r="T449" s="263"/>
      <c r="U449" s="263"/>
      <c r="V449" s="263"/>
      <c r="W449" s="263"/>
      <c r="X449" s="263"/>
      <c r="Y449" s="263"/>
      <c r="Z449" s="263"/>
    </row>
    <row r="450">
      <c r="A450" s="263"/>
      <c r="B450" s="263"/>
      <c r="C450" s="263"/>
      <c r="D450" s="263"/>
      <c r="E450" s="263"/>
      <c r="F450" s="263"/>
      <c r="G450" s="263"/>
      <c r="H450" s="263"/>
      <c r="I450" s="263"/>
      <c r="J450" s="263"/>
      <c r="K450" s="263"/>
      <c r="L450" s="263"/>
      <c r="M450" s="263"/>
      <c r="N450" s="263"/>
      <c r="O450" s="263"/>
      <c r="P450" s="263"/>
      <c r="Q450" s="263"/>
      <c r="R450" s="263"/>
      <c r="S450" s="263"/>
      <c r="T450" s="263"/>
      <c r="U450" s="263"/>
      <c r="V450" s="263"/>
      <c r="W450" s="263"/>
      <c r="X450" s="263"/>
      <c r="Y450" s="263"/>
      <c r="Z450" s="263"/>
    </row>
    <row r="451">
      <c r="A451" s="263"/>
      <c r="B451" s="263"/>
      <c r="C451" s="263"/>
      <c r="D451" s="263"/>
      <c r="E451" s="263"/>
      <c r="F451" s="263"/>
      <c r="G451" s="263"/>
      <c r="H451" s="263"/>
      <c r="I451" s="263"/>
      <c r="J451" s="263"/>
      <c r="K451" s="263"/>
      <c r="L451" s="263"/>
      <c r="M451" s="263"/>
      <c r="N451" s="263"/>
      <c r="O451" s="263"/>
      <c r="P451" s="263"/>
      <c r="Q451" s="263"/>
      <c r="R451" s="263"/>
      <c r="S451" s="263"/>
      <c r="T451" s="263"/>
      <c r="U451" s="263"/>
      <c r="V451" s="263"/>
      <c r="W451" s="263"/>
      <c r="X451" s="263"/>
      <c r="Y451" s="263"/>
      <c r="Z451" s="263"/>
    </row>
    <row r="452">
      <c r="A452" s="263"/>
      <c r="B452" s="263"/>
      <c r="C452" s="263"/>
      <c r="D452" s="263"/>
      <c r="E452" s="263"/>
      <c r="F452" s="263"/>
      <c r="G452" s="263"/>
      <c r="H452" s="263"/>
      <c r="I452" s="263"/>
      <c r="J452" s="263"/>
      <c r="K452" s="263"/>
      <c r="L452" s="263"/>
      <c r="M452" s="263"/>
      <c r="N452" s="263"/>
      <c r="O452" s="263"/>
      <c r="P452" s="263"/>
      <c r="Q452" s="263"/>
      <c r="R452" s="263"/>
      <c r="S452" s="263"/>
      <c r="T452" s="263"/>
      <c r="U452" s="263"/>
      <c r="V452" s="263"/>
      <c r="W452" s="263"/>
      <c r="X452" s="263"/>
      <c r="Y452" s="263"/>
      <c r="Z452" s="263"/>
    </row>
    <row r="453">
      <c r="A453" s="263"/>
      <c r="B453" s="263"/>
      <c r="C453" s="263"/>
      <c r="D453" s="263"/>
      <c r="E453" s="263"/>
      <c r="F453" s="263"/>
      <c r="G453" s="263"/>
      <c r="H453" s="263"/>
      <c r="I453" s="263"/>
      <c r="J453" s="263"/>
      <c r="K453" s="263"/>
      <c r="L453" s="263"/>
      <c r="M453" s="263"/>
      <c r="N453" s="263"/>
      <c r="O453" s="263"/>
      <c r="P453" s="263"/>
      <c r="Q453" s="263"/>
      <c r="R453" s="263"/>
      <c r="S453" s="263"/>
      <c r="T453" s="263"/>
      <c r="U453" s="263"/>
      <c r="V453" s="263"/>
      <c r="W453" s="263"/>
      <c r="X453" s="263"/>
      <c r="Y453" s="263"/>
      <c r="Z453" s="263"/>
    </row>
    <row r="454">
      <c r="A454" s="263"/>
      <c r="B454" s="263"/>
      <c r="C454" s="263"/>
      <c r="D454" s="263"/>
      <c r="E454" s="263"/>
      <c r="F454" s="263"/>
      <c r="G454" s="263"/>
      <c r="H454" s="263"/>
      <c r="I454" s="263"/>
      <c r="J454" s="263"/>
      <c r="K454" s="263"/>
      <c r="L454" s="263"/>
      <c r="M454" s="263"/>
      <c r="N454" s="263"/>
      <c r="O454" s="263"/>
      <c r="P454" s="263"/>
      <c r="Q454" s="263"/>
      <c r="R454" s="263"/>
      <c r="S454" s="263"/>
      <c r="T454" s="263"/>
      <c r="U454" s="263"/>
      <c r="V454" s="263"/>
      <c r="W454" s="263"/>
      <c r="X454" s="263"/>
      <c r="Y454" s="263"/>
      <c r="Z454" s="263"/>
    </row>
    <row r="455">
      <c r="A455" s="263"/>
      <c r="B455" s="263"/>
      <c r="C455" s="263"/>
      <c r="D455" s="263"/>
      <c r="E455" s="263"/>
      <c r="F455" s="263"/>
      <c r="G455" s="263"/>
      <c r="H455" s="263"/>
      <c r="I455" s="263"/>
      <c r="J455" s="263"/>
      <c r="K455" s="263"/>
      <c r="L455" s="263"/>
      <c r="M455" s="263"/>
      <c r="N455" s="263"/>
      <c r="O455" s="263"/>
      <c r="P455" s="263"/>
      <c r="Q455" s="263"/>
      <c r="R455" s="263"/>
      <c r="S455" s="263"/>
      <c r="T455" s="263"/>
      <c r="U455" s="263"/>
      <c r="V455" s="263"/>
      <c r="W455" s="263"/>
      <c r="X455" s="263"/>
      <c r="Y455" s="263"/>
      <c r="Z455" s="263"/>
    </row>
    <row r="456">
      <c r="A456" s="263"/>
      <c r="B456" s="263"/>
      <c r="C456" s="263"/>
      <c r="D456" s="263"/>
      <c r="E456" s="263"/>
      <c r="F456" s="263"/>
      <c r="G456" s="263"/>
      <c r="H456" s="263"/>
      <c r="I456" s="263"/>
      <c r="J456" s="263"/>
      <c r="K456" s="263"/>
      <c r="L456" s="263"/>
      <c r="M456" s="263"/>
      <c r="N456" s="263"/>
      <c r="O456" s="263"/>
      <c r="P456" s="263"/>
      <c r="Q456" s="263"/>
      <c r="R456" s="263"/>
      <c r="S456" s="263"/>
      <c r="T456" s="263"/>
      <c r="U456" s="263"/>
      <c r="V456" s="263"/>
      <c r="W456" s="263"/>
      <c r="X456" s="263"/>
      <c r="Y456" s="263"/>
      <c r="Z456" s="263"/>
    </row>
    <row r="457">
      <c r="A457" s="263"/>
      <c r="B457" s="263"/>
      <c r="C457" s="263"/>
      <c r="D457" s="263"/>
      <c r="E457" s="263"/>
      <c r="F457" s="263"/>
      <c r="G457" s="263"/>
      <c r="H457" s="263"/>
      <c r="I457" s="263"/>
      <c r="J457" s="263"/>
      <c r="K457" s="263"/>
      <c r="L457" s="263"/>
      <c r="M457" s="263"/>
      <c r="N457" s="263"/>
      <c r="O457" s="263"/>
      <c r="P457" s="263"/>
      <c r="Q457" s="263"/>
      <c r="R457" s="263"/>
      <c r="S457" s="263"/>
      <c r="T457" s="263"/>
      <c r="U457" s="263"/>
      <c r="V457" s="263"/>
      <c r="W457" s="263"/>
      <c r="X457" s="263"/>
      <c r="Y457" s="263"/>
      <c r="Z457" s="263"/>
    </row>
    <row r="458">
      <c r="A458" s="263"/>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263"/>
      <c r="Z458" s="263"/>
    </row>
    <row r="459">
      <c r="A459" s="263"/>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263"/>
      <c r="Z459" s="263"/>
    </row>
    <row r="460">
      <c r="A460" s="263"/>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263"/>
      <c r="Z460" s="263"/>
    </row>
    <row r="461">
      <c r="A461" s="263"/>
      <c r="B461" s="263"/>
      <c r="C461" s="263"/>
      <c r="D461" s="263"/>
      <c r="E461" s="263"/>
      <c r="F461" s="263"/>
      <c r="G461" s="263"/>
      <c r="H461" s="263"/>
      <c r="I461" s="263"/>
      <c r="J461" s="263"/>
      <c r="K461" s="263"/>
      <c r="L461" s="263"/>
      <c r="M461" s="263"/>
      <c r="N461" s="263"/>
      <c r="O461" s="263"/>
      <c r="P461" s="263"/>
      <c r="Q461" s="263"/>
      <c r="R461" s="263"/>
      <c r="S461" s="263"/>
      <c r="T461" s="263"/>
      <c r="U461" s="263"/>
      <c r="V461" s="263"/>
      <c r="W461" s="263"/>
      <c r="X461" s="263"/>
      <c r="Y461" s="263"/>
      <c r="Z461" s="263"/>
    </row>
    <row r="462">
      <c r="A462" s="263"/>
      <c r="B462" s="263"/>
      <c r="C462" s="263"/>
      <c r="D462" s="263"/>
      <c r="E462" s="263"/>
      <c r="F462" s="263"/>
      <c r="G462" s="263"/>
      <c r="H462" s="263"/>
      <c r="I462" s="263"/>
      <c r="J462" s="263"/>
      <c r="K462" s="263"/>
      <c r="L462" s="263"/>
      <c r="M462" s="263"/>
      <c r="N462" s="263"/>
      <c r="O462" s="263"/>
      <c r="P462" s="263"/>
      <c r="Q462" s="263"/>
      <c r="R462" s="263"/>
      <c r="S462" s="263"/>
      <c r="T462" s="263"/>
      <c r="U462" s="263"/>
      <c r="V462" s="263"/>
      <c r="W462" s="263"/>
      <c r="X462" s="263"/>
      <c r="Y462" s="263"/>
      <c r="Z462" s="263"/>
    </row>
    <row r="463">
      <c r="A463" s="263"/>
      <c r="B463" s="263"/>
      <c r="C463" s="263"/>
      <c r="D463" s="263"/>
      <c r="E463" s="263"/>
      <c r="F463" s="263"/>
      <c r="G463" s="263"/>
      <c r="H463" s="263"/>
      <c r="I463" s="263"/>
      <c r="J463" s="263"/>
      <c r="K463" s="263"/>
      <c r="L463" s="263"/>
      <c r="M463" s="263"/>
      <c r="N463" s="263"/>
      <c r="O463" s="263"/>
      <c r="P463" s="263"/>
      <c r="Q463" s="263"/>
      <c r="R463" s="263"/>
      <c r="S463" s="263"/>
      <c r="T463" s="263"/>
      <c r="U463" s="263"/>
      <c r="V463" s="263"/>
      <c r="W463" s="263"/>
      <c r="X463" s="263"/>
      <c r="Y463" s="263"/>
      <c r="Z463" s="263"/>
    </row>
    <row r="464">
      <c r="A464" s="263"/>
      <c r="B464" s="263"/>
      <c r="C464" s="263"/>
      <c r="D464" s="263"/>
      <c r="E464" s="263"/>
      <c r="F464" s="263"/>
      <c r="G464" s="263"/>
      <c r="H464" s="263"/>
      <c r="I464" s="263"/>
      <c r="J464" s="263"/>
      <c r="K464" s="263"/>
      <c r="L464" s="263"/>
      <c r="M464" s="263"/>
      <c r="N464" s="263"/>
      <c r="O464" s="263"/>
      <c r="P464" s="263"/>
      <c r="Q464" s="263"/>
      <c r="R464" s="263"/>
      <c r="S464" s="263"/>
      <c r="T464" s="263"/>
      <c r="U464" s="263"/>
      <c r="V464" s="263"/>
      <c r="W464" s="263"/>
      <c r="X464" s="263"/>
      <c r="Y464" s="263"/>
      <c r="Z464" s="263"/>
    </row>
    <row r="465">
      <c r="A465" s="263"/>
      <c r="B465" s="263"/>
      <c r="C465" s="263"/>
      <c r="D465" s="263"/>
      <c r="E465" s="263"/>
      <c r="F465" s="263"/>
      <c r="G465" s="263"/>
      <c r="H465" s="263"/>
      <c r="I465" s="263"/>
      <c r="J465" s="263"/>
      <c r="K465" s="263"/>
      <c r="L465" s="263"/>
      <c r="M465" s="263"/>
      <c r="N465" s="263"/>
      <c r="O465" s="263"/>
      <c r="P465" s="263"/>
      <c r="Q465" s="263"/>
      <c r="R465" s="263"/>
      <c r="S465" s="263"/>
      <c r="T465" s="263"/>
      <c r="U465" s="263"/>
      <c r="V465" s="263"/>
      <c r="W465" s="263"/>
      <c r="X465" s="263"/>
      <c r="Y465" s="263"/>
      <c r="Z465" s="263"/>
    </row>
    <row r="466">
      <c r="A466" s="263"/>
      <c r="B466" s="263"/>
      <c r="C466" s="263"/>
      <c r="D466" s="263"/>
      <c r="E466" s="263"/>
      <c r="F466" s="263"/>
      <c r="G466" s="263"/>
      <c r="H466" s="263"/>
      <c r="I466" s="263"/>
      <c r="J466" s="263"/>
      <c r="K466" s="263"/>
      <c r="L466" s="263"/>
      <c r="M466" s="263"/>
      <c r="N466" s="263"/>
      <c r="O466" s="263"/>
      <c r="P466" s="263"/>
      <c r="Q466" s="263"/>
      <c r="R466" s="263"/>
      <c r="S466" s="263"/>
      <c r="T466" s="263"/>
      <c r="U466" s="263"/>
      <c r="V466" s="263"/>
      <c r="W466" s="263"/>
      <c r="X466" s="263"/>
      <c r="Y466" s="263"/>
      <c r="Z466" s="263"/>
    </row>
    <row r="467">
      <c r="A467" s="263"/>
      <c r="B467" s="263"/>
      <c r="C467" s="263"/>
      <c r="D467" s="263"/>
      <c r="E467" s="263"/>
      <c r="F467" s="263"/>
      <c r="G467" s="263"/>
      <c r="H467" s="263"/>
      <c r="I467" s="263"/>
      <c r="J467" s="263"/>
      <c r="K467" s="263"/>
      <c r="L467" s="263"/>
      <c r="M467" s="263"/>
      <c r="N467" s="263"/>
      <c r="O467" s="263"/>
      <c r="P467" s="263"/>
      <c r="Q467" s="263"/>
      <c r="R467" s="263"/>
      <c r="S467" s="263"/>
      <c r="T467" s="263"/>
      <c r="U467" s="263"/>
      <c r="V467" s="263"/>
      <c r="W467" s="263"/>
      <c r="X467" s="263"/>
      <c r="Y467" s="263"/>
      <c r="Z467" s="263"/>
    </row>
    <row r="468">
      <c r="A468" s="263"/>
      <c r="B468" s="263"/>
      <c r="C468" s="263"/>
      <c r="D468" s="263"/>
      <c r="E468" s="263"/>
      <c r="F468" s="263"/>
      <c r="G468" s="263"/>
      <c r="H468" s="263"/>
      <c r="I468" s="263"/>
      <c r="J468" s="263"/>
      <c r="K468" s="263"/>
      <c r="L468" s="263"/>
      <c r="M468" s="263"/>
      <c r="N468" s="263"/>
      <c r="O468" s="263"/>
      <c r="P468" s="263"/>
      <c r="Q468" s="263"/>
      <c r="R468" s="263"/>
      <c r="S468" s="263"/>
      <c r="T468" s="263"/>
      <c r="U468" s="263"/>
      <c r="V468" s="263"/>
      <c r="W468" s="263"/>
      <c r="X468" s="263"/>
      <c r="Y468" s="263"/>
      <c r="Z468" s="263"/>
    </row>
    <row r="469">
      <c r="A469" s="263"/>
      <c r="B469" s="263"/>
      <c r="C469" s="263"/>
      <c r="D469" s="263"/>
      <c r="E469" s="263"/>
      <c r="F469" s="263"/>
      <c r="G469" s="263"/>
      <c r="H469" s="263"/>
      <c r="I469" s="263"/>
      <c r="J469" s="263"/>
      <c r="K469" s="263"/>
      <c r="L469" s="263"/>
      <c r="M469" s="263"/>
      <c r="N469" s="263"/>
      <c r="O469" s="263"/>
      <c r="P469" s="263"/>
      <c r="Q469" s="263"/>
      <c r="R469" s="263"/>
      <c r="S469" s="263"/>
      <c r="T469" s="263"/>
      <c r="U469" s="263"/>
      <c r="V469" s="263"/>
      <c r="W469" s="263"/>
      <c r="X469" s="263"/>
      <c r="Y469" s="263"/>
      <c r="Z469" s="263"/>
    </row>
    <row r="470">
      <c r="A470" s="263"/>
      <c r="B470" s="263"/>
      <c r="C470" s="263"/>
      <c r="D470" s="263"/>
      <c r="E470" s="263"/>
      <c r="F470" s="263"/>
      <c r="G470" s="263"/>
      <c r="H470" s="263"/>
      <c r="I470" s="263"/>
      <c r="J470" s="263"/>
      <c r="K470" s="263"/>
      <c r="L470" s="263"/>
      <c r="M470" s="263"/>
      <c r="N470" s="263"/>
      <c r="O470" s="263"/>
      <c r="P470" s="263"/>
      <c r="Q470" s="263"/>
      <c r="R470" s="263"/>
      <c r="S470" s="263"/>
      <c r="T470" s="263"/>
      <c r="U470" s="263"/>
      <c r="V470" s="263"/>
      <c r="W470" s="263"/>
      <c r="X470" s="263"/>
      <c r="Y470" s="263"/>
      <c r="Z470" s="263"/>
    </row>
    <row r="471">
      <c r="A471" s="263"/>
      <c r="B471" s="263"/>
      <c r="C471" s="263"/>
      <c r="D471" s="263"/>
      <c r="E471" s="263"/>
      <c r="F471" s="263"/>
      <c r="G471" s="263"/>
      <c r="H471" s="263"/>
      <c r="I471" s="263"/>
      <c r="J471" s="263"/>
      <c r="K471" s="263"/>
      <c r="L471" s="263"/>
      <c r="M471" s="263"/>
      <c r="N471" s="263"/>
      <c r="O471" s="263"/>
      <c r="P471" s="263"/>
      <c r="Q471" s="263"/>
      <c r="R471" s="263"/>
      <c r="S471" s="263"/>
      <c r="T471" s="263"/>
      <c r="U471" s="263"/>
      <c r="V471" s="263"/>
      <c r="W471" s="263"/>
      <c r="X471" s="263"/>
      <c r="Y471" s="263"/>
      <c r="Z471" s="263"/>
    </row>
    <row r="472">
      <c r="A472" s="263"/>
      <c r="B472" s="263"/>
      <c r="C472" s="263"/>
      <c r="D472" s="263"/>
      <c r="E472" s="263"/>
      <c r="F472" s="263"/>
      <c r="G472" s="263"/>
      <c r="H472" s="263"/>
      <c r="I472" s="263"/>
      <c r="J472" s="263"/>
      <c r="K472" s="263"/>
      <c r="L472" s="263"/>
      <c r="M472" s="263"/>
      <c r="N472" s="263"/>
      <c r="O472" s="263"/>
      <c r="P472" s="263"/>
      <c r="Q472" s="263"/>
      <c r="R472" s="263"/>
      <c r="S472" s="263"/>
      <c r="T472" s="263"/>
      <c r="U472" s="263"/>
      <c r="V472" s="263"/>
      <c r="W472" s="263"/>
      <c r="X472" s="263"/>
      <c r="Y472" s="263"/>
      <c r="Z472" s="263"/>
    </row>
    <row r="473">
      <c r="A473" s="263"/>
      <c r="B473" s="263"/>
      <c r="C473" s="263"/>
      <c r="D473" s="263"/>
      <c r="E473" s="263"/>
      <c r="F473" s="263"/>
      <c r="G473" s="263"/>
      <c r="H473" s="263"/>
      <c r="I473" s="263"/>
      <c r="J473" s="263"/>
      <c r="K473" s="263"/>
      <c r="L473" s="263"/>
      <c r="M473" s="263"/>
      <c r="N473" s="263"/>
      <c r="O473" s="263"/>
      <c r="P473" s="263"/>
      <c r="Q473" s="263"/>
      <c r="R473" s="263"/>
      <c r="S473" s="263"/>
      <c r="T473" s="263"/>
      <c r="U473" s="263"/>
      <c r="V473" s="263"/>
      <c r="W473" s="263"/>
      <c r="X473" s="263"/>
      <c r="Y473" s="263"/>
      <c r="Z473" s="263"/>
    </row>
    <row r="474">
      <c r="A474" s="263"/>
      <c r="B474" s="263"/>
      <c r="C474" s="263"/>
      <c r="D474" s="263"/>
      <c r="E474" s="263"/>
      <c r="F474" s="263"/>
      <c r="G474" s="263"/>
      <c r="H474" s="263"/>
      <c r="I474" s="263"/>
      <c r="J474" s="263"/>
      <c r="K474" s="263"/>
      <c r="L474" s="263"/>
      <c r="M474" s="263"/>
      <c r="N474" s="263"/>
      <c r="O474" s="263"/>
      <c r="P474" s="263"/>
      <c r="Q474" s="263"/>
      <c r="R474" s="263"/>
      <c r="S474" s="263"/>
      <c r="T474" s="263"/>
      <c r="U474" s="263"/>
      <c r="V474" s="263"/>
      <c r="W474" s="263"/>
      <c r="X474" s="263"/>
      <c r="Y474" s="263"/>
      <c r="Z474" s="263"/>
    </row>
    <row r="475">
      <c r="A475" s="263"/>
      <c r="B475" s="263"/>
      <c r="C475" s="263"/>
      <c r="D475" s="263"/>
      <c r="E475" s="263"/>
      <c r="F475" s="263"/>
      <c r="G475" s="263"/>
      <c r="H475" s="263"/>
      <c r="I475" s="263"/>
      <c r="J475" s="263"/>
      <c r="K475" s="263"/>
      <c r="L475" s="263"/>
      <c r="M475" s="263"/>
      <c r="N475" s="263"/>
      <c r="O475" s="263"/>
      <c r="P475" s="263"/>
      <c r="Q475" s="263"/>
      <c r="R475" s="263"/>
      <c r="S475" s="263"/>
      <c r="T475" s="263"/>
      <c r="U475" s="263"/>
      <c r="V475" s="263"/>
      <c r="W475" s="263"/>
      <c r="X475" s="263"/>
      <c r="Y475" s="263"/>
      <c r="Z475" s="263"/>
    </row>
    <row r="476">
      <c r="A476" s="263"/>
      <c r="B476" s="263"/>
      <c r="C476" s="263"/>
      <c r="D476" s="263"/>
      <c r="E476" s="263"/>
      <c r="F476" s="263"/>
      <c r="G476" s="263"/>
      <c r="H476" s="263"/>
      <c r="I476" s="263"/>
      <c r="J476" s="263"/>
      <c r="K476" s="263"/>
      <c r="L476" s="263"/>
      <c r="M476" s="263"/>
      <c r="N476" s="263"/>
      <c r="O476" s="263"/>
      <c r="P476" s="263"/>
      <c r="Q476" s="263"/>
      <c r="R476" s="263"/>
      <c r="S476" s="263"/>
      <c r="T476" s="263"/>
      <c r="U476" s="263"/>
      <c r="V476" s="263"/>
      <c r="W476" s="263"/>
      <c r="X476" s="263"/>
      <c r="Y476" s="263"/>
      <c r="Z476" s="263"/>
    </row>
    <row r="477">
      <c r="A477" s="263"/>
      <c r="B477" s="263"/>
      <c r="C477" s="263"/>
      <c r="D477" s="263"/>
      <c r="E477" s="263"/>
      <c r="F477" s="263"/>
      <c r="G477" s="263"/>
      <c r="H477" s="263"/>
      <c r="I477" s="263"/>
      <c r="J477" s="263"/>
      <c r="K477" s="263"/>
      <c r="L477" s="263"/>
      <c r="M477" s="263"/>
      <c r="N477" s="263"/>
      <c r="O477" s="263"/>
      <c r="P477" s="263"/>
      <c r="Q477" s="263"/>
      <c r="R477" s="263"/>
      <c r="S477" s="263"/>
      <c r="T477" s="263"/>
      <c r="U477" s="263"/>
      <c r="V477" s="263"/>
      <c r="W477" s="263"/>
      <c r="X477" s="263"/>
      <c r="Y477" s="263"/>
      <c r="Z477" s="263"/>
    </row>
    <row r="478">
      <c r="A478" s="263"/>
      <c r="B478" s="263"/>
      <c r="C478" s="263"/>
      <c r="D478" s="263"/>
      <c r="E478" s="263"/>
      <c r="F478" s="263"/>
      <c r="G478" s="263"/>
      <c r="H478" s="263"/>
      <c r="I478" s="263"/>
      <c r="J478" s="263"/>
      <c r="K478" s="263"/>
      <c r="L478" s="263"/>
      <c r="M478" s="263"/>
      <c r="N478" s="263"/>
      <c r="O478" s="263"/>
      <c r="P478" s="263"/>
      <c r="Q478" s="263"/>
      <c r="R478" s="263"/>
      <c r="S478" s="263"/>
      <c r="T478" s="263"/>
      <c r="U478" s="263"/>
      <c r="V478" s="263"/>
      <c r="W478" s="263"/>
      <c r="X478" s="263"/>
      <c r="Y478" s="263"/>
      <c r="Z478" s="263"/>
    </row>
    <row r="479">
      <c r="A479" s="263"/>
      <c r="B479" s="263"/>
      <c r="C479" s="263"/>
      <c r="D479" s="263"/>
      <c r="E479" s="263"/>
      <c r="F479" s="263"/>
      <c r="G479" s="263"/>
      <c r="H479" s="263"/>
      <c r="I479" s="263"/>
      <c r="J479" s="263"/>
      <c r="K479" s="263"/>
      <c r="L479" s="263"/>
      <c r="M479" s="263"/>
      <c r="N479" s="263"/>
      <c r="O479" s="263"/>
      <c r="P479" s="263"/>
      <c r="Q479" s="263"/>
      <c r="R479" s="263"/>
      <c r="S479" s="263"/>
      <c r="T479" s="263"/>
      <c r="U479" s="263"/>
      <c r="V479" s="263"/>
      <c r="W479" s="263"/>
      <c r="X479" s="263"/>
      <c r="Y479" s="263"/>
      <c r="Z479" s="263"/>
    </row>
    <row r="480">
      <c r="A480" s="263"/>
      <c r="B480" s="263"/>
      <c r="C480" s="263"/>
      <c r="D480" s="263"/>
      <c r="E480" s="263"/>
      <c r="F480" s="263"/>
      <c r="G480" s="263"/>
      <c r="H480" s="263"/>
      <c r="I480" s="263"/>
      <c r="J480" s="263"/>
      <c r="K480" s="263"/>
      <c r="L480" s="263"/>
      <c r="M480" s="263"/>
      <c r="N480" s="263"/>
      <c r="O480" s="263"/>
      <c r="P480" s="263"/>
      <c r="Q480" s="263"/>
      <c r="R480" s="263"/>
      <c r="S480" s="263"/>
      <c r="T480" s="263"/>
      <c r="U480" s="263"/>
      <c r="V480" s="263"/>
      <c r="W480" s="263"/>
      <c r="X480" s="263"/>
      <c r="Y480" s="263"/>
      <c r="Z480" s="263"/>
    </row>
    <row r="481">
      <c r="A481" s="263"/>
      <c r="B481" s="263"/>
      <c r="C481" s="263"/>
      <c r="D481" s="263"/>
      <c r="E481" s="263"/>
      <c r="F481" s="263"/>
      <c r="G481" s="263"/>
      <c r="H481" s="263"/>
      <c r="I481" s="263"/>
      <c r="J481" s="263"/>
      <c r="K481" s="263"/>
      <c r="L481" s="263"/>
      <c r="M481" s="263"/>
      <c r="N481" s="263"/>
      <c r="O481" s="263"/>
      <c r="P481" s="263"/>
      <c r="Q481" s="263"/>
      <c r="R481" s="263"/>
      <c r="S481" s="263"/>
      <c r="T481" s="263"/>
      <c r="U481" s="263"/>
      <c r="V481" s="263"/>
      <c r="W481" s="263"/>
      <c r="X481" s="263"/>
      <c r="Y481" s="263"/>
      <c r="Z481" s="263"/>
    </row>
    <row r="482">
      <c r="A482" s="263"/>
      <c r="B482" s="263"/>
      <c r="C482" s="263"/>
      <c r="D482" s="263"/>
      <c r="E482" s="263"/>
      <c r="F482" s="263"/>
      <c r="G482" s="263"/>
      <c r="H482" s="263"/>
      <c r="I482" s="263"/>
      <c r="J482" s="263"/>
      <c r="K482" s="263"/>
      <c r="L482" s="263"/>
      <c r="M482" s="263"/>
      <c r="N482" s="263"/>
      <c r="O482" s="263"/>
      <c r="P482" s="263"/>
      <c r="Q482" s="263"/>
      <c r="R482" s="263"/>
      <c r="S482" s="263"/>
      <c r="T482" s="263"/>
      <c r="U482" s="263"/>
      <c r="V482" s="263"/>
      <c r="W482" s="263"/>
      <c r="X482" s="263"/>
      <c r="Y482" s="263"/>
      <c r="Z482" s="263"/>
    </row>
    <row r="483">
      <c r="A483" s="263"/>
      <c r="B483" s="263"/>
      <c r="C483" s="263"/>
      <c r="D483" s="263"/>
      <c r="E483" s="263"/>
      <c r="F483" s="263"/>
      <c r="G483" s="263"/>
      <c r="H483" s="263"/>
      <c r="I483" s="263"/>
      <c r="J483" s="263"/>
      <c r="K483" s="263"/>
      <c r="L483" s="263"/>
      <c r="M483" s="263"/>
      <c r="N483" s="263"/>
      <c r="O483" s="263"/>
      <c r="P483" s="263"/>
      <c r="Q483" s="263"/>
      <c r="R483" s="263"/>
      <c r="S483" s="263"/>
      <c r="T483" s="263"/>
      <c r="U483" s="263"/>
      <c r="V483" s="263"/>
      <c r="W483" s="263"/>
      <c r="X483" s="263"/>
      <c r="Y483" s="263"/>
      <c r="Z483" s="263"/>
    </row>
    <row r="484">
      <c r="A484" s="263"/>
      <c r="B484" s="263"/>
      <c r="C484" s="263"/>
      <c r="D484" s="263"/>
      <c r="E484" s="263"/>
      <c r="F484" s="263"/>
      <c r="G484" s="263"/>
      <c r="H484" s="263"/>
      <c r="I484" s="263"/>
      <c r="J484" s="263"/>
      <c r="K484" s="263"/>
      <c r="L484" s="263"/>
      <c r="M484" s="263"/>
      <c r="N484" s="263"/>
      <c r="O484" s="263"/>
      <c r="P484" s="263"/>
      <c r="Q484" s="263"/>
      <c r="R484" s="263"/>
      <c r="S484" s="263"/>
      <c r="T484" s="263"/>
      <c r="U484" s="263"/>
      <c r="V484" s="263"/>
      <c r="W484" s="263"/>
      <c r="X484" s="263"/>
      <c r="Y484" s="263"/>
      <c r="Z484" s="263"/>
    </row>
    <row r="485">
      <c r="A485" s="263"/>
      <c r="B485" s="263"/>
      <c r="C485" s="263"/>
      <c r="D485" s="263"/>
      <c r="E485" s="263"/>
      <c r="F485" s="263"/>
      <c r="G485" s="263"/>
      <c r="H485" s="263"/>
      <c r="I485" s="263"/>
      <c r="J485" s="263"/>
      <c r="K485" s="263"/>
      <c r="L485" s="263"/>
      <c r="M485" s="263"/>
      <c r="N485" s="263"/>
      <c r="O485" s="263"/>
      <c r="P485" s="263"/>
      <c r="Q485" s="263"/>
      <c r="R485" s="263"/>
      <c r="S485" s="263"/>
      <c r="T485" s="263"/>
      <c r="U485" s="263"/>
      <c r="V485" s="263"/>
      <c r="W485" s="263"/>
      <c r="X485" s="263"/>
      <c r="Y485" s="263"/>
      <c r="Z485" s="263"/>
    </row>
    <row r="486">
      <c r="A486" s="263"/>
      <c r="B486" s="263"/>
      <c r="C486" s="263"/>
      <c r="D486" s="263"/>
      <c r="E486" s="263"/>
      <c r="F486" s="263"/>
      <c r="G486" s="263"/>
      <c r="H486" s="263"/>
      <c r="I486" s="263"/>
      <c r="J486" s="263"/>
      <c r="K486" s="263"/>
      <c r="L486" s="263"/>
      <c r="M486" s="263"/>
      <c r="N486" s="263"/>
      <c r="O486" s="263"/>
      <c r="P486" s="263"/>
      <c r="Q486" s="263"/>
      <c r="R486" s="263"/>
      <c r="S486" s="263"/>
      <c r="T486" s="263"/>
      <c r="U486" s="263"/>
      <c r="V486" s="263"/>
      <c r="W486" s="263"/>
      <c r="X486" s="263"/>
      <c r="Y486" s="263"/>
      <c r="Z486" s="263"/>
    </row>
    <row r="487">
      <c r="A487" s="263"/>
      <c r="B487" s="263"/>
      <c r="C487" s="263"/>
      <c r="D487" s="263"/>
      <c r="E487" s="263"/>
      <c r="F487" s="263"/>
      <c r="G487" s="263"/>
      <c r="H487" s="263"/>
      <c r="I487" s="263"/>
      <c r="J487" s="263"/>
      <c r="K487" s="263"/>
      <c r="L487" s="263"/>
      <c r="M487" s="263"/>
      <c r="N487" s="263"/>
      <c r="O487" s="263"/>
      <c r="P487" s="263"/>
      <c r="Q487" s="263"/>
      <c r="R487" s="263"/>
      <c r="S487" s="263"/>
      <c r="T487" s="263"/>
      <c r="U487" s="263"/>
      <c r="V487" s="263"/>
      <c r="W487" s="263"/>
      <c r="X487" s="263"/>
      <c r="Y487" s="263"/>
      <c r="Z487" s="263"/>
    </row>
    <row r="488">
      <c r="A488" s="263"/>
      <c r="B488" s="263"/>
      <c r="C488" s="263"/>
      <c r="D488" s="263"/>
      <c r="E488" s="263"/>
      <c r="F488" s="263"/>
      <c r="G488" s="263"/>
      <c r="H488" s="263"/>
      <c r="I488" s="263"/>
      <c r="J488" s="263"/>
      <c r="K488" s="263"/>
      <c r="L488" s="263"/>
      <c r="M488" s="263"/>
      <c r="N488" s="263"/>
      <c r="O488" s="263"/>
      <c r="P488" s="263"/>
      <c r="Q488" s="263"/>
      <c r="R488" s="263"/>
      <c r="S488" s="263"/>
      <c r="T488" s="263"/>
      <c r="U488" s="263"/>
      <c r="V488" s="263"/>
      <c r="W488" s="263"/>
      <c r="X488" s="263"/>
      <c r="Y488" s="263"/>
      <c r="Z488" s="263"/>
    </row>
    <row r="489">
      <c r="A489" s="263"/>
      <c r="B489" s="263"/>
      <c r="C489" s="263"/>
      <c r="D489" s="263"/>
      <c r="E489" s="263"/>
      <c r="F489" s="263"/>
      <c r="G489" s="263"/>
      <c r="H489" s="263"/>
      <c r="I489" s="263"/>
      <c r="J489" s="263"/>
      <c r="K489" s="263"/>
      <c r="L489" s="263"/>
      <c r="M489" s="263"/>
      <c r="N489" s="263"/>
      <c r="O489" s="263"/>
      <c r="P489" s="263"/>
      <c r="Q489" s="263"/>
      <c r="R489" s="263"/>
      <c r="S489" s="263"/>
      <c r="T489" s="263"/>
      <c r="U489" s="263"/>
      <c r="V489" s="263"/>
      <c r="W489" s="263"/>
      <c r="X489" s="263"/>
      <c r="Y489" s="263"/>
      <c r="Z489" s="263"/>
    </row>
    <row r="490">
      <c r="A490" s="263"/>
      <c r="B490" s="263"/>
      <c r="C490" s="263"/>
      <c r="D490" s="263"/>
      <c r="E490" s="263"/>
      <c r="F490" s="263"/>
      <c r="G490" s="263"/>
      <c r="H490" s="263"/>
      <c r="I490" s="263"/>
      <c r="J490" s="263"/>
      <c r="K490" s="263"/>
      <c r="L490" s="263"/>
      <c r="M490" s="263"/>
      <c r="N490" s="263"/>
      <c r="O490" s="263"/>
      <c r="P490" s="263"/>
      <c r="Q490" s="263"/>
      <c r="R490" s="263"/>
      <c r="S490" s="263"/>
      <c r="T490" s="263"/>
      <c r="U490" s="263"/>
      <c r="V490" s="263"/>
      <c r="W490" s="263"/>
      <c r="X490" s="263"/>
      <c r="Y490" s="263"/>
      <c r="Z490" s="263"/>
    </row>
    <row r="491">
      <c r="A491" s="263"/>
      <c r="B491" s="263"/>
      <c r="C491" s="263"/>
      <c r="D491" s="263"/>
      <c r="E491" s="263"/>
      <c r="F491" s="263"/>
      <c r="G491" s="263"/>
      <c r="H491" s="263"/>
      <c r="I491" s="263"/>
      <c r="J491" s="263"/>
      <c r="K491" s="263"/>
      <c r="L491" s="263"/>
      <c r="M491" s="263"/>
      <c r="N491" s="263"/>
      <c r="O491" s="263"/>
      <c r="P491" s="263"/>
      <c r="Q491" s="263"/>
      <c r="R491" s="263"/>
      <c r="S491" s="263"/>
      <c r="T491" s="263"/>
      <c r="U491" s="263"/>
      <c r="V491" s="263"/>
      <c r="W491" s="263"/>
      <c r="X491" s="263"/>
      <c r="Y491" s="263"/>
      <c r="Z491" s="263"/>
    </row>
    <row r="492">
      <c r="A492" s="263"/>
      <c r="B492" s="263"/>
      <c r="C492" s="263"/>
      <c r="D492" s="263"/>
      <c r="E492" s="263"/>
      <c r="F492" s="263"/>
      <c r="G492" s="263"/>
      <c r="H492" s="263"/>
      <c r="I492" s="263"/>
      <c r="J492" s="263"/>
      <c r="K492" s="263"/>
      <c r="L492" s="263"/>
      <c r="M492" s="263"/>
      <c r="N492" s="263"/>
      <c r="O492" s="263"/>
      <c r="P492" s="263"/>
      <c r="Q492" s="263"/>
      <c r="R492" s="263"/>
      <c r="S492" s="263"/>
      <c r="T492" s="263"/>
      <c r="U492" s="263"/>
      <c r="V492" s="263"/>
      <c r="W492" s="263"/>
      <c r="X492" s="263"/>
      <c r="Y492" s="263"/>
      <c r="Z492" s="263"/>
    </row>
    <row r="493">
      <c r="A493" s="263"/>
      <c r="B493" s="263"/>
      <c r="C493" s="263"/>
      <c r="D493" s="263"/>
      <c r="E493" s="263"/>
      <c r="F493" s="263"/>
      <c r="G493" s="263"/>
      <c r="H493" s="263"/>
      <c r="I493" s="263"/>
      <c r="J493" s="263"/>
      <c r="K493" s="263"/>
      <c r="L493" s="263"/>
      <c r="M493" s="263"/>
      <c r="N493" s="263"/>
      <c r="O493" s="263"/>
      <c r="P493" s="263"/>
      <c r="Q493" s="263"/>
      <c r="R493" s="263"/>
      <c r="S493" s="263"/>
      <c r="T493" s="263"/>
      <c r="U493" s="263"/>
      <c r="V493" s="263"/>
      <c r="W493" s="263"/>
      <c r="X493" s="263"/>
      <c r="Y493" s="263"/>
      <c r="Z493" s="263"/>
    </row>
    <row r="494">
      <c r="A494" s="263"/>
      <c r="B494" s="263"/>
      <c r="C494" s="263"/>
      <c r="D494" s="263"/>
      <c r="E494" s="263"/>
      <c r="F494" s="263"/>
      <c r="G494" s="263"/>
      <c r="H494" s="263"/>
      <c r="I494" s="263"/>
      <c r="J494" s="263"/>
      <c r="K494" s="263"/>
      <c r="L494" s="263"/>
      <c r="M494" s="263"/>
      <c r="N494" s="263"/>
      <c r="O494" s="263"/>
      <c r="P494" s="263"/>
      <c r="Q494" s="263"/>
      <c r="R494" s="263"/>
      <c r="S494" s="263"/>
      <c r="T494" s="263"/>
      <c r="U494" s="263"/>
      <c r="V494" s="263"/>
      <c r="W494" s="263"/>
      <c r="X494" s="263"/>
      <c r="Y494" s="263"/>
      <c r="Z494" s="263"/>
    </row>
    <row r="495">
      <c r="A495" s="263"/>
      <c r="B495" s="263"/>
      <c r="C495" s="263"/>
      <c r="D495" s="263"/>
      <c r="E495" s="263"/>
      <c r="F495" s="263"/>
      <c r="G495" s="263"/>
      <c r="H495" s="263"/>
      <c r="I495" s="263"/>
      <c r="J495" s="263"/>
      <c r="K495" s="263"/>
      <c r="L495" s="263"/>
      <c r="M495" s="263"/>
      <c r="N495" s="263"/>
      <c r="O495" s="263"/>
      <c r="P495" s="263"/>
      <c r="Q495" s="263"/>
      <c r="R495" s="263"/>
      <c r="S495" s="263"/>
      <c r="T495" s="263"/>
      <c r="U495" s="263"/>
      <c r="V495" s="263"/>
      <c r="W495" s="263"/>
      <c r="X495" s="263"/>
      <c r="Y495" s="263"/>
      <c r="Z495" s="263"/>
    </row>
    <row r="496">
      <c r="A496" s="263"/>
      <c r="B496" s="263"/>
      <c r="C496" s="263"/>
      <c r="D496" s="263"/>
      <c r="E496" s="263"/>
      <c r="F496" s="263"/>
      <c r="G496" s="263"/>
      <c r="H496" s="263"/>
      <c r="I496" s="263"/>
      <c r="J496" s="263"/>
      <c r="K496" s="263"/>
      <c r="L496" s="263"/>
      <c r="M496" s="263"/>
      <c r="N496" s="263"/>
      <c r="O496" s="263"/>
      <c r="P496" s="263"/>
      <c r="Q496" s="263"/>
      <c r="R496" s="263"/>
      <c r="S496" s="263"/>
      <c r="T496" s="263"/>
      <c r="U496" s="263"/>
      <c r="V496" s="263"/>
      <c r="W496" s="263"/>
      <c r="X496" s="263"/>
      <c r="Y496" s="263"/>
      <c r="Z496" s="263"/>
    </row>
    <row r="497">
      <c r="A497" s="263"/>
      <c r="B497" s="263"/>
      <c r="C497" s="263"/>
      <c r="D497" s="263"/>
      <c r="E497" s="263"/>
      <c r="F497" s="263"/>
      <c r="G497" s="263"/>
      <c r="H497" s="263"/>
      <c r="I497" s="263"/>
      <c r="J497" s="263"/>
      <c r="K497" s="263"/>
      <c r="L497" s="263"/>
      <c r="M497" s="263"/>
      <c r="N497" s="263"/>
      <c r="O497" s="263"/>
      <c r="P497" s="263"/>
      <c r="Q497" s="263"/>
      <c r="R497" s="263"/>
      <c r="S497" s="263"/>
      <c r="T497" s="263"/>
      <c r="U497" s="263"/>
      <c r="V497" s="263"/>
      <c r="W497" s="263"/>
      <c r="X497" s="263"/>
      <c r="Y497" s="263"/>
      <c r="Z497" s="263"/>
    </row>
    <row r="498">
      <c r="A498" s="263"/>
      <c r="B498" s="263"/>
      <c r="C498" s="263"/>
      <c r="D498" s="263"/>
      <c r="E498" s="263"/>
      <c r="F498" s="263"/>
      <c r="G498" s="263"/>
      <c r="H498" s="263"/>
      <c r="I498" s="263"/>
      <c r="J498" s="263"/>
      <c r="K498" s="263"/>
      <c r="L498" s="263"/>
      <c r="M498" s="263"/>
      <c r="N498" s="263"/>
      <c r="O498" s="263"/>
      <c r="P498" s="263"/>
      <c r="Q498" s="263"/>
      <c r="R498" s="263"/>
      <c r="S498" s="263"/>
      <c r="T498" s="263"/>
      <c r="U498" s="263"/>
      <c r="V498" s="263"/>
      <c r="W498" s="263"/>
      <c r="X498" s="263"/>
      <c r="Y498" s="263"/>
      <c r="Z498" s="263"/>
    </row>
    <row r="499">
      <c r="A499" s="263"/>
      <c r="B499" s="263"/>
      <c r="C499" s="263"/>
      <c r="D499" s="263"/>
      <c r="E499" s="263"/>
      <c r="F499" s="263"/>
      <c r="G499" s="263"/>
      <c r="H499" s="263"/>
      <c r="I499" s="263"/>
      <c r="J499" s="263"/>
      <c r="K499" s="263"/>
      <c r="L499" s="263"/>
      <c r="M499" s="263"/>
      <c r="N499" s="263"/>
      <c r="O499" s="263"/>
      <c r="P499" s="263"/>
      <c r="Q499" s="263"/>
      <c r="R499" s="263"/>
      <c r="S499" s="263"/>
      <c r="T499" s="263"/>
      <c r="U499" s="263"/>
      <c r="V499" s="263"/>
      <c r="W499" s="263"/>
      <c r="X499" s="263"/>
      <c r="Y499" s="263"/>
      <c r="Z499" s="263"/>
    </row>
    <row r="500">
      <c r="A500" s="263"/>
      <c r="B500" s="263"/>
      <c r="C500" s="263"/>
      <c r="D500" s="263"/>
      <c r="E500" s="263"/>
      <c r="F500" s="263"/>
      <c r="G500" s="263"/>
      <c r="H500" s="263"/>
      <c r="I500" s="263"/>
      <c r="J500" s="263"/>
      <c r="K500" s="263"/>
      <c r="L500" s="263"/>
      <c r="M500" s="263"/>
      <c r="N500" s="263"/>
      <c r="O500" s="263"/>
      <c r="P500" s="263"/>
      <c r="Q500" s="263"/>
      <c r="R500" s="263"/>
      <c r="S500" s="263"/>
      <c r="T500" s="263"/>
      <c r="U500" s="263"/>
      <c r="V500" s="263"/>
      <c r="W500" s="263"/>
      <c r="X500" s="263"/>
      <c r="Y500" s="263"/>
      <c r="Z500" s="263"/>
    </row>
    <row r="501">
      <c r="A501" s="263"/>
      <c r="B501" s="263"/>
      <c r="C501" s="263"/>
      <c r="D501" s="263"/>
      <c r="E501" s="263"/>
      <c r="F501" s="263"/>
      <c r="G501" s="263"/>
      <c r="H501" s="263"/>
      <c r="I501" s="263"/>
      <c r="J501" s="263"/>
      <c r="K501" s="263"/>
      <c r="L501" s="263"/>
      <c r="M501" s="263"/>
      <c r="N501" s="263"/>
      <c r="O501" s="263"/>
      <c r="P501" s="263"/>
      <c r="Q501" s="263"/>
      <c r="R501" s="263"/>
      <c r="S501" s="263"/>
      <c r="T501" s="263"/>
      <c r="U501" s="263"/>
      <c r="V501" s="263"/>
      <c r="W501" s="263"/>
      <c r="X501" s="263"/>
      <c r="Y501" s="263"/>
      <c r="Z501" s="263"/>
    </row>
    <row r="502">
      <c r="A502" s="263"/>
      <c r="B502" s="263"/>
      <c r="C502" s="263"/>
      <c r="D502" s="263"/>
      <c r="E502" s="263"/>
      <c r="F502" s="263"/>
      <c r="G502" s="263"/>
      <c r="H502" s="263"/>
      <c r="I502" s="263"/>
      <c r="J502" s="263"/>
      <c r="K502" s="263"/>
      <c r="L502" s="263"/>
      <c r="M502" s="263"/>
      <c r="N502" s="263"/>
      <c r="O502" s="263"/>
      <c r="P502" s="263"/>
      <c r="Q502" s="263"/>
      <c r="R502" s="263"/>
      <c r="S502" s="263"/>
      <c r="T502" s="263"/>
      <c r="U502" s="263"/>
      <c r="V502" s="263"/>
      <c r="W502" s="263"/>
      <c r="X502" s="263"/>
      <c r="Y502" s="263"/>
      <c r="Z502" s="263"/>
    </row>
    <row r="503">
      <c r="A503" s="263"/>
      <c r="B503" s="263"/>
      <c r="C503" s="263"/>
      <c r="D503" s="263"/>
      <c r="E503" s="263"/>
      <c r="F503" s="263"/>
      <c r="G503" s="263"/>
      <c r="H503" s="263"/>
      <c r="I503" s="263"/>
      <c r="J503" s="263"/>
      <c r="K503" s="263"/>
      <c r="L503" s="263"/>
      <c r="M503" s="263"/>
      <c r="N503" s="263"/>
      <c r="O503" s="263"/>
      <c r="P503" s="263"/>
      <c r="Q503" s="263"/>
      <c r="R503" s="263"/>
      <c r="S503" s="263"/>
      <c r="T503" s="263"/>
      <c r="U503" s="263"/>
      <c r="V503" s="263"/>
      <c r="W503" s="263"/>
      <c r="X503" s="263"/>
      <c r="Y503" s="263"/>
      <c r="Z503" s="263"/>
    </row>
    <row r="504">
      <c r="A504" s="263"/>
      <c r="B504" s="263"/>
      <c r="C504" s="263"/>
      <c r="D504" s="263"/>
      <c r="E504" s="263"/>
      <c r="F504" s="263"/>
      <c r="G504" s="263"/>
      <c r="H504" s="263"/>
      <c r="I504" s="263"/>
      <c r="J504" s="263"/>
      <c r="K504" s="263"/>
      <c r="L504" s="263"/>
      <c r="M504" s="263"/>
      <c r="N504" s="263"/>
      <c r="O504" s="263"/>
      <c r="P504" s="263"/>
      <c r="Q504" s="263"/>
      <c r="R504" s="263"/>
      <c r="S504" s="263"/>
      <c r="T504" s="263"/>
      <c r="U504" s="263"/>
      <c r="V504" s="263"/>
      <c r="W504" s="263"/>
      <c r="X504" s="263"/>
      <c r="Y504" s="263"/>
      <c r="Z504" s="263"/>
    </row>
    <row r="505">
      <c r="A505" s="263"/>
      <c r="B505" s="263"/>
      <c r="C505" s="263"/>
      <c r="D505" s="263"/>
      <c r="E505" s="263"/>
      <c r="F505" s="263"/>
      <c r="G505" s="263"/>
      <c r="H505" s="263"/>
      <c r="I505" s="263"/>
      <c r="J505" s="263"/>
      <c r="K505" s="263"/>
      <c r="L505" s="263"/>
      <c r="M505" s="263"/>
      <c r="N505" s="263"/>
      <c r="O505" s="263"/>
      <c r="P505" s="263"/>
      <c r="Q505" s="263"/>
      <c r="R505" s="263"/>
      <c r="S505" s="263"/>
      <c r="T505" s="263"/>
      <c r="U505" s="263"/>
      <c r="V505" s="263"/>
      <c r="W505" s="263"/>
      <c r="X505" s="263"/>
      <c r="Y505" s="263"/>
      <c r="Z505" s="263"/>
    </row>
    <row r="506">
      <c r="A506" s="263"/>
      <c r="B506" s="263"/>
      <c r="C506" s="263"/>
      <c r="D506" s="263"/>
      <c r="E506" s="263"/>
      <c r="F506" s="263"/>
      <c r="G506" s="263"/>
      <c r="H506" s="263"/>
      <c r="I506" s="263"/>
      <c r="J506" s="263"/>
      <c r="K506" s="263"/>
      <c r="L506" s="263"/>
      <c r="M506" s="263"/>
      <c r="N506" s="263"/>
      <c r="O506" s="263"/>
      <c r="P506" s="263"/>
      <c r="Q506" s="263"/>
      <c r="R506" s="263"/>
      <c r="S506" s="263"/>
      <c r="T506" s="263"/>
      <c r="U506" s="263"/>
      <c r="V506" s="263"/>
      <c r="W506" s="263"/>
      <c r="X506" s="263"/>
      <c r="Y506" s="263"/>
      <c r="Z506" s="263"/>
    </row>
    <row r="507">
      <c r="A507" s="263"/>
      <c r="B507" s="263"/>
      <c r="C507" s="263"/>
      <c r="D507" s="263"/>
      <c r="E507" s="263"/>
      <c r="F507" s="263"/>
      <c r="G507" s="263"/>
      <c r="H507" s="263"/>
      <c r="I507" s="263"/>
      <c r="J507" s="263"/>
      <c r="K507" s="263"/>
      <c r="L507" s="263"/>
      <c r="M507" s="263"/>
      <c r="N507" s="263"/>
      <c r="O507" s="263"/>
      <c r="P507" s="263"/>
      <c r="Q507" s="263"/>
      <c r="R507" s="263"/>
      <c r="S507" s="263"/>
      <c r="T507" s="263"/>
      <c r="U507" s="263"/>
      <c r="V507" s="263"/>
      <c r="W507" s="263"/>
      <c r="X507" s="263"/>
      <c r="Y507" s="263"/>
      <c r="Z507" s="263"/>
    </row>
    <row r="508">
      <c r="A508" s="263"/>
      <c r="B508" s="263"/>
      <c r="C508" s="263"/>
      <c r="D508" s="263"/>
      <c r="E508" s="263"/>
      <c r="F508" s="263"/>
      <c r="G508" s="263"/>
      <c r="H508" s="263"/>
      <c r="I508" s="263"/>
      <c r="J508" s="263"/>
      <c r="K508" s="263"/>
      <c r="L508" s="263"/>
      <c r="M508" s="263"/>
      <c r="N508" s="263"/>
      <c r="O508" s="263"/>
      <c r="P508" s="263"/>
      <c r="Q508" s="263"/>
      <c r="R508" s="263"/>
      <c r="S508" s="263"/>
      <c r="T508" s="263"/>
      <c r="U508" s="263"/>
      <c r="V508" s="263"/>
      <c r="W508" s="263"/>
      <c r="X508" s="263"/>
      <c r="Y508" s="263"/>
      <c r="Z508" s="263"/>
    </row>
    <row r="509">
      <c r="A509" s="263"/>
      <c r="B509" s="263"/>
      <c r="C509" s="263"/>
      <c r="D509" s="263"/>
      <c r="E509" s="263"/>
      <c r="F509" s="263"/>
      <c r="G509" s="263"/>
      <c r="H509" s="263"/>
      <c r="I509" s="263"/>
      <c r="J509" s="263"/>
      <c r="K509" s="263"/>
      <c r="L509" s="263"/>
      <c r="M509" s="263"/>
      <c r="N509" s="263"/>
      <c r="O509" s="263"/>
      <c r="P509" s="263"/>
      <c r="Q509" s="263"/>
      <c r="R509" s="263"/>
      <c r="S509" s="263"/>
      <c r="T509" s="263"/>
      <c r="U509" s="263"/>
      <c r="V509" s="263"/>
      <c r="W509" s="263"/>
      <c r="X509" s="263"/>
      <c r="Y509" s="263"/>
      <c r="Z509" s="263"/>
    </row>
    <row r="510">
      <c r="A510" s="263"/>
      <c r="B510" s="263"/>
      <c r="C510" s="263"/>
      <c r="D510" s="263"/>
      <c r="E510" s="263"/>
      <c r="F510" s="263"/>
      <c r="G510" s="263"/>
      <c r="H510" s="263"/>
      <c r="I510" s="263"/>
      <c r="J510" s="263"/>
      <c r="K510" s="263"/>
      <c r="L510" s="263"/>
      <c r="M510" s="263"/>
      <c r="N510" s="263"/>
      <c r="O510" s="263"/>
      <c r="P510" s="263"/>
      <c r="Q510" s="263"/>
      <c r="R510" s="263"/>
      <c r="S510" s="263"/>
      <c r="T510" s="263"/>
      <c r="U510" s="263"/>
      <c r="V510" s="263"/>
      <c r="W510" s="263"/>
      <c r="X510" s="263"/>
      <c r="Y510" s="263"/>
      <c r="Z510" s="263"/>
    </row>
    <row r="511">
      <c r="A511" s="263"/>
      <c r="B511" s="263"/>
      <c r="C511" s="263"/>
      <c r="D511" s="263"/>
      <c r="E511" s="263"/>
      <c r="F511" s="263"/>
      <c r="G511" s="263"/>
      <c r="H511" s="263"/>
      <c r="I511" s="263"/>
      <c r="J511" s="263"/>
      <c r="K511" s="263"/>
      <c r="L511" s="263"/>
      <c r="M511" s="263"/>
      <c r="N511" s="263"/>
      <c r="O511" s="263"/>
      <c r="P511" s="263"/>
      <c r="Q511" s="263"/>
      <c r="R511" s="263"/>
      <c r="S511" s="263"/>
      <c r="T511" s="263"/>
      <c r="U511" s="263"/>
      <c r="V511" s="263"/>
      <c r="W511" s="263"/>
      <c r="X511" s="263"/>
      <c r="Y511" s="263"/>
      <c r="Z511" s="263"/>
    </row>
    <row r="512">
      <c r="A512" s="263"/>
      <c r="B512" s="263"/>
      <c r="C512" s="263"/>
      <c r="D512" s="263"/>
      <c r="E512" s="263"/>
      <c r="F512" s="263"/>
      <c r="G512" s="263"/>
      <c r="H512" s="263"/>
      <c r="I512" s="263"/>
      <c r="J512" s="263"/>
      <c r="K512" s="263"/>
      <c r="L512" s="263"/>
      <c r="M512" s="263"/>
      <c r="N512" s="263"/>
      <c r="O512" s="263"/>
      <c r="P512" s="263"/>
      <c r="Q512" s="263"/>
      <c r="R512" s="263"/>
      <c r="S512" s="263"/>
      <c r="T512" s="263"/>
      <c r="U512" s="263"/>
      <c r="V512" s="263"/>
      <c r="W512" s="263"/>
      <c r="X512" s="263"/>
      <c r="Y512" s="263"/>
      <c r="Z512" s="263"/>
    </row>
    <row r="513">
      <c r="A513" s="263"/>
      <c r="B513" s="263"/>
      <c r="C513" s="263"/>
      <c r="D513" s="263"/>
      <c r="E513" s="263"/>
      <c r="F513" s="263"/>
      <c r="G513" s="263"/>
      <c r="H513" s="263"/>
      <c r="I513" s="263"/>
      <c r="J513" s="263"/>
      <c r="K513" s="263"/>
      <c r="L513" s="263"/>
      <c r="M513" s="263"/>
      <c r="N513" s="263"/>
      <c r="O513" s="263"/>
      <c r="P513" s="263"/>
      <c r="Q513" s="263"/>
      <c r="R513" s="263"/>
      <c r="S513" s="263"/>
      <c r="T513" s="263"/>
      <c r="U513" s="263"/>
      <c r="V513" s="263"/>
      <c r="W513" s="263"/>
      <c r="X513" s="263"/>
      <c r="Y513" s="263"/>
      <c r="Z513" s="263"/>
    </row>
    <row r="514">
      <c r="A514" s="263"/>
      <c r="B514" s="263"/>
      <c r="C514" s="263"/>
      <c r="D514" s="263"/>
      <c r="E514" s="263"/>
      <c r="F514" s="263"/>
      <c r="G514" s="263"/>
      <c r="H514" s="263"/>
      <c r="I514" s="263"/>
      <c r="J514" s="263"/>
      <c r="K514" s="263"/>
      <c r="L514" s="263"/>
      <c r="M514" s="263"/>
      <c r="N514" s="263"/>
      <c r="O514" s="263"/>
      <c r="P514" s="263"/>
      <c r="Q514" s="263"/>
      <c r="R514" s="263"/>
      <c r="S514" s="263"/>
      <c r="T514" s="263"/>
      <c r="U514" s="263"/>
      <c r="V514" s="263"/>
      <c r="W514" s="263"/>
      <c r="X514" s="263"/>
      <c r="Y514" s="263"/>
      <c r="Z514" s="263"/>
    </row>
    <row r="515">
      <c r="A515" s="263"/>
      <c r="B515" s="263"/>
      <c r="C515" s="263"/>
      <c r="D515" s="263"/>
      <c r="E515" s="263"/>
      <c r="F515" s="263"/>
      <c r="G515" s="263"/>
      <c r="H515" s="263"/>
      <c r="I515" s="263"/>
      <c r="J515" s="263"/>
      <c r="K515" s="263"/>
      <c r="L515" s="263"/>
      <c r="M515" s="263"/>
      <c r="N515" s="263"/>
      <c r="O515" s="263"/>
      <c r="P515" s="263"/>
      <c r="Q515" s="263"/>
      <c r="R515" s="263"/>
      <c r="S515" s="263"/>
      <c r="T515" s="263"/>
      <c r="U515" s="263"/>
      <c r="V515" s="263"/>
      <c r="W515" s="263"/>
      <c r="X515" s="263"/>
      <c r="Y515" s="263"/>
      <c r="Z515" s="263"/>
    </row>
    <row r="516">
      <c r="A516" s="263"/>
      <c r="B516" s="263"/>
      <c r="C516" s="263"/>
      <c r="D516" s="263"/>
      <c r="E516" s="263"/>
      <c r="F516" s="263"/>
      <c r="G516" s="263"/>
      <c r="H516" s="263"/>
      <c r="I516" s="263"/>
      <c r="J516" s="263"/>
      <c r="K516" s="263"/>
      <c r="L516" s="263"/>
      <c r="M516" s="263"/>
      <c r="N516" s="263"/>
      <c r="O516" s="263"/>
      <c r="P516" s="263"/>
      <c r="Q516" s="263"/>
      <c r="R516" s="263"/>
      <c r="S516" s="263"/>
      <c r="T516" s="263"/>
      <c r="U516" s="263"/>
      <c r="V516" s="263"/>
      <c r="W516" s="263"/>
      <c r="X516" s="263"/>
      <c r="Y516" s="263"/>
      <c r="Z516" s="263"/>
    </row>
    <row r="517">
      <c r="A517" s="263"/>
      <c r="B517" s="263"/>
      <c r="C517" s="263"/>
      <c r="D517" s="263"/>
      <c r="E517" s="263"/>
      <c r="F517" s="263"/>
      <c r="G517" s="263"/>
      <c r="H517" s="263"/>
      <c r="I517" s="263"/>
      <c r="J517" s="263"/>
      <c r="K517" s="263"/>
      <c r="L517" s="263"/>
      <c r="M517" s="263"/>
      <c r="N517" s="263"/>
      <c r="O517" s="263"/>
      <c r="P517" s="263"/>
      <c r="Q517" s="263"/>
      <c r="R517" s="263"/>
      <c r="S517" s="263"/>
      <c r="T517" s="263"/>
      <c r="U517" s="263"/>
      <c r="V517" s="263"/>
      <c r="W517" s="263"/>
      <c r="X517" s="263"/>
      <c r="Y517" s="263"/>
      <c r="Z517" s="263"/>
    </row>
    <row r="518">
      <c r="A518" s="263"/>
      <c r="B518" s="263"/>
      <c r="C518" s="263"/>
      <c r="D518" s="263"/>
      <c r="E518" s="263"/>
      <c r="F518" s="263"/>
      <c r="G518" s="263"/>
      <c r="H518" s="263"/>
      <c r="I518" s="263"/>
      <c r="J518" s="263"/>
      <c r="K518" s="263"/>
      <c r="L518" s="263"/>
      <c r="M518" s="263"/>
      <c r="N518" s="263"/>
      <c r="O518" s="263"/>
      <c r="P518" s="263"/>
      <c r="Q518" s="263"/>
      <c r="R518" s="263"/>
      <c r="S518" s="263"/>
      <c r="T518" s="263"/>
      <c r="U518" s="263"/>
      <c r="V518" s="263"/>
      <c r="W518" s="263"/>
      <c r="X518" s="263"/>
      <c r="Y518" s="263"/>
      <c r="Z518" s="263"/>
    </row>
    <row r="519">
      <c r="A519" s="263"/>
      <c r="B519" s="263"/>
      <c r="C519" s="263"/>
      <c r="D519" s="263"/>
      <c r="E519" s="263"/>
      <c r="F519" s="263"/>
      <c r="G519" s="263"/>
      <c r="H519" s="263"/>
      <c r="I519" s="263"/>
      <c r="J519" s="263"/>
      <c r="K519" s="263"/>
      <c r="L519" s="263"/>
      <c r="M519" s="263"/>
      <c r="N519" s="263"/>
      <c r="O519" s="263"/>
      <c r="P519" s="263"/>
      <c r="Q519" s="263"/>
      <c r="R519" s="263"/>
      <c r="S519" s="263"/>
      <c r="T519" s="263"/>
      <c r="U519" s="263"/>
      <c r="V519" s="263"/>
      <c r="W519" s="263"/>
      <c r="X519" s="263"/>
      <c r="Y519" s="263"/>
      <c r="Z519" s="263"/>
    </row>
    <row r="520">
      <c r="A520" s="263"/>
      <c r="B520" s="263"/>
      <c r="C520" s="263"/>
      <c r="D520" s="263"/>
      <c r="E520" s="263"/>
      <c r="F520" s="263"/>
      <c r="G520" s="263"/>
      <c r="H520" s="263"/>
      <c r="I520" s="263"/>
      <c r="J520" s="263"/>
      <c r="K520" s="263"/>
      <c r="L520" s="263"/>
      <c r="M520" s="263"/>
      <c r="N520" s="263"/>
      <c r="O520" s="263"/>
      <c r="P520" s="263"/>
      <c r="Q520" s="263"/>
      <c r="R520" s="263"/>
      <c r="S520" s="263"/>
      <c r="T520" s="263"/>
      <c r="U520" s="263"/>
      <c r="V520" s="263"/>
      <c r="W520" s="263"/>
      <c r="X520" s="263"/>
      <c r="Y520" s="263"/>
      <c r="Z520" s="263"/>
    </row>
    <row r="521">
      <c r="A521" s="263"/>
      <c r="B521" s="263"/>
      <c r="C521" s="263"/>
      <c r="D521" s="263"/>
      <c r="E521" s="263"/>
      <c r="F521" s="263"/>
      <c r="G521" s="263"/>
      <c r="H521" s="263"/>
      <c r="I521" s="263"/>
      <c r="J521" s="263"/>
      <c r="K521" s="263"/>
      <c r="L521" s="263"/>
      <c r="M521" s="263"/>
      <c r="N521" s="263"/>
      <c r="O521" s="263"/>
      <c r="P521" s="263"/>
      <c r="Q521" s="263"/>
      <c r="R521" s="263"/>
      <c r="S521" s="263"/>
      <c r="T521" s="263"/>
      <c r="U521" s="263"/>
      <c r="V521" s="263"/>
      <c r="W521" s="263"/>
      <c r="X521" s="263"/>
      <c r="Y521" s="263"/>
      <c r="Z521" s="263"/>
    </row>
    <row r="522">
      <c r="A522" s="263"/>
      <c r="B522" s="263"/>
      <c r="C522" s="263"/>
      <c r="D522" s="263"/>
      <c r="E522" s="263"/>
      <c r="F522" s="263"/>
      <c r="G522" s="263"/>
      <c r="H522" s="263"/>
      <c r="I522" s="263"/>
      <c r="J522" s="263"/>
      <c r="K522" s="263"/>
      <c r="L522" s="263"/>
      <c r="M522" s="263"/>
      <c r="N522" s="263"/>
      <c r="O522" s="263"/>
      <c r="P522" s="263"/>
      <c r="Q522" s="263"/>
      <c r="R522" s="263"/>
      <c r="S522" s="263"/>
      <c r="T522" s="263"/>
      <c r="U522" s="263"/>
      <c r="V522" s="263"/>
      <c r="W522" s="263"/>
      <c r="X522" s="263"/>
      <c r="Y522" s="263"/>
      <c r="Z522" s="263"/>
    </row>
    <row r="523">
      <c r="A523" s="263"/>
      <c r="B523" s="263"/>
      <c r="C523" s="263"/>
      <c r="D523" s="263"/>
      <c r="E523" s="263"/>
      <c r="F523" s="263"/>
      <c r="G523" s="263"/>
      <c r="H523" s="263"/>
      <c r="I523" s="263"/>
      <c r="J523" s="263"/>
      <c r="K523" s="263"/>
      <c r="L523" s="263"/>
      <c r="M523" s="263"/>
      <c r="N523" s="263"/>
      <c r="O523" s="263"/>
      <c r="P523" s="263"/>
      <c r="Q523" s="263"/>
      <c r="R523" s="263"/>
      <c r="S523" s="263"/>
      <c r="T523" s="263"/>
      <c r="U523" s="263"/>
      <c r="V523" s="263"/>
      <c r="W523" s="263"/>
      <c r="X523" s="263"/>
      <c r="Y523" s="263"/>
      <c r="Z523" s="263"/>
    </row>
    <row r="524">
      <c r="A524" s="263"/>
      <c r="B524" s="263"/>
      <c r="C524" s="263"/>
      <c r="D524" s="263"/>
      <c r="E524" s="263"/>
      <c r="F524" s="263"/>
      <c r="G524" s="263"/>
      <c r="H524" s="263"/>
      <c r="I524" s="263"/>
      <c r="J524" s="263"/>
      <c r="K524" s="263"/>
      <c r="L524" s="263"/>
      <c r="M524" s="263"/>
      <c r="N524" s="263"/>
      <c r="O524" s="263"/>
      <c r="P524" s="263"/>
      <c r="Q524" s="263"/>
      <c r="R524" s="263"/>
      <c r="S524" s="263"/>
      <c r="T524" s="263"/>
      <c r="U524" s="263"/>
      <c r="V524" s="263"/>
      <c r="W524" s="263"/>
      <c r="X524" s="263"/>
      <c r="Y524" s="263"/>
      <c r="Z524" s="263"/>
    </row>
    <row r="525">
      <c r="A525" s="263"/>
      <c r="B525" s="263"/>
      <c r="C525" s="263"/>
      <c r="D525" s="263"/>
      <c r="E525" s="263"/>
      <c r="F525" s="263"/>
      <c r="G525" s="263"/>
      <c r="H525" s="263"/>
      <c r="I525" s="263"/>
      <c r="J525" s="263"/>
      <c r="K525" s="263"/>
      <c r="L525" s="263"/>
      <c r="M525" s="263"/>
      <c r="N525" s="263"/>
      <c r="O525" s="263"/>
      <c r="P525" s="263"/>
      <c r="Q525" s="263"/>
      <c r="R525" s="263"/>
      <c r="S525" s="263"/>
      <c r="T525" s="263"/>
      <c r="U525" s="263"/>
      <c r="V525" s="263"/>
      <c r="W525" s="263"/>
      <c r="X525" s="263"/>
      <c r="Y525" s="263"/>
      <c r="Z525" s="263"/>
    </row>
    <row r="526">
      <c r="A526" s="263"/>
      <c r="B526" s="263"/>
      <c r="C526" s="263"/>
      <c r="D526" s="263"/>
      <c r="E526" s="263"/>
      <c r="F526" s="263"/>
      <c r="G526" s="263"/>
      <c r="H526" s="263"/>
      <c r="I526" s="263"/>
      <c r="J526" s="263"/>
      <c r="K526" s="263"/>
      <c r="L526" s="263"/>
      <c r="M526" s="263"/>
      <c r="N526" s="263"/>
      <c r="O526" s="263"/>
      <c r="P526" s="263"/>
      <c r="Q526" s="263"/>
      <c r="R526" s="263"/>
      <c r="S526" s="263"/>
      <c r="T526" s="263"/>
      <c r="U526" s="263"/>
      <c r="V526" s="263"/>
      <c r="W526" s="263"/>
      <c r="X526" s="263"/>
      <c r="Y526" s="263"/>
      <c r="Z526" s="263"/>
    </row>
    <row r="527">
      <c r="A527" s="263"/>
      <c r="B527" s="263"/>
      <c r="C527" s="263"/>
      <c r="D527" s="263"/>
      <c r="E527" s="263"/>
      <c r="F527" s="263"/>
      <c r="G527" s="263"/>
      <c r="H527" s="263"/>
      <c r="I527" s="263"/>
      <c r="J527" s="263"/>
      <c r="K527" s="263"/>
      <c r="L527" s="263"/>
      <c r="M527" s="263"/>
      <c r="N527" s="263"/>
      <c r="O527" s="263"/>
      <c r="P527" s="263"/>
      <c r="Q527" s="263"/>
      <c r="R527" s="263"/>
      <c r="S527" s="263"/>
      <c r="T527" s="263"/>
      <c r="U527" s="263"/>
      <c r="V527" s="263"/>
      <c r="W527" s="263"/>
      <c r="X527" s="263"/>
      <c r="Y527" s="263"/>
      <c r="Z527" s="263"/>
    </row>
    <row r="528">
      <c r="A528" s="263"/>
      <c r="B528" s="263"/>
      <c r="C528" s="263"/>
      <c r="D528" s="263"/>
      <c r="E528" s="263"/>
      <c r="F528" s="263"/>
      <c r="G528" s="263"/>
      <c r="H528" s="263"/>
      <c r="I528" s="263"/>
      <c r="J528" s="263"/>
      <c r="K528" s="263"/>
      <c r="L528" s="263"/>
      <c r="M528" s="263"/>
      <c r="N528" s="263"/>
      <c r="O528" s="263"/>
      <c r="P528" s="263"/>
      <c r="Q528" s="263"/>
      <c r="R528" s="263"/>
      <c r="S528" s="263"/>
      <c r="T528" s="263"/>
      <c r="U528" s="263"/>
      <c r="V528" s="263"/>
      <c r="W528" s="263"/>
      <c r="X528" s="263"/>
      <c r="Y528" s="263"/>
      <c r="Z528" s="263"/>
    </row>
    <row r="529">
      <c r="A529" s="263"/>
      <c r="B529" s="263"/>
      <c r="C529" s="263"/>
      <c r="D529" s="263"/>
      <c r="E529" s="263"/>
      <c r="F529" s="263"/>
      <c r="G529" s="263"/>
      <c r="H529" s="263"/>
      <c r="I529" s="263"/>
      <c r="J529" s="263"/>
      <c r="K529" s="263"/>
      <c r="L529" s="263"/>
      <c r="M529" s="263"/>
      <c r="N529" s="263"/>
      <c r="O529" s="263"/>
      <c r="P529" s="263"/>
      <c r="Q529" s="263"/>
      <c r="R529" s="263"/>
      <c r="S529" s="263"/>
      <c r="T529" s="263"/>
      <c r="U529" s="263"/>
      <c r="V529" s="263"/>
      <c r="W529" s="263"/>
      <c r="X529" s="263"/>
      <c r="Y529" s="263"/>
      <c r="Z529" s="263"/>
    </row>
    <row r="530">
      <c r="A530" s="263"/>
      <c r="B530" s="263"/>
      <c r="C530" s="263"/>
      <c r="D530" s="263"/>
      <c r="E530" s="263"/>
      <c r="F530" s="263"/>
      <c r="G530" s="263"/>
      <c r="H530" s="263"/>
      <c r="I530" s="263"/>
      <c r="J530" s="263"/>
      <c r="K530" s="263"/>
      <c r="L530" s="263"/>
      <c r="M530" s="263"/>
      <c r="N530" s="263"/>
      <c r="O530" s="263"/>
      <c r="P530" s="263"/>
      <c r="Q530" s="263"/>
      <c r="R530" s="263"/>
      <c r="S530" s="263"/>
      <c r="T530" s="263"/>
      <c r="U530" s="263"/>
      <c r="V530" s="263"/>
      <c r="W530" s="263"/>
      <c r="X530" s="263"/>
      <c r="Y530" s="263"/>
      <c r="Z530" s="263"/>
    </row>
    <row r="531">
      <c r="A531" s="263"/>
      <c r="B531" s="263"/>
      <c r="C531" s="263"/>
      <c r="D531" s="263"/>
      <c r="E531" s="263"/>
      <c r="F531" s="263"/>
      <c r="G531" s="263"/>
      <c r="H531" s="263"/>
      <c r="I531" s="263"/>
      <c r="J531" s="263"/>
      <c r="K531" s="263"/>
      <c r="L531" s="263"/>
      <c r="M531" s="263"/>
      <c r="N531" s="263"/>
      <c r="O531" s="263"/>
      <c r="P531" s="263"/>
      <c r="Q531" s="263"/>
      <c r="R531" s="263"/>
      <c r="S531" s="263"/>
      <c r="T531" s="263"/>
      <c r="U531" s="263"/>
      <c r="V531" s="263"/>
      <c r="W531" s="263"/>
      <c r="X531" s="263"/>
      <c r="Y531" s="263"/>
      <c r="Z531" s="263"/>
    </row>
    <row r="532">
      <c r="A532" s="263"/>
      <c r="B532" s="263"/>
      <c r="C532" s="263"/>
      <c r="D532" s="263"/>
      <c r="E532" s="263"/>
      <c r="F532" s="263"/>
      <c r="G532" s="263"/>
      <c r="H532" s="263"/>
      <c r="I532" s="263"/>
      <c r="J532" s="263"/>
      <c r="K532" s="263"/>
      <c r="L532" s="263"/>
      <c r="M532" s="263"/>
      <c r="N532" s="263"/>
      <c r="O532" s="263"/>
      <c r="P532" s="263"/>
      <c r="Q532" s="263"/>
      <c r="R532" s="263"/>
      <c r="S532" s="263"/>
      <c r="T532" s="263"/>
      <c r="U532" s="263"/>
      <c r="V532" s="263"/>
      <c r="W532" s="263"/>
      <c r="X532" s="263"/>
      <c r="Y532" s="263"/>
      <c r="Z532" s="263"/>
    </row>
    <row r="533">
      <c r="A533" s="263"/>
      <c r="B533" s="263"/>
      <c r="C533" s="263"/>
      <c r="D533" s="263"/>
      <c r="E533" s="263"/>
      <c r="F533" s="263"/>
      <c r="G533" s="263"/>
      <c r="H533" s="263"/>
      <c r="I533" s="263"/>
      <c r="J533" s="263"/>
      <c r="K533" s="263"/>
      <c r="L533" s="263"/>
      <c r="M533" s="263"/>
      <c r="N533" s="263"/>
      <c r="O533" s="263"/>
      <c r="P533" s="263"/>
      <c r="Q533" s="263"/>
      <c r="R533" s="263"/>
      <c r="S533" s="263"/>
      <c r="T533" s="263"/>
      <c r="U533" s="263"/>
      <c r="V533" s="263"/>
      <c r="W533" s="263"/>
      <c r="X533" s="263"/>
      <c r="Y533" s="263"/>
      <c r="Z533" s="263"/>
    </row>
    <row r="534">
      <c r="A534" s="263"/>
      <c r="B534" s="263"/>
      <c r="C534" s="263"/>
      <c r="D534" s="263"/>
      <c r="E534" s="263"/>
      <c r="F534" s="263"/>
      <c r="G534" s="263"/>
      <c r="H534" s="263"/>
      <c r="I534" s="263"/>
      <c r="J534" s="263"/>
      <c r="K534" s="263"/>
      <c r="L534" s="263"/>
      <c r="M534" s="263"/>
      <c r="N534" s="263"/>
      <c r="O534" s="263"/>
      <c r="P534" s="263"/>
      <c r="Q534" s="263"/>
      <c r="R534" s="263"/>
      <c r="S534" s="263"/>
      <c r="T534" s="263"/>
      <c r="U534" s="263"/>
      <c r="V534" s="263"/>
      <c r="W534" s="263"/>
      <c r="X534" s="263"/>
      <c r="Y534" s="263"/>
      <c r="Z534" s="263"/>
    </row>
    <row r="535">
      <c r="A535" s="263"/>
      <c r="B535" s="263"/>
      <c r="C535" s="263"/>
      <c r="D535" s="263"/>
      <c r="E535" s="263"/>
      <c r="F535" s="263"/>
      <c r="G535" s="263"/>
      <c r="H535" s="263"/>
      <c r="I535" s="263"/>
      <c r="J535" s="263"/>
      <c r="K535" s="263"/>
      <c r="L535" s="263"/>
      <c r="M535" s="263"/>
      <c r="N535" s="263"/>
      <c r="O535" s="263"/>
      <c r="P535" s="263"/>
      <c r="Q535" s="263"/>
      <c r="R535" s="263"/>
      <c r="S535" s="263"/>
      <c r="T535" s="263"/>
      <c r="U535" s="263"/>
      <c r="V535" s="263"/>
      <c r="W535" s="263"/>
      <c r="X535" s="263"/>
      <c r="Y535" s="263"/>
      <c r="Z535" s="263"/>
    </row>
    <row r="536">
      <c r="A536" s="263"/>
      <c r="B536" s="263"/>
      <c r="C536" s="263"/>
      <c r="D536" s="263"/>
      <c r="E536" s="263"/>
      <c r="F536" s="263"/>
      <c r="G536" s="263"/>
      <c r="H536" s="263"/>
      <c r="I536" s="263"/>
      <c r="J536" s="263"/>
      <c r="K536" s="263"/>
      <c r="L536" s="263"/>
      <c r="M536" s="263"/>
      <c r="N536" s="263"/>
      <c r="O536" s="263"/>
      <c r="P536" s="263"/>
      <c r="Q536" s="263"/>
      <c r="R536" s="263"/>
      <c r="S536" s="263"/>
      <c r="T536" s="263"/>
      <c r="U536" s="263"/>
      <c r="V536" s="263"/>
      <c r="W536" s="263"/>
      <c r="X536" s="263"/>
      <c r="Y536" s="263"/>
      <c r="Z536" s="263"/>
    </row>
    <row r="537">
      <c r="A537" s="263"/>
      <c r="B537" s="263"/>
      <c r="C537" s="263"/>
      <c r="D537" s="263"/>
      <c r="E537" s="263"/>
      <c r="F537" s="263"/>
      <c r="G537" s="263"/>
      <c r="H537" s="263"/>
      <c r="I537" s="263"/>
      <c r="J537" s="263"/>
      <c r="K537" s="263"/>
      <c r="L537" s="263"/>
      <c r="M537" s="263"/>
      <c r="N537" s="263"/>
      <c r="O537" s="263"/>
      <c r="P537" s="263"/>
      <c r="Q537" s="263"/>
      <c r="R537" s="263"/>
      <c r="S537" s="263"/>
      <c r="T537" s="263"/>
      <c r="U537" s="263"/>
      <c r="V537" s="263"/>
      <c r="W537" s="263"/>
      <c r="X537" s="263"/>
      <c r="Y537" s="263"/>
      <c r="Z537" s="263"/>
    </row>
    <row r="538">
      <c r="A538" s="263"/>
      <c r="B538" s="263"/>
      <c r="C538" s="263"/>
      <c r="D538" s="263"/>
      <c r="E538" s="263"/>
      <c r="F538" s="263"/>
      <c r="G538" s="263"/>
      <c r="H538" s="263"/>
      <c r="I538" s="263"/>
      <c r="J538" s="263"/>
      <c r="K538" s="263"/>
      <c r="L538" s="263"/>
      <c r="M538" s="263"/>
      <c r="N538" s="263"/>
      <c r="O538" s="263"/>
      <c r="P538" s="263"/>
      <c r="Q538" s="263"/>
      <c r="R538" s="263"/>
      <c r="S538" s="263"/>
      <c r="T538" s="263"/>
      <c r="U538" s="263"/>
      <c r="V538" s="263"/>
      <c r="W538" s="263"/>
      <c r="X538" s="263"/>
      <c r="Y538" s="263"/>
      <c r="Z538" s="263"/>
    </row>
    <row r="539">
      <c r="A539" s="263"/>
      <c r="B539" s="263"/>
      <c r="C539" s="263"/>
      <c r="D539" s="263"/>
      <c r="E539" s="263"/>
      <c r="F539" s="263"/>
      <c r="G539" s="263"/>
      <c r="H539" s="263"/>
      <c r="I539" s="263"/>
      <c r="J539" s="263"/>
      <c r="K539" s="263"/>
      <c r="L539" s="263"/>
      <c r="M539" s="263"/>
      <c r="N539" s="263"/>
      <c r="O539" s="263"/>
      <c r="P539" s="263"/>
      <c r="Q539" s="263"/>
      <c r="R539" s="263"/>
      <c r="S539" s="263"/>
      <c r="T539" s="263"/>
      <c r="U539" s="263"/>
      <c r="V539" s="263"/>
      <c r="W539" s="263"/>
      <c r="X539" s="263"/>
      <c r="Y539" s="263"/>
      <c r="Z539" s="263"/>
    </row>
    <row r="540">
      <c r="A540" s="263"/>
      <c r="B540" s="263"/>
      <c r="C540" s="263"/>
      <c r="D540" s="263"/>
      <c r="E540" s="263"/>
      <c r="F540" s="263"/>
      <c r="G540" s="263"/>
      <c r="H540" s="263"/>
      <c r="I540" s="263"/>
      <c r="J540" s="263"/>
      <c r="K540" s="263"/>
      <c r="L540" s="263"/>
      <c r="M540" s="263"/>
      <c r="N540" s="263"/>
      <c r="O540" s="263"/>
      <c r="P540" s="263"/>
      <c r="Q540" s="263"/>
      <c r="R540" s="263"/>
      <c r="S540" s="263"/>
      <c r="T540" s="263"/>
      <c r="U540" s="263"/>
      <c r="V540" s="263"/>
      <c r="W540" s="263"/>
      <c r="X540" s="263"/>
      <c r="Y540" s="263"/>
      <c r="Z540" s="263"/>
    </row>
    <row r="541">
      <c r="A541" s="263"/>
      <c r="B541" s="263"/>
      <c r="C541" s="263"/>
      <c r="D541" s="263"/>
      <c r="E541" s="263"/>
      <c r="F541" s="263"/>
      <c r="G541" s="263"/>
      <c r="H541" s="263"/>
      <c r="I541" s="263"/>
      <c r="J541" s="263"/>
      <c r="K541" s="263"/>
      <c r="L541" s="263"/>
      <c r="M541" s="263"/>
      <c r="N541" s="263"/>
      <c r="O541" s="263"/>
      <c r="P541" s="263"/>
      <c r="Q541" s="263"/>
      <c r="R541" s="263"/>
      <c r="S541" s="263"/>
      <c r="T541" s="263"/>
      <c r="U541" s="263"/>
      <c r="V541" s="263"/>
      <c r="W541" s="263"/>
      <c r="X541" s="263"/>
      <c r="Y541" s="263"/>
      <c r="Z541" s="263"/>
    </row>
    <row r="542">
      <c r="A542" s="263"/>
      <c r="B542" s="263"/>
      <c r="C542" s="263"/>
      <c r="D542" s="263"/>
      <c r="E542" s="263"/>
      <c r="F542" s="263"/>
      <c r="G542" s="263"/>
      <c r="H542" s="263"/>
      <c r="I542" s="263"/>
      <c r="J542" s="263"/>
      <c r="K542" s="263"/>
      <c r="L542" s="263"/>
      <c r="M542" s="263"/>
      <c r="N542" s="263"/>
      <c r="O542" s="263"/>
      <c r="P542" s="263"/>
      <c r="Q542" s="263"/>
      <c r="R542" s="263"/>
      <c r="S542" s="263"/>
      <c r="T542" s="263"/>
      <c r="U542" s="263"/>
      <c r="V542" s="263"/>
      <c r="W542" s="263"/>
      <c r="X542" s="263"/>
      <c r="Y542" s="263"/>
      <c r="Z542" s="263"/>
    </row>
    <row r="543">
      <c r="A543" s="263"/>
      <c r="B543" s="263"/>
      <c r="C543" s="263"/>
      <c r="D543" s="263"/>
      <c r="E543" s="263"/>
      <c r="F543" s="263"/>
      <c r="G543" s="263"/>
      <c r="H543" s="263"/>
      <c r="I543" s="263"/>
      <c r="J543" s="263"/>
      <c r="K543" s="263"/>
      <c r="L543" s="263"/>
      <c r="M543" s="263"/>
      <c r="N543" s="263"/>
      <c r="O543" s="263"/>
      <c r="P543" s="263"/>
      <c r="Q543" s="263"/>
      <c r="R543" s="263"/>
      <c r="S543" s="263"/>
      <c r="T543" s="263"/>
      <c r="U543" s="263"/>
      <c r="V543" s="263"/>
      <c r="W543" s="263"/>
      <c r="X543" s="263"/>
      <c r="Y543" s="263"/>
      <c r="Z543" s="263"/>
    </row>
    <row r="544">
      <c r="A544" s="263"/>
      <c r="B544" s="263"/>
      <c r="C544" s="263"/>
      <c r="D544" s="263"/>
      <c r="E544" s="263"/>
      <c r="F544" s="263"/>
      <c r="G544" s="263"/>
      <c r="H544" s="263"/>
      <c r="I544" s="263"/>
      <c r="J544" s="263"/>
      <c r="K544" s="263"/>
      <c r="L544" s="263"/>
      <c r="M544" s="263"/>
      <c r="N544" s="263"/>
      <c r="O544" s="263"/>
      <c r="P544" s="263"/>
      <c r="Q544" s="263"/>
      <c r="R544" s="263"/>
      <c r="S544" s="263"/>
      <c r="T544" s="263"/>
      <c r="U544" s="263"/>
      <c r="V544" s="263"/>
      <c r="W544" s="263"/>
      <c r="X544" s="263"/>
      <c r="Y544" s="263"/>
      <c r="Z544" s="263"/>
    </row>
    <row r="545">
      <c r="A545" s="263"/>
      <c r="B545" s="263"/>
      <c r="C545" s="263"/>
      <c r="D545" s="263"/>
      <c r="E545" s="263"/>
      <c r="F545" s="263"/>
      <c r="G545" s="263"/>
      <c r="H545" s="263"/>
      <c r="I545" s="263"/>
      <c r="J545" s="263"/>
      <c r="K545" s="263"/>
      <c r="L545" s="263"/>
      <c r="M545" s="263"/>
      <c r="N545" s="263"/>
      <c r="O545" s="263"/>
      <c r="P545" s="263"/>
      <c r="Q545" s="263"/>
      <c r="R545" s="263"/>
      <c r="S545" s="263"/>
      <c r="T545" s="263"/>
      <c r="U545" s="263"/>
      <c r="V545" s="263"/>
      <c r="W545" s="263"/>
      <c r="X545" s="263"/>
      <c r="Y545" s="263"/>
      <c r="Z545" s="263"/>
    </row>
    <row r="546">
      <c r="A546" s="263"/>
      <c r="B546" s="263"/>
      <c r="C546" s="263"/>
      <c r="D546" s="263"/>
      <c r="E546" s="263"/>
      <c r="F546" s="263"/>
      <c r="G546" s="263"/>
      <c r="H546" s="263"/>
      <c r="I546" s="263"/>
      <c r="J546" s="263"/>
      <c r="K546" s="263"/>
      <c r="L546" s="263"/>
      <c r="M546" s="263"/>
      <c r="N546" s="263"/>
      <c r="O546" s="263"/>
      <c r="P546" s="263"/>
      <c r="Q546" s="263"/>
      <c r="R546" s="263"/>
      <c r="S546" s="263"/>
      <c r="T546" s="263"/>
      <c r="U546" s="263"/>
      <c r="V546" s="263"/>
      <c r="W546" s="263"/>
      <c r="X546" s="263"/>
      <c r="Y546" s="263"/>
      <c r="Z546" s="263"/>
    </row>
    <row r="547">
      <c r="A547" s="263"/>
      <c r="B547" s="263"/>
      <c r="C547" s="263"/>
      <c r="D547" s="263"/>
      <c r="E547" s="263"/>
      <c r="F547" s="263"/>
      <c r="G547" s="263"/>
      <c r="H547" s="263"/>
      <c r="I547" s="263"/>
      <c r="J547" s="263"/>
      <c r="K547" s="263"/>
      <c r="L547" s="263"/>
      <c r="M547" s="263"/>
      <c r="N547" s="263"/>
      <c r="O547" s="263"/>
      <c r="P547" s="263"/>
      <c r="Q547" s="263"/>
      <c r="R547" s="263"/>
      <c r="S547" s="263"/>
      <c r="T547" s="263"/>
      <c r="U547" s="263"/>
      <c r="V547" s="263"/>
      <c r="W547" s="263"/>
      <c r="X547" s="263"/>
      <c r="Y547" s="263"/>
      <c r="Z547" s="263"/>
    </row>
    <row r="548">
      <c r="A548" s="263"/>
      <c r="B548" s="263"/>
      <c r="C548" s="263"/>
      <c r="D548" s="263"/>
      <c r="E548" s="263"/>
      <c r="F548" s="263"/>
      <c r="G548" s="263"/>
      <c r="H548" s="263"/>
      <c r="I548" s="263"/>
      <c r="J548" s="263"/>
      <c r="K548" s="263"/>
      <c r="L548" s="263"/>
      <c r="M548" s="263"/>
      <c r="N548" s="263"/>
      <c r="O548" s="263"/>
      <c r="P548" s="263"/>
      <c r="Q548" s="263"/>
      <c r="R548" s="263"/>
      <c r="S548" s="263"/>
      <c r="T548" s="263"/>
      <c r="U548" s="263"/>
      <c r="V548" s="263"/>
      <c r="W548" s="263"/>
      <c r="X548" s="263"/>
      <c r="Y548" s="263"/>
      <c r="Z548" s="263"/>
    </row>
    <row r="549">
      <c r="A549" s="263"/>
      <c r="B549" s="263"/>
      <c r="C549" s="263"/>
      <c r="D549" s="263"/>
      <c r="E549" s="263"/>
      <c r="F549" s="263"/>
      <c r="G549" s="263"/>
      <c r="H549" s="263"/>
      <c r="I549" s="263"/>
      <c r="J549" s="263"/>
      <c r="K549" s="263"/>
      <c r="L549" s="263"/>
      <c r="M549" s="263"/>
      <c r="N549" s="263"/>
      <c r="O549" s="263"/>
      <c r="P549" s="263"/>
      <c r="Q549" s="263"/>
      <c r="R549" s="263"/>
      <c r="S549" s="263"/>
      <c r="T549" s="263"/>
      <c r="U549" s="263"/>
      <c r="V549" s="263"/>
      <c r="W549" s="263"/>
      <c r="X549" s="263"/>
      <c r="Y549" s="263"/>
      <c r="Z549" s="263"/>
    </row>
    <row r="550">
      <c r="A550" s="263"/>
      <c r="B550" s="263"/>
      <c r="C550" s="263"/>
      <c r="D550" s="263"/>
      <c r="E550" s="263"/>
      <c r="F550" s="263"/>
      <c r="G550" s="263"/>
      <c r="H550" s="263"/>
      <c r="I550" s="263"/>
      <c r="J550" s="263"/>
      <c r="K550" s="263"/>
      <c r="L550" s="263"/>
      <c r="M550" s="263"/>
      <c r="N550" s="263"/>
      <c r="O550" s="263"/>
      <c r="P550" s="263"/>
      <c r="Q550" s="263"/>
      <c r="R550" s="263"/>
      <c r="S550" s="263"/>
      <c r="T550" s="263"/>
      <c r="U550" s="263"/>
      <c r="V550" s="263"/>
      <c r="W550" s="263"/>
      <c r="X550" s="263"/>
      <c r="Y550" s="263"/>
      <c r="Z550" s="263"/>
    </row>
    <row r="551">
      <c r="A551" s="263"/>
      <c r="B551" s="263"/>
      <c r="C551" s="263"/>
      <c r="D551" s="263"/>
      <c r="E551" s="263"/>
      <c r="F551" s="263"/>
      <c r="G551" s="263"/>
      <c r="H551" s="263"/>
      <c r="I551" s="263"/>
      <c r="J551" s="263"/>
      <c r="K551" s="263"/>
      <c r="L551" s="263"/>
      <c r="M551" s="263"/>
      <c r="N551" s="263"/>
      <c r="O551" s="263"/>
      <c r="P551" s="263"/>
      <c r="Q551" s="263"/>
      <c r="R551" s="263"/>
      <c r="S551" s="263"/>
      <c r="T551" s="263"/>
      <c r="U551" s="263"/>
      <c r="V551" s="263"/>
      <c r="W551" s="263"/>
      <c r="X551" s="263"/>
      <c r="Y551" s="263"/>
      <c r="Z551" s="263"/>
    </row>
    <row r="552">
      <c r="A552" s="263"/>
      <c r="B552" s="263"/>
      <c r="C552" s="263"/>
      <c r="D552" s="263"/>
      <c r="E552" s="263"/>
      <c r="F552" s="263"/>
      <c r="G552" s="263"/>
      <c r="H552" s="263"/>
      <c r="I552" s="263"/>
      <c r="J552" s="263"/>
      <c r="K552" s="263"/>
      <c r="L552" s="263"/>
      <c r="M552" s="263"/>
      <c r="N552" s="263"/>
      <c r="O552" s="263"/>
      <c r="P552" s="263"/>
      <c r="Q552" s="263"/>
      <c r="R552" s="263"/>
      <c r="S552" s="263"/>
      <c r="T552" s="263"/>
      <c r="U552" s="263"/>
      <c r="V552" s="263"/>
      <c r="W552" s="263"/>
      <c r="X552" s="263"/>
      <c r="Y552" s="263"/>
      <c r="Z552" s="263"/>
    </row>
    <row r="553">
      <c r="A553" s="263"/>
      <c r="B553" s="263"/>
      <c r="C553" s="263"/>
      <c r="D553" s="263"/>
      <c r="E553" s="263"/>
      <c r="F553" s="263"/>
      <c r="G553" s="263"/>
      <c r="H553" s="263"/>
      <c r="I553" s="263"/>
      <c r="J553" s="263"/>
      <c r="K553" s="263"/>
      <c r="L553" s="263"/>
      <c r="M553" s="263"/>
      <c r="N553" s="263"/>
      <c r="O553" s="263"/>
      <c r="P553" s="263"/>
      <c r="Q553" s="263"/>
      <c r="R553" s="263"/>
      <c r="S553" s="263"/>
      <c r="T553" s="263"/>
      <c r="U553" s="263"/>
      <c r="V553" s="263"/>
      <c r="W553" s="263"/>
      <c r="X553" s="263"/>
      <c r="Y553" s="263"/>
      <c r="Z553" s="263"/>
    </row>
    <row r="554">
      <c r="A554" s="263"/>
      <c r="B554" s="263"/>
      <c r="C554" s="263"/>
      <c r="D554" s="263"/>
      <c r="E554" s="263"/>
      <c r="F554" s="263"/>
      <c r="G554" s="263"/>
      <c r="H554" s="263"/>
      <c r="I554" s="263"/>
      <c r="J554" s="263"/>
      <c r="K554" s="263"/>
      <c r="L554" s="263"/>
      <c r="M554" s="263"/>
      <c r="N554" s="263"/>
      <c r="O554" s="263"/>
      <c r="P554" s="263"/>
      <c r="Q554" s="263"/>
      <c r="R554" s="263"/>
      <c r="S554" s="263"/>
      <c r="T554" s="263"/>
      <c r="U554" s="263"/>
      <c r="V554" s="263"/>
      <c r="W554" s="263"/>
      <c r="X554" s="263"/>
      <c r="Y554" s="263"/>
      <c r="Z554" s="263"/>
    </row>
    <row r="555">
      <c r="A555" s="263"/>
      <c r="B555" s="263"/>
      <c r="C555" s="263"/>
      <c r="D555" s="263"/>
      <c r="E555" s="263"/>
      <c r="F555" s="263"/>
      <c r="G555" s="263"/>
      <c r="H555" s="263"/>
      <c r="I555" s="263"/>
      <c r="J555" s="263"/>
      <c r="K555" s="263"/>
      <c r="L555" s="263"/>
      <c r="M555" s="263"/>
      <c r="N555" s="263"/>
      <c r="O555" s="263"/>
      <c r="P555" s="263"/>
      <c r="Q555" s="263"/>
      <c r="R555" s="263"/>
      <c r="S555" s="263"/>
      <c r="T555" s="263"/>
      <c r="U555" s="263"/>
      <c r="V555" s="263"/>
      <c r="W555" s="263"/>
      <c r="X555" s="263"/>
      <c r="Y555" s="263"/>
      <c r="Z555" s="263"/>
    </row>
    <row r="556">
      <c r="A556" s="263"/>
      <c r="B556" s="263"/>
      <c r="C556" s="263"/>
      <c r="D556" s="263"/>
      <c r="E556" s="263"/>
      <c r="F556" s="263"/>
      <c r="G556" s="263"/>
      <c r="H556" s="263"/>
      <c r="I556" s="263"/>
      <c r="J556" s="263"/>
      <c r="K556" s="263"/>
      <c r="L556" s="263"/>
      <c r="M556" s="263"/>
      <c r="N556" s="263"/>
      <c r="O556" s="263"/>
      <c r="P556" s="263"/>
      <c r="Q556" s="263"/>
      <c r="R556" s="263"/>
      <c r="S556" s="263"/>
      <c r="T556" s="263"/>
      <c r="U556" s="263"/>
      <c r="V556" s="263"/>
      <c r="W556" s="263"/>
      <c r="X556" s="263"/>
      <c r="Y556" s="263"/>
      <c r="Z556" s="263"/>
    </row>
    <row r="557">
      <c r="A557" s="263"/>
      <c r="B557" s="263"/>
      <c r="C557" s="263"/>
      <c r="D557" s="263"/>
      <c r="E557" s="263"/>
      <c r="F557" s="263"/>
      <c r="G557" s="263"/>
      <c r="H557" s="263"/>
      <c r="I557" s="263"/>
      <c r="J557" s="263"/>
      <c r="K557" s="263"/>
      <c r="L557" s="263"/>
      <c r="M557" s="263"/>
      <c r="N557" s="263"/>
      <c r="O557" s="263"/>
      <c r="P557" s="263"/>
      <c r="Q557" s="263"/>
      <c r="R557" s="263"/>
      <c r="S557" s="263"/>
      <c r="T557" s="263"/>
      <c r="U557" s="263"/>
      <c r="V557" s="263"/>
      <c r="W557" s="263"/>
      <c r="X557" s="263"/>
      <c r="Y557" s="263"/>
      <c r="Z557" s="263"/>
    </row>
    <row r="558">
      <c r="A558" s="263"/>
      <c r="B558" s="263"/>
      <c r="C558" s="263"/>
      <c r="D558" s="263"/>
      <c r="E558" s="263"/>
      <c r="F558" s="263"/>
      <c r="G558" s="263"/>
      <c r="H558" s="263"/>
      <c r="I558" s="263"/>
      <c r="J558" s="263"/>
      <c r="K558" s="263"/>
      <c r="L558" s="263"/>
      <c r="M558" s="263"/>
      <c r="N558" s="263"/>
      <c r="O558" s="263"/>
      <c r="P558" s="263"/>
      <c r="Q558" s="263"/>
      <c r="R558" s="263"/>
      <c r="S558" s="263"/>
      <c r="T558" s="263"/>
      <c r="U558" s="263"/>
      <c r="V558" s="263"/>
      <c r="W558" s="263"/>
      <c r="X558" s="263"/>
      <c r="Y558" s="263"/>
      <c r="Z558" s="263"/>
    </row>
    <row r="559">
      <c r="A559" s="263"/>
      <c r="B559" s="263"/>
      <c r="C559" s="263"/>
      <c r="D559" s="263"/>
      <c r="E559" s="263"/>
      <c r="F559" s="263"/>
      <c r="G559" s="263"/>
      <c r="H559" s="263"/>
      <c r="I559" s="263"/>
      <c r="J559" s="263"/>
      <c r="K559" s="263"/>
      <c r="L559" s="263"/>
      <c r="M559" s="263"/>
      <c r="N559" s="263"/>
      <c r="O559" s="263"/>
      <c r="P559" s="263"/>
      <c r="Q559" s="263"/>
      <c r="R559" s="263"/>
      <c r="S559" s="263"/>
      <c r="T559" s="263"/>
      <c r="U559" s="263"/>
      <c r="V559" s="263"/>
      <c r="W559" s="263"/>
      <c r="X559" s="263"/>
      <c r="Y559" s="263"/>
      <c r="Z559" s="263"/>
    </row>
    <row r="560">
      <c r="A560" s="263"/>
      <c r="B560" s="263"/>
      <c r="C560" s="263"/>
      <c r="D560" s="263"/>
      <c r="E560" s="263"/>
      <c r="F560" s="263"/>
      <c r="G560" s="263"/>
      <c r="H560" s="263"/>
      <c r="I560" s="263"/>
      <c r="J560" s="263"/>
      <c r="K560" s="263"/>
      <c r="L560" s="263"/>
      <c r="M560" s="263"/>
      <c r="N560" s="263"/>
      <c r="O560" s="263"/>
      <c r="P560" s="263"/>
      <c r="Q560" s="263"/>
      <c r="R560" s="263"/>
      <c r="S560" s="263"/>
      <c r="T560" s="263"/>
      <c r="U560" s="263"/>
      <c r="V560" s="263"/>
      <c r="W560" s="263"/>
      <c r="X560" s="263"/>
      <c r="Y560" s="263"/>
      <c r="Z560" s="263"/>
    </row>
    <row r="561">
      <c r="A561" s="263"/>
      <c r="B561" s="263"/>
      <c r="C561" s="263"/>
      <c r="D561" s="263"/>
      <c r="E561" s="263"/>
      <c r="F561" s="263"/>
      <c r="G561" s="263"/>
      <c r="H561" s="263"/>
      <c r="I561" s="263"/>
      <c r="J561" s="263"/>
      <c r="K561" s="263"/>
      <c r="L561" s="263"/>
      <c r="M561" s="263"/>
      <c r="N561" s="263"/>
      <c r="O561" s="263"/>
      <c r="P561" s="263"/>
      <c r="Q561" s="263"/>
      <c r="R561" s="263"/>
      <c r="S561" s="263"/>
      <c r="T561" s="263"/>
      <c r="U561" s="263"/>
      <c r="V561" s="263"/>
      <c r="W561" s="263"/>
      <c r="X561" s="263"/>
      <c r="Y561" s="263"/>
      <c r="Z561" s="263"/>
    </row>
    <row r="562">
      <c r="A562" s="263"/>
      <c r="B562" s="263"/>
      <c r="C562" s="263"/>
      <c r="D562" s="263"/>
      <c r="E562" s="263"/>
      <c r="F562" s="263"/>
      <c r="G562" s="263"/>
      <c r="H562" s="263"/>
      <c r="I562" s="263"/>
      <c r="J562" s="263"/>
      <c r="K562" s="263"/>
      <c r="L562" s="263"/>
      <c r="M562" s="263"/>
      <c r="N562" s="263"/>
      <c r="O562" s="263"/>
      <c r="P562" s="263"/>
      <c r="Q562" s="263"/>
      <c r="R562" s="263"/>
      <c r="S562" s="263"/>
      <c r="T562" s="263"/>
      <c r="U562" s="263"/>
      <c r="V562" s="263"/>
      <c r="W562" s="263"/>
      <c r="X562" s="263"/>
      <c r="Y562" s="263"/>
      <c r="Z562" s="263"/>
    </row>
    <row r="563">
      <c r="A563" s="263"/>
      <c r="B563" s="263"/>
      <c r="C563" s="263"/>
      <c r="D563" s="263"/>
      <c r="E563" s="263"/>
      <c r="F563" s="263"/>
      <c r="G563" s="263"/>
      <c r="H563" s="263"/>
      <c r="I563" s="263"/>
      <c r="J563" s="263"/>
      <c r="K563" s="263"/>
      <c r="L563" s="263"/>
      <c r="M563" s="263"/>
      <c r="N563" s="263"/>
      <c r="O563" s="263"/>
      <c r="P563" s="263"/>
      <c r="Q563" s="263"/>
      <c r="R563" s="263"/>
      <c r="S563" s="263"/>
      <c r="T563" s="263"/>
      <c r="U563" s="263"/>
      <c r="V563" s="263"/>
      <c r="W563" s="263"/>
      <c r="X563" s="263"/>
      <c r="Y563" s="263"/>
      <c r="Z563" s="263"/>
    </row>
    <row r="564">
      <c r="A564" s="263"/>
      <c r="B564" s="263"/>
      <c r="C564" s="263"/>
      <c r="D564" s="263"/>
      <c r="E564" s="263"/>
      <c r="F564" s="263"/>
      <c r="G564" s="263"/>
      <c r="H564" s="263"/>
      <c r="I564" s="263"/>
      <c r="J564" s="263"/>
      <c r="K564" s="263"/>
      <c r="L564" s="263"/>
      <c r="M564" s="263"/>
      <c r="N564" s="263"/>
      <c r="O564" s="263"/>
      <c r="P564" s="263"/>
      <c r="Q564" s="263"/>
      <c r="R564" s="263"/>
      <c r="S564" s="263"/>
      <c r="T564" s="263"/>
      <c r="U564" s="263"/>
      <c r="V564" s="263"/>
      <c r="W564" s="263"/>
      <c r="X564" s="263"/>
      <c r="Y564" s="263"/>
      <c r="Z564" s="263"/>
    </row>
    <row r="565">
      <c r="A565" s="263"/>
      <c r="B565" s="263"/>
      <c r="C565" s="263"/>
      <c r="D565" s="263"/>
      <c r="E565" s="263"/>
      <c r="F565" s="263"/>
      <c r="G565" s="263"/>
      <c r="H565" s="263"/>
      <c r="I565" s="263"/>
      <c r="J565" s="263"/>
      <c r="K565" s="263"/>
      <c r="L565" s="263"/>
      <c r="M565" s="263"/>
      <c r="N565" s="263"/>
      <c r="O565" s="263"/>
      <c r="P565" s="263"/>
      <c r="Q565" s="263"/>
      <c r="R565" s="263"/>
      <c r="S565" s="263"/>
      <c r="T565" s="263"/>
      <c r="U565" s="263"/>
      <c r="V565" s="263"/>
      <c r="W565" s="263"/>
      <c r="X565" s="263"/>
      <c r="Y565" s="263"/>
      <c r="Z565" s="263"/>
    </row>
    <row r="566">
      <c r="A566" s="263"/>
      <c r="B566" s="263"/>
      <c r="C566" s="263"/>
      <c r="D566" s="263"/>
      <c r="E566" s="263"/>
      <c r="F566" s="263"/>
      <c r="G566" s="263"/>
      <c r="H566" s="263"/>
      <c r="I566" s="263"/>
      <c r="J566" s="263"/>
      <c r="K566" s="263"/>
      <c r="L566" s="263"/>
      <c r="M566" s="263"/>
      <c r="N566" s="263"/>
      <c r="O566" s="263"/>
      <c r="P566" s="263"/>
      <c r="Q566" s="263"/>
      <c r="R566" s="263"/>
      <c r="S566" s="263"/>
      <c r="T566" s="263"/>
      <c r="U566" s="263"/>
      <c r="V566" s="263"/>
      <c r="W566" s="263"/>
      <c r="X566" s="263"/>
      <c r="Y566" s="263"/>
      <c r="Z566" s="263"/>
    </row>
    <row r="567">
      <c r="A567" s="263"/>
      <c r="B567" s="263"/>
      <c r="C567" s="263"/>
      <c r="D567" s="263"/>
      <c r="E567" s="263"/>
      <c r="F567" s="263"/>
      <c r="G567" s="263"/>
      <c r="H567" s="263"/>
      <c r="I567" s="263"/>
      <c r="J567" s="263"/>
      <c r="K567" s="263"/>
      <c r="L567" s="263"/>
      <c r="M567" s="263"/>
      <c r="N567" s="263"/>
      <c r="O567" s="263"/>
      <c r="P567" s="263"/>
      <c r="Q567" s="263"/>
      <c r="R567" s="263"/>
      <c r="S567" s="263"/>
      <c r="T567" s="263"/>
      <c r="U567" s="263"/>
      <c r="V567" s="263"/>
      <c r="W567" s="263"/>
      <c r="X567" s="263"/>
      <c r="Y567" s="263"/>
      <c r="Z567" s="263"/>
    </row>
    <row r="568">
      <c r="A568" s="263"/>
      <c r="B568" s="263"/>
      <c r="C568" s="263"/>
      <c r="D568" s="263"/>
      <c r="E568" s="263"/>
      <c r="F568" s="263"/>
      <c r="G568" s="263"/>
      <c r="H568" s="263"/>
      <c r="I568" s="263"/>
      <c r="J568" s="263"/>
      <c r="K568" s="263"/>
      <c r="L568" s="263"/>
      <c r="M568" s="263"/>
      <c r="N568" s="263"/>
      <c r="O568" s="263"/>
      <c r="P568" s="263"/>
      <c r="Q568" s="263"/>
      <c r="R568" s="263"/>
      <c r="S568" s="263"/>
      <c r="T568" s="263"/>
      <c r="U568" s="263"/>
      <c r="V568" s="263"/>
      <c r="W568" s="263"/>
      <c r="X568" s="263"/>
      <c r="Y568" s="263"/>
      <c r="Z568" s="263"/>
    </row>
    <row r="569">
      <c r="A569" s="263"/>
      <c r="B569" s="263"/>
      <c r="C569" s="263"/>
      <c r="D569" s="263"/>
      <c r="E569" s="263"/>
      <c r="F569" s="263"/>
      <c r="G569" s="263"/>
      <c r="H569" s="263"/>
      <c r="I569" s="263"/>
      <c r="J569" s="263"/>
      <c r="K569" s="263"/>
      <c r="L569" s="263"/>
      <c r="M569" s="263"/>
      <c r="N569" s="263"/>
      <c r="O569" s="263"/>
      <c r="P569" s="263"/>
      <c r="Q569" s="263"/>
      <c r="R569" s="263"/>
      <c r="S569" s="263"/>
      <c r="T569" s="263"/>
      <c r="U569" s="263"/>
      <c r="V569" s="263"/>
      <c r="W569" s="263"/>
      <c r="X569" s="263"/>
      <c r="Y569" s="263"/>
      <c r="Z569" s="263"/>
    </row>
    <row r="570">
      <c r="A570" s="263"/>
      <c r="B570" s="263"/>
      <c r="C570" s="263"/>
      <c r="D570" s="263"/>
      <c r="E570" s="263"/>
      <c r="F570" s="263"/>
      <c r="G570" s="263"/>
      <c r="H570" s="263"/>
      <c r="I570" s="263"/>
      <c r="J570" s="263"/>
      <c r="K570" s="263"/>
      <c r="L570" s="263"/>
      <c r="M570" s="263"/>
      <c r="N570" s="263"/>
      <c r="O570" s="263"/>
      <c r="P570" s="263"/>
      <c r="Q570" s="263"/>
      <c r="R570" s="263"/>
      <c r="S570" s="263"/>
      <c r="T570" s="263"/>
      <c r="U570" s="263"/>
      <c r="V570" s="263"/>
      <c r="W570" s="263"/>
      <c r="X570" s="263"/>
      <c r="Y570" s="263"/>
      <c r="Z570" s="263"/>
    </row>
    <row r="571">
      <c r="A571" s="263"/>
      <c r="B571" s="263"/>
      <c r="C571" s="263"/>
      <c r="D571" s="263"/>
      <c r="E571" s="263"/>
      <c r="F571" s="263"/>
      <c r="G571" s="263"/>
      <c r="H571" s="263"/>
      <c r="I571" s="263"/>
      <c r="J571" s="263"/>
      <c r="K571" s="263"/>
      <c r="L571" s="263"/>
      <c r="M571" s="263"/>
      <c r="N571" s="263"/>
      <c r="O571" s="263"/>
      <c r="P571" s="263"/>
      <c r="Q571" s="263"/>
      <c r="R571" s="263"/>
      <c r="S571" s="263"/>
      <c r="T571" s="263"/>
      <c r="U571" s="263"/>
      <c r="V571" s="263"/>
      <c r="W571" s="263"/>
      <c r="X571" s="263"/>
      <c r="Y571" s="263"/>
      <c r="Z571" s="263"/>
    </row>
    <row r="572">
      <c r="A572" s="263"/>
      <c r="B572" s="263"/>
      <c r="C572" s="263"/>
      <c r="D572" s="263"/>
      <c r="E572" s="263"/>
      <c r="F572" s="263"/>
      <c r="G572" s="263"/>
      <c r="H572" s="263"/>
      <c r="I572" s="263"/>
      <c r="J572" s="263"/>
      <c r="K572" s="263"/>
      <c r="L572" s="263"/>
      <c r="M572" s="263"/>
      <c r="N572" s="263"/>
      <c r="O572" s="263"/>
      <c r="P572" s="263"/>
      <c r="Q572" s="263"/>
      <c r="R572" s="263"/>
      <c r="S572" s="263"/>
      <c r="T572" s="263"/>
      <c r="U572" s="263"/>
      <c r="V572" s="263"/>
      <c r="W572" s="263"/>
      <c r="X572" s="263"/>
      <c r="Y572" s="263"/>
      <c r="Z572" s="263"/>
    </row>
    <row r="573">
      <c r="A573" s="263"/>
      <c r="B573" s="263"/>
      <c r="C573" s="263"/>
      <c r="D573" s="263"/>
      <c r="E573" s="263"/>
      <c r="F573" s="263"/>
      <c r="G573" s="263"/>
      <c r="H573" s="263"/>
      <c r="I573" s="263"/>
      <c r="J573" s="263"/>
      <c r="K573" s="263"/>
      <c r="L573" s="263"/>
      <c r="M573" s="263"/>
      <c r="N573" s="263"/>
      <c r="O573" s="263"/>
      <c r="P573" s="263"/>
      <c r="Q573" s="263"/>
      <c r="R573" s="263"/>
      <c r="S573" s="263"/>
      <c r="T573" s="263"/>
      <c r="U573" s="263"/>
      <c r="V573" s="263"/>
      <c r="W573" s="263"/>
      <c r="X573" s="263"/>
      <c r="Y573" s="263"/>
      <c r="Z573" s="263"/>
    </row>
    <row r="574">
      <c r="A574" s="263"/>
      <c r="B574" s="263"/>
      <c r="C574" s="263"/>
      <c r="D574" s="263"/>
      <c r="E574" s="263"/>
      <c r="F574" s="263"/>
      <c r="G574" s="263"/>
      <c r="H574" s="263"/>
      <c r="I574" s="263"/>
      <c r="J574" s="263"/>
      <c r="K574" s="263"/>
      <c r="L574" s="263"/>
      <c r="M574" s="263"/>
      <c r="N574" s="263"/>
      <c r="O574" s="263"/>
      <c r="P574" s="263"/>
      <c r="Q574" s="263"/>
      <c r="R574" s="263"/>
      <c r="S574" s="263"/>
      <c r="T574" s="263"/>
      <c r="U574" s="263"/>
      <c r="V574" s="263"/>
      <c r="W574" s="263"/>
      <c r="X574" s="263"/>
      <c r="Y574" s="263"/>
      <c r="Z574" s="263"/>
    </row>
    <row r="575">
      <c r="A575" s="263"/>
      <c r="B575" s="263"/>
      <c r="C575" s="263"/>
      <c r="D575" s="263"/>
      <c r="E575" s="263"/>
      <c r="F575" s="263"/>
      <c r="G575" s="263"/>
      <c r="H575" s="263"/>
      <c r="I575" s="263"/>
      <c r="J575" s="263"/>
      <c r="K575" s="263"/>
      <c r="L575" s="263"/>
      <c r="M575" s="263"/>
      <c r="N575" s="263"/>
      <c r="O575" s="263"/>
      <c r="P575" s="263"/>
      <c r="Q575" s="263"/>
      <c r="R575" s="263"/>
      <c r="S575" s="263"/>
      <c r="T575" s="263"/>
      <c r="U575" s="263"/>
      <c r="V575" s="263"/>
      <c r="W575" s="263"/>
      <c r="X575" s="263"/>
      <c r="Y575" s="263"/>
      <c r="Z575" s="263"/>
    </row>
    <row r="576">
      <c r="A576" s="263"/>
      <c r="B576" s="263"/>
      <c r="C576" s="263"/>
      <c r="D576" s="263"/>
      <c r="E576" s="263"/>
      <c r="F576" s="263"/>
      <c r="G576" s="263"/>
      <c r="H576" s="263"/>
      <c r="I576" s="263"/>
      <c r="J576" s="263"/>
      <c r="K576" s="263"/>
      <c r="L576" s="263"/>
      <c r="M576" s="263"/>
      <c r="N576" s="263"/>
      <c r="O576" s="263"/>
      <c r="P576" s="263"/>
      <c r="Q576" s="263"/>
      <c r="R576" s="263"/>
      <c r="S576" s="263"/>
      <c r="T576" s="263"/>
      <c r="U576" s="263"/>
      <c r="V576" s="263"/>
      <c r="W576" s="263"/>
      <c r="X576" s="263"/>
      <c r="Y576" s="263"/>
      <c r="Z576" s="263"/>
    </row>
    <row r="577">
      <c r="A577" s="263"/>
      <c r="B577" s="263"/>
      <c r="C577" s="263"/>
      <c r="D577" s="263"/>
      <c r="E577" s="263"/>
      <c r="F577" s="263"/>
      <c r="G577" s="263"/>
      <c r="H577" s="263"/>
      <c r="I577" s="263"/>
      <c r="J577" s="263"/>
      <c r="K577" s="263"/>
      <c r="L577" s="263"/>
      <c r="M577" s="263"/>
      <c r="N577" s="263"/>
      <c r="O577" s="263"/>
      <c r="P577" s="263"/>
      <c r="Q577" s="263"/>
      <c r="R577" s="263"/>
      <c r="S577" s="263"/>
      <c r="T577" s="263"/>
      <c r="U577" s="263"/>
      <c r="V577" s="263"/>
      <c r="W577" s="263"/>
      <c r="X577" s="263"/>
      <c r="Y577" s="263"/>
      <c r="Z577" s="263"/>
    </row>
    <row r="578">
      <c r="A578" s="263"/>
      <c r="B578" s="263"/>
      <c r="C578" s="263"/>
      <c r="D578" s="263"/>
      <c r="E578" s="263"/>
      <c r="F578" s="263"/>
      <c r="G578" s="263"/>
      <c r="H578" s="263"/>
      <c r="I578" s="263"/>
      <c r="J578" s="263"/>
      <c r="K578" s="263"/>
      <c r="L578" s="263"/>
      <c r="M578" s="263"/>
      <c r="N578" s="263"/>
      <c r="O578" s="263"/>
      <c r="P578" s="263"/>
      <c r="Q578" s="263"/>
      <c r="R578" s="263"/>
      <c r="S578" s="263"/>
      <c r="T578" s="263"/>
      <c r="U578" s="263"/>
      <c r="V578" s="263"/>
      <c r="W578" s="263"/>
      <c r="X578" s="263"/>
      <c r="Y578" s="263"/>
      <c r="Z578" s="263"/>
    </row>
    <row r="579">
      <c r="A579" s="263"/>
      <c r="B579" s="263"/>
      <c r="C579" s="263"/>
      <c r="D579" s="263"/>
      <c r="E579" s="263"/>
      <c r="F579" s="263"/>
      <c r="G579" s="263"/>
      <c r="H579" s="263"/>
      <c r="I579" s="263"/>
      <c r="J579" s="263"/>
      <c r="K579" s="263"/>
      <c r="L579" s="263"/>
      <c r="M579" s="263"/>
      <c r="N579" s="263"/>
      <c r="O579" s="263"/>
      <c r="P579" s="263"/>
      <c r="Q579" s="263"/>
      <c r="R579" s="263"/>
      <c r="S579" s="263"/>
      <c r="T579" s="263"/>
      <c r="U579" s="263"/>
      <c r="V579" s="263"/>
      <c r="W579" s="263"/>
      <c r="X579" s="263"/>
      <c r="Y579" s="263"/>
      <c r="Z579" s="263"/>
    </row>
    <row r="580">
      <c r="A580" s="263"/>
      <c r="B580" s="263"/>
      <c r="C580" s="263"/>
      <c r="D580" s="263"/>
      <c r="E580" s="263"/>
      <c r="F580" s="263"/>
      <c r="G580" s="263"/>
      <c r="H580" s="263"/>
      <c r="I580" s="263"/>
      <c r="J580" s="263"/>
      <c r="K580" s="263"/>
      <c r="L580" s="263"/>
      <c r="M580" s="263"/>
      <c r="N580" s="263"/>
      <c r="O580" s="263"/>
      <c r="P580" s="263"/>
      <c r="Q580" s="263"/>
      <c r="R580" s="263"/>
      <c r="S580" s="263"/>
      <c r="T580" s="263"/>
      <c r="U580" s="263"/>
      <c r="V580" s="263"/>
      <c r="W580" s="263"/>
      <c r="X580" s="263"/>
      <c r="Y580" s="263"/>
      <c r="Z580" s="263"/>
    </row>
    <row r="581">
      <c r="A581" s="263"/>
      <c r="B581" s="263"/>
      <c r="C581" s="263"/>
      <c r="D581" s="263"/>
      <c r="E581" s="263"/>
      <c r="F581" s="263"/>
      <c r="G581" s="263"/>
      <c r="H581" s="263"/>
      <c r="I581" s="263"/>
      <c r="J581" s="263"/>
      <c r="K581" s="263"/>
      <c r="L581" s="263"/>
      <c r="M581" s="263"/>
      <c r="N581" s="263"/>
      <c r="O581" s="263"/>
      <c r="P581" s="263"/>
      <c r="Q581" s="263"/>
      <c r="R581" s="263"/>
      <c r="S581" s="263"/>
      <c r="T581" s="263"/>
      <c r="U581" s="263"/>
      <c r="V581" s="263"/>
      <c r="W581" s="263"/>
      <c r="X581" s="263"/>
      <c r="Y581" s="263"/>
      <c r="Z581" s="263"/>
    </row>
    <row r="582">
      <c r="A582" s="263"/>
      <c r="B582" s="263"/>
      <c r="C582" s="263"/>
      <c r="D582" s="263"/>
      <c r="E582" s="263"/>
      <c r="F582" s="263"/>
      <c r="G582" s="263"/>
      <c r="H582" s="263"/>
      <c r="I582" s="263"/>
      <c r="J582" s="263"/>
      <c r="K582" s="263"/>
      <c r="L582" s="263"/>
      <c r="M582" s="263"/>
      <c r="N582" s="263"/>
      <c r="O582" s="263"/>
      <c r="P582" s="263"/>
      <c r="Q582" s="263"/>
      <c r="R582" s="263"/>
      <c r="S582" s="263"/>
      <c r="T582" s="263"/>
      <c r="U582" s="263"/>
      <c r="V582" s="263"/>
      <c r="W582" s="263"/>
      <c r="X582" s="263"/>
      <c r="Y582" s="263"/>
      <c r="Z582" s="263"/>
    </row>
    <row r="583">
      <c r="A583" s="263"/>
      <c r="B583" s="263"/>
      <c r="C583" s="263"/>
      <c r="D583" s="263"/>
      <c r="E583" s="263"/>
      <c r="F583" s="263"/>
      <c r="G583" s="263"/>
      <c r="H583" s="263"/>
      <c r="I583" s="263"/>
      <c r="J583" s="263"/>
      <c r="K583" s="263"/>
      <c r="L583" s="263"/>
      <c r="M583" s="263"/>
      <c r="N583" s="263"/>
      <c r="O583" s="263"/>
      <c r="P583" s="263"/>
      <c r="Q583" s="263"/>
      <c r="R583" s="263"/>
      <c r="S583" s="263"/>
      <c r="T583" s="263"/>
      <c r="U583" s="263"/>
      <c r="V583" s="263"/>
      <c r="W583" s="263"/>
      <c r="X583" s="263"/>
      <c r="Y583" s="263"/>
      <c r="Z583" s="263"/>
    </row>
    <row r="584">
      <c r="A584" s="263"/>
      <c r="B584" s="263"/>
      <c r="C584" s="263"/>
      <c r="D584" s="263"/>
      <c r="E584" s="263"/>
      <c r="F584" s="263"/>
      <c r="G584" s="263"/>
      <c r="H584" s="263"/>
      <c r="I584" s="263"/>
      <c r="J584" s="263"/>
      <c r="K584" s="263"/>
      <c r="L584" s="263"/>
      <c r="M584" s="263"/>
      <c r="N584" s="263"/>
      <c r="O584" s="263"/>
      <c r="P584" s="263"/>
      <c r="Q584" s="263"/>
      <c r="R584" s="263"/>
      <c r="S584" s="263"/>
      <c r="T584" s="263"/>
      <c r="U584" s="263"/>
      <c r="V584" s="263"/>
      <c r="W584" s="263"/>
      <c r="X584" s="263"/>
      <c r="Y584" s="263"/>
      <c r="Z584" s="263"/>
    </row>
    <row r="585">
      <c r="A585" s="263"/>
      <c r="B585" s="263"/>
      <c r="C585" s="263"/>
      <c r="D585" s="263"/>
      <c r="E585" s="263"/>
      <c r="F585" s="263"/>
      <c r="G585" s="263"/>
      <c r="H585" s="263"/>
      <c r="I585" s="263"/>
      <c r="J585" s="263"/>
      <c r="K585" s="263"/>
      <c r="L585" s="263"/>
      <c r="M585" s="263"/>
      <c r="N585" s="263"/>
      <c r="O585" s="263"/>
      <c r="P585" s="263"/>
      <c r="Q585" s="263"/>
      <c r="R585" s="263"/>
      <c r="S585" s="263"/>
      <c r="T585" s="263"/>
      <c r="U585" s="263"/>
      <c r="V585" s="263"/>
      <c r="W585" s="263"/>
      <c r="X585" s="263"/>
      <c r="Y585" s="263"/>
      <c r="Z585" s="263"/>
    </row>
    <row r="586">
      <c r="A586" s="263"/>
      <c r="B586" s="263"/>
      <c r="C586" s="263"/>
      <c r="D586" s="263"/>
      <c r="E586" s="263"/>
      <c r="F586" s="263"/>
      <c r="G586" s="263"/>
      <c r="H586" s="263"/>
      <c r="I586" s="263"/>
      <c r="J586" s="263"/>
      <c r="K586" s="263"/>
      <c r="L586" s="263"/>
      <c r="M586" s="263"/>
      <c r="N586" s="263"/>
      <c r="O586" s="263"/>
      <c r="P586" s="263"/>
      <c r="Q586" s="263"/>
      <c r="R586" s="263"/>
      <c r="S586" s="263"/>
      <c r="T586" s="263"/>
      <c r="U586" s="263"/>
      <c r="V586" s="263"/>
      <c r="W586" s="263"/>
      <c r="X586" s="263"/>
      <c r="Y586" s="263"/>
      <c r="Z586" s="263"/>
    </row>
    <row r="587">
      <c r="A587" s="263"/>
      <c r="B587" s="263"/>
      <c r="C587" s="263"/>
      <c r="D587" s="263"/>
      <c r="E587" s="263"/>
      <c r="F587" s="263"/>
      <c r="G587" s="263"/>
      <c r="H587" s="263"/>
      <c r="I587" s="263"/>
      <c r="J587" s="263"/>
      <c r="K587" s="263"/>
      <c r="L587" s="263"/>
      <c r="M587" s="263"/>
      <c r="N587" s="263"/>
      <c r="O587" s="263"/>
      <c r="P587" s="263"/>
      <c r="Q587" s="263"/>
      <c r="R587" s="263"/>
      <c r="S587" s="263"/>
      <c r="T587" s="263"/>
      <c r="U587" s="263"/>
      <c r="V587" s="263"/>
      <c r="W587" s="263"/>
      <c r="X587" s="263"/>
      <c r="Y587" s="263"/>
      <c r="Z587" s="263"/>
    </row>
    <row r="588">
      <c r="A588" s="263"/>
      <c r="B588" s="263"/>
      <c r="C588" s="263"/>
      <c r="D588" s="263"/>
      <c r="E588" s="263"/>
      <c r="F588" s="263"/>
      <c r="G588" s="263"/>
      <c r="H588" s="263"/>
      <c r="I588" s="263"/>
      <c r="J588" s="263"/>
      <c r="K588" s="263"/>
      <c r="L588" s="263"/>
      <c r="M588" s="263"/>
      <c r="N588" s="263"/>
      <c r="O588" s="263"/>
      <c r="P588" s="263"/>
      <c r="Q588" s="263"/>
      <c r="R588" s="263"/>
      <c r="S588" s="263"/>
      <c r="T588" s="263"/>
      <c r="U588" s="263"/>
      <c r="V588" s="263"/>
      <c r="W588" s="263"/>
      <c r="X588" s="263"/>
      <c r="Y588" s="263"/>
      <c r="Z588" s="263"/>
    </row>
    <row r="589">
      <c r="A589" s="263"/>
      <c r="B589" s="263"/>
      <c r="C589" s="263"/>
      <c r="D589" s="263"/>
      <c r="E589" s="263"/>
      <c r="F589" s="263"/>
      <c r="G589" s="263"/>
      <c r="H589" s="263"/>
      <c r="I589" s="263"/>
      <c r="J589" s="263"/>
      <c r="K589" s="263"/>
      <c r="L589" s="263"/>
      <c r="M589" s="263"/>
      <c r="N589" s="263"/>
      <c r="O589" s="263"/>
      <c r="P589" s="263"/>
      <c r="Q589" s="263"/>
      <c r="R589" s="263"/>
      <c r="S589" s="263"/>
      <c r="T589" s="263"/>
      <c r="U589" s="263"/>
      <c r="V589" s="263"/>
      <c r="W589" s="263"/>
      <c r="X589" s="263"/>
      <c r="Y589" s="263"/>
      <c r="Z589" s="263"/>
    </row>
    <row r="590">
      <c r="A590" s="263"/>
      <c r="B590" s="263"/>
      <c r="C590" s="263"/>
      <c r="D590" s="263"/>
      <c r="E590" s="263"/>
      <c r="F590" s="263"/>
      <c r="G590" s="263"/>
      <c r="H590" s="263"/>
      <c r="I590" s="263"/>
      <c r="J590" s="263"/>
      <c r="K590" s="263"/>
      <c r="L590" s="263"/>
      <c r="M590" s="263"/>
      <c r="N590" s="263"/>
      <c r="O590" s="263"/>
      <c r="P590" s="263"/>
      <c r="Q590" s="263"/>
      <c r="R590" s="263"/>
      <c r="S590" s="263"/>
      <c r="T590" s="263"/>
      <c r="U590" s="263"/>
      <c r="V590" s="263"/>
      <c r="W590" s="263"/>
      <c r="X590" s="263"/>
      <c r="Y590" s="263"/>
      <c r="Z590" s="263"/>
    </row>
    <row r="591">
      <c r="A591" s="263"/>
      <c r="B591" s="263"/>
      <c r="C591" s="263"/>
      <c r="D591" s="263"/>
      <c r="E591" s="263"/>
      <c r="F591" s="263"/>
      <c r="G591" s="263"/>
      <c r="H591" s="263"/>
      <c r="I591" s="263"/>
      <c r="J591" s="263"/>
      <c r="K591" s="263"/>
      <c r="L591" s="263"/>
      <c r="M591" s="263"/>
      <c r="N591" s="263"/>
      <c r="O591" s="263"/>
      <c r="P591" s="263"/>
      <c r="Q591" s="263"/>
      <c r="R591" s="263"/>
      <c r="S591" s="263"/>
      <c r="T591" s="263"/>
      <c r="U591" s="263"/>
      <c r="V591" s="263"/>
      <c r="W591" s="263"/>
      <c r="X591" s="263"/>
      <c r="Y591" s="263"/>
      <c r="Z591" s="263"/>
    </row>
    <row r="592">
      <c r="A592" s="263"/>
      <c r="B592" s="263"/>
      <c r="C592" s="263"/>
      <c r="D592" s="263"/>
      <c r="E592" s="263"/>
      <c r="F592" s="263"/>
      <c r="G592" s="263"/>
      <c r="H592" s="263"/>
      <c r="I592" s="263"/>
      <c r="J592" s="263"/>
      <c r="K592" s="263"/>
      <c r="L592" s="263"/>
      <c r="M592" s="263"/>
      <c r="N592" s="263"/>
      <c r="O592" s="263"/>
      <c r="P592" s="263"/>
      <c r="Q592" s="263"/>
      <c r="R592" s="263"/>
      <c r="S592" s="263"/>
      <c r="T592" s="263"/>
      <c r="U592" s="263"/>
      <c r="V592" s="263"/>
      <c r="W592" s="263"/>
      <c r="X592" s="263"/>
      <c r="Y592" s="263"/>
      <c r="Z592" s="263"/>
    </row>
    <row r="593">
      <c r="A593" s="263"/>
      <c r="B593" s="263"/>
      <c r="C593" s="263"/>
      <c r="D593" s="263"/>
      <c r="E593" s="263"/>
      <c r="F593" s="263"/>
      <c r="G593" s="263"/>
      <c r="H593" s="263"/>
      <c r="I593" s="263"/>
      <c r="J593" s="263"/>
      <c r="K593" s="263"/>
      <c r="L593" s="263"/>
      <c r="M593" s="263"/>
      <c r="N593" s="263"/>
      <c r="O593" s="263"/>
      <c r="P593" s="263"/>
      <c r="Q593" s="263"/>
      <c r="R593" s="263"/>
      <c r="S593" s="263"/>
      <c r="T593" s="263"/>
      <c r="U593" s="263"/>
      <c r="V593" s="263"/>
      <c r="W593" s="263"/>
      <c r="X593" s="263"/>
      <c r="Y593" s="263"/>
      <c r="Z593" s="263"/>
    </row>
    <row r="594">
      <c r="A594" s="263"/>
      <c r="B594" s="263"/>
      <c r="C594" s="263"/>
      <c r="D594" s="263"/>
      <c r="E594" s="263"/>
      <c r="F594" s="263"/>
      <c r="G594" s="263"/>
      <c r="H594" s="263"/>
      <c r="I594" s="263"/>
      <c r="J594" s="263"/>
      <c r="K594" s="263"/>
      <c r="L594" s="263"/>
      <c r="M594" s="263"/>
      <c r="N594" s="263"/>
      <c r="O594" s="263"/>
      <c r="P594" s="263"/>
      <c r="Q594" s="263"/>
      <c r="R594" s="263"/>
      <c r="S594" s="263"/>
      <c r="T594" s="263"/>
      <c r="U594" s="263"/>
      <c r="V594" s="263"/>
      <c r="W594" s="263"/>
      <c r="X594" s="263"/>
      <c r="Y594" s="263"/>
      <c r="Z594" s="263"/>
    </row>
    <row r="595">
      <c r="A595" s="263"/>
      <c r="B595" s="263"/>
      <c r="C595" s="263"/>
      <c r="D595" s="263"/>
      <c r="E595" s="263"/>
      <c r="F595" s="263"/>
      <c r="G595" s="263"/>
      <c r="H595" s="263"/>
      <c r="I595" s="263"/>
      <c r="J595" s="263"/>
      <c r="K595" s="263"/>
      <c r="L595" s="263"/>
      <c r="M595" s="263"/>
      <c r="N595" s="263"/>
      <c r="O595" s="263"/>
      <c r="P595" s="263"/>
      <c r="Q595" s="263"/>
      <c r="R595" s="263"/>
      <c r="S595" s="263"/>
      <c r="T595" s="263"/>
      <c r="U595" s="263"/>
      <c r="V595" s="263"/>
      <c r="W595" s="263"/>
      <c r="X595" s="263"/>
      <c r="Y595" s="263"/>
      <c r="Z595" s="263"/>
    </row>
    <row r="596">
      <c r="A596" s="263"/>
      <c r="B596" s="263"/>
      <c r="C596" s="263"/>
      <c r="D596" s="263"/>
      <c r="E596" s="263"/>
      <c r="F596" s="263"/>
      <c r="G596" s="263"/>
      <c r="H596" s="263"/>
      <c r="I596" s="263"/>
      <c r="J596" s="263"/>
      <c r="K596" s="263"/>
      <c r="L596" s="263"/>
      <c r="M596" s="263"/>
      <c r="N596" s="263"/>
      <c r="O596" s="263"/>
      <c r="P596" s="263"/>
      <c r="Q596" s="263"/>
      <c r="R596" s="263"/>
      <c r="S596" s="263"/>
      <c r="T596" s="263"/>
      <c r="U596" s="263"/>
      <c r="V596" s="263"/>
      <c r="W596" s="263"/>
      <c r="X596" s="263"/>
      <c r="Y596" s="263"/>
      <c r="Z596" s="263"/>
    </row>
    <row r="597">
      <c r="A597" s="263"/>
      <c r="B597" s="263"/>
      <c r="C597" s="263"/>
      <c r="D597" s="263"/>
      <c r="E597" s="263"/>
      <c r="F597" s="263"/>
      <c r="G597" s="263"/>
      <c r="H597" s="263"/>
      <c r="I597" s="263"/>
      <c r="J597" s="263"/>
      <c r="K597" s="263"/>
      <c r="L597" s="263"/>
      <c r="M597" s="263"/>
      <c r="N597" s="263"/>
      <c r="O597" s="263"/>
      <c r="P597" s="263"/>
      <c r="Q597" s="263"/>
      <c r="R597" s="263"/>
      <c r="S597" s="263"/>
      <c r="T597" s="263"/>
      <c r="U597" s="263"/>
      <c r="V597" s="263"/>
      <c r="W597" s="263"/>
      <c r="X597" s="263"/>
      <c r="Y597" s="263"/>
      <c r="Z597" s="263"/>
    </row>
    <row r="598">
      <c r="A598" s="263"/>
      <c r="B598" s="263"/>
      <c r="C598" s="263"/>
      <c r="D598" s="263"/>
      <c r="E598" s="263"/>
      <c r="F598" s="263"/>
      <c r="G598" s="263"/>
      <c r="H598" s="263"/>
      <c r="I598" s="263"/>
      <c r="J598" s="263"/>
      <c r="K598" s="263"/>
      <c r="L598" s="263"/>
      <c r="M598" s="263"/>
      <c r="N598" s="263"/>
      <c r="O598" s="263"/>
      <c r="P598" s="263"/>
      <c r="Q598" s="263"/>
      <c r="R598" s="263"/>
      <c r="S598" s="263"/>
      <c r="T598" s="263"/>
      <c r="U598" s="263"/>
      <c r="V598" s="263"/>
      <c r="W598" s="263"/>
      <c r="X598" s="263"/>
      <c r="Y598" s="263"/>
      <c r="Z598" s="263"/>
    </row>
    <row r="599">
      <c r="A599" s="263"/>
      <c r="B599" s="263"/>
      <c r="C599" s="263"/>
      <c r="D599" s="263"/>
      <c r="E599" s="263"/>
      <c r="F599" s="263"/>
      <c r="G599" s="263"/>
      <c r="H599" s="263"/>
      <c r="I599" s="263"/>
      <c r="J599" s="263"/>
      <c r="K599" s="263"/>
      <c r="L599" s="263"/>
      <c r="M599" s="263"/>
      <c r="N599" s="263"/>
      <c r="O599" s="263"/>
      <c r="P599" s="263"/>
      <c r="Q599" s="263"/>
      <c r="R599" s="263"/>
      <c r="S599" s="263"/>
      <c r="T599" s="263"/>
      <c r="U599" s="263"/>
      <c r="V599" s="263"/>
      <c r="W599" s="263"/>
      <c r="X599" s="263"/>
      <c r="Y599" s="263"/>
      <c r="Z599" s="263"/>
    </row>
    <row r="600">
      <c r="A600" s="263"/>
      <c r="B600" s="263"/>
      <c r="C600" s="263"/>
      <c r="D600" s="263"/>
      <c r="E600" s="263"/>
      <c r="F600" s="263"/>
      <c r="G600" s="263"/>
      <c r="H600" s="263"/>
      <c r="I600" s="263"/>
      <c r="J600" s="263"/>
      <c r="K600" s="263"/>
      <c r="L600" s="263"/>
      <c r="M600" s="263"/>
      <c r="N600" s="263"/>
      <c r="O600" s="263"/>
      <c r="P600" s="263"/>
      <c r="Q600" s="263"/>
      <c r="R600" s="263"/>
      <c r="S600" s="263"/>
      <c r="T600" s="263"/>
      <c r="U600" s="263"/>
      <c r="V600" s="263"/>
      <c r="W600" s="263"/>
      <c r="X600" s="263"/>
      <c r="Y600" s="263"/>
      <c r="Z600" s="263"/>
    </row>
    <row r="601">
      <c r="A601" s="263"/>
      <c r="B601" s="263"/>
      <c r="C601" s="263"/>
      <c r="D601" s="263"/>
      <c r="E601" s="263"/>
      <c r="F601" s="263"/>
      <c r="G601" s="263"/>
      <c r="H601" s="263"/>
      <c r="I601" s="263"/>
      <c r="J601" s="263"/>
      <c r="K601" s="263"/>
      <c r="L601" s="263"/>
      <c r="M601" s="263"/>
      <c r="N601" s="263"/>
      <c r="O601" s="263"/>
      <c r="P601" s="263"/>
      <c r="Q601" s="263"/>
      <c r="R601" s="263"/>
      <c r="S601" s="263"/>
      <c r="T601" s="263"/>
      <c r="U601" s="263"/>
      <c r="V601" s="263"/>
      <c r="W601" s="263"/>
      <c r="X601" s="263"/>
      <c r="Y601" s="263"/>
      <c r="Z601" s="263"/>
    </row>
    <row r="602">
      <c r="A602" s="263"/>
      <c r="B602" s="263"/>
      <c r="C602" s="263"/>
      <c r="D602" s="263"/>
      <c r="E602" s="263"/>
      <c r="F602" s="263"/>
      <c r="G602" s="263"/>
      <c r="H602" s="263"/>
      <c r="I602" s="263"/>
      <c r="J602" s="263"/>
      <c r="K602" s="263"/>
      <c r="L602" s="263"/>
      <c r="M602" s="263"/>
      <c r="N602" s="263"/>
      <c r="O602" s="263"/>
      <c r="P602" s="263"/>
      <c r="Q602" s="263"/>
      <c r="R602" s="263"/>
      <c r="S602" s="263"/>
      <c r="T602" s="263"/>
      <c r="U602" s="263"/>
      <c r="V602" s="263"/>
      <c r="W602" s="263"/>
      <c r="X602" s="263"/>
      <c r="Y602" s="263"/>
      <c r="Z602" s="263"/>
    </row>
    <row r="603">
      <c r="A603" s="263"/>
      <c r="B603" s="263"/>
      <c r="C603" s="263"/>
      <c r="D603" s="263"/>
      <c r="E603" s="263"/>
      <c r="F603" s="263"/>
      <c r="G603" s="263"/>
      <c r="H603" s="263"/>
      <c r="I603" s="263"/>
      <c r="J603" s="263"/>
      <c r="K603" s="263"/>
      <c r="L603" s="263"/>
      <c r="M603" s="263"/>
      <c r="N603" s="263"/>
      <c r="O603" s="263"/>
      <c r="P603" s="263"/>
      <c r="Q603" s="263"/>
      <c r="R603" s="263"/>
      <c r="S603" s="263"/>
      <c r="T603" s="263"/>
      <c r="U603" s="263"/>
      <c r="V603" s="263"/>
      <c r="W603" s="263"/>
      <c r="X603" s="263"/>
      <c r="Y603" s="263"/>
      <c r="Z603" s="263"/>
    </row>
    <row r="604">
      <c r="A604" s="263"/>
      <c r="B604" s="263"/>
      <c r="C604" s="263"/>
      <c r="D604" s="263"/>
      <c r="E604" s="263"/>
      <c r="F604" s="263"/>
      <c r="G604" s="263"/>
      <c r="H604" s="263"/>
      <c r="I604" s="263"/>
      <c r="J604" s="263"/>
      <c r="K604" s="263"/>
      <c r="L604" s="263"/>
      <c r="M604" s="263"/>
      <c r="N604" s="263"/>
      <c r="O604" s="263"/>
      <c r="P604" s="263"/>
      <c r="Q604" s="263"/>
      <c r="R604" s="263"/>
      <c r="S604" s="263"/>
      <c r="T604" s="263"/>
      <c r="U604" s="263"/>
      <c r="V604" s="263"/>
      <c r="W604" s="263"/>
      <c r="X604" s="263"/>
      <c r="Y604" s="263"/>
      <c r="Z604" s="263"/>
    </row>
    <row r="605">
      <c r="A605" s="263"/>
      <c r="B605" s="263"/>
      <c r="C605" s="263"/>
      <c r="D605" s="263"/>
      <c r="E605" s="263"/>
      <c r="F605" s="263"/>
      <c r="G605" s="263"/>
      <c r="H605" s="263"/>
      <c r="I605" s="263"/>
      <c r="J605" s="263"/>
      <c r="K605" s="263"/>
      <c r="L605" s="263"/>
      <c r="M605" s="263"/>
      <c r="N605" s="263"/>
      <c r="O605" s="263"/>
      <c r="P605" s="263"/>
      <c r="Q605" s="263"/>
      <c r="R605" s="263"/>
      <c r="S605" s="263"/>
      <c r="T605" s="263"/>
      <c r="U605" s="263"/>
      <c r="V605" s="263"/>
      <c r="W605" s="263"/>
      <c r="X605" s="263"/>
      <c r="Y605" s="263"/>
      <c r="Z605" s="263"/>
    </row>
    <row r="606">
      <c r="A606" s="263"/>
      <c r="B606" s="263"/>
      <c r="C606" s="263"/>
      <c r="D606" s="263"/>
      <c r="E606" s="263"/>
      <c r="F606" s="263"/>
      <c r="G606" s="263"/>
      <c r="H606" s="263"/>
      <c r="I606" s="263"/>
      <c r="J606" s="263"/>
      <c r="K606" s="263"/>
      <c r="L606" s="263"/>
      <c r="M606" s="263"/>
      <c r="N606" s="263"/>
      <c r="O606" s="263"/>
      <c r="P606" s="263"/>
      <c r="Q606" s="263"/>
      <c r="R606" s="263"/>
      <c r="S606" s="263"/>
      <c r="T606" s="263"/>
      <c r="U606" s="263"/>
      <c r="V606" s="263"/>
      <c r="W606" s="263"/>
      <c r="X606" s="263"/>
      <c r="Y606" s="263"/>
      <c r="Z606" s="263"/>
    </row>
    <row r="607">
      <c r="A607" s="263"/>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263"/>
      <c r="Z607" s="263"/>
    </row>
    <row r="608">
      <c r="A608" s="263"/>
      <c r="B608" s="263"/>
      <c r="C608" s="263"/>
      <c r="D608" s="263"/>
      <c r="E608" s="263"/>
      <c r="F608" s="263"/>
      <c r="G608" s="263"/>
      <c r="H608" s="263"/>
      <c r="I608" s="263"/>
      <c r="J608" s="263"/>
      <c r="K608" s="263"/>
      <c r="L608" s="263"/>
      <c r="M608" s="263"/>
      <c r="N608" s="263"/>
      <c r="O608" s="263"/>
      <c r="P608" s="263"/>
      <c r="Q608" s="263"/>
      <c r="R608" s="263"/>
      <c r="S608" s="263"/>
      <c r="T608" s="263"/>
      <c r="U608" s="263"/>
      <c r="V608" s="263"/>
      <c r="W608" s="263"/>
      <c r="X608" s="263"/>
      <c r="Y608" s="263"/>
      <c r="Z608" s="263"/>
    </row>
    <row r="609">
      <c r="A609" s="263"/>
      <c r="B609" s="263"/>
      <c r="C609" s="263"/>
      <c r="D609" s="263"/>
      <c r="E609" s="263"/>
      <c r="F609" s="263"/>
      <c r="G609" s="263"/>
      <c r="H609" s="263"/>
      <c r="I609" s="263"/>
      <c r="J609" s="263"/>
      <c r="K609" s="263"/>
      <c r="L609" s="263"/>
      <c r="M609" s="263"/>
      <c r="N609" s="263"/>
      <c r="O609" s="263"/>
      <c r="P609" s="263"/>
      <c r="Q609" s="263"/>
      <c r="R609" s="263"/>
      <c r="S609" s="263"/>
      <c r="T609" s="263"/>
      <c r="U609" s="263"/>
      <c r="V609" s="263"/>
      <c r="W609" s="263"/>
      <c r="X609" s="263"/>
      <c r="Y609" s="263"/>
      <c r="Z609" s="263"/>
    </row>
    <row r="610">
      <c r="A610" s="263"/>
      <c r="B610" s="263"/>
      <c r="C610" s="263"/>
      <c r="D610" s="263"/>
      <c r="E610" s="263"/>
      <c r="F610" s="263"/>
      <c r="G610" s="263"/>
      <c r="H610" s="263"/>
      <c r="I610" s="263"/>
      <c r="J610" s="263"/>
      <c r="K610" s="263"/>
      <c r="L610" s="263"/>
      <c r="M610" s="263"/>
      <c r="N610" s="263"/>
      <c r="O610" s="263"/>
      <c r="P610" s="263"/>
      <c r="Q610" s="263"/>
      <c r="R610" s="263"/>
      <c r="S610" s="263"/>
      <c r="T610" s="263"/>
      <c r="U610" s="263"/>
      <c r="V610" s="263"/>
      <c r="W610" s="263"/>
      <c r="X610" s="263"/>
      <c r="Y610" s="263"/>
      <c r="Z610" s="263"/>
    </row>
    <row r="611">
      <c r="A611" s="263"/>
      <c r="B611" s="263"/>
      <c r="C611" s="263"/>
      <c r="D611" s="263"/>
      <c r="E611" s="263"/>
      <c r="F611" s="263"/>
      <c r="G611" s="263"/>
      <c r="H611" s="263"/>
      <c r="I611" s="263"/>
      <c r="J611" s="263"/>
      <c r="K611" s="263"/>
      <c r="L611" s="263"/>
      <c r="M611" s="263"/>
      <c r="N611" s="263"/>
      <c r="O611" s="263"/>
      <c r="P611" s="263"/>
      <c r="Q611" s="263"/>
      <c r="R611" s="263"/>
      <c r="S611" s="263"/>
      <c r="T611" s="263"/>
      <c r="U611" s="263"/>
      <c r="V611" s="263"/>
      <c r="W611" s="263"/>
      <c r="X611" s="263"/>
      <c r="Y611" s="263"/>
      <c r="Z611" s="263"/>
    </row>
    <row r="612">
      <c r="A612" s="263"/>
      <c r="B612" s="263"/>
      <c r="C612" s="263"/>
      <c r="D612" s="263"/>
      <c r="E612" s="263"/>
      <c r="F612" s="263"/>
      <c r="G612" s="263"/>
      <c r="H612" s="263"/>
      <c r="I612" s="263"/>
      <c r="J612" s="263"/>
      <c r="K612" s="263"/>
      <c r="L612" s="263"/>
      <c r="M612" s="263"/>
      <c r="N612" s="263"/>
      <c r="O612" s="263"/>
      <c r="P612" s="263"/>
      <c r="Q612" s="263"/>
      <c r="R612" s="263"/>
      <c r="S612" s="263"/>
      <c r="T612" s="263"/>
      <c r="U612" s="263"/>
      <c r="V612" s="263"/>
      <c r="W612" s="263"/>
      <c r="X612" s="263"/>
      <c r="Y612" s="263"/>
      <c r="Z612" s="263"/>
    </row>
    <row r="613">
      <c r="A613" s="263"/>
      <c r="B613" s="263"/>
      <c r="C613" s="263"/>
      <c r="D613" s="263"/>
      <c r="E613" s="263"/>
      <c r="F613" s="263"/>
      <c r="G613" s="263"/>
      <c r="H613" s="263"/>
      <c r="I613" s="263"/>
      <c r="J613" s="263"/>
      <c r="K613" s="263"/>
      <c r="L613" s="263"/>
      <c r="M613" s="263"/>
      <c r="N613" s="263"/>
      <c r="O613" s="263"/>
      <c r="P613" s="263"/>
      <c r="Q613" s="263"/>
      <c r="R613" s="263"/>
      <c r="S613" s="263"/>
      <c r="T613" s="263"/>
      <c r="U613" s="263"/>
      <c r="V613" s="263"/>
      <c r="W613" s="263"/>
      <c r="X613" s="263"/>
      <c r="Y613" s="263"/>
      <c r="Z613" s="263"/>
    </row>
    <row r="614">
      <c r="A614" s="263"/>
      <c r="B614" s="263"/>
      <c r="C614" s="263"/>
      <c r="D614" s="263"/>
      <c r="E614" s="263"/>
      <c r="F614" s="263"/>
      <c r="G614" s="263"/>
      <c r="H614" s="263"/>
      <c r="I614" s="263"/>
      <c r="J614" s="263"/>
      <c r="K614" s="263"/>
      <c r="L614" s="263"/>
      <c r="M614" s="263"/>
      <c r="N614" s="263"/>
      <c r="O614" s="263"/>
      <c r="P614" s="263"/>
      <c r="Q614" s="263"/>
      <c r="R614" s="263"/>
      <c r="S614" s="263"/>
      <c r="T614" s="263"/>
      <c r="U614" s="263"/>
      <c r="V614" s="263"/>
      <c r="W614" s="263"/>
      <c r="X614" s="263"/>
      <c r="Y614" s="263"/>
      <c r="Z614" s="263"/>
    </row>
    <row r="615">
      <c r="A615" s="263"/>
      <c r="B615" s="263"/>
      <c r="C615" s="263"/>
      <c r="D615" s="263"/>
      <c r="E615" s="263"/>
      <c r="F615" s="263"/>
      <c r="G615" s="263"/>
      <c r="H615" s="263"/>
      <c r="I615" s="263"/>
      <c r="J615" s="263"/>
      <c r="K615" s="263"/>
      <c r="L615" s="263"/>
      <c r="M615" s="263"/>
      <c r="N615" s="263"/>
      <c r="O615" s="263"/>
      <c r="P615" s="263"/>
      <c r="Q615" s="263"/>
      <c r="R615" s="263"/>
      <c r="S615" s="263"/>
      <c r="T615" s="263"/>
      <c r="U615" s="263"/>
      <c r="V615" s="263"/>
      <c r="W615" s="263"/>
      <c r="X615" s="263"/>
      <c r="Y615" s="263"/>
      <c r="Z615" s="263"/>
    </row>
    <row r="616">
      <c r="A616" s="263"/>
      <c r="B616" s="263"/>
      <c r="C616" s="263"/>
      <c r="D616" s="263"/>
      <c r="E616" s="263"/>
      <c r="F616" s="263"/>
      <c r="G616" s="263"/>
      <c r="H616" s="263"/>
      <c r="I616" s="263"/>
      <c r="J616" s="263"/>
      <c r="K616" s="263"/>
      <c r="L616" s="263"/>
      <c r="M616" s="263"/>
      <c r="N616" s="263"/>
      <c r="O616" s="263"/>
      <c r="P616" s="263"/>
      <c r="Q616" s="263"/>
      <c r="R616" s="263"/>
      <c r="S616" s="263"/>
      <c r="T616" s="263"/>
      <c r="U616" s="263"/>
      <c r="V616" s="263"/>
      <c r="W616" s="263"/>
      <c r="X616" s="263"/>
      <c r="Y616" s="263"/>
      <c r="Z616" s="263"/>
    </row>
    <row r="617">
      <c r="A617" s="263"/>
      <c r="B617" s="263"/>
      <c r="C617" s="263"/>
      <c r="D617" s="263"/>
      <c r="E617" s="263"/>
      <c r="F617" s="263"/>
      <c r="G617" s="263"/>
      <c r="H617" s="263"/>
      <c r="I617" s="263"/>
      <c r="J617" s="263"/>
      <c r="K617" s="263"/>
      <c r="L617" s="263"/>
      <c r="M617" s="263"/>
      <c r="N617" s="263"/>
      <c r="O617" s="263"/>
      <c r="P617" s="263"/>
      <c r="Q617" s="263"/>
      <c r="R617" s="263"/>
      <c r="S617" s="263"/>
      <c r="T617" s="263"/>
      <c r="U617" s="263"/>
      <c r="V617" s="263"/>
      <c r="W617" s="263"/>
      <c r="X617" s="263"/>
      <c r="Y617" s="263"/>
      <c r="Z617" s="263"/>
    </row>
    <row r="618">
      <c r="A618" s="263"/>
      <c r="B618" s="263"/>
      <c r="C618" s="263"/>
      <c r="D618" s="263"/>
      <c r="E618" s="263"/>
      <c r="F618" s="263"/>
      <c r="G618" s="263"/>
      <c r="H618" s="263"/>
      <c r="I618" s="263"/>
      <c r="J618" s="263"/>
      <c r="K618" s="263"/>
      <c r="L618" s="263"/>
      <c r="M618" s="263"/>
      <c r="N618" s="263"/>
      <c r="O618" s="263"/>
      <c r="P618" s="263"/>
      <c r="Q618" s="263"/>
      <c r="R618" s="263"/>
      <c r="S618" s="263"/>
      <c r="T618" s="263"/>
      <c r="U618" s="263"/>
      <c r="V618" s="263"/>
      <c r="W618" s="263"/>
      <c r="X618" s="263"/>
      <c r="Y618" s="263"/>
      <c r="Z618" s="263"/>
    </row>
    <row r="619">
      <c r="A619" s="263"/>
      <c r="B619" s="263"/>
      <c r="C619" s="263"/>
      <c r="D619" s="263"/>
      <c r="E619" s="263"/>
      <c r="F619" s="263"/>
      <c r="G619" s="263"/>
      <c r="H619" s="263"/>
      <c r="I619" s="263"/>
      <c r="J619" s="263"/>
      <c r="K619" s="263"/>
      <c r="L619" s="263"/>
      <c r="M619" s="263"/>
      <c r="N619" s="263"/>
      <c r="O619" s="263"/>
      <c r="P619" s="263"/>
      <c r="Q619" s="263"/>
      <c r="R619" s="263"/>
      <c r="S619" s="263"/>
      <c r="T619" s="263"/>
      <c r="U619" s="263"/>
      <c r="V619" s="263"/>
      <c r="W619" s="263"/>
      <c r="X619" s="263"/>
      <c r="Y619" s="263"/>
      <c r="Z619" s="263"/>
    </row>
    <row r="620">
      <c r="A620" s="263"/>
      <c r="B620" s="263"/>
      <c r="C620" s="263"/>
      <c r="D620" s="263"/>
      <c r="E620" s="263"/>
      <c r="F620" s="263"/>
      <c r="G620" s="263"/>
      <c r="H620" s="263"/>
      <c r="I620" s="263"/>
      <c r="J620" s="263"/>
      <c r="K620" s="263"/>
      <c r="L620" s="263"/>
      <c r="M620" s="263"/>
      <c r="N620" s="263"/>
      <c r="O620" s="263"/>
      <c r="P620" s="263"/>
      <c r="Q620" s="263"/>
      <c r="R620" s="263"/>
      <c r="S620" s="263"/>
      <c r="T620" s="263"/>
      <c r="U620" s="263"/>
      <c r="V620" s="263"/>
      <c r="W620" s="263"/>
      <c r="X620" s="263"/>
      <c r="Y620" s="263"/>
      <c r="Z620" s="263"/>
    </row>
    <row r="621">
      <c r="A621" s="263"/>
      <c r="B621" s="263"/>
      <c r="C621" s="263"/>
      <c r="D621" s="263"/>
      <c r="E621" s="263"/>
      <c r="F621" s="263"/>
      <c r="G621" s="263"/>
      <c r="H621" s="263"/>
      <c r="I621" s="263"/>
      <c r="J621" s="263"/>
      <c r="K621" s="263"/>
      <c r="L621" s="263"/>
      <c r="M621" s="263"/>
      <c r="N621" s="263"/>
      <c r="O621" s="263"/>
      <c r="P621" s="263"/>
      <c r="Q621" s="263"/>
      <c r="R621" s="263"/>
      <c r="S621" s="263"/>
      <c r="T621" s="263"/>
      <c r="U621" s="263"/>
      <c r="V621" s="263"/>
      <c r="W621" s="263"/>
      <c r="X621" s="263"/>
      <c r="Y621" s="263"/>
      <c r="Z621" s="263"/>
    </row>
    <row r="622">
      <c r="A622" s="263"/>
      <c r="B622" s="263"/>
      <c r="C622" s="263"/>
      <c r="D622" s="263"/>
      <c r="E622" s="263"/>
      <c r="F622" s="263"/>
      <c r="G622" s="263"/>
      <c r="H622" s="263"/>
      <c r="I622" s="263"/>
      <c r="J622" s="263"/>
      <c r="K622" s="263"/>
      <c r="L622" s="263"/>
      <c r="M622" s="263"/>
      <c r="N622" s="263"/>
      <c r="O622" s="263"/>
      <c r="P622" s="263"/>
      <c r="Q622" s="263"/>
      <c r="R622" s="263"/>
      <c r="S622" s="263"/>
      <c r="T622" s="263"/>
      <c r="U622" s="263"/>
      <c r="V622" s="263"/>
      <c r="W622" s="263"/>
      <c r="X622" s="263"/>
      <c r="Y622" s="263"/>
      <c r="Z622" s="263"/>
    </row>
    <row r="623">
      <c r="A623" s="263"/>
      <c r="B623" s="263"/>
      <c r="C623" s="263"/>
      <c r="D623" s="263"/>
      <c r="E623" s="263"/>
      <c r="F623" s="263"/>
      <c r="G623" s="263"/>
      <c r="H623" s="263"/>
      <c r="I623" s="263"/>
      <c r="J623" s="263"/>
      <c r="K623" s="263"/>
      <c r="L623" s="263"/>
      <c r="M623" s="263"/>
      <c r="N623" s="263"/>
      <c r="O623" s="263"/>
      <c r="P623" s="263"/>
      <c r="Q623" s="263"/>
      <c r="R623" s="263"/>
      <c r="S623" s="263"/>
      <c r="T623" s="263"/>
      <c r="U623" s="263"/>
      <c r="V623" s="263"/>
      <c r="W623" s="263"/>
      <c r="X623" s="263"/>
      <c r="Y623" s="263"/>
      <c r="Z623" s="263"/>
    </row>
    <row r="624">
      <c r="A624" s="263"/>
      <c r="B624" s="263"/>
      <c r="C624" s="263"/>
      <c r="D624" s="263"/>
      <c r="E624" s="263"/>
      <c r="F624" s="263"/>
      <c r="G624" s="263"/>
      <c r="H624" s="263"/>
      <c r="I624" s="263"/>
      <c r="J624" s="263"/>
      <c r="K624" s="263"/>
      <c r="L624" s="263"/>
      <c r="M624" s="263"/>
      <c r="N624" s="263"/>
      <c r="O624" s="263"/>
      <c r="P624" s="263"/>
      <c r="Q624" s="263"/>
      <c r="R624" s="263"/>
      <c r="S624" s="263"/>
      <c r="T624" s="263"/>
      <c r="U624" s="263"/>
      <c r="V624" s="263"/>
      <c r="W624" s="263"/>
      <c r="X624" s="263"/>
      <c r="Y624" s="263"/>
      <c r="Z624" s="263"/>
    </row>
    <row r="625">
      <c r="A625" s="263"/>
      <c r="B625" s="263"/>
      <c r="C625" s="263"/>
      <c r="D625" s="263"/>
      <c r="E625" s="263"/>
      <c r="F625" s="263"/>
      <c r="G625" s="263"/>
      <c r="H625" s="263"/>
      <c r="I625" s="263"/>
      <c r="J625" s="263"/>
      <c r="K625" s="263"/>
      <c r="L625" s="263"/>
      <c r="M625" s="263"/>
      <c r="N625" s="263"/>
      <c r="O625" s="263"/>
      <c r="P625" s="263"/>
      <c r="Q625" s="263"/>
      <c r="R625" s="263"/>
      <c r="S625" s="263"/>
      <c r="T625" s="263"/>
      <c r="U625" s="263"/>
      <c r="V625" s="263"/>
      <c r="W625" s="263"/>
      <c r="X625" s="263"/>
      <c r="Y625" s="263"/>
      <c r="Z625" s="263"/>
    </row>
    <row r="626">
      <c r="A626" s="263"/>
      <c r="B626" s="263"/>
      <c r="C626" s="263"/>
      <c r="D626" s="263"/>
      <c r="E626" s="263"/>
      <c r="F626" s="263"/>
      <c r="G626" s="263"/>
      <c r="H626" s="263"/>
      <c r="I626" s="263"/>
      <c r="J626" s="263"/>
      <c r="K626" s="263"/>
      <c r="L626" s="263"/>
      <c r="M626" s="263"/>
      <c r="N626" s="263"/>
      <c r="O626" s="263"/>
      <c r="P626" s="263"/>
      <c r="Q626" s="263"/>
      <c r="R626" s="263"/>
      <c r="S626" s="263"/>
      <c r="T626" s="263"/>
      <c r="U626" s="263"/>
      <c r="V626" s="263"/>
      <c r="W626" s="263"/>
      <c r="X626" s="263"/>
      <c r="Y626" s="263"/>
      <c r="Z626" s="263"/>
    </row>
    <row r="627">
      <c r="A627" s="263"/>
      <c r="B627" s="263"/>
      <c r="C627" s="263"/>
      <c r="D627" s="263"/>
      <c r="E627" s="263"/>
      <c r="F627" s="263"/>
      <c r="G627" s="263"/>
      <c r="H627" s="263"/>
      <c r="I627" s="263"/>
      <c r="J627" s="263"/>
      <c r="K627" s="263"/>
      <c r="L627" s="263"/>
      <c r="M627" s="263"/>
      <c r="N627" s="263"/>
      <c r="O627" s="263"/>
      <c r="P627" s="263"/>
      <c r="Q627" s="263"/>
      <c r="R627" s="263"/>
      <c r="S627" s="263"/>
      <c r="T627" s="263"/>
      <c r="U627" s="263"/>
      <c r="V627" s="263"/>
      <c r="W627" s="263"/>
      <c r="X627" s="263"/>
      <c r="Y627" s="263"/>
      <c r="Z627" s="263"/>
    </row>
    <row r="628">
      <c r="A628" s="263"/>
      <c r="B628" s="263"/>
      <c r="C628" s="263"/>
      <c r="D628" s="263"/>
      <c r="E628" s="263"/>
      <c r="F628" s="263"/>
      <c r="G628" s="263"/>
      <c r="H628" s="263"/>
      <c r="I628" s="263"/>
      <c r="J628" s="263"/>
      <c r="K628" s="263"/>
      <c r="L628" s="263"/>
      <c r="M628" s="263"/>
      <c r="N628" s="263"/>
      <c r="O628" s="263"/>
      <c r="P628" s="263"/>
      <c r="Q628" s="263"/>
      <c r="R628" s="263"/>
      <c r="S628" s="263"/>
      <c r="T628" s="263"/>
      <c r="U628" s="263"/>
      <c r="V628" s="263"/>
      <c r="W628" s="263"/>
      <c r="X628" s="263"/>
      <c r="Y628" s="263"/>
      <c r="Z628" s="263"/>
    </row>
    <row r="629">
      <c r="A629" s="263"/>
      <c r="B629" s="263"/>
      <c r="C629" s="263"/>
      <c r="D629" s="263"/>
      <c r="E629" s="263"/>
      <c r="F629" s="263"/>
      <c r="G629" s="263"/>
      <c r="H629" s="263"/>
      <c r="I629" s="263"/>
      <c r="J629" s="263"/>
      <c r="K629" s="263"/>
      <c r="L629" s="263"/>
      <c r="M629" s="263"/>
      <c r="N629" s="263"/>
      <c r="O629" s="263"/>
      <c r="P629" s="263"/>
      <c r="Q629" s="263"/>
      <c r="R629" s="263"/>
      <c r="S629" s="263"/>
      <c r="T629" s="263"/>
      <c r="U629" s="263"/>
      <c r="V629" s="263"/>
      <c r="W629" s="263"/>
      <c r="X629" s="263"/>
      <c r="Y629" s="263"/>
      <c r="Z629" s="263"/>
    </row>
    <row r="630">
      <c r="A630" s="263"/>
      <c r="B630" s="263"/>
      <c r="C630" s="263"/>
      <c r="D630" s="263"/>
      <c r="E630" s="263"/>
      <c r="F630" s="263"/>
      <c r="G630" s="263"/>
      <c r="H630" s="263"/>
      <c r="I630" s="263"/>
      <c r="J630" s="263"/>
      <c r="K630" s="263"/>
      <c r="L630" s="263"/>
      <c r="M630" s="263"/>
      <c r="N630" s="263"/>
      <c r="O630" s="263"/>
      <c r="P630" s="263"/>
      <c r="Q630" s="263"/>
      <c r="R630" s="263"/>
      <c r="S630" s="263"/>
      <c r="T630" s="263"/>
      <c r="U630" s="263"/>
      <c r="V630" s="263"/>
      <c r="W630" s="263"/>
      <c r="X630" s="263"/>
      <c r="Y630" s="263"/>
      <c r="Z630" s="263"/>
    </row>
    <row r="631">
      <c r="A631" s="263"/>
      <c r="B631" s="263"/>
      <c r="C631" s="263"/>
      <c r="D631" s="263"/>
      <c r="E631" s="263"/>
      <c r="F631" s="263"/>
      <c r="G631" s="263"/>
      <c r="H631" s="263"/>
      <c r="I631" s="263"/>
      <c r="J631" s="263"/>
      <c r="K631" s="263"/>
      <c r="L631" s="263"/>
      <c r="M631" s="263"/>
      <c r="N631" s="263"/>
      <c r="O631" s="263"/>
      <c r="P631" s="263"/>
      <c r="Q631" s="263"/>
      <c r="R631" s="263"/>
      <c r="S631" s="263"/>
      <c r="T631" s="263"/>
      <c r="U631" s="263"/>
      <c r="V631" s="263"/>
      <c r="W631" s="263"/>
      <c r="X631" s="263"/>
      <c r="Y631" s="263"/>
      <c r="Z631" s="263"/>
    </row>
    <row r="632">
      <c r="A632" s="263"/>
      <c r="B632" s="263"/>
      <c r="C632" s="263"/>
      <c r="D632" s="263"/>
      <c r="E632" s="263"/>
      <c r="F632" s="263"/>
      <c r="G632" s="263"/>
      <c r="H632" s="263"/>
      <c r="I632" s="263"/>
      <c r="J632" s="263"/>
      <c r="K632" s="263"/>
      <c r="L632" s="263"/>
      <c r="M632" s="263"/>
      <c r="N632" s="263"/>
      <c r="O632" s="263"/>
      <c r="P632" s="263"/>
      <c r="Q632" s="263"/>
      <c r="R632" s="263"/>
      <c r="S632" s="263"/>
      <c r="T632" s="263"/>
      <c r="U632" s="263"/>
      <c r="V632" s="263"/>
      <c r="W632" s="263"/>
      <c r="X632" s="263"/>
      <c r="Y632" s="263"/>
      <c r="Z632" s="263"/>
    </row>
    <row r="633">
      <c r="A633" s="263"/>
      <c r="B633" s="263"/>
      <c r="C633" s="263"/>
      <c r="D633" s="263"/>
      <c r="E633" s="263"/>
      <c r="F633" s="263"/>
      <c r="G633" s="263"/>
      <c r="H633" s="263"/>
      <c r="I633" s="263"/>
      <c r="J633" s="263"/>
      <c r="K633" s="263"/>
      <c r="L633" s="263"/>
      <c r="M633" s="263"/>
      <c r="N633" s="263"/>
      <c r="O633" s="263"/>
      <c r="P633" s="263"/>
      <c r="Q633" s="263"/>
      <c r="R633" s="263"/>
      <c r="S633" s="263"/>
      <c r="T633" s="263"/>
      <c r="U633" s="263"/>
      <c r="V633" s="263"/>
      <c r="W633" s="263"/>
      <c r="X633" s="263"/>
      <c r="Y633" s="263"/>
      <c r="Z633" s="263"/>
    </row>
    <row r="634">
      <c r="A634" s="263"/>
      <c r="B634" s="263"/>
      <c r="C634" s="263"/>
      <c r="D634" s="263"/>
      <c r="E634" s="263"/>
      <c r="F634" s="263"/>
      <c r="G634" s="263"/>
      <c r="H634" s="263"/>
      <c r="I634" s="263"/>
      <c r="J634" s="263"/>
      <c r="K634" s="263"/>
      <c r="L634" s="263"/>
      <c r="M634" s="263"/>
      <c r="N634" s="263"/>
      <c r="O634" s="263"/>
      <c r="P634" s="263"/>
      <c r="Q634" s="263"/>
      <c r="R634" s="263"/>
      <c r="S634" s="263"/>
      <c r="T634" s="263"/>
      <c r="U634" s="263"/>
      <c r="V634" s="263"/>
      <c r="W634" s="263"/>
      <c r="X634" s="263"/>
      <c r="Y634" s="263"/>
      <c r="Z634" s="263"/>
    </row>
    <row r="635">
      <c r="A635" s="263"/>
      <c r="B635" s="263"/>
      <c r="C635" s="263"/>
      <c r="D635" s="263"/>
      <c r="E635" s="263"/>
      <c r="F635" s="263"/>
      <c r="G635" s="263"/>
      <c r="H635" s="263"/>
      <c r="I635" s="263"/>
      <c r="J635" s="263"/>
      <c r="K635" s="263"/>
      <c r="L635" s="263"/>
      <c r="M635" s="263"/>
      <c r="N635" s="263"/>
      <c r="O635" s="263"/>
      <c r="P635" s="263"/>
      <c r="Q635" s="263"/>
      <c r="R635" s="263"/>
      <c r="S635" s="263"/>
      <c r="T635" s="263"/>
      <c r="U635" s="263"/>
      <c r="V635" s="263"/>
      <c r="W635" s="263"/>
      <c r="X635" s="263"/>
      <c r="Y635" s="263"/>
      <c r="Z635" s="263"/>
    </row>
    <row r="636">
      <c r="A636" s="263"/>
      <c r="B636" s="263"/>
      <c r="C636" s="263"/>
      <c r="D636" s="263"/>
      <c r="E636" s="263"/>
      <c r="F636" s="263"/>
      <c r="G636" s="263"/>
      <c r="H636" s="263"/>
      <c r="I636" s="263"/>
      <c r="J636" s="263"/>
      <c r="K636" s="263"/>
      <c r="L636" s="263"/>
      <c r="M636" s="263"/>
      <c r="N636" s="263"/>
      <c r="O636" s="263"/>
      <c r="P636" s="263"/>
      <c r="Q636" s="263"/>
      <c r="R636" s="263"/>
      <c r="S636" s="263"/>
      <c r="T636" s="263"/>
      <c r="U636" s="263"/>
      <c r="V636" s="263"/>
      <c r="W636" s="263"/>
      <c r="X636" s="263"/>
      <c r="Y636" s="263"/>
      <c r="Z636" s="263"/>
    </row>
    <row r="637">
      <c r="A637" s="263"/>
      <c r="B637" s="263"/>
      <c r="C637" s="263"/>
      <c r="D637" s="263"/>
      <c r="E637" s="263"/>
      <c r="F637" s="263"/>
      <c r="G637" s="263"/>
      <c r="H637" s="263"/>
      <c r="I637" s="263"/>
      <c r="J637" s="263"/>
      <c r="K637" s="263"/>
      <c r="L637" s="263"/>
      <c r="M637" s="263"/>
      <c r="N637" s="263"/>
      <c r="O637" s="263"/>
      <c r="P637" s="263"/>
      <c r="Q637" s="263"/>
      <c r="R637" s="263"/>
      <c r="S637" s="263"/>
      <c r="T637" s="263"/>
      <c r="U637" s="263"/>
      <c r="V637" s="263"/>
      <c r="W637" s="263"/>
      <c r="X637" s="263"/>
      <c r="Y637" s="263"/>
      <c r="Z637" s="263"/>
    </row>
    <row r="638">
      <c r="A638" s="263"/>
      <c r="B638" s="263"/>
      <c r="C638" s="263"/>
      <c r="D638" s="263"/>
      <c r="E638" s="263"/>
      <c r="F638" s="263"/>
      <c r="G638" s="263"/>
      <c r="H638" s="263"/>
      <c r="I638" s="263"/>
      <c r="J638" s="263"/>
      <c r="K638" s="263"/>
      <c r="L638" s="263"/>
      <c r="M638" s="263"/>
      <c r="N638" s="263"/>
      <c r="O638" s="263"/>
      <c r="P638" s="263"/>
      <c r="Q638" s="263"/>
      <c r="R638" s="263"/>
      <c r="S638" s="263"/>
      <c r="T638" s="263"/>
      <c r="U638" s="263"/>
      <c r="V638" s="263"/>
      <c r="W638" s="263"/>
      <c r="X638" s="263"/>
      <c r="Y638" s="263"/>
      <c r="Z638" s="263"/>
    </row>
    <row r="639">
      <c r="A639" s="263"/>
      <c r="B639" s="263"/>
      <c r="C639" s="263"/>
      <c r="D639" s="263"/>
      <c r="E639" s="263"/>
      <c r="F639" s="263"/>
      <c r="G639" s="263"/>
      <c r="H639" s="263"/>
      <c r="I639" s="263"/>
      <c r="J639" s="263"/>
      <c r="K639" s="263"/>
      <c r="L639" s="263"/>
      <c r="M639" s="263"/>
      <c r="N639" s="263"/>
      <c r="O639" s="263"/>
      <c r="P639" s="263"/>
      <c r="Q639" s="263"/>
      <c r="R639" s="263"/>
      <c r="S639" s="263"/>
      <c r="T639" s="263"/>
      <c r="U639" s="263"/>
      <c r="V639" s="263"/>
      <c r="W639" s="263"/>
      <c r="X639" s="263"/>
      <c r="Y639" s="263"/>
      <c r="Z639" s="263"/>
    </row>
    <row r="640">
      <c r="A640" s="263"/>
      <c r="B640" s="263"/>
      <c r="C640" s="263"/>
      <c r="D640" s="263"/>
      <c r="E640" s="263"/>
      <c r="F640" s="263"/>
      <c r="G640" s="263"/>
      <c r="H640" s="263"/>
      <c r="I640" s="263"/>
      <c r="J640" s="263"/>
      <c r="K640" s="263"/>
      <c r="L640" s="263"/>
      <c r="M640" s="263"/>
      <c r="N640" s="263"/>
      <c r="O640" s="263"/>
      <c r="P640" s="263"/>
      <c r="Q640" s="263"/>
      <c r="R640" s="263"/>
      <c r="S640" s="263"/>
      <c r="T640" s="263"/>
      <c r="U640" s="263"/>
      <c r="V640" s="263"/>
      <c r="W640" s="263"/>
      <c r="X640" s="263"/>
      <c r="Y640" s="263"/>
      <c r="Z640" s="263"/>
    </row>
    <row r="641">
      <c r="A641" s="263"/>
      <c r="B641" s="263"/>
      <c r="C641" s="263"/>
      <c r="D641" s="263"/>
      <c r="E641" s="263"/>
      <c r="F641" s="263"/>
      <c r="G641" s="263"/>
      <c r="H641" s="263"/>
      <c r="I641" s="263"/>
      <c r="J641" s="263"/>
      <c r="K641" s="263"/>
      <c r="L641" s="263"/>
      <c r="M641" s="263"/>
      <c r="N641" s="263"/>
      <c r="O641" s="263"/>
      <c r="P641" s="263"/>
      <c r="Q641" s="263"/>
      <c r="R641" s="263"/>
      <c r="S641" s="263"/>
      <c r="T641" s="263"/>
      <c r="U641" s="263"/>
      <c r="V641" s="263"/>
      <c r="W641" s="263"/>
      <c r="X641" s="263"/>
      <c r="Y641" s="263"/>
      <c r="Z641" s="263"/>
    </row>
    <row r="642">
      <c r="A642" s="263"/>
      <c r="B642" s="263"/>
      <c r="C642" s="263"/>
      <c r="D642" s="263"/>
      <c r="E642" s="263"/>
      <c r="F642" s="263"/>
      <c r="G642" s="263"/>
      <c r="H642" s="263"/>
      <c r="I642" s="263"/>
      <c r="J642" s="263"/>
      <c r="K642" s="263"/>
      <c r="L642" s="263"/>
      <c r="M642" s="263"/>
      <c r="N642" s="263"/>
      <c r="O642" s="263"/>
      <c r="P642" s="263"/>
      <c r="Q642" s="263"/>
      <c r="R642" s="263"/>
      <c r="S642" s="263"/>
      <c r="T642" s="263"/>
      <c r="U642" s="263"/>
      <c r="V642" s="263"/>
      <c r="W642" s="263"/>
      <c r="X642" s="263"/>
      <c r="Y642" s="263"/>
      <c r="Z642" s="263"/>
    </row>
    <row r="643">
      <c r="A643" s="263"/>
      <c r="B643" s="263"/>
      <c r="C643" s="263"/>
      <c r="D643" s="263"/>
      <c r="E643" s="263"/>
      <c r="F643" s="263"/>
      <c r="G643" s="263"/>
      <c r="H643" s="263"/>
      <c r="I643" s="263"/>
      <c r="J643" s="263"/>
      <c r="K643" s="263"/>
      <c r="L643" s="263"/>
      <c r="M643" s="263"/>
      <c r="N643" s="263"/>
      <c r="O643" s="263"/>
      <c r="P643" s="263"/>
      <c r="Q643" s="263"/>
      <c r="R643" s="263"/>
      <c r="S643" s="263"/>
      <c r="T643" s="263"/>
      <c r="U643" s="263"/>
      <c r="V643" s="263"/>
      <c r="W643" s="263"/>
      <c r="X643" s="263"/>
      <c r="Y643" s="263"/>
      <c r="Z643" s="263"/>
    </row>
    <row r="644">
      <c r="A644" s="263"/>
      <c r="B644" s="263"/>
      <c r="C644" s="263"/>
      <c r="D644" s="263"/>
      <c r="E644" s="263"/>
      <c r="F644" s="263"/>
      <c r="G644" s="263"/>
      <c r="H644" s="263"/>
      <c r="I644" s="263"/>
      <c r="J644" s="263"/>
      <c r="K644" s="263"/>
      <c r="L644" s="263"/>
      <c r="M644" s="263"/>
      <c r="N644" s="263"/>
      <c r="O644" s="263"/>
      <c r="P644" s="263"/>
      <c r="Q644" s="263"/>
      <c r="R644" s="263"/>
      <c r="S644" s="263"/>
      <c r="T644" s="263"/>
      <c r="U644" s="263"/>
      <c r="V644" s="263"/>
      <c r="W644" s="263"/>
      <c r="X644" s="263"/>
      <c r="Y644" s="263"/>
      <c r="Z644" s="263"/>
    </row>
    <row r="645">
      <c r="A645" s="263"/>
      <c r="B645" s="263"/>
      <c r="C645" s="263"/>
      <c r="D645" s="263"/>
      <c r="E645" s="263"/>
      <c r="F645" s="263"/>
      <c r="G645" s="263"/>
      <c r="H645" s="263"/>
      <c r="I645" s="263"/>
      <c r="J645" s="263"/>
      <c r="K645" s="263"/>
      <c r="L645" s="263"/>
      <c r="M645" s="263"/>
      <c r="N645" s="263"/>
      <c r="O645" s="263"/>
      <c r="P645" s="263"/>
      <c r="Q645" s="263"/>
      <c r="R645" s="263"/>
      <c r="S645" s="263"/>
      <c r="T645" s="263"/>
      <c r="U645" s="263"/>
      <c r="V645" s="263"/>
      <c r="W645" s="263"/>
      <c r="X645" s="263"/>
      <c r="Y645" s="263"/>
      <c r="Z645" s="263"/>
    </row>
    <row r="646">
      <c r="A646" s="263"/>
      <c r="B646" s="263"/>
      <c r="C646" s="263"/>
      <c r="D646" s="263"/>
      <c r="E646" s="263"/>
      <c r="F646" s="263"/>
      <c r="G646" s="263"/>
      <c r="H646" s="263"/>
      <c r="I646" s="263"/>
      <c r="J646" s="263"/>
      <c r="K646" s="263"/>
      <c r="L646" s="263"/>
      <c r="M646" s="263"/>
      <c r="N646" s="263"/>
      <c r="O646" s="263"/>
      <c r="P646" s="263"/>
      <c r="Q646" s="263"/>
      <c r="R646" s="263"/>
      <c r="S646" s="263"/>
      <c r="T646" s="263"/>
      <c r="U646" s="263"/>
      <c r="V646" s="263"/>
      <c r="W646" s="263"/>
      <c r="X646" s="263"/>
      <c r="Y646" s="263"/>
      <c r="Z646" s="263"/>
    </row>
    <row r="647">
      <c r="A647" s="263"/>
      <c r="B647" s="263"/>
      <c r="C647" s="263"/>
      <c r="D647" s="263"/>
      <c r="E647" s="263"/>
      <c r="F647" s="263"/>
      <c r="G647" s="263"/>
      <c r="H647" s="263"/>
      <c r="I647" s="263"/>
      <c r="J647" s="263"/>
      <c r="K647" s="263"/>
      <c r="L647" s="263"/>
      <c r="M647" s="263"/>
      <c r="N647" s="263"/>
      <c r="O647" s="263"/>
      <c r="P647" s="263"/>
      <c r="Q647" s="263"/>
      <c r="R647" s="263"/>
      <c r="S647" s="263"/>
      <c r="T647" s="263"/>
      <c r="U647" s="263"/>
      <c r="V647" s="263"/>
      <c r="W647" s="263"/>
      <c r="X647" s="263"/>
      <c r="Y647" s="263"/>
      <c r="Z647" s="263"/>
    </row>
    <row r="648">
      <c r="A648" s="263"/>
      <c r="B648" s="263"/>
      <c r="C648" s="263"/>
      <c r="D648" s="263"/>
      <c r="E648" s="263"/>
      <c r="F648" s="263"/>
      <c r="G648" s="263"/>
      <c r="H648" s="263"/>
      <c r="I648" s="263"/>
      <c r="J648" s="263"/>
      <c r="K648" s="263"/>
      <c r="L648" s="263"/>
      <c r="M648" s="263"/>
      <c r="N648" s="263"/>
      <c r="O648" s="263"/>
      <c r="P648" s="263"/>
      <c r="Q648" s="263"/>
      <c r="R648" s="263"/>
      <c r="S648" s="263"/>
      <c r="T648" s="263"/>
      <c r="U648" s="263"/>
      <c r="V648" s="263"/>
      <c r="W648" s="263"/>
      <c r="X648" s="263"/>
      <c r="Y648" s="263"/>
      <c r="Z648" s="263"/>
    </row>
    <row r="649">
      <c r="A649" s="263"/>
      <c r="B649" s="263"/>
      <c r="C649" s="263"/>
      <c r="D649" s="263"/>
      <c r="E649" s="263"/>
      <c r="F649" s="263"/>
      <c r="G649" s="263"/>
      <c r="H649" s="263"/>
      <c r="I649" s="263"/>
      <c r="J649" s="263"/>
      <c r="K649" s="263"/>
      <c r="L649" s="263"/>
      <c r="M649" s="263"/>
      <c r="N649" s="263"/>
      <c r="O649" s="263"/>
      <c r="P649" s="263"/>
      <c r="Q649" s="263"/>
      <c r="R649" s="263"/>
      <c r="S649" s="263"/>
      <c r="T649" s="263"/>
      <c r="U649" s="263"/>
      <c r="V649" s="263"/>
      <c r="W649" s="263"/>
      <c r="X649" s="263"/>
      <c r="Y649" s="263"/>
      <c r="Z649" s="263"/>
    </row>
    <row r="650">
      <c r="A650" s="263"/>
      <c r="B650" s="263"/>
      <c r="C650" s="263"/>
      <c r="D650" s="263"/>
      <c r="E650" s="263"/>
      <c r="F650" s="263"/>
      <c r="G650" s="263"/>
      <c r="H650" s="263"/>
      <c r="I650" s="263"/>
      <c r="J650" s="263"/>
      <c r="K650" s="263"/>
      <c r="L650" s="263"/>
      <c r="M650" s="263"/>
      <c r="N650" s="263"/>
      <c r="O650" s="263"/>
      <c r="P650" s="263"/>
      <c r="Q650" s="263"/>
      <c r="R650" s="263"/>
      <c r="S650" s="263"/>
      <c r="T650" s="263"/>
      <c r="U650" s="263"/>
      <c r="V650" s="263"/>
      <c r="W650" s="263"/>
      <c r="X650" s="263"/>
      <c r="Y650" s="263"/>
      <c r="Z650" s="263"/>
    </row>
    <row r="651">
      <c r="A651" s="263"/>
      <c r="B651" s="263"/>
      <c r="C651" s="263"/>
      <c r="D651" s="263"/>
      <c r="E651" s="263"/>
      <c r="F651" s="263"/>
      <c r="G651" s="263"/>
      <c r="H651" s="263"/>
      <c r="I651" s="263"/>
      <c r="J651" s="263"/>
      <c r="K651" s="263"/>
      <c r="L651" s="263"/>
      <c r="M651" s="263"/>
      <c r="N651" s="263"/>
      <c r="O651" s="263"/>
      <c r="P651" s="263"/>
      <c r="Q651" s="263"/>
      <c r="R651" s="263"/>
      <c r="S651" s="263"/>
      <c r="T651" s="263"/>
      <c r="U651" s="263"/>
      <c r="V651" s="263"/>
      <c r="W651" s="263"/>
      <c r="X651" s="263"/>
      <c r="Y651" s="263"/>
      <c r="Z651" s="263"/>
    </row>
    <row r="652">
      <c r="A652" s="263"/>
      <c r="B652" s="263"/>
      <c r="C652" s="263"/>
      <c r="D652" s="263"/>
      <c r="E652" s="263"/>
      <c r="F652" s="263"/>
      <c r="G652" s="263"/>
      <c r="H652" s="263"/>
      <c r="I652" s="263"/>
      <c r="J652" s="263"/>
      <c r="K652" s="263"/>
      <c r="L652" s="263"/>
      <c r="M652" s="263"/>
      <c r="N652" s="263"/>
      <c r="O652" s="263"/>
      <c r="P652" s="263"/>
      <c r="Q652" s="263"/>
      <c r="R652" s="263"/>
      <c r="S652" s="263"/>
      <c r="T652" s="263"/>
      <c r="U652" s="263"/>
      <c r="V652" s="263"/>
      <c r="W652" s="263"/>
      <c r="X652" s="263"/>
      <c r="Y652" s="263"/>
      <c r="Z652" s="263"/>
    </row>
    <row r="653">
      <c r="A653" s="263"/>
      <c r="B653" s="263"/>
      <c r="C653" s="263"/>
      <c r="D653" s="263"/>
      <c r="E653" s="263"/>
      <c r="F653" s="263"/>
      <c r="G653" s="263"/>
      <c r="H653" s="263"/>
      <c r="I653" s="263"/>
      <c r="J653" s="263"/>
      <c r="K653" s="263"/>
      <c r="L653" s="263"/>
      <c r="M653" s="263"/>
      <c r="N653" s="263"/>
      <c r="O653" s="263"/>
      <c r="P653" s="263"/>
      <c r="Q653" s="263"/>
      <c r="R653" s="263"/>
      <c r="S653" s="263"/>
      <c r="T653" s="263"/>
      <c r="U653" s="263"/>
      <c r="V653" s="263"/>
      <c r="W653" s="263"/>
      <c r="X653" s="263"/>
      <c r="Y653" s="263"/>
      <c r="Z653" s="263"/>
    </row>
    <row r="654">
      <c r="A654" s="263"/>
      <c r="B654" s="263"/>
      <c r="C654" s="263"/>
      <c r="D654" s="263"/>
      <c r="E654" s="263"/>
      <c r="F654" s="263"/>
      <c r="G654" s="263"/>
      <c r="H654" s="263"/>
      <c r="I654" s="263"/>
      <c r="J654" s="263"/>
      <c r="K654" s="263"/>
      <c r="L654" s="263"/>
      <c r="M654" s="263"/>
      <c r="N654" s="263"/>
      <c r="O654" s="263"/>
      <c r="P654" s="263"/>
      <c r="Q654" s="263"/>
      <c r="R654" s="263"/>
      <c r="S654" s="263"/>
      <c r="T654" s="263"/>
      <c r="U654" s="263"/>
      <c r="V654" s="263"/>
      <c r="W654" s="263"/>
      <c r="X654" s="263"/>
      <c r="Y654" s="263"/>
      <c r="Z654" s="263"/>
    </row>
    <row r="655">
      <c r="A655" s="263"/>
      <c r="B655" s="263"/>
      <c r="C655" s="263"/>
      <c r="D655" s="263"/>
      <c r="E655" s="263"/>
      <c r="F655" s="263"/>
      <c r="G655" s="263"/>
      <c r="H655" s="263"/>
      <c r="I655" s="263"/>
      <c r="J655" s="263"/>
      <c r="K655" s="263"/>
      <c r="L655" s="263"/>
      <c r="M655" s="263"/>
      <c r="N655" s="263"/>
      <c r="O655" s="263"/>
      <c r="P655" s="263"/>
      <c r="Q655" s="263"/>
      <c r="R655" s="263"/>
      <c r="S655" s="263"/>
      <c r="T655" s="263"/>
      <c r="U655" s="263"/>
      <c r="V655" s="263"/>
      <c r="W655" s="263"/>
      <c r="X655" s="263"/>
      <c r="Y655" s="263"/>
      <c r="Z655" s="263"/>
    </row>
    <row r="656">
      <c r="A656" s="263"/>
      <c r="B656" s="263"/>
      <c r="C656" s="263"/>
      <c r="D656" s="263"/>
      <c r="E656" s="263"/>
      <c r="F656" s="263"/>
      <c r="G656" s="263"/>
      <c r="H656" s="263"/>
      <c r="I656" s="263"/>
      <c r="J656" s="263"/>
      <c r="K656" s="263"/>
      <c r="L656" s="263"/>
      <c r="M656" s="263"/>
      <c r="N656" s="263"/>
      <c r="O656" s="263"/>
      <c r="P656" s="263"/>
      <c r="Q656" s="263"/>
      <c r="R656" s="263"/>
      <c r="S656" s="263"/>
      <c r="T656" s="263"/>
      <c r="U656" s="263"/>
      <c r="V656" s="263"/>
      <c r="W656" s="263"/>
      <c r="X656" s="263"/>
      <c r="Y656" s="263"/>
      <c r="Z656" s="263"/>
    </row>
    <row r="657">
      <c r="A657" s="263"/>
      <c r="B657" s="263"/>
      <c r="C657" s="263"/>
      <c r="D657" s="263"/>
      <c r="E657" s="263"/>
      <c r="F657" s="263"/>
      <c r="G657" s="263"/>
      <c r="H657" s="263"/>
      <c r="I657" s="263"/>
      <c r="J657" s="263"/>
      <c r="K657" s="263"/>
      <c r="L657" s="263"/>
      <c r="M657" s="263"/>
      <c r="N657" s="263"/>
      <c r="O657" s="263"/>
      <c r="P657" s="263"/>
      <c r="Q657" s="263"/>
      <c r="R657" s="263"/>
      <c r="S657" s="263"/>
      <c r="T657" s="263"/>
      <c r="U657" s="263"/>
      <c r="V657" s="263"/>
      <c r="W657" s="263"/>
      <c r="X657" s="263"/>
      <c r="Y657" s="263"/>
      <c r="Z657" s="263"/>
    </row>
    <row r="658">
      <c r="A658" s="263"/>
      <c r="B658" s="263"/>
      <c r="C658" s="263"/>
      <c r="D658" s="263"/>
      <c r="E658" s="263"/>
      <c r="F658" s="263"/>
      <c r="G658" s="263"/>
      <c r="H658" s="263"/>
      <c r="I658" s="263"/>
      <c r="J658" s="263"/>
      <c r="K658" s="263"/>
      <c r="L658" s="263"/>
      <c r="M658" s="263"/>
      <c r="N658" s="263"/>
      <c r="O658" s="263"/>
      <c r="P658" s="263"/>
      <c r="Q658" s="263"/>
      <c r="R658" s="263"/>
      <c r="S658" s="263"/>
      <c r="T658" s="263"/>
      <c r="U658" s="263"/>
      <c r="V658" s="263"/>
      <c r="W658" s="263"/>
      <c r="X658" s="263"/>
      <c r="Y658" s="263"/>
      <c r="Z658" s="263"/>
    </row>
    <row r="659">
      <c r="A659" s="263"/>
      <c r="B659" s="263"/>
      <c r="C659" s="263"/>
      <c r="D659" s="263"/>
      <c r="E659" s="263"/>
      <c r="F659" s="263"/>
      <c r="G659" s="263"/>
      <c r="H659" s="263"/>
      <c r="I659" s="263"/>
      <c r="J659" s="263"/>
      <c r="K659" s="263"/>
      <c r="L659" s="263"/>
      <c r="M659" s="263"/>
      <c r="N659" s="263"/>
      <c r="O659" s="263"/>
      <c r="P659" s="263"/>
      <c r="Q659" s="263"/>
      <c r="R659" s="263"/>
      <c r="S659" s="263"/>
      <c r="T659" s="263"/>
      <c r="U659" s="263"/>
      <c r="V659" s="263"/>
      <c r="W659" s="263"/>
      <c r="X659" s="263"/>
      <c r="Y659" s="263"/>
      <c r="Z659" s="263"/>
    </row>
    <row r="660">
      <c r="A660" s="263"/>
      <c r="B660" s="263"/>
      <c r="C660" s="263"/>
      <c r="D660" s="263"/>
      <c r="E660" s="263"/>
      <c r="F660" s="263"/>
      <c r="G660" s="263"/>
      <c r="H660" s="263"/>
      <c r="I660" s="263"/>
      <c r="J660" s="263"/>
      <c r="K660" s="263"/>
      <c r="L660" s="263"/>
      <c r="M660" s="263"/>
      <c r="N660" s="263"/>
      <c r="O660" s="263"/>
      <c r="P660" s="263"/>
      <c r="Q660" s="263"/>
      <c r="R660" s="263"/>
      <c r="S660" s="263"/>
      <c r="T660" s="263"/>
      <c r="U660" s="263"/>
      <c r="V660" s="263"/>
      <c r="W660" s="263"/>
      <c r="X660" s="263"/>
      <c r="Y660" s="263"/>
      <c r="Z660" s="263"/>
    </row>
    <row r="661">
      <c r="A661" s="263"/>
      <c r="B661" s="263"/>
      <c r="C661" s="263"/>
      <c r="D661" s="263"/>
      <c r="E661" s="263"/>
      <c r="F661" s="263"/>
      <c r="G661" s="263"/>
      <c r="H661" s="263"/>
      <c r="I661" s="263"/>
      <c r="J661" s="263"/>
      <c r="K661" s="263"/>
      <c r="L661" s="263"/>
      <c r="M661" s="263"/>
      <c r="N661" s="263"/>
      <c r="O661" s="263"/>
      <c r="P661" s="263"/>
      <c r="Q661" s="263"/>
      <c r="R661" s="263"/>
      <c r="S661" s="263"/>
      <c r="T661" s="263"/>
      <c r="U661" s="263"/>
      <c r="V661" s="263"/>
      <c r="W661" s="263"/>
      <c r="X661" s="263"/>
      <c r="Y661" s="263"/>
      <c r="Z661" s="263"/>
    </row>
    <row r="662">
      <c r="A662" s="263"/>
      <c r="B662" s="263"/>
      <c r="C662" s="263"/>
      <c r="D662" s="263"/>
      <c r="E662" s="263"/>
      <c r="F662" s="263"/>
      <c r="G662" s="263"/>
      <c r="H662" s="263"/>
      <c r="I662" s="263"/>
      <c r="J662" s="263"/>
      <c r="K662" s="263"/>
      <c r="L662" s="263"/>
      <c r="M662" s="263"/>
      <c r="N662" s="263"/>
      <c r="O662" s="263"/>
      <c r="P662" s="263"/>
      <c r="Q662" s="263"/>
      <c r="R662" s="263"/>
      <c r="S662" s="263"/>
      <c r="T662" s="263"/>
      <c r="U662" s="263"/>
      <c r="V662" s="263"/>
      <c r="W662" s="263"/>
      <c r="X662" s="263"/>
      <c r="Y662" s="263"/>
      <c r="Z662" s="263"/>
    </row>
    <row r="663">
      <c r="A663" s="263"/>
      <c r="B663" s="263"/>
      <c r="C663" s="263"/>
      <c r="D663" s="263"/>
      <c r="E663" s="263"/>
      <c r="F663" s="263"/>
      <c r="G663" s="263"/>
      <c r="H663" s="263"/>
      <c r="I663" s="263"/>
      <c r="J663" s="263"/>
      <c r="K663" s="263"/>
      <c r="L663" s="263"/>
      <c r="M663" s="263"/>
      <c r="N663" s="263"/>
      <c r="O663" s="263"/>
      <c r="P663" s="263"/>
      <c r="Q663" s="263"/>
      <c r="R663" s="263"/>
      <c r="S663" s="263"/>
      <c r="T663" s="263"/>
      <c r="U663" s="263"/>
      <c r="V663" s="263"/>
      <c r="W663" s="263"/>
      <c r="X663" s="263"/>
      <c r="Y663" s="263"/>
      <c r="Z663" s="263"/>
    </row>
    <row r="664">
      <c r="A664" s="263"/>
      <c r="B664" s="263"/>
      <c r="C664" s="263"/>
      <c r="D664" s="263"/>
      <c r="E664" s="263"/>
      <c r="F664" s="263"/>
      <c r="G664" s="263"/>
      <c r="H664" s="263"/>
      <c r="I664" s="263"/>
      <c r="J664" s="263"/>
      <c r="K664" s="263"/>
      <c r="L664" s="263"/>
      <c r="M664" s="263"/>
      <c r="N664" s="263"/>
      <c r="O664" s="263"/>
      <c r="P664" s="263"/>
      <c r="Q664" s="263"/>
      <c r="R664" s="263"/>
      <c r="S664" s="263"/>
      <c r="T664" s="263"/>
      <c r="U664" s="263"/>
      <c r="V664" s="263"/>
      <c r="W664" s="263"/>
      <c r="X664" s="263"/>
      <c r="Y664" s="263"/>
      <c r="Z664" s="263"/>
    </row>
    <row r="665">
      <c r="A665" s="263"/>
      <c r="B665" s="263"/>
      <c r="C665" s="263"/>
      <c r="D665" s="263"/>
      <c r="E665" s="263"/>
      <c r="F665" s="263"/>
      <c r="G665" s="263"/>
      <c r="H665" s="263"/>
      <c r="I665" s="263"/>
      <c r="J665" s="263"/>
      <c r="K665" s="263"/>
      <c r="L665" s="263"/>
      <c r="M665" s="263"/>
      <c r="N665" s="263"/>
      <c r="O665" s="263"/>
      <c r="P665" s="263"/>
      <c r="Q665" s="263"/>
      <c r="R665" s="263"/>
      <c r="S665" s="263"/>
      <c r="T665" s="263"/>
      <c r="U665" s="263"/>
      <c r="V665" s="263"/>
      <c r="W665" s="263"/>
      <c r="X665" s="263"/>
      <c r="Y665" s="263"/>
      <c r="Z665" s="263"/>
    </row>
    <row r="666">
      <c r="A666" s="263"/>
      <c r="B666" s="263"/>
      <c r="C666" s="263"/>
      <c r="D666" s="263"/>
      <c r="E666" s="263"/>
      <c r="F666" s="263"/>
      <c r="G666" s="263"/>
      <c r="H666" s="263"/>
      <c r="I666" s="263"/>
      <c r="J666" s="263"/>
      <c r="K666" s="263"/>
      <c r="L666" s="263"/>
      <c r="M666" s="263"/>
      <c r="N666" s="263"/>
      <c r="O666" s="263"/>
      <c r="P666" s="263"/>
      <c r="Q666" s="263"/>
      <c r="R666" s="263"/>
      <c r="S666" s="263"/>
      <c r="T666" s="263"/>
      <c r="U666" s="263"/>
      <c r="V666" s="263"/>
      <c r="W666" s="263"/>
      <c r="X666" s="263"/>
      <c r="Y666" s="263"/>
      <c r="Z666" s="263"/>
    </row>
    <row r="667">
      <c r="A667" s="263"/>
      <c r="B667" s="263"/>
      <c r="C667" s="263"/>
      <c r="D667" s="263"/>
      <c r="E667" s="263"/>
      <c r="F667" s="263"/>
      <c r="G667" s="263"/>
      <c r="H667" s="263"/>
      <c r="I667" s="263"/>
      <c r="J667" s="263"/>
      <c r="K667" s="263"/>
      <c r="L667" s="263"/>
      <c r="M667" s="263"/>
      <c r="N667" s="263"/>
      <c r="O667" s="263"/>
      <c r="P667" s="263"/>
      <c r="Q667" s="263"/>
      <c r="R667" s="263"/>
      <c r="S667" s="263"/>
      <c r="T667" s="263"/>
      <c r="U667" s="263"/>
      <c r="V667" s="263"/>
      <c r="W667" s="263"/>
      <c r="X667" s="263"/>
      <c r="Y667" s="263"/>
      <c r="Z667" s="263"/>
    </row>
    <row r="668">
      <c r="A668" s="263"/>
      <c r="B668" s="263"/>
      <c r="C668" s="263"/>
      <c r="D668" s="263"/>
      <c r="E668" s="263"/>
      <c r="F668" s="263"/>
      <c r="G668" s="263"/>
      <c r="H668" s="263"/>
      <c r="I668" s="263"/>
      <c r="J668" s="263"/>
      <c r="K668" s="263"/>
      <c r="L668" s="263"/>
      <c r="M668" s="263"/>
      <c r="N668" s="263"/>
      <c r="O668" s="263"/>
      <c r="P668" s="263"/>
      <c r="Q668" s="263"/>
      <c r="R668" s="263"/>
      <c r="S668" s="263"/>
      <c r="T668" s="263"/>
      <c r="U668" s="263"/>
      <c r="V668" s="263"/>
      <c r="W668" s="263"/>
      <c r="X668" s="263"/>
      <c r="Y668" s="263"/>
      <c r="Z668" s="263"/>
    </row>
    <row r="669">
      <c r="A669" s="263"/>
      <c r="B669" s="263"/>
      <c r="C669" s="263"/>
      <c r="D669" s="263"/>
      <c r="E669" s="263"/>
      <c r="F669" s="263"/>
      <c r="G669" s="263"/>
      <c r="H669" s="263"/>
      <c r="I669" s="263"/>
      <c r="J669" s="263"/>
      <c r="K669" s="263"/>
      <c r="L669" s="263"/>
      <c r="M669" s="263"/>
      <c r="N669" s="263"/>
      <c r="O669" s="263"/>
      <c r="P669" s="263"/>
      <c r="Q669" s="263"/>
      <c r="R669" s="263"/>
      <c r="S669" s="263"/>
      <c r="T669" s="263"/>
      <c r="U669" s="263"/>
      <c r="V669" s="263"/>
      <c r="W669" s="263"/>
      <c r="X669" s="263"/>
      <c r="Y669" s="263"/>
      <c r="Z669" s="263"/>
    </row>
    <row r="670">
      <c r="A670" s="263"/>
      <c r="B670" s="263"/>
      <c r="C670" s="263"/>
      <c r="D670" s="263"/>
      <c r="E670" s="263"/>
      <c r="F670" s="263"/>
      <c r="G670" s="263"/>
      <c r="H670" s="263"/>
      <c r="I670" s="263"/>
      <c r="J670" s="263"/>
      <c r="K670" s="263"/>
      <c r="L670" s="263"/>
      <c r="M670" s="263"/>
      <c r="N670" s="263"/>
      <c r="O670" s="263"/>
      <c r="P670" s="263"/>
      <c r="Q670" s="263"/>
      <c r="R670" s="263"/>
      <c r="S670" s="263"/>
      <c r="T670" s="263"/>
      <c r="U670" s="263"/>
      <c r="V670" s="263"/>
      <c r="W670" s="263"/>
      <c r="X670" s="263"/>
      <c r="Y670" s="263"/>
      <c r="Z670" s="263"/>
    </row>
    <row r="671">
      <c r="A671" s="263"/>
      <c r="B671" s="263"/>
      <c r="C671" s="263"/>
      <c r="D671" s="263"/>
      <c r="E671" s="263"/>
      <c r="F671" s="263"/>
      <c r="G671" s="263"/>
      <c r="H671" s="263"/>
      <c r="I671" s="263"/>
      <c r="J671" s="263"/>
      <c r="K671" s="263"/>
      <c r="L671" s="263"/>
      <c r="M671" s="263"/>
      <c r="N671" s="263"/>
      <c r="O671" s="263"/>
      <c r="P671" s="263"/>
      <c r="Q671" s="263"/>
      <c r="R671" s="263"/>
      <c r="S671" s="263"/>
      <c r="T671" s="263"/>
      <c r="U671" s="263"/>
      <c r="V671" s="263"/>
      <c r="W671" s="263"/>
      <c r="X671" s="263"/>
      <c r="Y671" s="263"/>
      <c r="Z671" s="263"/>
    </row>
    <row r="672">
      <c r="A672" s="263"/>
      <c r="B672" s="263"/>
      <c r="C672" s="263"/>
      <c r="D672" s="263"/>
      <c r="E672" s="263"/>
      <c r="F672" s="263"/>
      <c r="G672" s="263"/>
      <c r="H672" s="263"/>
      <c r="I672" s="263"/>
      <c r="J672" s="263"/>
      <c r="K672" s="263"/>
      <c r="L672" s="263"/>
      <c r="M672" s="263"/>
      <c r="N672" s="263"/>
      <c r="O672" s="263"/>
      <c r="P672" s="263"/>
      <c r="Q672" s="263"/>
      <c r="R672" s="263"/>
      <c r="S672" s="263"/>
      <c r="T672" s="263"/>
      <c r="U672" s="263"/>
      <c r="V672" s="263"/>
      <c r="W672" s="263"/>
      <c r="X672" s="263"/>
      <c r="Y672" s="263"/>
      <c r="Z672" s="263"/>
    </row>
    <row r="673">
      <c r="A673" s="263"/>
      <c r="B673" s="263"/>
      <c r="C673" s="263"/>
      <c r="D673" s="263"/>
      <c r="E673" s="263"/>
      <c r="F673" s="263"/>
      <c r="G673" s="263"/>
      <c r="H673" s="263"/>
      <c r="I673" s="263"/>
      <c r="J673" s="263"/>
      <c r="K673" s="263"/>
      <c r="L673" s="263"/>
      <c r="M673" s="263"/>
      <c r="N673" s="263"/>
      <c r="O673" s="263"/>
      <c r="P673" s="263"/>
      <c r="Q673" s="263"/>
      <c r="R673" s="263"/>
      <c r="S673" s="263"/>
      <c r="T673" s="263"/>
      <c r="U673" s="263"/>
      <c r="V673" s="263"/>
      <c r="W673" s="263"/>
      <c r="X673" s="263"/>
      <c r="Y673" s="263"/>
      <c r="Z673" s="263"/>
    </row>
    <row r="674">
      <c r="A674" s="263"/>
      <c r="B674" s="263"/>
      <c r="C674" s="263"/>
      <c r="D674" s="263"/>
      <c r="E674" s="263"/>
      <c r="F674" s="263"/>
      <c r="G674" s="263"/>
      <c r="H674" s="263"/>
      <c r="I674" s="263"/>
      <c r="J674" s="263"/>
      <c r="K674" s="263"/>
      <c r="L674" s="263"/>
      <c r="M674" s="263"/>
      <c r="N674" s="263"/>
      <c r="O674" s="263"/>
      <c r="P674" s="263"/>
      <c r="Q674" s="263"/>
      <c r="R674" s="263"/>
      <c r="S674" s="263"/>
      <c r="T674" s="263"/>
      <c r="U674" s="263"/>
      <c r="V674" s="263"/>
      <c r="W674" s="263"/>
      <c r="X674" s="263"/>
      <c r="Y674" s="263"/>
      <c r="Z674" s="263"/>
    </row>
    <row r="675">
      <c r="A675" s="263"/>
      <c r="B675" s="263"/>
      <c r="C675" s="263"/>
      <c r="D675" s="263"/>
      <c r="E675" s="263"/>
      <c r="F675" s="263"/>
      <c r="G675" s="263"/>
      <c r="H675" s="263"/>
      <c r="I675" s="263"/>
      <c r="J675" s="263"/>
      <c r="K675" s="263"/>
      <c r="L675" s="263"/>
      <c r="M675" s="263"/>
      <c r="N675" s="263"/>
      <c r="O675" s="263"/>
      <c r="P675" s="263"/>
      <c r="Q675" s="263"/>
      <c r="R675" s="263"/>
      <c r="S675" s="263"/>
      <c r="T675" s="263"/>
      <c r="U675" s="263"/>
      <c r="V675" s="263"/>
      <c r="W675" s="263"/>
      <c r="X675" s="263"/>
      <c r="Y675" s="263"/>
      <c r="Z675" s="263"/>
    </row>
    <row r="676">
      <c r="A676" s="263"/>
      <c r="B676" s="263"/>
      <c r="C676" s="263"/>
      <c r="D676" s="263"/>
      <c r="E676" s="263"/>
      <c r="F676" s="263"/>
      <c r="G676" s="263"/>
      <c r="H676" s="263"/>
      <c r="I676" s="263"/>
      <c r="J676" s="263"/>
      <c r="K676" s="263"/>
      <c r="L676" s="263"/>
      <c r="M676" s="263"/>
      <c r="N676" s="263"/>
      <c r="O676" s="263"/>
      <c r="P676" s="263"/>
      <c r="Q676" s="263"/>
      <c r="R676" s="263"/>
      <c r="S676" s="263"/>
      <c r="T676" s="263"/>
      <c r="U676" s="263"/>
      <c r="V676" s="263"/>
      <c r="W676" s="263"/>
      <c r="X676" s="263"/>
      <c r="Y676" s="263"/>
      <c r="Z676" s="263"/>
    </row>
    <row r="677">
      <c r="A677" s="263"/>
      <c r="B677" s="263"/>
      <c r="C677" s="263"/>
      <c r="D677" s="263"/>
      <c r="E677" s="263"/>
      <c r="F677" s="263"/>
      <c r="G677" s="263"/>
      <c r="H677" s="263"/>
      <c r="I677" s="263"/>
      <c r="J677" s="263"/>
      <c r="K677" s="263"/>
      <c r="L677" s="263"/>
      <c r="M677" s="263"/>
      <c r="N677" s="263"/>
      <c r="O677" s="263"/>
      <c r="P677" s="263"/>
      <c r="Q677" s="263"/>
      <c r="R677" s="263"/>
      <c r="S677" s="263"/>
      <c r="T677" s="263"/>
      <c r="U677" s="263"/>
      <c r="V677" s="263"/>
      <c r="W677" s="263"/>
      <c r="X677" s="263"/>
      <c r="Y677" s="263"/>
      <c r="Z677" s="263"/>
    </row>
    <row r="678">
      <c r="A678" s="263"/>
      <c r="B678" s="263"/>
      <c r="C678" s="263"/>
      <c r="D678" s="263"/>
      <c r="E678" s="263"/>
      <c r="F678" s="263"/>
      <c r="G678" s="263"/>
      <c r="H678" s="263"/>
      <c r="I678" s="263"/>
      <c r="J678" s="263"/>
      <c r="K678" s="263"/>
      <c r="L678" s="263"/>
      <c r="M678" s="263"/>
      <c r="N678" s="263"/>
      <c r="O678" s="263"/>
      <c r="P678" s="263"/>
      <c r="Q678" s="263"/>
      <c r="R678" s="263"/>
      <c r="S678" s="263"/>
      <c r="T678" s="263"/>
      <c r="U678" s="263"/>
      <c r="V678" s="263"/>
      <c r="W678" s="263"/>
      <c r="X678" s="263"/>
      <c r="Y678" s="263"/>
      <c r="Z678" s="263"/>
    </row>
    <row r="679">
      <c r="A679" s="263"/>
      <c r="B679" s="263"/>
      <c r="C679" s="263"/>
      <c r="D679" s="263"/>
      <c r="E679" s="263"/>
      <c r="F679" s="263"/>
      <c r="G679" s="263"/>
      <c r="H679" s="263"/>
      <c r="I679" s="263"/>
      <c r="J679" s="263"/>
      <c r="K679" s="263"/>
      <c r="L679" s="263"/>
      <c r="M679" s="263"/>
      <c r="N679" s="263"/>
      <c r="O679" s="263"/>
      <c r="P679" s="263"/>
      <c r="Q679" s="263"/>
      <c r="R679" s="263"/>
      <c r="S679" s="263"/>
      <c r="T679" s="263"/>
      <c r="U679" s="263"/>
      <c r="V679" s="263"/>
      <c r="W679" s="263"/>
      <c r="X679" s="263"/>
      <c r="Y679" s="263"/>
      <c r="Z679" s="263"/>
    </row>
    <row r="680">
      <c r="A680" s="263"/>
      <c r="B680" s="263"/>
      <c r="C680" s="263"/>
      <c r="D680" s="263"/>
      <c r="E680" s="263"/>
      <c r="F680" s="263"/>
      <c r="G680" s="263"/>
      <c r="H680" s="263"/>
      <c r="I680" s="263"/>
      <c r="J680" s="263"/>
      <c r="K680" s="263"/>
      <c r="L680" s="263"/>
      <c r="M680" s="263"/>
      <c r="N680" s="263"/>
      <c r="O680" s="263"/>
      <c r="P680" s="263"/>
      <c r="Q680" s="263"/>
      <c r="R680" s="263"/>
      <c r="S680" s="263"/>
      <c r="T680" s="263"/>
      <c r="U680" s="263"/>
      <c r="V680" s="263"/>
      <c r="W680" s="263"/>
      <c r="X680" s="263"/>
      <c r="Y680" s="263"/>
      <c r="Z680" s="263"/>
    </row>
    <row r="681">
      <c r="A681" s="263"/>
      <c r="B681" s="263"/>
      <c r="C681" s="263"/>
      <c r="D681" s="263"/>
      <c r="E681" s="263"/>
      <c r="F681" s="263"/>
      <c r="G681" s="263"/>
      <c r="H681" s="263"/>
      <c r="I681" s="263"/>
      <c r="J681" s="263"/>
      <c r="K681" s="263"/>
      <c r="L681" s="263"/>
      <c r="M681" s="263"/>
      <c r="N681" s="263"/>
      <c r="O681" s="263"/>
      <c r="P681" s="263"/>
      <c r="Q681" s="263"/>
      <c r="R681" s="263"/>
      <c r="S681" s="263"/>
      <c r="T681" s="263"/>
      <c r="U681" s="263"/>
      <c r="V681" s="263"/>
      <c r="W681" s="263"/>
      <c r="X681" s="263"/>
      <c r="Y681" s="263"/>
      <c r="Z681" s="263"/>
    </row>
    <row r="682">
      <c r="A682" s="263"/>
      <c r="B682" s="263"/>
      <c r="C682" s="263"/>
      <c r="D682" s="263"/>
      <c r="E682" s="263"/>
      <c r="F682" s="263"/>
      <c r="G682" s="263"/>
      <c r="H682" s="263"/>
      <c r="I682" s="263"/>
      <c r="J682" s="263"/>
      <c r="K682" s="263"/>
      <c r="L682" s="263"/>
      <c r="M682" s="263"/>
      <c r="N682" s="263"/>
      <c r="O682" s="263"/>
      <c r="P682" s="263"/>
      <c r="Q682" s="263"/>
      <c r="R682" s="263"/>
      <c r="S682" s="263"/>
      <c r="T682" s="263"/>
      <c r="U682" s="263"/>
      <c r="V682" s="263"/>
      <c r="W682" s="263"/>
      <c r="X682" s="263"/>
      <c r="Y682" s="263"/>
      <c r="Z682" s="263"/>
    </row>
    <row r="683">
      <c r="A683" s="263"/>
      <c r="B683" s="263"/>
      <c r="C683" s="263"/>
      <c r="D683" s="263"/>
      <c r="E683" s="263"/>
      <c r="F683" s="263"/>
      <c r="G683" s="263"/>
      <c r="H683" s="263"/>
      <c r="I683" s="263"/>
      <c r="J683" s="263"/>
      <c r="K683" s="263"/>
      <c r="L683" s="263"/>
      <c r="M683" s="263"/>
      <c r="N683" s="263"/>
      <c r="O683" s="263"/>
      <c r="P683" s="263"/>
      <c r="Q683" s="263"/>
      <c r="R683" s="263"/>
      <c r="S683" s="263"/>
      <c r="T683" s="263"/>
      <c r="U683" s="263"/>
      <c r="V683" s="263"/>
      <c r="W683" s="263"/>
      <c r="X683" s="263"/>
      <c r="Y683" s="263"/>
      <c r="Z683" s="263"/>
    </row>
    <row r="684">
      <c r="A684" s="263"/>
      <c r="B684" s="263"/>
      <c r="C684" s="263"/>
      <c r="D684" s="263"/>
      <c r="E684" s="263"/>
      <c r="F684" s="263"/>
      <c r="G684" s="263"/>
      <c r="H684" s="263"/>
      <c r="I684" s="263"/>
      <c r="J684" s="263"/>
      <c r="K684" s="263"/>
      <c r="L684" s="263"/>
      <c r="M684" s="263"/>
      <c r="N684" s="263"/>
      <c r="O684" s="263"/>
      <c r="P684" s="263"/>
      <c r="Q684" s="263"/>
      <c r="R684" s="263"/>
      <c r="S684" s="263"/>
      <c r="T684" s="263"/>
      <c r="U684" s="263"/>
      <c r="V684" s="263"/>
      <c r="W684" s="263"/>
      <c r="X684" s="263"/>
      <c r="Y684" s="263"/>
      <c r="Z684" s="263"/>
    </row>
    <row r="685">
      <c r="A685" s="263"/>
      <c r="B685" s="263"/>
      <c r="C685" s="263"/>
      <c r="D685" s="263"/>
      <c r="E685" s="263"/>
      <c r="F685" s="263"/>
      <c r="G685" s="263"/>
      <c r="H685" s="263"/>
      <c r="I685" s="263"/>
      <c r="J685" s="263"/>
      <c r="K685" s="263"/>
      <c r="L685" s="263"/>
      <c r="M685" s="263"/>
      <c r="N685" s="263"/>
      <c r="O685" s="263"/>
      <c r="P685" s="263"/>
      <c r="Q685" s="263"/>
      <c r="R685" s="263"/>
      <c r="S685" s="263"/>
      <c r="T685" s="263"/>
      <c r="U685" s="263"/>
      <c r="V685" s="263"/>
      <c r="W685" s="263"/>
      <c r="X685" s="263"/>
      <c r="Y685" s="263"/>
      <c r="Z685" s="263"/>
    </row>
    <row r="686">
      <c r="A686" s="263"/>
      <c r="B686" s="263"/>
      <c r="C686" s="263"/>
      <c r="D686" s="263"/>
      <c r="E686" s="263"/>
      <c r="F686" s="263"/>
      <c r="G686" s="263"/>
      <c r="H686" s="263"/>
      <c r="I686" s="263"/>
      <c r="J686" s="263"/>
      <c r="K686" s="263"/>
      <c r="L686" s="263"/>
      <c r="M686" s="263"/>
      <c r="N686" s="263"/>
      <c r="O686" s="263"/>
      <c r="P686" s="263"/>
      <c r="Q686" s="263"/>
      <c r="R686" s="263"/>
      <c r="S686" s="263"/>
      <c r="T686" s="263"/>
      <c r="U686" s="263"/>
      <c r="V686" s="263"/>
      <c r="W686" s="263"/>
      <c r="X686" s="263"/>
      <c r="Y686" s="263"/>
      <c r="Z686" s="263"/>
    </row>
    <row r="687">
      <c r="A687" s="263"/>
      <c r="B687" s="263"/>
      <c r="C687" s="263"/>
      <c r="D687" s="263"/>
      <c r="E687" s="263"/>
      <c r="F687" s="263"/>
      <c r="G687" s="263"/>
      <c r="H687" s="263"/>
      <c r="I687" s="263"/>
      <c r="J687" s="263"/>
      <c r="K687" s="263"/>
      <c r="L687" s="263"/>
      <c r="M687" s="263"/>
      <c r="N687" s="263"/>
      <c r="O687" s="263"/>
      <c r="P687" s="263"/>
      <c r="Q687" s="263"/>
      <c r="R687" s="263"/>
      <c r="S687" s="263"/>
      <c r="T687" s="263"/>
      <c r="U687" s="263"/>
      <c r="V687" s="263"/>
      <c r="W687" s="263"/>
      <c r="X687" s="263"/>
      <c r="Y687" s="263"/>
      <c r="Z687" s="263"/>
    </row>
    <row r="688">
      <c r="A688" s="263"/>
      <c r="B688" s="263"/>
      <c r="C688" s="263"/>
      <c r="D688" s="263"/>
      <c r="E688" s="263"/>
      <c r="F688" s="263"/>
      <c r="G688" s="263"/>
      <c r="H688" s="263"/>
      <c r="I688" s="263"/>
      <c r="J688" s="263"/>
      <c r="K688" s="263"/>
      <c r="L688" s="263"/>
      <c r="M688" s="263"/>
      <c r="N688" s="263"/>
      <c r="O688" s="263"/>
      <c r="P688" s="263"/>
      <c r="Q688" s="263"/>
      <c r="R688" s="263"/>
      <c r="S688" s="263"/>
      <c r="T688" s="263"/>
      <c r="U688" s="263"/>
      <c r="V688" s="263"/>
      <c r="W688" s="263"/>
      <c r="X688" s="263"/>
      <c r="Y688" s="263"/>
      <c r="Z688" s="263"/>
    </row>
    <row r="689">
      <c r="A689" s="263"/>
      <c r="B689" s="263"/>
      <c r="C689" s="263"/>
      <c r="D689" s="263"/>
      <c r="E689" s="263"/>
      <c r="F689" s="263"/>
      <c r="G689" s="263"/>
      <c r="H689" s="263"/>
      <c r="I689" s="263"/>
      <c r="J689" s="263"/>
      <c r="K689" s="263"/>
      <c r="L689" s="263"/>
      <c r="M689" s="263"/>
      <c r="N689" s="263"/>
      <c r="O689" s="263"/>
      <c r="P689" s="263"/>
      <c r="Q689" s="263"/>
      <c r="R689" s="263"/>
      <c r="S689" s="263"/>
      <c r="T689" s="263"/>
      <c r="U689" s="263"/>
      <c r="V689" s="263"/>
      <c r="W689" s="263"/>
      <c r="X689" s="263"/>
      <c r="Y689" s="263"/>
      <c r="Z689" s="263"/>
    </row>
    <row r="690">
      <c r="A690" s="263"/>
      <c r="B690" s="263"/>
      <c r="C690" s="263"/>
      <c r="D690" s="263"/>
      <c r="E690" s="263"/>
      <c r="F690" s="263"/>
      <c r="G690" s="263"/>
      <c r="H690" s="263"/>
      <c r="I690" s="263"/>
      <c r="J690" s="263"/>
      <c r="K690" s="263"/>
      <c r="L690" s="263"/>
      <c r="M690" s="263"/>
      <c r="N690" s="263"/>
      <c r="O690" s="263"/>
      <c r="P690" s="263"/>
      <c r="Q690" s="263"/>
      <c r="R690" s="263"/>
      <c r="S690" s="263"/>
      <c r="T690" s="263"/>
      <c r="U690" s="263"/>
      <c r="V690" s="263"/>
      <c r="W690" s="263"/>
      <c r="X690" s="263"/>
      <c r="Y690" s="263"/>
      <c r="Z690" s="263"/>
    </row>
    <row r="691">
      <c r="A691" s="263"/>
      <c r="B691" s="263"/>
      <c r="C691" s="263"/>
      <c r="D691" s="263"/>
      <c r="E691" s="263"/>
      <c r="F691" s="263"/>
      <c r="G691" s="263"/>
      <c r="H691" s="263"/>
      <c r="I691" s="263"/>
      <c r="J691" s="263"/>
      <c r="K691" s="263"/>
      <c r="L691" s="263"/>
      <c r="M691" s="263"/>
      <c r="N691" s="263"/>
      <c r="O691" s="263"/>
      <c r="P691" s="263"/>
      <c r="Q691" s="263"/>
      <c r="R691" s="263"/>
      <c r="S691" s="263"/>
      <c r="T691" s="263"/>
      <c r="U691" s="263"/>
      <c r="V691" s="263"/>
      <c r="W691" s="263"/>
      <c r="X691" s="263"/>
      <c r="Y691" s="263"/>
      <c r="Z691" s="263"/>
    </row>
    <row r="692">
      <c r="A692" s="263"/>
      <c r="B692" s="263"/>
      <c r="C692" s="263"/>
      <c r="D692" s="263"/>
      <c r="E692" s="263"/>
      <c r="F692" s="263"/>
      <c r="G692" s="263"/>
      <c r="H692" s="263"/>
      <c r="I692" s="263"/>
      <c r="J692" s="263"/>
      <c r="K692" s="263"/>
      <c r="L692" s="263"/>
      <c r="M692" s="263"/>
      <c r="N692" s="263"/>
      <c r="O692" s="263"/>
      <c r="P692" s="263"/>
      <c r="Q692" s="263"/>
      <c r="R692" s="263"/>
      <c r="S692" s="263"/>
      <c r="T692" s="263"/>
      <c r="U692" s="263"/>
      <c r="V692" s="263"/>
      <c r="W692" s="263"/>
      <c r="X692" s="263"/>
      <c r="Y692" s="263"/>
      <c r="Z692" s="263"/>
    </row>
    <row r="693">
      <c r="A693" s="263"/>
      <c r="B693" s="263"/>
      <c r="C693" s="263"/>
      <c r="D693" s="263"/>
      <c r="E693" s="263"/>
      <c r="F693" s="263"/>
      <c r="G693" s="263"/>
      <c r="H693" s="263"/>
      <c r="I693" s="263"/>
      <c r="J693" s="263"/>
      <c r="K693" s="263"/>
      <c r="L693" s="263"/>
      <c r="M693" s="263"/>
      <c r="N693" s="263"/>
      <c r="O693" s="263"/>
      <c r="P693" s="263"/>
      <c r="Q693" s="263"/>
      <c r="R693" s="263"/>
      <c r="S693" s="263"/>
      <c r="T693" s="263"/>
      <c r="U693" s="263"/>
      <c r="V693" s="263"/>
      <c r="W693" s="263"/>
      <c r="X693" s="263"/>
      <c r="Y693" s="263"/>
      <c r="Z693" s="263"/>
    </row>
    <row r="694">
      <c r="A694" s="263"/>
      <c r="B694" s="263"/>
      <c r="C694" s="263"/>
      <c r="D694" s="263"/>
      <c r="E694" s="263"/>
      <c r="F694" s="263"/>
      <c r="G694" s="263"/>
      <c r="H694" s="263"/>
      <c r="I694" s="263"/>
      <c r="J694" s="263"/>
      <c r="K694" s="263"/>
      <c r="L694" s="263"/>
      <c r="M694" s="263"/>
      <c r="N694" s="263"/>
      <c r="O694" s="263"/>
      <c r="P694" s="263"/>
      <c r="Q694" s="263"/>
      <c r="R694" s="263"/>
      <c r="S694" s="263"/>
      <c r="T694" s="263"/>
      <c r="U694" s="263"/>
      <c r="V694" s="263"/>
      <c r="W694" s="263"/>
      <c r="X694" s="263"/>
      <c r="Y694" s="263"/>
      <c r="Z694" s="263"/>
    </row>
    <row r="695">
      <c r="A695" s="263"/>
      <c r="B695" s="263"/>
      <c r="C695" s="263"/>
      <c r="D695" s="263"/>
      <c r="E695" s="263"/>
      <c r="F695" s="263"/>
      <c r="G695" s="263"/>
      <c r="H695" s="263"/>
      <c r="I695" s="263"/>
      <c r="J695" s="263"/>
      <c r="K695" s="263"/>
      <c r="L695" s="263"/>
      <c r="M695" s="263"/>
      <c r="N695" s="263"/>
      <c r="O695" s="263"/>
      <c r="P695" s="263"/>
      <c r="Q695" s="263"/>
      <c r="R695" s="263"/>
      <c r="S695" s="263"/>
      <c r="T695" s="263"/>
      <c r="U695" s="263"/>
      <c r="V695" s="263"/>
      <c r="W695" s="263"/>
      <c r="X695" s="263"/>
      <c r="Y695" s="263"/>
      <c r="Z695" s="263"/>
    </row>
    <row r="696">
      <c r="A696" s="263"/>
      <c r="B696" s="263"/>
      <c r="C696" s="263"/>
      <c r="D696" s="263"/>
      <c r="E696" s="263"/>
      <c r="F696" s="263"/>
      <c r="G696" s="263"/>
      <c r="H696" s="263"/>
      <c r="I696" s="263"/>
      <c r="J696" s="263"/>
      <c r="K696" s="263"/>
      <c r="L696" s="263"/>
      <c r="M696" s="263"/>
      <c r="N696" s="263"/>
      <c r="O696" s="263"/>
      <c r="P696" s="263"/>
      <c r="Q696" s="263"/>
      <c r="R696" s="263"/>
      <c r="S696" s="263"/>
      <c r="T696" s="263"/>
      <c r="U696" s="263"/>
      <c r="V696" s="263"/>
      <c r="W696" s="263"/>
      <c r="X696" s="263"/>
      <c r="Y696" s="263"/>
      <c r="Z696" s="263"/>
    </row>
    <row r="697">
      <c r="A697" s="263"/>
      <c r="B697" s="263"/>
      <c r="C697" s="263"/>
      <c r="D697" s="263"/>
      <c r="E697" s="263"/>
      <c r="F697" s="263"/>
      <c r="G697" s="263"/>
      <c r="H697" s="263"/>
      <c r="I697" s="263"/>
      <c r="J697" s="263"/>
      <c r="K697" s="263"/>
      <c r="L697" s="263"/>
      <c r="M697" s="263"/>
      <c r="N697" s="263"/>
      <c r="O697" s="263"/>
      <c r="P697" s="263"/>
      <c r="Q697" s="263"/>
      <c r="R697" s="263"/>
      <c r="S697" s="263"/>
      <c r="T697" s="263"/>
      <c r="U697" s="263"/>
      <c r="V697" s="263"/>
      <c r="W697" s="263"/>
      <c r="X697" s="263"/>
      <c r="Y697" s="263"/>
      <c r="Z697" s="263"/>
    </row>
    <row r="698">
      <c r="A698" s="263"/>
      <c r="B698" s="263"/>
      <c r="C698" s="263"/>
      <c r="D698" s="263"/>
      <c r="E698" s="263"/>
      <c r="F698" s="263"/>
      <c r="G698" s="263"/>
      <c r="H698" s="263"/>
      <c r="I698" s="263"/>
      <c r="J698" s="263"/>
      <c r="K698" s="263"/>
      <c r="L698" s="263"/>
      <c r="M698" s="263"/>
      <c r="N698" s="263"/>
      <c r="O698" s="263"/>
      <c r="P698" s="263"/>
      <c r="Q698" s="263"/>
      <c r="R698" s="263"/>
      <c r="S698" s="263"/>
      <c r="T698" s="263"/>
      <c r="U698" s="263"/>
      <c r="V698" s="263"/>
      <c r="W698" s="263"/>
      <c r="X698" s="263"/>
      <c r="Y698" s="263"/>
      <c r="Z698" s="263"/>
    </row>
    <row r="699">
      <c r="A699" s="263"/>
      <c r="B699" s="263"/>
      <c r="C699" s="263"/>
      <c r="D699" s="263"/>
      <c r="E699" s="263"/>
      <c r="F699" s="263"/>
      <c r="G699" s="263"/>
      <c r="H699" s="263"/>
      <c r="I699" s="263"/>
      <c r="J699" s="263"/>
      <c r="K699" s="263"/>
      <c r="L699" s="263"/>
      <c r="M699" s="263"/>
      <c r="N699" s="263"/>
      <c r="O699" s="263"/>
      <c r="P699" s="263"/>
      <c r="Q699" s="263"/>
      <c r="R699" s="263"/>
      <c r="S699" s="263"/>
      <c r="T699" s="263"/>
      <c r="U699" s="263"/>
      <c r="V699" s="263"/>
      <c r="W699" s="263"/>
      <c r="X699" s="263"/>
      <c r="Y699" s="263"/>
      <c r="Z699" s="263"/>
    </row>
    <row r="700">
      <c r="A700" s="263"/>
      <c r="B700" s="263"/>
      <c r="C700" s="263"/>
      <c r="D700" s="263"/>
      <c r="E700" s="263"/>
      <c r="F700" s="263"/>
      <c r="G700" s="263"/>
      <c r="H700" s="263"/>
      <c r="I700" s="263"/>
      <c r="J700" s="263"/>
      <c r="K700" s="263"/>
      <c r="L700" s="263"/>
      <c r="M700" s="263"/>
      <c r="N700" s="263"/>
      <c r="O700" s="263"/>
      <c r="P700" s="263"/>
      <c r="Q700" s="263"/>
      <c r="R700" s="263"/>
      <c r="S700" s="263"/>
      <c r="T700" s="263"/>
      <c r="U700" s="263"/>
      <c r="V700" s="263"/>
      <c r="W700" s="263"/>
      <c r="X700" s="263"/>
      <c r="Y700" s="263"/>
      <c r="Z700" s="263"/>
    </row>
    <row r="701">
      <c r="A701" s="263"/>
      <c r="B701" s="263"/>
      <c r="C701" s="263"/>
      <c r="D701" s="263"/>
      <c r="E701" s="263"/>
      <c r="F701" s="263"/>
      <c r="G701" s="263"/>
      <c r="H701" s="263"/>
      <c r="I701" s="263"/>
      <c r="J701" s="263"/>
      <c r="K701" s="263"/>
      <c r="L701" s="263"/>
      <c r="M701" s="263"/>
      <c r="N701" s="263"/>
      <c r="O701" s="263"/>
      <c r="P701" s="263"/>
      <c r="Q701" s="263"/>
      <c r="R701" s="263"/>
      <c r="S701" s="263"/>
      <c r="T701" s="263"/>
      <c r="U701" s="263"/>
      <c r="V701" s="263"/>
      <c r="W701" s="263"/>
      <c r="X701" s="263"/>
      <c r="Y701" s="263"/>
      <c r="Z701" s="263"/>
    </row>
    <row r="702">
      <c r="A702" s="263"/>
      <c r="B702" s="263"/>
      <c r="C702" s="263"/>
      <c r="D702" s="263"/>
      <c r="E702" s="263"/>
      <c r="F702" s="263"/>
      <c r="G702" s="263"/>
      <c r="H702" s="263"/>
      <c r="I702" s="263"/>
      <c r="J702" s="263"/>
      <c r="K702" s="263"/>
      <c r="L702" s="263"/>
      <c r="M702" s="263"/>
      <c r="N702" s="263"/>
      <c r="O702" s="263"/>
      <c r="P702" s="263"/>
      <c r="Q702" s="263"/>
      <c r="R702" s="263"/>
      <c r="S702" s="263"/>
      <c r="T702" s="263"/>
      <c r="U702" s="263"/>
      <c r="V702" s="263"/>
      <c r="W702" s="263"/>
      <c r="X702" s="263"/>
      <c r="Y702" s="263"/>
      <c r="Z702" s="263"/>
    </row>
    <row r="703">
      <c r="A703" s="263"/>
      <c r="B703" s="263"/>
      <c r="C703" s="263"/>
      <c r="D703" s="263"/>
      <c r="E703" s="263"/>
      <c r="F703" s="263"/>
      <c r="G703" s="263"/>
      <c r="H703" s="263"/>
      <c r="I703" s="263"/>
      <c r="J703" s="263"/>
      <c r="K703" s="263"/>
      <c r="L703" s="263"/>
      <c r="M703" s="263"/>
      <c r="N703" s="263"/>
      <c r="O703" s="263"/>
      <c r="P703" s="263"/>
      <c r="Q703" s="263"/>
      <c r="R703" s="263"/>
      <c r="S703" s="263"/>
      <c r="T703" s="263"/>
      <c r="U703" s="263"/>
      <c r="V703" s="263"/>
      <c r="W703" s="263"/>
      <c r="X703" s="263"/>
      <c r="Y703" s="263"/>
      <c r="Z703" s="263"/>
    </row>
    <row r="704">
      <c r="A704" s="263"/>
      <c r="B704" s="263"/>
      <c r="C704" s="263"/>
      <c r="D704" s="263"/>
      <c r="E704" s="263"/>
      <c r="F704" s="263"/>
      <c r="G704" s="263"/>
      <c r="H704" s="263"/>
      <c r="I704" s="263"/>
      <c r="J704" s="263"/>
      <c r="K704" s="263"/>
      <c r="L704" s="263"/>
      <c r="M704" s="263"/>
      <c r="N704" s="263"/>
      <c r="O704" s="263"/>
      <c r="P704" s="263"/>
      <c r="Q704" s="263"/>
      <c r="R704" s="263"/>
      <c r="S704" s="263"/>
      <c r="T704" s="263"/>
      <c r="U704" s="263"/>
      <c r="V704" s="263"/>
      <c r="W704" s="263"/>
      <c r="X704" s="263"/>
      <c r="Y704" s="263"/>
      <c r="Z704" s="263"/>
    </row>
    <row r="705">
      <c r="A705" s="263"/>
      <c r="B705" s="263"/>
      <c r="C705" s="263"/>
      <c r="D705" s="263"/>
      <c r="E705" s="263"/>
      <c r="F705" s="263"/>
      <c r="G705" s="263"/>
      <c r="H705" s="263"/>
      <c r="I705" s="263"/>
      <c r="J705" s="263"/>
      <c r="K705" s="263"/>
      <c r="L705" s="263"/>
      <c r="M705" s="263"/>
      <c r="N705" s="263"/>
      <c r="O705" s="263"/>
      <c r="P705" s="263"/>
      <c r="Q705" s="263"/>
      <c r="R705" s="263"/>
      <c r="S705" s="263"/>
      <c r="T705" s="263"/>
      <c r="U705" s="263"/>
      <c r="V705" s="263"/>
      <c r="W705" s="263"/>
      <c r="X705" s="263"/>
      <c r="Y705" s="263"/>
      <c r="Z705" s="263"/>
    </row>
    <row r="706">
      <c r="A706" s="263"/>
      <c r="B706" s="263"/>
      <c r="C706" s="263"/>
      <c r="D706" s="263"/>
      <c r="E706" s="263"/>
      <c r="F706" s="263"/>
      <c r="G706" s="263"/>
      <c r="H706" s="263"/>
      <c r="I706" s="263"/>
      <c r="J706" s="263"/>
      <c r="K706" s="263"/>
      <c r="L706" s="263"/>
      <c r="M706" s="263"/>
      <c r="N706" s="263"/>
      <c r="O706" s="263"/>
      <c r="P706" s="263"/>
      <c r="Q706" s="263"/>
      <c r="R706" s="263"/>
      <c r="S706" s="263"/>
      <c r="T706" s="263"/>
      <c r="U706" s="263"/>
      <c r="V706" s="263"/>
      <c r="W706" s="263"/>
      <c r="X706" s="263"/>
      <c r="Y706" s="263"/>
      <c r="Z706" s="263"/>
    </row>
    <row r="707">
      <c r="A707" s="263"/>
      <c r="B707" s="263"/>
      <c r="C707" s="263"/>
      <c r="D707" s="263"/>
      <c r="E707" s="263"/>
      <c r="F707" s="263"/>
      <c r="G707" s="263"/>
      <c r="H707" s="263"/>
      <c r="I707" s="263"/>
      <c r="J707" s="263"/>
      <c r="K707" s="263"/>
      <c r="L707" s="263"/>
      <c r="M707" s="263"/>
      <c r="N707" s="263"/>
      <c r="O707" s="263"/>
      <c r="P707" s="263"/>
      <c r="Q707" s="263"/>
      <c r="R707" s="263"/>
      <c r="S707" s="263"/>
      <c r="T707" s="263"/>
      <c r="U707" s="263"/>
      <c r="V707" s="263"/>
      <c r="W707" s="263"/>
      <c r="X707" s="263"/>
      <c r="Y707" s="263"/>
      <c r="Z707" s="263"/>
    </row>
    <row r="708">
      <c r="A708" s="263"/>
      <c r="B708" s="263"/>
      <c r="C708" s="263"/>
      <c r="D708" s="263"/>
      <c r="E708" s="263"/>
      <c r="F708" s="263"/>
      <c r="G708" s="263"/>
      <c r="H708" s="263"/>
      <c r="I708" s="263"/>
      <c r="J708" s="263"/>
      <c r="K708" s="263"/>
      <c r="L708" s="263"/>
      <c r="M708" s="263"/>
      <c r="N708" s="263"/>
      <c r="O708" s="263"/>
      <c r="P708" s="263"/>
      <c r="Q708" s="263"/>
      <c r="R708" s="263"/>
      <c r="S708" s="263"/>
      <c r="T708" s="263"/>
      <c r="U708" s="263"/>
      <c r="V708" s="263"/>
      <c r="W708" s="263"/>
      <c r="X708" s="263"/>
      <c r="Y708" s="263"/>
      <c r="Z708" s="263"/>
    </row>
    <row r="709">
      <c r="A709" s="263"/>
      <c r="B709" s="263"/>
      <c r="C709" s="263"/>
      <c r="D709" s="263"/>
      <c r="E709" s="263"/>
      <c r="F709" s="263"/>
      <c r="G709" s="263"/>
      <c r="H709" s="263"/>
      <c r="I709" s="263"/>
      <c r="J709" s="263"/>
      <c r="K709" s="263"/>
      <c r="L709" s="263"/>
      <c r="M709" s="263"/>
      <c r="N709" s="263"/>
      <c r="O709" s="263"/>
      <c r="P709" s="263"/>
      <c r="Q709" s="263"/>
      <c r="R709" s="263"/>
      <c r="S709" s="263"/>
      <c r="T709" s="263"/>
      <c r="U709" s="263"/>
      <c r="V709" s="263"/>
      <c r="W709" s="263"/>
      <c r="X709" s="263"/>
      <c r="Y709" s="263"/>
      <c r="Z709" s="263"/>
    </row>
    <row r="710">
      <c r="A710" s="263"/>
      <c r="B710" s="263"/>
      <c r="C710" s="263"/>
      <c r="D710" s="263"/>
      <c r="E710" s="263"/>
      <c r="F710" s="263"/>
      <c r="G710" s="263"/>
      <c r="H710" s="263"/>
      <c r="I710" s="263"/>
      <c r="J710" s="263"/>
      <c r="K710" s="263"/>
      <c r="L710" s="263"/>
      <c r="M710" s="263"/>
      <c r="N710" s="263"/>
      <c r="O710" s="263"/>
      <c r="P710" s="263"/>
      <c r="Q710" s="263"/>
      <c r="R710" s="263"/>
      <c r="S710" s="263"/>
      <c r="T710" s="263"/>
      <c r="U710" s="263"/>
      <c r="V710" s="263"/>
      <c r="W710" s="263"/>
      <c r="X710" s="263"/>
      <c r="Y710" s="263"/>
      <c r="Z710" s="263"/>
    </row>
    <row r="711">
      <c r="A711" s="263"/>
      <c r="B711" s="263"/>
      <c r="C711" s="263"/>
      <c r="D711" s="263"/>
      <c r="E711" s="263"/>
      <c r="F711" s="263"/>
      <c r="G711" s="263"/>
      <c r="H711" s="263"/>
      <c r="I711" s="263"/>
      <c r="J711" s="263"/>
      <c r="K711" s="263"/>
      <c r="L711" s="263"/>
      <c r="M711" s="263"/>
      <c r="N711" s="263"/>
      <c r="O711" s="263"/>
      <c r="P711" s="263"/>
      <c r="Q711" s="263"/>
      <c r="R711" s="263"/>
      <c r="S711" s="263"/>
      <c r="T711" s="263"/>
      <c r="U711" s="263"/>
      <c r="V711" s="263"/>
      <c r="W711" s="263"/>
      <c r="X711" s="263"/>
      <c r="Y711" s="263"/>
      <c r="Z711" s="263"/>
    </row>
    <row r="712">
      <c r="A712" s="263"/>
      <c r="B712" s="263"/>
      <c r="C712" s="263"/>
      <c r="D712" s="263"/>
      <c r="E712" s="263"/>
      <c r="F712" s="263"/>
      <c r="G712" s="263"/>
      <c r="H712" s="263"/>
      <c r="I712" s="263"/>
      <c r="J712" s="263"/>
      <c r="K712" s="263"/>
      <c r="L712" s="263"/>
      <c r="M712" s="263"/>
      <c r="N712" s="263"/>
      <c r="O712" s="263"/>
      <c r="P712" s="263"/>
      <c r="Q712" s="263"/>
      <c r="R712" s="263"/>
      <c r="S712" s="263"/>
      <c r="T712" s="263"/>
      <c r="U712" s="263"/>
      <c r="V712" s="263"/>
      <c r="W712" s="263"/>
      <c r="X712" s="263"/>
      <c r="Y712" s="263"/>
      <c r="Z712" s="263"/>
    </row>
    <row r="713">
      <c r="A713" s="263"/>
      <c r="B713" s="263"/>
      <c r="C713" s="263"/>
      <c r="D713" s="263"/>
      <c r="E713" s="263"/>
      <c r="F713" s="263"/>
      <c r="G713" s="263"/>
      <c r="H713" s="263"/>
      <c r="I713" s="263"/>
      <c r="J713" s="263"/>
      <c r="K713" s="263"/>
      <c r="L713" s="263"/>
      <c r="M713" s="263"/>
      <c r="N713" s="263"/>
      <c r="O713" s="263"/>
      <c r="P713" s="263"/>
      <c r="Q713" s="263"/>
      <c r="R713" s="263"/>
      <c r="S713" s="263"/>
      <c r="T713" s="263"/>
      <c r="U713" s="263"/>
      <c r="V713" s="263"/>
      <c r="W713" s="263"/>
      <c r="X713" s="263"/>
      <c r="Y713" s="263"/>
      <c r="Z713" s="263"/>
    </row>
    <row r="714">
      <c r="A714" s="263"/>
      <c r="B714" s="263"/>
      <c r="C714" s="263"/>
      <c r="D714" s="263"/>
      <c r="E714" s="263"/>
      <c r="F714" s="263"/>
      <c r="G714" s="263"/>
      <c r="H714" s="263"/>
      <c r="I714" s="263"/>
      <c r="J714" s="263"/>
      <c r="K714" s="263"/>
      <c r="L714" s="263"/>
      <c r="M714" s="263"/>
      <c r="N714" s="263"/>
      <c r="O714" s="263"/>
      <c r="P714" s="263"/>
      <c r="Q714" s="263"/>
      <c r="R714" s="263"/>
      <c r="S714" s="263"/>
      <c r="T714" s="263"/>
      <c r="U714" s="263"/>
      <c r="V714" s="263"/>
      <c r="W714" s="263"/>
      <c r="X714" s="263"/>
      <c r="Y714" s="263"/>
      <c r="Z714" s="263"/>
    </row>
    <row r="715">
      <c r="A715" s="263"/>
      <c r="B715" s="263"/>
      <c r="C715" s="263"/>
      <c r="D715" s="263"/>
      <c r="E715" s="263"/>
      <c r="F715" s="263"/>
      <c r="G715" s="263"/>
      <c r="H715" s="263"/>
      <c r="I715" s="263"/>
      <c r="J715" s="263"/>
      <c r="K715" s="263"/>
      <c r="L715" s="263"/>
      <c r="M715" s="263"/>
      <c r="N715" s="263"/>
      <c r="O715" s="263"/>
      <c r="P715" s="263"/>
      <c r="Q715" s="263"/>
      <c r="R715" s="263"/>
      <c r="S715" s="263"/>
      <c r="T715" s="263"/>
      <c r="U715" s="263"/>
      <c r="V715" s="263"/>
      <c r="W715" s="263"/>
      <c r="X715" s="263"/>
      <c r="Y715" s="263"/>
      <c r="Z715" s="263"/>
    </row>
    <row r="716">
      <c r="A716" s="263"/>
      <c r="B716" s="263"/>
      <c r="C716" s="263"/>
      <c r="D716" s="263"/>
      <c r="E716" s="263"/>
      <c r="F716" s="263"/>
      <c r="G716" s="263"/>
      <c r="H716" s="263"/>
      <c r="I716" s="263"/>
      <c r="J716" s="263"/>
      <c r="K716" s="263"/>
      <c r="L716" s="263"/>
      <c r="M716" s="263"/>
      <c r="N716" s="263"/>
      <c r="O716" s="263"/>
      <c r="P716" s="263"/>
      <c r="Q716" s="263"/>
      <c r="R716" s="263"/>
      <c r="S716" s="263"/>
      <c r="T716" s="263"/>
      <c r="U716" s="263"/>
      <c r="V716" s="263"/>
      <c r="W716" s="263"/>
      <c r="X716" s="263"/>
      <c r="Y716" s="263"/>
      <c r="Z716" s="263"/>
    </row>
    <row r="717">
      <c r="A717" s="263"/>
      <c r="B717" s="263"/>
      <c r="C717" s="263"/>
      <c r="D717" s="263"/>
      <c r="E717" s="263"/>
      <c r="F717" s="263"/>
      <c r="G717" s="263"/>
      <c r="H717" s="263"/>
      <c r="I717" s="263"/>
      <c r="J717" s="263"/>
      <c r="K717" s="263"/>
      <c r="L717" s="263"/>
      <c r="M717" s="263"/>
      <c r="N717" s="263"/>
      <c r="O717" s="263"/>
      <c r="P717" s="263"/>
      <c r="Q717" s="263"/>
      <c r="R717" s="263"/>
      <c r="S717" s="263"/>
      <c r="T717" s="263"/>
      <c r="U717" s="263"/>
      <c r="V717" s="263"/>
      <c r="W717" s="263"/>
      <c r="X717" s="263"/>
      <c r="Y717" s="263"/>
      <c r="Z717" s="263"/>
    </row>
    <row r="718">
      <c r="A718" s="263"/>
      <c r="B718" s="263"/>
      <c r="C718" s="263"/>
      <c r="D718" s="263"/>
      <c r="E718" s="263"/>
      <c r="F718" s="263"/>
      <c r="G718" s="263"/>
      <c r="H718" s="263"/>
      <c r="I718" s="263"/>
      <c r="J718" s="263"/>
      <c r="K718" s="263"/>
      <c r="L718" s="263"/>
      <c r="M718" s="263"/>
      <c r="N718" s="263"/>
      <c r="O718" s="263"/>
      <c r="P718" s="263"/>
      <c r="Q718" s="263"/>
      <c r="R718" s="263"/>
      <c r="S718" s="263"/>
      <c r="T718" s="263"/>
      <c r="U718" s="263"/>
      <c r="V718" s="263"/>
      <c r="W718" s="263"/>
      <c r="X718" s="263"/>
      <c r="Y718" s="263"/>
      <c r="Z718" s="263"/>
    </row>
    <row r="719">
      <c r="A719" s="263"/>
      <c r="B719" s="263"/>
      <c r="C719" s="263"/>
      <c r="D719" s="263"/>
      <c r="E719" s="263"/>
      <c r="F719" s="263"/>
      <c r="G719" s="263"/>
      <c r="H719" s="263"/>
      <c r="I719" s="263"/>
      <c r="J719" s="263"/>
      <c r="K719" s="263"/>
      <c r="L719" s="263"/>
      <c r="M719" s="263"/>
      <c r="N719" s="263"/>
      <c r="O719" s="263"/>
      <c r="P719" s="263"/>
      <c r="Q719" s="263"/>
      <c r="R719" s="263"/>
      <c r="S719" s="263"/>
      <c r="T719" s="263"/>
      <c r="U719" s="263"/>
      <c r="V719" s="263"/>
      <c r="W719" s="263"/>
      <c r="X719" s="263"/>
      <c r="Y719" s="263"/>
      <c r="Z719" s="263"/>
    </row>
    <row r="720">
      <c r="A720" s="263"/>
      <c r="B720" s="263"/>
      <c r="C720" s="263"/>
      <c r="D720" s="263"/>
      <c r="E720" s="263"/>
      <c r="F720" s="263"/>
      <c r="G720" s="263"/>
      <c r="H720" s="263"/>
      <c r="I720" s="263"/>
      <c r="J720" s="263"/>
      <c r="K720" s="263"/>
      <c r="L720" s="263"/>
      <c r="M720" s="263"/>
      <c r="N720" s="263"/>
      <c r="O720" s="263"/>
      <c r="P720" s="263"/>
      <c r="Q720" s="263"/>
      <c r="R720" s="263"/>
      <c r="S720" s="263"/>
      <c r="T720" s="263"/>
      <c r="U720" s="263"/>
      <c r="V720" s="263"/>
      <c r="W720" s="263"/>
      <c r="X720" s="263"/>
      <c r="Y720" s="263"/>
      <c r="Z720" s="263"/>
    </row>
    <row r="721">
      <c r="A721" s="263"/>
      <c r="B721" s="263"/>
      <c r="C721" s="263"/>
      <c r="D721" s="263"/>
      <c r="E721" s="263"/>
      <c r="F721" s="263"/>
      <c r="G721" s="263"/>
      <c r="H721" s="263"/>
      <c r="I721" s="263"/>
      <c r="J721" s="263"/>
      <c r="K721" s="263"/>
      <c r="L721" s="263"/>
      <c r="M721" s="263"/>
      <c r="N721" s="263"/>
      <c r="O721" s="263"/>
      <c r="P721" s="263"/>
      <c r="Q721" s="263"/>
      <c r="R721" s="263"/>
      <c r="S721" s="263"/>
      <c r="T721" s="263"/>
      <c r="U721" s="263"/>
      <c r="V721" s="263"/>
      <c r="W721" s="263"/>
      <c r="X721" s="263"/>
      <c r="Y721" s="263"/>
      <c r="Z721" s="263"/>
    </row>
    <row r="722">
      <c r="A722" s="263"/>
      <c r="B722" s="263"/>
      <c r="C722" s="263"/>
      <c r="D722" s="263"/>
      <c r="E722" s="263"/>
      <c r="F722" s="263"/>
      <c r="G722" s="263"/>
      <c r="H722" s="263"/>
      <c r="I722" s="263"/>
      <c r="J722" s="263"/>
      <c r="K722" s="263"/>
      <c r="L722" s="263"/>
      <c r="M722" s="263"/>
      <c r="N722" s="263"/>
      <c r="O722" s="263"/>
      <c r="P722" s="263"/>
      <c r="Q722" s="263"/>
      <c r="R722" s="263"/>
      <c r="S722" s="263"/>
      <c r="T722" s="263"/>
      <c r="U722" s="263"/>
      <c r="V722" s="263"/>
      <c r="W722" s="263"/>
      <c r="X722" s="263"/>
      <c r="Y722" s="263"/>
      <c r="Z722" s="263"/>
    </row>
    <row r="723">
      <c r="A723" s="263"/>
      <c r="B723" s="263"/>
      <c r="C723" s="263"/>
      <c r="D723" s="263"/>
      <c r="E723" s="263"/>
      <c r="F723" s="263"/>
      <c r="G723" s="263"/>
      <c r="H723" s="263"/>
      <c r="I723" s="263"/>
      <c r="J723" s="263"/>
      <c r="K723" s="263"/>
      <c r="L723" s="263"/>
      <c r="M723" s="263"/>
      <c r="N723" s="263"/>
      <c r="O723" s="263"/>
      <c r="P723" s="263"/>
      <c r="Q723" s="263"/>
      <c r="R723" s="263"/>
      <c r="S723" s="263"/>
      <c r="T723" s="263"/>
      <c r="U723" s="263"/>
      <c r="V723" s="263"/>
      <c r="W723" s="263"/>
      <c r="X723" s="263"/>
      <c r="Y723" s="263"/>
      <c r="Z723" s="263"/>
    </row>
    <row r="724">
      <c r="A724" s="263"/>
      <c r="B724" s="263"/>
      <c r="C724" s="263"/>
      <c r="D724" s="263"/>
      <c r="E724" s="263"/>
      <c r="F724" s="263"/>
      <c r="G724" s="263"/>
      <c r="H724" s="263"/>
      <c r="I724" s="263"/>
      <c r="J724" s="263"/>
      <c r="K724" s="263"/>
      <c r="L724" s="263"/>
      <c r="M724" s="263"/>
      <c r="N724" s="263"/>
      <c r="O724" s="263"/>
      <c r="P724" s="263"/>
      <c r="Q724" s="263"/>
      <c r="R724" s="263"/>
      <c r="S724" s="263"/>
      <c r="T724" s="263"/>
      <c r="U724" s="263"/>
      <c r="V724" s="263"/>
      <c r="W724" s="263"/>
      <c r="X724" s="263"/>
      <c r="Y724" s="263"/>
      <c r="Z724" s="263"/>
    </row>
    <row r="725">
      <c r="A725" s="263"/>
      <c r="B725" s="263"/>
      <c r="C725" s="263"/>
      <c r="D725" s="263"/>
      <c r="E725" s="263"/>
      <c r="F725" s="263"/>
      <c r="G725" s="263"/>
      <c r="H725" s="263"/>
      <c r="I725" s="263"/>
      <c r="J725" s="263"/>
      <c r="K725" s="263"/>
      <c r="L725" s="263"/>
      <c r="M725" s="263"/>
      <c r="N725" s="263"/>
      <c r="O725" s="263"/>
      <c r="P725" s="263"/>
      <c r="Q725" s="263"/>
      <c r="R725" s="263"/>
      <c r="S725" s="263"/>
      <c r="T725" s="263"/>
      <c r="U725" s="263"/>
      <c r="V725" s="263"/>
      <c r="W725" s="263"/>
      <c r="X725" s="263"/>
      <c r="Y725" s="263"/>
      <c r="Z725" s="263"/>
    </row>
    <row r="726">
      <c r="A726" s="263"/>
      <c r="B726" s="263"/>
      <c r="C726" s="263"/>
      <c r="D726" s="263"/>
      <c r="E726" s="263"/>
      <c r="F726" s="263"/>
      <c r="G726" s="263"/>
      <c r="H726" s="263"/>
      <c r="I726" s="263"/>
      <c r="J726" s="263"/>
      <c r="K726" s="263"/>
      <c r="L726" s="263"/>
      <c r="M726" s="263"/>
      <c r="N726" s="263"/>
      <c r="O726" s="263"/>
      <c r="P726" s="263"/>
      <c r="Q726" s="263"/>
      <c r="R726" s="263"/>
      <c r="S726" s="263"/>
      <c r="T726" s="263"/>
      <c r="U726" s="263"/>
      <c r="V726" s="263"/>
      <c r="W726" s="263"/>
      <c r="X726" s="263"/>
      <c r="Y726" s="263"/>
      <c r="Z726" s="263"/>
    </row>
    <row r="727">
      <c r="A727" s="263"/>
      <c r="B727" s="263"/>
      <c r="C727" s="263"/>
      <c r="D727" s="263"/>
      <c r="E727" s="263"/>
      <c r="F727" s="263"/>
      <c r="G727" s="263"/>
      <c r="H727" s="263"/>
      <c r="I727" s="263"/>
      <c r="J727" s="263"/>
      <c r="K727" s="263"/>
      <c r="L727" s="263"/>
      <c r="M727" s="263"/>
      <c r="N727" s="263"/>
      <c r="O727" s="263"/>
      <c r="P727" s="263"/>
      <c r="Q727" s="263"/>
      <c r="R727" s="263"/>
      <c r="S727" s="263"/>
      <c r="T727" s="263"/>
      <c r="U727" s="263"/>
      <c r="V727" s="263"/>
      <c r="W727" s="263"/>
      <c r="X727" s="263"/>
      <c r="Y727" s="263"/>
      <c r="Z727" s="263"/>
    </row>
    <row r="728">
      <c r="A728" s="263"/>
      <c r="B728" s="263"/>
      <c r="C728" s="263"/>
      <c r="D728" s="263"/>
      <c r="E728" s="263"/>
      <c r="F728" s="263"/>
      <c r="G728" s="263"/>
      <c r="H728" s="263"/>
      <c r="I728" s="263"/>
      <c r="J728" s="263"/>
      <c r="K728" s="263"/>
      <c r="L728" s="263"/>
      <c r="M728" s="263"/>
      <c r="N728" s="263"/>
      <c r="O728" s="263"/>
      <c r="P728" s="263"/>
      <c r="Q728" s="263"/>
      <c r="R728" s="263"/>
      <c r="S728" s="263"/>
      <c r="T728" s="263"/>
      <c r="U728" s="263"/>
      <c r="V728" s="263"/>
      <c r="W728" s="263"/>
      <c r="X728" s="263"/>
      <c r="Y728" s="263"/>
      <c r="Z728" s="263"/>
    </row>
    <row r="729">
      <c r="A729" s="263"/>
      <c r="B729" s="263"/>
      <c r="C729" s="263"/>
      <c r="D729" s="263"/>
      <c r="E729" s="263"/>
      <c r="F729" s="263"/>
      <c r="G729" s="263"/>
      <c r="H729" s="263"/>
      <c r="I729" s="263"/>
      <c r="J729" s="263"/>
      <c r="K729" s="263"/>
      <c r="L729" s="263"/>
      <c r="M729" s="263"/>
      <c r="N729" s="263"/>
      <c r="O729" s="263"/>
      <c r="P729" s="263"/>
      <c r="Q729" s="263"/>
      <c r="R729" s="263"/>
      <c r="S729" s="263"/>
      <c r="T729" s="263"/>
      <c r="U729" s="263"/>
      <c r="V729" s="263"/>
      <c r="W729" s="263"/>
      <c r="X729" s="263"/>
      <c r="Y729" s="263"/>
      <c r="Z729" s="263"/>
    </row>
    <row r="730">
      <c r="A730" s="263"/>
      <c r="B730" s="263"/>
      <c r="C730" s="263"/>
      <c r="D730" s="263"/>
      <c r="E730" s="263"/>
      <c r="F730" s="263"/>
      <c r="G730" s="263"/>
      <c r="H730" s="263"/>
      <c r="I730" s="263"/>
      <c r="J730" s="263"/>
      <c r="K730" s="263"/>
      <c r="L730" s="263"/>
      <c r="M730" s="263"/>
      <c r="N730" s="263"/>
      <c r="O730" s="263"/>
      <c r="P730" s="263"/>
      <c r="Q730" s="263"/>
      <c r="R730" s="263"/>
      <c r="S730" s="263"/>
      <c r="T730" s="263"/>
      <c r="U730" s="263"/>
      <c r="V730" s="263"/>
      <c r="W730" s="263"/>
      <c r="X730" s="263"/>
      <c r="Y730" s="263"/>
      <c r="Z730" s="263"/>
    </row>
    <row r="731">
      <c r="A731" s="263"/>
      <c r="B731" s="263"/>
      <c r="C731" s="263"/>
      <c r="D731" s="263"/>
      <c r="E731" s="263"/>
      <c r="F731" s="263"/>
      <c r="G731" s="263"/>
      <c r="H731" s="263"/>
      <c r="I731" s="263"/>
      <c r="J731" s="263"/>
      <c r="K731" s="263"/>
      <c r="L731" s="263"/>
      <c r="M731" s="263"/>
      <c r="N731" s="263"/>
      <c r="O731" s="263"/>
      <c r="P731" s="263"/>
      <c r="Q731" s="263"/>
      <c r="R731" s="263"/>
      <c r="S731" s="263"/>
      <c r="T731" s="263"/>
      <c r="U731" s="263"/>
      <c r="V731" s="263"/>
      <c r="W731" s="263"/>
      <c r="X731" s="263"/>
      <c r="Y731" s="263"/>
      <c r="Z731" s="263"/>
    </row>
    <row r="732">
      <c r="A732" s="263"/>
      <c r="B732" s="263"/>
      <c r="C732" s="263"/>
      <c r="D732" s="263"/>
      <c r="E732" s="263"/>
      <c r="F732" s="263"/>
      <c r="G732" s="263"/>
      <c r="H732" s="263"/>
      <c r="I732" s="263"/>
      <c r="J732" s="263"/>
      <c r="K732" s="263"/>
      <c r="L732" s="263"/>
      <c r="M732" s="263"/>
      <c r="N732" s="263"/>
      <c r="O732" s="263"/>
      <c r="P732" s="263"/>
      <c r="Q732" s="263"/>
      <c r="R732" s="263"/>
      <c r="S732" s="263"/>
      <c r="T732" s="263"/>
      <c r="U732" s="263"/>
      <c r="V732" s="263"/>
      <c r="W732" s="263"/>
      <c r="X732" s="263"/>
      <c r="Y732" s="263"/>
      <c r="Z732" s="263"/>
    </row>
    <row r="733">
      <c r="A733" s="263"/>
      <c r="B733" s="263"/>
      <c r="C733" s="263"/>
      <c r="D733" s="263"/>
      <c r="E733" s="263"/>
      <c r="F733" s="263"/>
      <c r="G733" s="263"/>
      <c r="H733" s="263"/>
      <c r="I733" s="263"/>
      <c r="J733" s="263"/>
      <c r="K733" s="263"/>
      <c r="L733" s="263"/>
      <c r="M733" s="263"/>
      <c r="N733" s="263"/>
      <c r="O733" s="263"/>
      <c r="P733" s="263"/>
      <c r="Q733" s="263"/>
      <c r="R733" s="263"/>
      <c r="S733" s="263"/>
      <c r="T733" s="263"/>
      <c r="U733" s="263"/>
      <c r="V733" s="263"/>
      <c r="W733" s="263"/>
      <c r="X733" s="263"/>
      <c r="Y733" s="263"/>
      <c r="Z733" s="263"/>
    </row>
    <row r="734">
      <c r="A734" s="263"/>
      <c r="B734" s="263"/>
      <c r="C734" s="263"/>
      <c r="D734" s="263"/>
      <c r="E734" s="263"/>
      <c r="F734" s="263"/>
      <c r="G734" s="263"/>
      <c r="H734" s="263"/>
      <c r="I734" s="263"/>
      <c r="J734" s="263"/>
      <c r="K734" s="263"/>
      <c r="L734" s="263"/>
      <c r="M734" s="263"/>
      <c r="N734" s="263"/>
      <c r="O734" s="263"/>
      <c r="P734" s="263"/>
      <c r="Q734" s="263"/>
      <c r="R734" s="263"/>
      <c r="S734" s="263"/>
      <c r="T734" s="263"/>
      <c r="U734" s="263"/>
      <c r="V734" s="263"/>
      <c r="W734" s="263"/>
      <c r="X734" s="263"/>
      <c r="Y734" s="263"/>
      <c r="Z734" s="263"/>
    </row>
    <row r="735">
      <c r="A735" s="263"/>
      <c r="B735" s="263"/>
      <c r="C735" s="263"/>
      <c r="D735" s="263"/>
      <c r="E735" s="263"/>
      <c r="F735" s="263"/>
      <c r="G735" s="263"/>
      <c r="H735" s="263"/>
      <c r="I735" s="263"/>
      <c r="J735" s="263"/>
      <c r="K735" s="263"/>
      <c r="L735" s="263"/>
      <c r="M735" s="263"/>
      <c r="N735" s="263"/>
      <c r="O735" s="263"/>
      <c r="P735" s="263"/>
      <c r="Q735" s="263"/>
      <c r="R735" s="263"/>
      <c r="S735" s="263"/>
      <c r="T735" s="263"/>
      <c r="U735" s="263"/>
      <c r="V735" s="263"/>
      <c r="W735" s="263"/>
      <c r="X735" s="263"/>
      <c r="Y735" s="263"/>
      <c r="Z735" s="263"/>
    </row>
    <row r="736">
      <c r="A736" s="263"/>
      <c r="B736" s="263"/>
      <c r="C736" s="263"/>
      <c r="D736" s="263"/>
      <c r="E736" s="263"/>
      <c r="F736" s="263"/>
      <c r="G736" s="263"/>
      <c r="H736" s="263"/>
      <c r="I736" s="263"/>
      <c r="J736" s="263"/>
      <c r="K736" s="263"/>
      <c r="L736" s="263"/>
      <c r="M736" s="263"/>
      <c r="N736" s="263"/>
      <c r="O736" s="263"/>
      <c r="P736" s="263"/>
      <c r="Q736" s="263"/>
      <c r="R736" s="263"/>
      <c r="S736" s="263"/>
      <c r="T736" s="263"/>
      <c r="U736" s="263"/>
      <c r="V736" s="263"/>
      <c r="W736" s="263"/>
      <c r="X736" s="263"/>
      <c r="Y736" s="263"/>
      <c r="Z736" s="263"/>
    </row>
    <row r="737">
      <c r="A737" s="263"/>
      <c r="B737" s="263"/>
      <c r="C737" s="263"/>
      <c r="D737" s="263"/>
      <c r="E737" s="263"/>
      <c r="F737" s="263"/>
      <c r="G737" s="263"/>
      <c r="H737" s="263"/>
      <c r="I737" s="263"/>
      <c r="J737" s="263"/>
      <c r="K737" s="263"/>
      <c r="L737" s="263"/>
      <c r="M737" s="263"/>
      <c r="N737" s="263"/>
      <c r="O737" s="263"/>
      <c r="P737" s="263"/>
      <c r="Q737" s="263"/>
      <c r="R737" s="263"/>
      <c r="S737" s="263"/>
      <c r="T737" s="263"/>
      <c r="U737" s="263"/>
      <c r="V737" s="263"/>
      <c r="W737" s="263"/>
      <c r="X737" s="263"/>
      <c r="Y737" s="263"/>
      <c r="Z737" s="263"/>
    </row>
    <row r="738">
      <c r="A738" s="263"/>
      <c r="B738" s="263"/>
      <c r="C738" s="263"/>
      <c r="D738" s="263"/>
      <c r="E738" s="263"/>
      <c r="F738" s="263"/>
      <c r="G738" s="263"/>
      <c r="H738" s="263"/>
      <c r="I738" s="263"/>
      <c r="J738" s="263"/>
      <c r="K738" s="263"/>
      <c r="L738" s="263"/>
      <c r="M738" s="263"/>
      <c r="N738" s="263"/>
      <c r="O738" s="263"/>
      <c r="P738" s="263"/>
      <c r="Q738" s="263"/>
      <c r="R738" s="263"/>
      <c r="S738" s="263"/>
      <c r="T738" s="263"/>
      <c r="U738" s="263"/>
      <c r="V738" s="263"/>
      <c r="W738" s="263"/>
      <c r="X738" s="263"/>
      <c r="Y738" s="263"/>
      <c r="Z738" s="263"/>
    </row>
    <row r="739">
      <c r="A739" s="263"/>
      <c r="B739" s="263"/>
      <c r="C739" s="263"/>
      <c r="D739" s="263"/>
      <c r="E739" s="263"/>
      <c r="F739" s="263"/>
      <c r="G739" s="263"/>
      <c r="H739" s="263"/>
      <c r="I739" s="263"/>
      <c r="J739" s="263"/>
      <c r="K739" s="263"/>
      <c r="L739" s="263"/>
      <c r="M739" s="263"/>
      <c r="N739" s="263"/>
      <c r="O739" s="263"/>
      <c r="P739" s="263"/>
      <c r="Q739" s="263"/>
      <c r="R739" s="263"/>
      <c r="S739" s="263"/>
      <c r="T739" s="263"/>
      <c r="U739" s="263"/>
      <c r="V739" s="263"/>
      <c r="W739" s="263"/>
      <c r="X739" s="263"/>
      <c r="Y739" s="263"/>
      <c r="Z739" s="263"/>
    </row>
    <row r="740">
      <c r="A740" s="263"/>
      <c r="B740" s="263"/>
      <c r="C740" s="263"/>
      <c r="D740" s="263"/>
      <c r="E740" s="263"/>
      <c r="F740" s="263"/>
      <c r="G740" s="263"/>
      <c r="H740" s="263"/>
      <c r="I740" s="263"/>
      <c r="J740" s="263"/>
      <c r="K740" s="263"/>
      <c r="L740" s="263"/>
      <c r="M740" s="263"/>
      <c r="N740" s="263"/>
      <c r="O740" s="263"/>
      <c r="P740" s="263"/>
      <c r="Q740" s="263"/>
      <c r="R740" s="263"/>
      <c r="S740" s="263"/>
      <c r="T740" s="263"/>
      <c r="U740" s="263"/>
      <c r="V740" s="263"/>
      <c r="W740" s="263"/>
      <c r="X740" s="263"/>
      <c r="Y740" s="263"/>
      <c r="Z740" s="263"/>
    </row>
    <row r="741">
      <c r="A741" s="263"/>
      <c r="B741" s="263"/>
      <c r="C741" s="263"/>
      <c r="D741" s="263"/>
      <c r="E741" s="263"/>
      <c r="F741" s="263"/>
      <c r="G741" s="263"/>
      <c r="H741" s="263"/>
      <c r="I741" s="263"/>
      <c r="J741" s="263"/>
      <c r="K741" s="263"/>
      <c r="L741" s="263"/>
      <c r="M741" s="263"/>
      <c r="N741" s="263"/>
      <c r="O741" s="263"/>
      <c r="P741" s="263"/>
      <c r="Q741" s="263"/>
      <c r="R741" s="263"/>
      <c r="S741" s="263"/>
      <c r="T741" s="263"/>
      <c r="U741" s="263"/>
      <c r="V741" s="263"/>
      <c r="W741" s="263"/>
      <c r="X741" s="263"/>
      <c r="Y741" s="263"/>
      <c r="Z741" s="263"/>
    </row>
    <row r="742">
      <c r="A742" s="263"/>
      <c r="B742" s="263"/>
      <c r="C742" s="263"/>
      <c r="D742" s="263"/>
      <c r="E742" s="263"/>
      <c r="F742" s="263"/>
      <c r="G742" s="263"/>
      <c r="H742" s="263"/>
      <c r="I742" s="263"/>
      <c r="J742" s="263"/>
      <c r="K742" s="263"/>
      <c r="L742" s="263"/>
      <c r="M742" s="263"/>
      <c r="N742" s="263"/>
      <c r="O742" s="263"/>
      <c r="P742" s="263"/>
      <c r="Q742" s="263"/>
      <c r="R742" s="263"/>
      <c r="S742" s="263"/>
      <c r="T742" s="263"/>
      <c r="U742" s="263"/>
      <c r="V742" s="263"/>
      <c r="W742" s="263"/>
      <c r="X742" s="263"/>
      <c r="Y742" s="263"/>
      <c r="Z742" s="263"/>
    </row>
    <row r="743">
      <c r="A743" s="263"/>
      <c r="B743" s="263"/>
      <c r="C743" s="263"/>
      <c r="D743" s="263"/>
      <c r="E743" s="263"/>
      <c r="F743" s="263"/>
      <c r="G743" s="263"/>
      <c r="H743" s="263"/>
      <c r="I743" s="263"/>
      <c r="J743" s="263"/>
      <c r="K743" s="263"/>
      <c r="L743" s="263"/>
      <c r="M743" s="263"/>
      <c r="N743" s="263"/>
      <c r="O743" s="263"/>
      <c r="P743" s="263"/>
      <c r="Q743" s="263"/>
      <c r="R743" s="263"/>
      <c r="S743" s="263"/>
      <c r="T743" s="263"/>
      <c r="U743" s="263"/>
      <c r="V743" s="263"/>
      <c r="W743" s="263"/>
      <c r="X743" s="263"/>
      <c r="Y743" s="263"/>
      <c r="Z743" s="263"/>
    </row>
    <row r="744">
      <c r="A744" s="263"/>
      <c r="B744" s="263"/>
      <c r="C744" s="263"/>
      <c r="D744" s="263"/>
      <c r="E744" s="263"/>
      <c r="F744" s="263"/>
      <c r="G744" s="263"/>
      <c r="H744" s="263"/>
      <c r="I744" s="263"/>
      <c r="J744" s="263"/>
      <c r="K744" s="263"/>
      <c r="L744" s="263"/>
      <c r="M744" s="263"/>
      <c r="N744" s="263"/>
      <c r="O744" s="263"/>
      <c r="P744" s="263"/>
      <c r="Q744" s="263"/>
      <c r="R744" s="263"/>
      <c r="S744" s="263"/>
      <c r="T744" s="263"/>
      <c r="U744" s="263"/>
      <c r="V744" s="263"/>
      <c r="W744" s="263"/>
      <c r="X744" s="263"/>
      <c r="Y744" s="263"/>
      <c r="Z744" s="263"/>
    </row>
    <row r="745">
      <c r="A745" s="263"/>
      <c r="B745" s="263"/>
      <c r="C745" s="263"/>
      <c r="D745" s="263"/>
      <c r="E745" s="263"/>
      <c r="F745" s="263"/>
      <c r="G745" s="263"/>
      <c r="H745" s="263"/>
      <c r="I745" s="263"/>
      <c r="J745" s="263"/>
      <c r="K745" s="263"/>
      <c r="L745" s="263"/>
      <c r="M745" s="263"/>
      <c r="N745" s="263"/>
      <c r="O745" s="263"/>
      <c r="P745" s="263"/>
      <c r="Q745" s="263"/>
      <c r="R745" s="263"/>
      <c r="S745" s="263"/>
      <c r="T745" s="263"/>
      <c r="U745" s="263"/>
      <c r="V745" s="263"/>
      <c r="W745" s="263"/>
      <c r="X745" s="263"/>
      <c r="Y745" s="263"/>
      <c r="Z745" s="263"/>
    </row>
    <row r="746">
      <c r="A746" s="263"/>
      <c r="B746" s="263"/>
      <c r="C746" s="263"/>
      <c r="D746" s="263"/>
      <c r="E746" s="263"/>
      <c r="F746" s="263"/>
      <c r="G746" s="263"/>
      <c r="H746" s="263"/>
      <c r="I746" s="263"/>
      <c r="J746" s="263"/>
      <c r="K746" s="263"/>
      <c r="L746" s="263"/>
      <c r="M746" s="263"/>
      <c r="N746" s="263"/>
      <c r="O746" s="263"/>
      <c r="P746" s="263"/>
      <c r="Q746" s="263"/>
      <c r="R746" s="263"/>
      <c r="S746" s="263"/>
      <c r="T746" s="263"/>
      <c r="U746" s="263"/>
      <c r="V746" s="263"/>
      <c r="W746" s="263"/>
      <c r="X746" s="263"/>
      <c r="Y746" s="263"/>
      <c r="Z746" s="263"/>
    </row>
    <row r="747">
      <c r="A747" s="263"/>
      <c r="B747" s="263"/>
      <c r="C747" s="263"/>
      <c r="D747" s="263"/>
      <c r="E747" s="263"/>
      <c r="F747" s="263"/>
      <c r="G747" s="263"/>
      <c r="H747" s="263"/>
      <c r="I747" s="263"/>
      <c r="J747" s="263"/>
      <c r="K747" s="263"/>
      <c r="L747" s="263"/>
      <c r="M747" s="263"/>
      <c r="N747" s="263"/>
      <c r="O747" s="263"/>
      <c r="P747" s="263"/>
      <c r="Q747" s="263"/>
      <c r="R747" s="263"/>
      <c r="S747" s="263"/>
      <c r="T747" s="263"/>
      <c r="U747" s="263"/>
      <c r="V747" s="263"/>
      <c r="W747" s="263"/>
      <c r="X747" s="263"/>
      <c r="Y747" s="263"/>
      <c r="Z747" s="263"/>
    </row>
    <row r="748">
      <c r="A748" s="263"/>
      <c r="B748" s="263"/>
      <c r="C748" s="263"/>
      <c r="D748" s="263"/>
      <c r="E748" s="263"/>
      <c r="F748" s="263"/>
      <c r="G748" s="263"/>
      <c r="H748" s="263"/>
      <c r="I748" s="263"/>
      <c r="J748" s="263"/>
      <c r="K748" s="263"/>
      <c r="L748" s="263"/>
      <c r="M748" s="263"/>
      <c r="N748" s="263"/>
      <c r="O748" s="263"/>
      <c r="P748" s="263"/>
      <c r="Q748" s="263"/>
      <c r="R748" s="263"/>
      <c r="S748" s="263"/>
      <c r="T748" s="263"/>
      <c r="U748" s="263"/>
      <c r="V748" s="263"/>
      <c r="W748" s="263"/>
      <c r="X748" s="263"/>
      <c r="Y748" s="263"/>
      <c r="Z748" s="263"/>
    </row>
    <row r="749">
      <c r="A749" s="263"/>
      <c r="B749" s="263"/>
      <c r="C749" s="263"/>
      <c r="D749" s="263"/>
      <c r="E749" s="263"/>
      <c r="F749" s="263"/>
      <c r="G749" s="263"/>
      <c r="H749" s="263"/>
      <c r="I749" s="263"/>
      <c r="J749" s="263"/>
      <c r="K749" s="263"/>
      <c r="L749" s="263"/>
      <c r="M749" s="263"/>
      <c r="N749" s="263"/>
      <c r="O749" s="263"/>
      <c r="P749" s="263"/>
      <c r="Q749" s="263"/>
      <c r="R749" s="263"/>
      <c r="S749" s="263"/>
      <c r="T749" s="263"/>
      <c r="U749" s="263"/>
      <c r="V749" s="263"/>
      <c r="W749" s="263"/>
      <c r="X749" s="263"/>
      <c r="Y749" s="263"/>
      <c r="Z749" s="263"/>
    </row>
    <row r="750">
      <c r="A750" s="263"/>
      <c r="B750" s="263"/>
      <c r="C750" s="263"/>
      <c r="D750" s="263"/>
      <c r="E750" s="263"/>
      <c r="F750" s="263"/>
      <c r="G750" s="263"/>
      <c r="H750" s="263"/>
      <c r="I750" s="263"/>
      <c r="J750" s="263"/>
      <c r="K750" s="263"/>
      <c r="L750" s="263"/>
      <c r="M750" s="263"/>
      <c r="N750" s="263"/>
      <c r="O750" s="263"/>
      <c r="P750" s="263"/>
      <c r="Q750" s="263"/>
      <c r="R750" s="263"/>
      <c r="S750" s="263"/>
      <c r="T750" s="263"/>
      <c r="U750" s="263"/>
      <c r="V750" s="263"/>
      <c r="W750" s="263"/>
      <c r="X750" s="263"/>
      <c r="Y750" s="263"/>
      <c r="Z750" s="263"/>
    </row>
    <row r="751">
      <c r="A751" s="263"/>
      <c r="B751" s="263"/>
      <c r="C751" s="263"/>
      <c r="D751" s="263"/>
      <c r="E751" s="263"/>
      <c r="F751" s="263"/>
      <c r="G751" s="263"/>
      <c r="H751" s="263"/>
      <c r="I751" s="263"/>
      <c r="J751" s="263"/>
      <c r="K751" s="263"/>
      <c r="L751" s="263"/>
      <c r="M751" s="263"/>
      <c r="N751" s="263"/>
      <c r="O751" s="263"/>
      <c r="P751" s="263"/>
      <c r="Q751" s="263"/>
      <c r="R751" s="263"/>
      <c r="S751" s="263"/>
      <c r="T751" s="263"/>
      <c r="U751" s="263"/>
      <c r="V751" s="263"/>
      <c r="W751" s="263"/>
      <c r="X751" s="263"/>
      <c r="Y751" s="263"/>
      <c r="Z751" s="263"/>
    </row>
    <row r="752">
      <c r="A752" s="263"/>
      <c r="B752" s="263"/>
      <c r="C752" s="263"/>
      <c r="D752" s="263"/>
      <c r="E752" s="263"/>
      <c r="F752" s="263"/>
      <c r="G752" s="263"/>
      <c r="H752" s="263"/>
      <c r="I752" s="263"/>
      <c r="J752" s="263"/>
      <c r="K752" s="263"/>
      <c r="L752" s="263"/>
      <c r="M752" s="263"/>
      <c r="N752" s="263"/>
      <c r="O752" s="263"/>
      <c r="P752" s="263"/>
      <c r="Q752" s="263"/>
      <c r="R752" s="263"/>
      <c r="S752" s="263"/>
      <c r="T752" s="263"/>
      <c r="U752" s="263"/>
      <c r="V752" s="263"/>
      <c r="W752" s="263"/>
      <c r="X752" s="263"/>
      <c r="Y752" s="263"/>
      <c r="Z752" s="263"/>
    </row>
    <row r="753">
      <c r="A753" s="263"/>
      <c r="B753" s="263"/>
      <c r="C753" s="263"/>
      <c r="D753" s="263"/>
      <c r="E753" s="263"/>
      <c r="F753" s="263"/>
      <c r="G753" s="263"/>
      <c r="H753" s="263"/>
      <c r="I753" s="263"/>
      <c r="J753" s="263"/>
      <c r="K753" s="263"/>
      <c r="L753" s="263"/>
      <c r="M753" s="263"/>
      <c r="N753" s="263"/>
      <c r="O753" s="263"/>
      <c r="P753" s="263"/>
      <c r="Q753" s="263"/>
      <c r="R753" s="263"/>
      <c r="S753" s="263"/>
      <c r="T753" s="263"/>
      <c r="U753" s="263"/>
      <c r="V753" s="263"/>
      <c r="W753" s="263"/>
      <c r="X753" s="263"/>
      <c r="Y753" s="263"/>
      <c r="Z753" s="263"/>
    </row>
    <row r="754">
      <c r="A754" s="263"/>
      <c r="B754" s="263"/>
      <c r="C754" s="263"/>
      <c r="D754" s="263"/>
      <c r="E754" s="263"/>
      <c r="F754" s="263"/>
      <c r="G754" s="263"/>
      <c r="H754" s="263"/>
      <c r="I754" s="263"/>
      <c r="J754" s="263"/>
      <c r="K754" s="263"/>
      <c r="L754" s="263"/>
      <c r="M754" s="263"/>
      <c r="N754" s="263"/>
      <c r="O754" s="263"/>
      <c r="P754" s="263"/>
      <c r="Q754" s="263"/>
      <c r="R754" s="263"/>
      <c r="S754" s="263"/>
      <c r="T754" s="263"/>
      <c r="U754" s="263"/>
      <c r="V754" s="263"/>
      <c r="W754" s="263"/>
      <c r="X754" s="263"/>
      <c r="Y754" s="263"/>
      <c r="Z754" s="263"/>
    </row>
    <row r="755">
      <c r="A755" s="263"/>
      <c r="B755" s="263"/>
      <c r="C755" s="263"/>
      <c r="D755" s="263"/>
      <c r="E755" s="263"/>
      <c r="F755" s="263"/>
      <c r="G755" s="263"/>
      <c r="H755" s="263"/>
      <c r="I755" s="263"/>
      <c r="J755" s="263"/>
      <c r="K755" s="263"/>
      <c r="L755" s="263"/>
      <c r="M755" s="263"/>
      <c r="N755" s="263"/>
      <c r="O755" s="263"/>
      <c r="P755" s="263"/>
      <c r="Q755" s="263"/>
      <c r="R755" s="263"/>
      <c r="S755" s="263"/>
      <c r="T755" s="263"/>
      <c r="U755" s="263"/>
      <c r="V755" s="263"/>
      <c r="W755" s="263"/>
      <c r="X755" s="263"/>
      <c r="Y755" s="263"/>
      <c r="Z755" s="263"/>
    </row>
    <row r="756">
      <c r="A756" s="263"/>
      <c r="B756" s="263"/>
      <c r="C756" s="263"/>
      <c r="D756" s="263"/>
      <c r="E756" s="263"/>
      <c r="F756" s="263"/>
      <c r="G756" s="263"/>
      <c r="H756" s="263"/>
      <c r="I756" s="263"/>
      <c r="J756" s="263"/>
      <c r="K756" s="263"/>
      <c r="L756" s="263"/>
      <c r="M756" s="263"/>
      <c r="N756" s="263"/>
      <c r="O756" s="263"/>
      <c r="P756" s="263"/>
      <c r="Q756" s="263"/>
      <c r="R756" s="263"/>
      <c r="S756" s="263"/>
      <c r="T756" s="263"/>
      <c r="U756" s="263"/>
      <c r="V756" s="263"/>
      <c r="W756" s="263"/>
      <c r="X756" s="263"/>
      <c r="Y756" s="263"/>
      <c r="Z756" s="263"/>
    </row>
    <row r="757">
      <c r="A757" s="263"/>
      <c r="B757" s="263"/>
      <c r="C757" s="263"/>
      <c r="D757" s="263"/>
      <c r="E757" s="263"/>
      <c r="F757" s="263"/>
      <c r="G757" s="263"/>
      <c r="H757" s="263"/>
      <c r="I757" s="263"/>
      <c r="J757" s="263"/>
      <c r="K757" s="263"/>
      <c r="L757" s="263"/>
      <c r="M757" s="263"/>
      <c r="N757" s="263"/>
      <c r="O757" s="263"/>
      <c r="P757" s="263"/>
      <c r="Q757" s="263"/>
      <c r="R757" s="263"/>
      <c r="S757" s="263"/>
      <c r="T757" s="263"/>
      <c r="U757" s="263"/>
      <c r="V757" s="263"/>
      <c r="W757" s="263"/>
      <c r="X757" s="263"/>
      <c r="Y757" s="263"/>
      <c r="Z757" s="263"/>
    </row>
    <row r="758">
      <c r="A758" s="263"/>
      <c r="B758" s="263"/>
      <c r="C758" s="263"/>
      <c r="D758" s="263"/>
      <c r="E758" s="263"/>
      <c r="F758" s="263"/>
      <c r="G758" s="263"/>
      <c r="H758" s="263"/>
      <c r="I758" s="263"/>
      <c r="J758" s="263"/>
      <c r="K758" s="263"/>
      <c r="L758" s="263"/>
      <c r="M758" s="263"/>
      <c r="N758" s="263"/>
      <c r="O758" s="263"/>
      <c r="P758" s="263"/>
      <c r="Q758" s="263"/>
      <c r="R758" s="263"/>
      <c r="S758" s="263"/>
      <c r="T758" s="263"/>
      <c r="U758" s="263"/>
      <c r="V758" s="263"/>
      <c r="W758" s="263"/>
      <c r="X758" s="263"/>
      <c r="Y758" s="263"/>
      <c r="Z758" s="263"/>
    </row>
    <row r="759">
      <c r="A759" s="263"/>
      <c r="B759" s="263"/>
      <c r="C759" s="263"/>
      <c r="D759" s="263"/>
      <c r="E759" s="263"/>
      <c r="F759" s="263"/>
      <c r="G759" s="263"/>
      <c r="H759" s="263"/>
      <c r="I759" s="263"/>
      <c r="J759" s="263"/>
      <c r="K759" s="263"/>
      <c r="L759" s="263"/>
      <c r="M759" s="263"/>
      <c r="N759" s="263"/>
      <c r="O759" s="263"/>
      <c r="P759" s="263"/>
      <c r="Q759" s="263"/>
      <c r="R759" s="263"/>
      <c r="S759" s="263"/>
      <c r="T759" s="263"/>
      <c r="U759" s="263"/>
      <c r="V759" s="263"/>
      <c r="W759" s="263"/>
      <c r="X759" s="263"/>
      <c r="Y759" s="263"/>
      <c r="Z759" s="263"/>
    </row>
    <row r="760">
      <c r="A760" s="263"/>
      <c r="B760" s="263"/>
      <c r="C760" s="263"/>
      <c r="D760" s="263"/>
      <c r="E760" s="263"/>
      <c r="F760" s="263"/>
      <c r="G760" s="263"/>
      <c r="H760" s="263"/>
      <c r="I760" s="263"/>
      <c r="J760" s="263"/>
      <c r="K760" s="263"/>
      <c r="L760" s="263"/>
      <c r="M760" s="263"/>
      <c r="N760" s="263"/>
      <c r="O760" s="263"/>
      <c r="P760" s="263"/>
      <c r="Q760" s="263"/>
      <c r="R760" s="263"/>
      <c r="S760" s="263"/>
      <c r="T760" s="263"/>
      <c r="U760" s="263"/>
      <c r="V760" s="263"/>
      <c r="W760" s="263"/>
      <c r="X760" s="263"/>
      <c r="Y760" s="263"/>
      <c r="Z760" s="263"/>
    </row>
    <row r="761">
      <c r="A761" s="263"/>
      <c r="B761" s="263"/>
      <c r="C761" s="263"/>
      <c r="D761" s="263"/>
      <c r="E761" s="263"/>
      <c r="F761" s="263"/>
      <c r="G761" s="263"/>
      <c r="H761" s="263"/>
      <c r="I761" s="263"/>
      <c r="J761" s="263"/>
      <c r="K761" s="263"/>
      <c r="L761" s="263"/>
      <c r="M761" s="263"/>
      <c r="N761" s="263"/>
      <c r="O761" s="263"/>
      <c r="P761" s="263"/>
      <c r="Q761" s="263"/>
      <c r="R761" s="263"/>
      <c r="S761" s="263"/>
      <c r="T761" s="263"/>
      <c r="U761" s="263"/>
      <c r="V761" s="263"/>
      <c r="W761" s="263"/>
      <c r="X761" s="263"/>
      <c r="Y761" s="263"/>
      <c r="Z761" s="263"/>
    </row>
    <row r="762">
      <c r="A762" s="263"/>
      <c r="B762" s="263"/>
      <c r="C762" s="263"/>
      <c r="D762" s="263"/>
      <c r="E762" s="263"/>
      <c r="F762" s="263"/>
      <c r="G762" s="263"/>
      <c r="H762" s="263"/>
      <c r="I762" s="263"/>
      <c r="J762" s="263"/>
      <c r="K762" s="263"/>
      <c r="L762" s="263"/>
      <c r="M762" s="263"/>
      <c r="N762" s="263"/>
      <c r="O762" s="263"/>
      <c r="P762" s="263"/>
      <c r="Q762" s="263"/>
      <c r="R762" s="263"/>
      <c r="S762" s="263"/>
      <c r="T762" s="263"/>
      <c r="U762" s="263"/>
      <c r="V762" s="263"/>
      <c r="W762" s="263"/>
      <c r="X762" s="263"/>
      <c r="Y762" s="263"/>
      <c r="Z762" s="263"/>
    </row>
    <row r="763">
      <c r="A763" s="263"/>
      <c r="B763" s="263"/>
      <c r="C763" s="263"/>
      <c r="D763" s="263"/>
      <c r="E763" s="263"/>
      <c r="F763" s="263"/>
      <c r="G763" s="263"/>
      <c r="H763" s="263"/>
      <c r="I763" s="263"/>
      <c r="J763" s="263"/>
      <c r="K763" s="263"/>
      <c r="L763" s="263"/>
      <c r="M763" s="263"/>
      <c r="N763" s="263"/>
      <c r="O763" s="263"/>
      <c r="P763" s="263"/>
      <c r="Q763" s="263"/>
      <c r="R763" s="263"/>
      <c r="S763" s="263"/>
      <c r="T763" s="263"/>
      <c r="U763" s="263"/>
      <c r="V763" s="263"/>
      <c r="W763" s="263"/>
      <c r="X763" s="263"/>
      <c r="Y763" s="263"/>
      <c r="Z763" s="263"/>
    </row>
    <row r="764">
      <c r="A764" s="263"/>
      <c r="B764" s="263"/>
      <c r="C764" s="263"/>
      <c r="D764" s="263"/>
      <c r="E764" s="263"/>
      <c r="F764" s="263"/>
      <c r="G764" s="263"/>
      <c r="H764" s="263"/>
      <c r="I764" s="263"/>
      <c r="J764" s="263"/>
      <c r="K764" s="263"/>
      <c r="L764" s="263"/>
      <c r="M764" s="263"/>
      <c r="N764" s="263"/>
      <c r="O764" s="263"/>
      <c r="P764" s="263"/>
      <c r="Q764" s="263"/>
      <c r="R764" s="263"/>
      <c r="S764" s="263"/>
      <c r="T764" s="263"/>
      <c r="U764" s="263"/>
      <c r="V764" s="263"/>
      <c r="W764" s="263"/>
      <c r="X764" s="263"/>
      <c r="Y764" s="263"/>
      <c r="Z764" s="263"/>
    </row>
    <row r="765">
      <c r="A765" s="263"/>
      <c r="B765" s="263"/>
      <c r="C765" s="263"/>
      <c r="D765" s="263"/>
      <c r="E765" s="263"/>
      <c r="F765" s="263"/>
      <c r="G765" s="263"/>
      <c r="H765" s="263"/>
      <c r="I765" s="263"/>
      <c r="J765" s="263"/>
      <c r="K765" s="263"/>
      <c r="L765" s="263"/>
      <c r="M765" s="263"/>
      <c r="N765" s="263"/>
      <c r="O765" s="263"/>
      <c r="P765" s="263"/>
      <c r="Q765" s="263"/>
      <c r="R765" s="263"/>
      <c r="S765" s="263"/>
      <c r="T765" s="263"/>
      <c r="U765" s="263"/>
      <c r="V765" s="263"/>
      <c r="W765" s="263"/>
      <c r="X765" s="263"/>
      <c r="Y765" s="263"/>
      <c r="Z765" s="263"/>
    </row>
    <row r="766">
      <c r="A766" s="263"/>
      <c r="B766" s="263"/>
      <c r="C766" s="263"/>
      <c r="D766" s="263"/>
      <c r="E766" s="263"/>
      <c r="F766" s="263"/>
      <c r="G766" s="263"/>
      <c r="H766" s="263"/>
      <c r="I766" s="263"/>
      <c r="J766" s="263"/>
      <c r="K766" s="263"/>
      <c r="L766" s="263"/>
      <c r="M766" s="263"/>
      <c r="N766" s="263"/>
      <c r="O766" s="263"/>
      <c r="P766" s="263"/>
      <c r="Q766" s="263"/>
      <c r="R766" s="263"/>
      <c r="S766" s="263"/>
      <c r="T766" s="263"/>
      <c r="U766" s="263"/>
      <c r="V766" s="263"/>
      <c r="W766" s="263"/>
      <c r="X766" s="263"/>
      <c r="Y766" s="263"/>
      <c r="Z766" s="263"/>
    </row>
    <row r="767">
      <c r="A767" s="263"/>
      <c r="B767" s="263"/>
      <c r="C767" s="263"/>
      <c r="D767" s="263"/>
      <c r="E767" s="263"/>
      <c r="F767" s="263"/>
      <c r="G767" s="263"/>
      <c r="H767" s="263"/>
      <c r="I767" s="263"/>
      <c r="J767" s="263"/>
      <c r="K767" s="263"/>
      <c r="L767" s="263"/>
      <c r="M767" s="263"/>
      <c r="N767" s="263"/>
      <c r="O767" s="263"/>
      <c r="P767" s="263"/>
      <c r="Q767" s="263"/>
      <c r="R767" s="263"/>
      <c r="S767" s="263"/>
      <c r="T767" s="263"/>
      <c r="U767" s="263"/>
      <c r="V767" s="263"/>
      <c r="W767" s="263"/>
      <c r="X767" s="263"/>
      <c r="Y767" s="263"/>
      <c r="Z767" s="263"/>
    </row>
    <row r="768">
      <c r="A768" s="263"/>
      <c r="B768" s="263"/>
      <c r="C768" s="263"/>
      <c r="D768" s="263"/>
      <c r="E768" s="263"/>
      <c r="F768" s="263"/>
      <c r="G768" s="263"/>
      <c r="H768" s="263"/>
      <c r="I768" s="263"/>
      <c r="J768" s="263"/>
      <c r="K768" s="263"/>
      <c r="L768" s="263"/>
      <c r="M768" s="263"/>
      <c r="N768" s="263"/>
      <c r="O768" s="263"/>
      <c r="P768" s="263"/>
      <c r="Q768" s="263"/>
      <c r="R768" s="263"/>
      <c r="S768" s="263"/>
      <c r="T768" s="263"/>
      <c r="U768" s="263"/>
      <c r="V768" s="263"/>
      <c r="W768" s="263"/>
      <c r="X768" s="263"/>
      <c r="Y768" s="263"/>
      <c r="Z768" s="263"/>
    </row>
    <row r="769">
      <c r="A769" s="263"/>
      <c r="B769" s="263"/>
      <c r="C769" s="263"/>
      <c r="D769" s="263"/>
      <c r="E769" s="263"/>
      <c r="F769" s="263"/>
      <c r="G769" s="263"/>
      <c r="H769" s="263"/>
      <c r="I769" s="263"/>
      <c r="J769" s="263"/>
      <c r="K769" s="263"/>
      <c r="L769" s="263"/>
      <c r="M769" s="263"/>
      <c r="N769" s="263"/>
      <c r="O769" s="263"/>
      <c r="P769" s="263"/>
      <c r="Q769" s="263"/>
      <c r="R769" s="263"/>
      <c r="S769" s="263"/>
      <c r="T769" s="263"/>
      <c r="U769" s="263"/>
      <c r="V769" s="263"/>
      <c r="W769" s="263"/>
      <c r="X769" s="263"/>
      <c r="Y769" s="263"/>
      <c r="Z769" s="263"/>
    </row>
    <row r="770">
      <c r="A770" s="263"/>
      <c r="B770" s="263"/>
      <c r="C770" s="263"/>
      <c r="D770" s="263"/>
      <c r="E770" s="263"/>
      <c r="F770" s="263"/>
      <c r="G770" s="263"/>
      <c r="H770" s="263"/>
      <c r="I770" s="263"/>
      <c r="J770" s="263"/>
      <c r="K770" s="263"/>
      <c r="L770" s="263"/>
      <c r="M770" s="263"/>
      <c r="N770" s="263"/>
      <c r="O770" s="263"/>
      <c r="P770" s="263"/>
      <c r="Q770" s="263"/>
      <c r="R770" s="263"/>
      <c r="S770" s="263"/>
      <c r="T770" s="263"/>
      <c r="U770" s="263"/>
      <c r="V770" s="263"/>
      <c r="W770" s="263"/>
      <c r="X770" s="263"/>
      <c r="Y770" s="263"/>
      <c r="Z770" s="263"/>
    </row>
    <row r="771">
      <c r="A771" s="263"/>
      <c r="B771" s="263"/>
      <c r="C771" s="263"/>
      <c r="D771" s="263"/>
      <c r="E771" s="263"/>
      <c r="F771" s="263"/>
      <c r="G771" s="263"/>
      <c r="H771" s="263"/>
      <c r="I771" s="263"/>
      <c r="J771" s="263"/>
      <c r="K771" s="263"/>
      <c r="L771" s="263"/>
      <c r="M771" s="263"/>
      <c r="N771" s="263"/>
      <c r="O771" s="263"/>
      <c r="P771" s="263"/>
      <c r="Q771" s="263"/>
      <c r="R771" s="263"/>
      <c r="S771" s="263"/>
      <c r="T771" s="263"/>
      <c r="U771" s="263"/>
      <c r="V771" s="263"/>
      <c r="W771" s="263"/>
      <c r="X771" s="263"/>
      <c r="Y771" s="263"/>
      <c r="Z771" s="263"/>
    </row>
    <row r="772">
      <c r="A772" s="263"/>
      <c r="B772" s="263"/>
      <c r="C772" s="263"/>
      <c r="D772" s="263"/>
      <c r="E772" s="263"/>
      <c r="F772" s="263"/>
      <c r="G772" s="263"/>
      <c r="H772" s="263"/>
      <c r="I772" s="263"/>
      <c r="J772" s="263"/>
      <c r="K772" s="263"/>
      <c r="L772" s="263"/>
      <c r="M772" s="263"/>
      <c r="N772" s="263"/>
      <c r="O772" s="263"/>
      <c r="P772" s="263"/>
      <c r="Q772" s="263"/>
      <c r="R772" s="263"/>
      <c r="S772" s="263"/>
      <c r="T772" s="263"/>
      <c r="U772" s="263"/>
      <c r="V772" s="263"/>
      <c r="W772" s="263"/>
      <c r="X772" s="263"/>
      <c r="Y772" s="263"/>
      <c r="Z772" s="263"/>
    </row>
    <row r="773">
      <c r="A773" s="263"/>
      <c r="B773" s="263"/>
      <c r="C773" s="263"/>
      <c r="D773" s="263"/>
      <c r="E773" s="263"/>
      <c r="F773" s="263"/>
      <c r="G773" s="263"/>
      <c r="H773" s="263"/>
      <c r="I773" s="263"/>
      <c r="J773" s="263"/>
      <c r="K773" s="263"/>
      <c r="L773" s="263"/>
      <c r="M773" s="263"/>
      <c r="N773" s="263"/>
      <c r="O773" s="263"/>
      <c r="P773" s="263"/>
      <c r="Q773" s="263"/>
      <c r="R773" s="263"/>
      <c r="S773" s="263"/>
      <c r="T773" s="263"/>
      <c r="U773" s="263"/>
      <c r="V773" s="263"/>
      <c r="W773" s="263"/>
      <c r="X773" s="263"/>
      <c r="Y773" s="263"/>
      <c r="Z773" s="263"/>
    </row>
    <row r="774">
      <c r="A774" s="263"/>
      <c r="B774" s="263"/>
      <c r="C774" s="263"/>
      <c r="D774" s="263"/>
      <c r="E774" s="263"/>
      <c r="F774" s="263"/>
      <c r="G774" s="263"/>
      <c r="H774" s="263"/>
      <c r="I774" s="263"/>
      <c r="J774" s="263"/>
      <c r="K774" s="263"/>
      <c r="L774" s="263"/>
      <c r="M774" s="263"/>
      <c r="N774" s="263"/>
      <c r="O774" s="263"/>
      <c r="P774" s="263"/>
      <c r="Q774" s="263"/>
      <c r="R774" s="263"/>
      <c r="S774" s="263"/>
      <c r="T774" s="263"/>
      <c r="U774" s="263"/>
      <c r="V774" s="263"/>
      <c r="W774" s="263"/>
      <c r="X774" s="263"/>
      <c r="Y774" s="263"/>
      <c r="Z774" s="263"/>
    </row>
    <row r="775">
      <c r="A775" s="263"/>
      <c r="B775" s="263"/>
      <c r="C775" s="263"/>
      <c r="D775" s="263"/>
      <c r="E775" s="263"/>
      <c r="F775" s="263"/>
      <c r="G775" s="263"/>
      <c r="H775" s="263"/>
      <c r="I775" s="263"/>
      <c r="J775" s="263"/>
      <c r="K775" s="263"/>
      <c r="L775" s="263"/>
      <c r="M775" s="263"/>
      <c r="N775" s="263"/>
      <c r="O775" s="263"/>
      <c r="P775" s="263"/>
      <c r="Q775" s="263"/>
      <c r="R775" s="263"/>
      <c r="S775" s="263"/>
      <c r="T775" s="263"/>
      <c r="U775" s="263"/>
      <c r="V775" s="263"/>
      <c r="W775" s="263"/>
      <c r="X775" s="263"/>
      <c r="Y775" s="263"/>
      <c r="Z775" s="263"/>
    </row>
    <row r="776">
      <c r="A776" s="263"/>
      <c r="B776" s="263"/>
      <c r="C776" s="263"/>
      <c r="D776" s="263"/>
      <c r="E776" s="263"/>
      <c r="F776" s="263"/>
      <c r="G776" s="263"/>
      <c r="H776" s="263"/>
      <c r="I776" s="263"/>
      <c r="J776" s="263"/>
      <c r="K776" s="263"/>
      <c r="L776" s="263"/>
      <c r="M776" s="263"/>
      <c r="N776" s="263"/>
      <c r="O776" s="263"/>
      <c r="P776" s="263"/>
      <c r="Q776" s="263"/>
      <c r="R776" s="263"/>
      <c r="S776" s="263"/>
      <c r="T776" s="263"/>
      <c r="U776" s="263"/>
      <c r="V776" s="263"/>
      <c r="W776" s="263"/>
      <c r="X776" s="263"/>
      <c r="Y776" s="263"/>
      <c r="Z776" s="263"/>
    </row>
    <row r="777">
      <c r="A777" s="263"/>
      <c r="B777" s="263"/>
      <c r="C777" s="263"/>
      <c r="D777" s="263"/>
      <c r="E777" s="263"/>
      <c r="F777" s="263"/>
      <c r="G777" s="263"/>
      <c r="H777" s="263"/>
      <c r="I777" s="263"/>
      <c r="J777" s="263"/>
      <c r="K777" s="263"/>
      <c r="L777" s="263"/>
      <c r="M777" s="263"/>
      <c r="N777" s="263"/>
      <c r="O777" s="263"/>
      <c r="P777" s="263"/>
      <c r="Q777" s="263"/>
      <c r="R777" s="263"/>
      <c r="S777" s="263"/>
      <c r="T777" s="263"/>
      <c r="U777" s="263"/>
      <c r="V777" s="263"/>
      <c r="W777" s="263"/>
      <c r="X777" s="263"/>
      <c r="Y777" s="263"/>
      <c r="Z777" s="263"/>
    </row>
    <row r="778">
      <c r="A778" s="263"/>
      <c r="B778" s="263"/>
      <c r="C778" s="263"/>
      <c r="D778" s="263"/>
      <c r="E778" s="263"/>
      <c r="F778" s="263"/>
      <c r="G778" s="263"/>
      <c r="H778" s="263"/>
      <c r="I778" s="263"/>
      <c r="J778" s="263"/>
      <c r="K778" s="263"/>
      <c r="L778" s="263"/>
      <c r="M778" s="263"/>
      <c r="N778" s="263"/>
      <c r="O778" s="263"/>
      <c r="P778" s="263"/>
      <c r="Q778" s="263"/>
      <c r="R778" s="263"/>
      <c r="S778" s="263"/>
      <c r="T778" s="263"/>
      <c r="U778" s="263"/>
      <c r="V778" s="263"/>
      <c r="W778" s="263"/>
      <c r="X778" s="263"/>
      <c r="Y778" s="263"/>
      <c r="Z778" s="263"/>
    </row>
    <row r="779">
      <c r="A779" s="263"/>
      <c r="B779" s="263"/>
      <c r="C779" s="263"/>
      <c r="D779" s="263"/>
      <c r="E779" s="263"/>
      <c r="F779" s="263"/>
      <c r="G779" s="263"/>
      <c r="H779" s="263"/>
      <c r="I779" s="263"/>
      <c r="J779" s="263"/>
      <c r="K779" s="263"/>
      <c r="L779" s="263"/>
      <c r="M779" s="263"/>
      <c r="N779" s="263"/>
      <c r="O779" s="263"/>
      <c r="P779" s="263"/>
      <c r="Q779" s="263"/>
      <c r="R779" s="263"/>
      <c r="S779" s="263"/>
      <c r="T779" s="263"/>
      <c r="U779" s="263"/>
      <c r="V779" s="263"/>
      <c r="W779" s="263"/>
      <c r="X779" s="263"/>
      <c r="Y779" s="263"/>
      <c r="Z779" s="263"/>
    </row>
    <row r="780">
      <c r="A780" s="263"/>
      <c r="B780" s="263"/>
      <c r="C780" s="263"/>
      <c r="D780" s="263"/>
      <c r="E780" s="263"/>
      <c r="F780" s="263"/>
      <c r="G780" s="263"/>
      <c r="H780" s="263"/>
      <c r="I780" s="263"/>
      <c r="J780" s="263"/>
      <c r="K780" s="263"/>
      <c r="L780" s="263"/>
      <c r="M780" s="263"/>
      <c r="N780" s="263"/>
      <c r="O780" s="263"/>
      <c r="P780" s="263"/>
      <c r="Q780" s="263"/>
      <c r="R780" s="263"/>
      <c r="S780" s="263"/>
      <c r="T780" s="263"/>
      <c r="U780" s="263"/>
      <c r="V780" s="263"/>
      <c r="W780" s="263"/>
      <c r="X780" s="263"/>
      <c r="Y780" s="263"/>
      <c r="Z780" s="263"/>
    </row>
    <row r="781">
      <c r="A781" s="263"/>
      <c r="B781" s="263"/>
      <c r="C781" s="263"/>
      <c r="D781" s="263"/>
      <c r="E781" s="263"/>
      <c r="F781" s="263"/>
      <c r="G781" s="263"/>
      <c r="H781" s="263"/>
      <c r="I781" s="263"/>
      <c r="J781" s="263"/>
      <c r="K781" s="263"/>
      <c r="L781" s="263"/>
      <c r="M781" s="263"/>
      <c r="N781" s="263"/>
      <c r="O781" s="263"/>
      <c r="P781" s="263"/>
      <c r="Q781" s="263"/>
      <c r="R781" s="263"/>
      <c r="S781" s="263"/>
      <c r="T781" s="263"/>
      <c r="U781" s="263"/>
      <c r="V781" s="263"/>
      <c r="W781" s="263"/>
      <c r="X781" s="263"/>
      <c r="Y781" s="263"/>
      <c r="Z781" s="263"/>
    </row>
    <row r="782">
      <c r="A782" s="263"/>
      <c r="B782" s="263"/>
      <c r="C782" s="263"/>
      <c r="D782" s="263"/>
      <c r="E782" s="263"/>
      <c r="F782" s="263"/>
      <c r="G782" s="263"/>
      <c r="H782" s="263"/>
      <c r="I782" s="263"/>
      <c r="J782" s="263"/>
      <c r="K782" s="263"/>
      <c r="L782" s="263"/>
      <c r="M782" s="263"/>
      <c r="N782" s="263"/>
      <c r="O782" s="263"/>
      <c r="P782" s="263"/>
      <c r="Q782" s="263"/>
      <c r="R782" s="263"/>
      <c r="S782" s="263"/>
      <c r="T782" s="263"/>
      <c r="U782" s="263"/>
      <c r="V782" s="263"/>
      <c r="W782" s="263"/>
      <c r="X782" s="263"/>
      <c r="Y782" s="263"/>
      <c r="Z782" s="263"/>
    </row>
    <row r="783">
      <c r="A783" s="263"/>
      <c r="B783" s="263"/>
      <c r="C783" s="263"/>
      <c r="D783" s="263"/>
      <c r="E783" s="263"/>
      <c r="F783" s="263"/>
      <c r="G783" s="263"/>
      <c r="H783" s="263"/>
      <c r="I783" s="263"/>
      <c r="J783" s="263"/>
      <c r="K783" s="263"/>
      <c r="L783" s="263"/>
      <c r="M783" s="263"/>
      <c r="N783" s="263"/>
      <c r="O783" s="263"/>
      <c r="P783" s="263"/>
      <c r="Q783" s="263"/>
      <c r="R783" s="263"/>
      <c r="S783" s="263"/>
      <c r="T783" s="263"/>
      <c r="U783" s="263"/>
      <c r="V783" s="263"/>
      <c r="W783" s="263"/>
      <c r="X783" s="263"/>
      <c r="Y783" s="263"/>
      <c r="Z783" s="263"/>
    </row>
    <row r="784">
      <c r="A784" s="263"/>
      <c r="B784" s="263"/>
      <c r="C784" s="263"/>
      <c r="D784" s="263"/>
      <c r="E784" s="263"/>
      <c r="F784" s="263"/>
      <c r="G784" s="263"/>
      <c r="H784" s="263"/>
      <c r="I784" s="263"/>
      <c r="J784" s="263"/>
      <c r="K784" s="263"/>
      <c r="L784" s="263"/>
      <c r="M784" s="263"/>
      <c r="N784" s="263"/>
      <c r="O784" s="263"/>
      <c r="P784" s="263"/>
      <c r="Q784" s="263"/>
      <c r="R784" s="263"/>
      <c r="S784" s="263"/>
      <c r="T784" s="263"/>
      <c r="U784" s="263"/>
      <c r="V784" s="263"/>
      <c r="W784" s="263"/>
      <c r="X784" s="263"/>
      <c r="Y784" s="263"/>
      <c r="Z784" s="263"/>
    </row>
    <row r="785">
      <c r="A785" s="263"/>
      <c r="B785" s="263"/>
      <c r="C785" s="263"/>
      <c r="D785" s="263"/>
      <c r="E785" s="263"/>
      <c r="F785" s="263"/>
      <c r="G785" s="263"/>
      <c r="H785" s="263"/>
      <c r="I785" s="263"/>
      <c r="J785" s="263"/>
      <c r="K785" s="263"/>
      <c r="L785" s="263"/>
      <c r="M785" s="263"/>
      <c r="N785" s="263"/>
      <c r="O785" s="263"/>
      <c r="P785" s="263"/>
      <c r="Q785" s="263"/>
      <c r="R785" s="263"/>
      <c r="S785" s="263"/>
      <c r="T785" s="263"/>
      <c r="U785" s="263"/>
      <c r="V785" s="263"/>
      <c r="W785" s="263"/>
      <c r="X785" s="263"/>
      <c r="Y785" s="263"/>
      <c r="Z785" s="263"/>
    </row>
    <row r="786">
      <c r="A786" s="263"/>
      <c r="B786" s="263"/>
      <c r="C786" s="263"/>
      <c r="D786" s="263"/>
      <c r="E786" s="263"/>
      <c r="F786" s="263"/>
      <c r="G786" s="263"/>
      <c r="H786" s="263"/>
      <c r="I786" s="263"/>
      <c r="J786" s="263"/>
      <c r="K786" s="263"/>
      <c r="L786" s="263"/>
      <c r="M786" s="263"/>
      <c r="N786" s="263"/>
      <c r="O786" s="263"/>
      <c r="P786" s="263"/>
      <c r="Q786" s="263"/>
      <c r="R786" s="263"/>
      <c r="S786" s="263"/>
      <c r="T786" s="263"/>
      <c r="U786" s="263"/>
      <c r="V786" s="263"/>
      <c r="W786" s="263"/>
      <c r="X786" s="263"/>
      <c r="Y786" s="263"/>
      <c r="Z786" s="263"/>
    </row>
    <row r="787">
      <c r="A787" s="263"/>
      <c r="B787" s="263"/>
      <c r="C787" s="263"/>
      <c r="D787" s="263"/>
      <c r="E787" s="263"/>
      <c r="F787" s="263"/>
      <c r="G787" s="263"/>
      <c r="H787" s="263"/>
      <c r="I787" s="263"/>
      <c r="J787" s="263"/>
      <c r="K787" s="263"/>
      <c r="L787" s="263"/>
      <c r="M787" s="263"/>
      <c r="N787" s="263"/>
      <c r="O787" s="263"/>
      <c r="P787" s="263"/>
      <c r="Q787" s="263"/>
      <c r="R787" s="263"/>
      <c r="S787" s="263"/>
      <c r="T787" s="263"/>
      <c r="U787" s="263"/>
      <c r="V787" s="263"/>
      <c r="W787" s="263"/>
      <c r="X787" s="263"/>
      <c r="Y787" s="263"/>
      <c r="Z787" s="263"/>
    </row>
    <row r="788">
      <c r="A788" s="263"/>
      <c r="B788" s="263"/>
      <c r="C788" s="263"/>
      <c r="D788" s="263"/>
      <c r="E788" s="263"/>
      <c r="F788" s="263"/>
      <c r="G788" s="263"/>
      <c r="H788" s="263"/>
      <c r="I788" s="263"/>
      <c r="J788" s="263"/>
      <c r="K788" s="263"/>
      <c r="L788" s="263"/>
      <c r="M788" s="263"/>
      <c r="N788" s="263"/>
      <c r="O788" s="263"/>
      <c r="P788" s="263"/>
      <c r="Q788" s="263"/>
      <c r="R788" s="263"/>
      <c r="S788" s="263"/>
      <c r="T788" s="263"/>
      <c r="U788" s="263"/>
      <c r="V788" s="263"/>
      <c r="W788" s="263"/>
      <c r="X788" s="263"/>
      <c r="Y788" s="263"/>
      <c r="Z788" s="263"/>
    </row>
    <row r="789">
      <c r="A789" s="263"/>
      <c r="B789" s="263"/>
      <c r="C789" s="263"/>
      <c r="D789" s="263"/>
      <c r="E789" s="263"/>
      <c r="F789" s="263"/>
      <c r="G789" s="263"/>
      <c r="H789" s="263"/>
      <c r="I789" s="263"/>
      <c r="J789" s="263"/>
      <c r="K789" s="263"/>
      <c r="L789" s="263"/>
      <c r="M789" s="263"/>
      <c r="N789" s="263"/>
      <c r="O789" s="263"/>
      <c r="P789" s="263"/>
      <c r="Q789" s="263"/>
      <c r="R789" s="263"/>
      <c r="S789" s="263"/>
      <c r="T789" s="263"/>
      <c r="U789" s="263"/>
      <c r="V789" s="263"/>
      <c r="W789" s="263"/>
      <c r="X789" s="263"/>
      <c r="Y789" s="263"/>
      <c r="Z789" s="263"/>
    </row>
    <row r="790">
      <c r="A790" s="263"/>
      <c r="B790" s="263"/>
      <c r="C790" s="263"/>
      <c r="D790" s="263"/>
      <c r="E790" s="263"/>
      <c r="F790" s="263"/>
      <c r="G790" s="263"/>
      <c r="H790" s="263"/>
      <c r="I790" s="263"/>
      <c r="J790" s="263"/>
      <c r="K790" s="263"/>
      <c r="L790" s="263"/>
      <c r="M790" s="263"/>
      <c r="N790" s="263"/>
      <c r="O790" s="263"/>
      <c r="P790" s="263"/>
      <c r="Q790" s="263"/>
      <c r="R790" s="263"/>
      <c r="S790" s="263"/>
      <c r="T790" s="263"/>
      <c r="U790" s="263"/>
      <c r="V790" s="263"/>
      <c r="W790" s="263"/>
      <c r="X790" s="263"/>
      <c r="Y790" s="263"/>
      <c r="Z790" s="263"/>
    </row>
    <row r="791">
      <c r="A791" s="263"/>
      <c r="B791" s="263"/>
      <c r="C791" s="263"/>
      <c r="D791" s="263"/>
      <c r="E791" s="263"/>
      <c r="F791" s="263"/>
      <c r="G791" s="263"/>
      <c r="H791" s="263"/>
      <c r="I791" s="263"/>
      <c r="J791" s="263"/>
      <c r="K791" s="263"/>
      <c r="L791" s="263"/>
      <c r="M791" s="263"/>
      <c r="N791" s="263"/>
      <c r="O791" s="263"/>
      <c r="P791" s="263"/>
      <c r="Q791" s="263"/>
      <c r="R791" s="263"/>
      <c r="S791" s="263"/>
      <c r="T791" s="263"/>
      <c r="U791" s="263"/>
      <c r="V791" s="263"/>
      <c r="W791" s="263"/>
      <c r="X791" s="263"/>
      <c r="Y791" s="263"/>
      <c r="Z791" s="263"/>
    </row>
    <row r="792">
      <c r="A792" s="263"/>
      <c r="B792" s="263"/>
      <c r="C792" s="263"/>
      <c r="D792" s="263"/>
      <c r="E792" s="263"/>
      <c r="F792" s="263"/>
      <c r="G792" s="263"/>
      <c r="H792" s="263"/>
      <c r="I792" s="263"/>
      <c r="J792" s="263"/>
      <c r="K792" s="263"/>
      <c r="L792" s="263"/>
      <c r="M792" s="263"/>
      <c r="N792" s="263"/>
      <c r="O792" s="263"/>
      <c r="P792" s="263"/>
      <c r="Q792" s="263"/>
      <c r="R792" s="263"/>
      <c r="S792" s="263"/>
      <c r="T792" s="263"/>
      <c r="U792" s="263"/>
      <c r="V792" s="263"/>
      <c r="W792" s="263"/>
      <c r="X792" s="263"/>
      <c r="Y792" s="263"/>
      <c r="Z792" s="263"/>
    </row>
    <row r="793">
      <c r="A793" s="263"/>
      <c r="B793" s="263"/>
      <c r="C793" s="263"/>
      <c r="D793" s="263"/>
      <c r="E793" s="263"/>
      <c r="F793" s="263"/>
      <c r="G793" s="263"/>
      <c r="H793" s="263"/>
      <c r="I793" s="263"/>
      <c r="J793" s="263"/>
      <c r="K793" s="263"/>
      <c r="L793" s="263"/>
      <c r="M793" s="263"/>
      <c r="N793" s="263"/>
      <c r="O793" s="263"/>
      <c r="P793" s="263"/>
      <c r="Q793" s="263"/>
      <c r="R793" s="263"/>
      <c r="S793" s="263"/>
      <c r="T793" s="263"/>
      <c r="U793" s="263"/>
      <c r="V793" s="263"/>
      <c r="W793" s="263"/>
      <c r="X793" s="263"/>
      <c r="Y793" s="263"/>
      <c r="Z793" s="263"/>
    </row>
    <row r="794">
      <c r="A794" s="263"/>
      <c r="B794" s="263"/>
      <c r="C794" s="263"/>
      <c r="D794" s="263"/>
      <c r="E794" s="263"/>
      <c r="F794" s="263"/>
      <c r="G794" s="263"/>
      <c r="H794" s="263"/>
      <c r="I794" s="263"/>
      <c r="J794" s="263"/>
      <c r="K794" s="263"/>
      <c r="L794" s="263"/>
      <c r="M794" s="263"/>
      <c r="N794" s="263"/>
      <c r="O794" s="263"/>
      <c r="P794" s="263"/>
      <c r="Q794" s="263"/>
      <c r="R794" s="263"/>
      <c r="S794" s="263"/>
      <c r="T794" s="263"/>
      <c r="U794" s="263"/>
      <c r="V794" s="263"/>
      <c r="W794" s="263"/>
      <c r="X794" s="263"/>
      <c r="Y794" s="263"/>
      <c r="Z794" s="263"/>
    </row>
    <row r="795">
      <c r="A795" s="263"/>
      <c r="B795" s="263"/>
      <c r="C795" s="263"/>
      <c r="D795" s="263"/>
      <c r="E795" s="263"/>
      <c r="F795" s="263"/>
      <c r="G795" s="263"/>
      <c r="H795" s="263"/>
      <c r="I795" s="263"/>
      <c r="J795" s="263"/>
      <c r="K795" s="263"/>
      <c r="L795" s="263"/>
      <c r="M795" s="263"/>
      <c r="N795" s="263"/>
      <c r="O795" s="263"/>
      <c r="P795" s="263"/>
      <c r="Q795" s="263"/>
      <c r="R795" s="263"/>
      <c r="S795" s="263"/>
      <c r="T795" s="263"/>
      <c r="U795" s="263"/>
      <c r="V795" s="263"/>
      <c r="W795" s="263"/>
      <c r="X795" s="263"/>
      <c r="Y795" s="263"/>
      <c r="Z795" s="263"/>
    </row>
    <row r="796">
      <c r="A796" s="263"/>
      <c r="B796" s="263"/>
      <c r="C796" s="263"/>
      <c r="D796" s="263"/>
      <c r="E796" s="263"/>
      <c r="F796" s="263"/>
      <c r="G796" s="263"/>
      <c r="H796" s="263"/>
      <c r="I796" s="263"/>
      <c r="J796" s="263"/>
      <c r="K796" s="263"/>
      <c r="L796" s="263"/>
      <c r="M796" s="263"/>
      <c r="N796" s="263"/>
      <c r="O796" s="263"/>
      <c r="P796" s="263"/>
      <c r="Q796" s="263"/>
      <c r="R796" s="263"/>
      <c r="S796" s="263"/>
      <c r="T796" s="263"/>
      <c r="U796" s="263"/>
      <c r="V796" s="263"/>
      <c r="W796" s="263"/>
      <c r="X796" s="263"/>
      <c r="Y796" s="263"/>
      <c r="Z796" s="263"/>
    </row>
    <row r="797">
      <c r="A797" s="263"/>
      <c r="B797" s="263"/>
      <c r="C797" s="263"/>
      <c r="D797" s="263"/>
      <c r="E797" s="263"/>
      <c r="F797" s="263"/>
      <c r="G797" s="263"/>
      <c r="H797" s="263"/>
      <c r="I797" s="263"/>
      <c r="J797" s="263"/>
      <c r="K797" s="263"/>
      <c r="L797" s="263"/>
      <c r="M797" s="263"/>
      <c r="N797" s="263"/>
      <c r="O797" s="263"/>
      <c r="P797" s="263"/>
      <c r="Q797" s="263"/>
      <c r="R797" s="263"/>
      <c r="S797" s="263"/>
      <c r="T797" s="263"/>
      <c r="U797" s="263"/>
      <c r="V797" s="263"/>
      <c r="W797" s="263"/>
      <c r="X797" s="263"/>
      <c r="Y797" s="263"/>
      <c r="Z797" s="263"/>
    </row>
    <row r="798">
      <c r="A798" s="263"/>
      <c r="B798" s="263"/>
      <c r="C798" s="263"/>
      <c r="D798" s="263"/>
      <c r="E798" s="263"/>
      <c r="F798" s="263"/>
      <c r="G798" s="263"/>
      <c r="H798" s="263"/>
      <c r="I798" s="263"/>
      <c r="J798" s="263"/>
      <c r="K798" s="263"/>
      <c r="L798" s="263"/>
      <c r="M798" s="263"/>
      <c r="N798" s="263"/>
      <c r="O798" s="263"/>
      <c r="P798" s="263"/>
      <c r="Q798" s="263"/>
      <c r="R798" s="263"/>
      <c r="S798" s="263"/>
      <c r="T798" s="263"/>
      <c r="U798" s="263"/>
      <c r="V798" s="263"/>
      <c r="W798" s="263"/>
      <c r="X798" s="263"/>
      <c r="Y798" s="263"/>
      <c r="Z798" s="263"/>
    </row>
    <row r="799">
      <c r="A799" s="263"/>
      <c r="B799" s="263"/>
      <c r="C799" s="263"/>
      <c r="D799" s="263"/>
      <c r="E799" s="263"/>
      <c r="F799" s="263"/>
      <c r="G799" s="263"/>
      <c r="H799" s="263"/>
      <c r="I799" s="263"/>
      <c r="J799" s="263"/>
      <c r="K799" s="263"/>
      <c r="L799" s="263"/>
      <c r="M799" s="263"/>
      <c r="N799" s="263"/>
      <c r="O799" s="263"/>
      <c r="P799" s="263"/>
      <c r="Q799" s="263"/>
      <c r="R799" s="263"/>
      <c r="S799" s="263"/>
      <c r="T799" s="263"/>
      <c r="U799" s="263"/>
      <c r="V799" s="263"/>
      <c r="W799" s="263"/>
      <c r="X799" s="263"/>
      <c r="Y799" s="263"/>
      <c r="Z799" s="263"/>
    </row>
    <row r="800">
      <c r="A800" s="263"/>
      <c r="B800" s="263"/>
      <c r="C800" s="263"/>
      <c r="D800" s="263"/>
      <c r="E800" s="263"/>
      <c r="F800" s="263"/>
      <c r="G800" s="263"/>
      <c r="H800" s="263"/>
      <c r="I800" s="263"/>
      <c r="J800" s="263"/>
      <c r="K800" s="263"/>
      <c r="L800" s="263"/>
      <c r="M800" s="263"/>
      <c r="N800" s="263"/>
      <c r="O800" s="263"/>
      <c r="P800" s="263"/>
      <c r="Q800" s="263"/>
      <c r="R800" s="263"/>
      <c r="S800" s="263"/>
      <c r="T800" s="263"/>
      <c r="U800" s="263"/>
      <c r="V800" s="263"/>
      <c r="W800" s="263"/>
      <c r="X800" s="263"/>
      <c r="Y800" s="263"/>
      <c r="Z800" s="263"/>
    </row>
    <row r="801">
      <c r="A801" s="263"/>
      <c r="B801" s="263"/>
      <c r="C801" s="263"/>
      <c r="D801" s="263"/>
      <c r="E801" s="263"/>
      <c r="F801" s="263"/>
      <c r="G801" s="263"/>
      <c r="H801" s="263"/>
      <c r="I801" s="263"/>
      <c r="J801" s="263"/>
      <c r="K801" s="263"/>
      <c r="L801" s="263"/>
      <c r="M801" s="263"/>
      <c r="N801" s="263"/>
      <c r="O801" s="263"/>
      <c r="P801" s="263"/>
      <c r="Q801" s="263"/>
      <c r="R801" s="263"/>
      <c r="S801" s="263"/>
      <c r="T801" s="263"/>
      <c r="U801" s="263"/>
      <c r="V801" s="263"/>
      <c r="W801" s="263"/>
      <c r="X801" s="263"/>
      <c r="Y801" s="263"/>
      <c r="Z801" s="263"/>
    </row>
    <row r="802">
      <c r="A802" s="263"/>
      <c r="B802" s="263"/>
      <c r="C802" s="263"/>
      <c r="D802" s="263"/>
      <c r="E802" s="263"/>
      <c r="F802" s="263"/>
      <c r="G802" s="263"/>
      <c r="H802" s="263"/>
      <c r="I802" s="263"/>
      <c r="J802" s="263"/>
      <c r="K802" s="263"/>
      <c r="L802" s="263"/>
      <c r="M802" s="263"/>
      <c r="N802" s="263"/>
      <c r="O802" s="263"/>
      <c r="P802" s="263"/>
      <c r="Q802" s="263"/>
      <c r="R802" s="263"/>
      <c r="S802" s="263"/>
      <c r="T802" s="263"/>
      <c r="U802" s="263"/>
      <c r="V802" s="263"/>
      <c r="W802" s="263"/>
      <c r="X802" s="263"/>
      <c r="Y802" s="263"/>
      <c r="Z802" s="263"/>
    </row>
    <row r="803">
      <c r="A803" s="263"/>
      <c r="B803" s="263"/>
      <c r="C803" s="263"/>
      <c r="D803" s="263"/>
      <c r="E803" s="263"/>
      <c r="F803" s="263"/>
      <c r="G803" s="263"/>
      <c r="H803" s="263"/>
      <c r="I803" s="263"/>
      <c r="J803" s="263"/>
      <c r="K803" s="263"/>
      <c r="L803" s="263"/>
      <c r="M803" s="263"/>
      <c r="N803" s="263"/>
      <c r="O803" s="263"/>
      <c r="P803" s="263"/>
      <c r="Q803" s="263"/>
      <c r="R803" s="263"/>
      <c r="S803" s="263"/>
      <c r="T803" s="263"/>
      <c r="U803" s="263"/>
      <c r="V803" s="263"/>
      <c r="W803" s="263"/>
      <c r="X803" s="263"/>
      <c r="Y803" s="263"/>
      <c r="Z803" s="263"/>
    </row>
    <row r="804">
      <c r="A804" s="263"/>
      <c r="B804" s="263"/>
      <c r="C804" s="263"/>
      <c r="D804" s="263"/>
      <c r="E804" s="263"/>
      <c r="F804" s="263"/>
      <c r="G804" s="263"/>
      <c r="H804" s="263"/>
      <c r="I804" s="263"/>
      <c r="J804" s="263"/>
      <c r="K804" s="263"/>
      <c r="L804" s="263"/>
      <c r="M804" s="263"/>
      <c r="N804" s="263"/>
      <c r="O804" s="263"/>
      <c r="P804" s="263"/>
      <c r="Q804" s="263"/>
      <c r="R804" s="263"/>
      <c r="S804" s="263"/>
      <c r="T804" s="263"/>
      <c r="U804" s="263"/>
      <c r="V804" s="263"/>
      <c r="W804" s="263"/>
      <c r="X804" s="263"/>
      <c r="Y804" s="263"/>
      <c r="Z804" s="263"/>
    </row>
    <row r="805">
      <c r="A805" s="263"/>
      <c r="B805" s="263"/>
      <c r="C805" s="263"/>
      <c r="D805" s="263"/>
      <c r="E805" s="263"/>
      <c r="F805" s="263"/>
      <c r="G805" s="263"/>
      <c r="H805" s="263"/>
      <c r="I805" s="263"/>
      <c r="J805" s="263"/>
      <c r="K805" s="263"/>
      <c r="L805" s="263"/>
      <c r="M805" s="263"/>
      <c r="N805" s="263"/>
      <c r="O805" s="263"/>
      <c r="P805" s="263"/>
      <c r="Q805" s="263"/>
      <c r="R805" s="263"/>
      <c r="S805" s="263"/>
      <c r="T805" s="263"/>
      <c r="U805" s="263"/>
      <c r="V805" s="263"/>
      <c r="W805" s="263"/>
      <c r="X805" s="263"/>
      <c r="Y805" s="263"/>
      <c r="Z805" s="263"/>
    </row>
    <row r="806">
      <c r="A806" s="263"/>
      <c r="B806" s="263"/>
      <c r="C806" s="263"/>
      <c r="D806" s="263"/>
      <c r="E806" s="263"/>
      <c r="F806" s="263"/>
      <c r="G806" s="263"/>
      <c r="H806" s="263"/>
      <c r="I806" s="263"/>
      <c r="J806" s="263"/>
      <c r="K806" s="263"/>
      <c r="L806" s="263"/>
      <c r="M806" s="263"/>
      <c r="N806" s="263"/>
      <c r="O806" s="263"/>
      <c r="P806" s="263"/>
      <c r="Q806" s="263"/>
      <c r="R806" s="263"/>
      <c r="S806" s="263"/>
      <c r="T806" s="263"/>
      <c r="U806" s="263"/>
      <c r="V806" s="263"/>
      <c r="W806" s="263"/>
      <c r="X806" s="263"/>
      <c r="Y806" s="263"/>
      <c r="Z806" s="263"/>
    </row>
    <row r="807">
      <c r="A807" s="263"/>
      <c r="B807" s="263"/>
      <c r="C807" s="263"/>
      <c r="D807" s="263"/>
      <c r="E807" s="263"/>
      <c r="F807" s="263"/>
      <c r="G807" s="263"/>
      <c r="H807" s="263"/>
      <c r="I807" s="263"/>
      <c r="J807" s="263"/>
      <c r="K807" s="263"/>
      <c r="L807" s="263"/>
      <c r="M807" s="263"/>
      <c r="N807" s="263"/>
      <c r="O807" s="263"/>
      <c r="P807" s="263"/>
      <c r="Q807" s="263"/>
      <c r="R807" s="263"/>
      <c r="S807" s="263"/>
      <c r="T807" s="263"/>
      <c r="U807" s="263"/>
      <c r="V807" s="263"/>
      <c r="W807" s="263"/>
      <c r="X807" s="263"/>
      <c r="Y807" s="263"/>
      <c r="Z807" s="263"/>
    </row>
    <row r="808">
      <c r="A808" s="263"/>
      <c r="B808" s="263"/>
      <c r="C808" s="263"/>
      <c r="D808" s="263"/>
      <c r="E808" s="263"/>
      <c r="F808" s="263"/>
      <c r="G808" s="263"/>
      <c r="H808" s="263"/>
      <c r="I808" s="263"/>
      <c r="J808" s="263"/>
      <c r="K808" s="263"/>
      <c r="L808" s="263"/>
      <c r="M808" s="263"/>
      <c r="N808" s="263"/>
      <c r="O808" s="263"/>
      <c r="P808" s="263"/>
      <c r="Q808" s="263"/>
      <c r="R808" s="263"/>
      <c r="S808" s="263"/>
      <c r="T808" s="263"/>
      <c r="U808" s="263"/>
      <c r="V808" s="263"/>
      <c r="W808" s="263"/>
      <c r="X808" s="263"/>
      <c r="Y808" s="263"/>
      <c r="Z808" s="263"/>
    </row>
    <row r="809">
      <c r="A809" s="263"/>
      <c r="B809" s="263"/>
      <c r="C809" s="263"/>
      <c r="D809" s="263"/>
      <c r="E809" s="263"/>
      <c r="F809" s="263"/>
      <c r="G809" s="263"/>
      <c r="H809" s="263"/>
      <c r="I809" s="263"/>
      <c r="J809" s="263"/>
      <c r="K809" s="263"/>
      <c r="L809" s="263"/>
      <c r="M809" s="263"/>
      <c r="N809" s="263"/>
      <c r="O809" s="263"/>
      <c r="P809" s="263"/>
      <c r="Q809" s="263"/>
      <c r="R809" s="263"/>
      <c r="S809" s="263"/>
      <c r="T809" s="263"/>
      <c r="U809" s="263"/>
      <c r="V809" s="263"/>
      <c r="W809" s="263"/>
      <c r="X809" s="263"/>
      <c r="Y809" s="263"/>
      <c r="Z809" s="263"/>
    </row>
    <row r="810">
      <c r="A810" s="263"/>
      <c r="B810" s="263"/>
      <c r="C810" s="263"/>
      <c r="D810" s="263"/>
      <c r="E810" s="263"/>
      <c r="F810" s="263"/>
      <c r="G810" s="263"/>
      <c r="H810" s="263"/>
      <c r="I810" s="263"/>
      <c r="J810" s="263"/>
      <c r="K810" s="263"/>
      <c r="L810" s="263"/>
      <c r="M810" s="263"/>
      <c r="N810" s="263"/>
      <c r="O810" s="263"/>
      <c r="P810" s="263"/>
      <c r="Q810" s="263"/>
      <c r="R810" s="263"/>
      <c r="S810" s="263"/>
      <c r="T810" s="263"/>
      <c r="U810" s="263"/>
      <c r="V810" s="263"/>
      <c r="W810" s="263"/>
      <c r="X810" s="263"/>
      <c r="Y810" s="263"/>
      <c r="Z810" s="263"/>
    </row>
    <row r="811">
      <c r="A811" s="263"/>
      <c r="B811" s="263"/>
      <c r="C811" s="263"/>
      <c r="D811" s="263"/>
      <c r="E811" s="263"/>
      <c r="F811" s="263"/>
      <c r="G811" s="263"/>
      <c r="H811" s="263"/>
      <c r="I811" s="263"/>
      <c r="J811" s="263"/>
      <c r="K811" s="263"/>
      <c r="L811" s="263"/>
      <c r="M811" s="263"/>
      <c r="N811" s="263"/>
      <c r="O811" s="263"/>
      <c r="P811" s="263"/>
      <c r="Q811" s="263"/>
      <c r="R811" s="263"/>
      <c r="S811" s="263"/>
      <c r="T811" s="263"/>
      <c r="U811" s="263"/>
      <c r="V811" s="263"/>
      <c r="W811" s="263"/>
      <c r="X811" s="263"/>
      <c r="Y811" s="263"/>
      <c r="Z811" s="263"/>
    </row>
    <row r="812">
      <c r="A812" s="263"/>
      <c r="B812" s="263"/>
      <c r="C812" s="263"/>
      <c r="D812" s="263"/>
      <c r="E812" s="263"/>
      <c r="F812" s="263"/>
      <c r="G812" s="263"/>
      <c r="H812" s="263"/>
      <c r="I812" s="263"/>
      <c r="J812" s="263"/>
      <c r="K812" s="263"/>
      <c r="L812" s="263"/>
      <c r="M812" s="263"/>
      <c r="N812" s="263"/>
      <c r="O812" s="263"/>
      <c r="P812" s="263"/>
      <c r="Q812" s="263"/>
      <c r="R812" s="263"/>
      <c r="S812" s="263"/>
      <c r="T812" s="263"/>
      <c r="U812" s="263"/>
      <c r="V812" s="263"/>
      <c r="W812" s="263"/>
      <c r="X812" s="263"/>
      <c r="Y812" s="263"/>
      <c r="Z812" s="263"/>
    </row>
    <row r="813">
      <c r="A813" s="263"/>
      <c r="B813" s="263"/>
      <c r="C813" s="263"/>
      <c r="D813" s="263"/>
      <c r="E813" s="263"/>
      <c r="F813" s="263"/>
      <c r="G813" s="263"/>
      <c r="H813" s="263"/>
      <c r="I813" s="263"/>
      <c r="J813" s="263"/>
      <c r="K813" s="263"/>
      <c r="L813" s="263"/>
      <c r="M813" s="263"/>
      <c r="N813" s="263"/>
      <c r="O813" s="263"/>
      <c r="P813" s="263"/>
      <c r="Q813" s="263"/>
      <c r="R813" s="263"/>
      <c r="S813" s="263"/>
      <c r="T813" s="263"/>
      <c r="U813" s="263"/>
      <c r="V813" s="263"/>
      <c r="W813" s="263"/>
      <c r="X813" s="263"/>
      <c r="Y813" s="263"/>
      <c r="Z813" s="263"/>
    </row>
    <row r="814">
      <c r="A814" s="263"/>
      <c r="B814" s="263"/>
      <c r="C814" s="263"/>
      <c r="D814" s="263"/>
      <c r="E814" s="263"/>
      <c r="F814" s="263"/>
      <c r="G814" s="263"/>
      <c r="H814" s="263"/>
      <c r="I814" s="263"/>
      <c r="J814" s="263"/>
      <c r="K814" s="263"/>
      <c r="L814" s="263"/>
      <c r="M814" s="263"/>
      <c r="N814" s="263"/>
      <c r="O814" s="263"/>
      <c r="P814" s="263"/>
      <c r="Q814" s="263"/>
      <c r="R814" s="263"/>
      <c r="S814" s="263"/>
      <c r="T814" s="263"/>
      <c r="U814" s="263"/>
      <c r="V814" s="263"/>
      <c r="W814" s="263"/>
      <c r="X814" s="263"/>
      <c r="Y814" s="263"/>
      <c r="Z814" s="263"/>
    </row>
    <row r="815">
      <c r="A815" s="263"/>
      <c r="B815" s="263"/>
      <c r="C815" s="263"/>
      <c r="D815" s="263"/>
      <c r="E815" s="263"/>
      <c r="F815" s="263"/>
      <c r="G815" s="263"/>
      <c r="H815" s="263"/>
      <c r="I815" s="263"/>
      <c r="J815" s="263"/>
      <c r="K815" s="263"/>
      <c r="L815" s="263"/>
      <c r="M815" s="263"/>
      <c r="N815" s="263"/>
      <c r="O815" s="263"/>
      <c r="P815" s="263"/>
      <c r="Q815" s="263"/>
      <c r="R815" s="263"/>
      <c r="S815" s="263"/>
      <c r="T815" s="263"/>
      <c r="U815" s="263"/>
      <c r="V815" s="263"/>
      <c r="W815" s="263"/>
      <c r="X815" s="263"/>
      <c r="Y815" s="263"/>
      <c r="Z815" s="263"/>
    </row>
    <row r="816">
      <c r="A816" s="263"/>
      <c r="B816" s="263"/>
      <c r="C816" s="263"/>
      <c r="D816" s="263"/>
      <c r="E816" s="263"/>
      <c r="F816" s="263"/>
      <c r="G816" s="263"/>
      <c r="H816" s="263"/>
      <c r="I816" s="263"/>
      <c r="J816" s="263"/>
      <c r="K816" s="263"/>
      <c r="L816" s="263"/>
      <c r="M816" s="263"/>
      <c r="N816" s="263"/>
      <c r="O816" s="263"/>
      <c r="P816" s="263"/>
      <c r="Q816" s="263"/>
      <c r="R816" s="263"/>
      <c r="S816" s="263"/>
      <c r="T816" s="263"/>
      <c r="U816" s="263"/>
      <c r="V816" s="263"/>
      <c r="W816" s="263"/>
      <c r="X816" s="263"/>
      <c r="Y816" s="263"/>
      <c r="Z816" s="263"/>
    </row>
    <row r="817">
      <c r="A817" s="263"/>
      <c r="B817" s="263"/>
      <c r="C817" s="263"/>
      <c r="D817" s="263"/>
      <c r="E817" s="263"/>
      <c r="F817" s="263"/>
      <c r="G817" s="263"/>
      <c r="H817" s="263"/>
      <c r="I817" s="263"/>
      <c r="J817" s="263"/>
      <c r="K817" s="263"/>
      <c r="L817" s="263"/>
      <c r="M817" s="263"/>
      <c r="N817" s="263"/>
      <c r="O817" s="263"/>
      <c r="P817" s="263"/>
      <c r="Q817" s="263"/>
      <c r="R817" s="263"/>
      <c r="S817" s="263"/>
      <c r="T817" s="263"/>
      <c r="U817" s="263"/>
      <c r="V817" s="263"/>
      <c r="W817" s="263"/>
      <c r="X817" s="263"/>
      <c r="Y817" s="263"/>
      <c r="Z817" s="263"/>
    </row>
    <row r="818">
      <c r="A818" s="263"/>
      <c r="B818" s="263"/>
      <c r="C818" s="263"/>
      <c r="D818" s="263"/>
      <c r="E818" s="263"/>
      <c r="F818" s="263"/>
      <c r="G818" s="263"/>
      <c r="H818" s="263"/>
      <c r="I818" s="263"/>
      <c r="J818" s="263"/>
      <c r="K818" s="263"/>
      <c r="L818" s="263"/>
      <c r="M818" s="263"/>
      <c r="N818" s="263"/>
      <c r="O818" s="263"/>
      <c r="P818" s="263"/>
      <c r="Q818" s="263"/>
      <c r="R818" s="263"/>
      <c r="S818" s="263"/>
      <c r="T818" s="263"/>
      <c r="U818" s="263"/>
      <c r="V818" s="263"/>
      <c r="W818" s="263"/>
      <c r="X818" s="263"/>
      <c r="Y818" s="263"/>
      <c r="Z818" s="263"/>
    </row>
    <row r="819">
      <c r="A819" s="263"/>
      <c r="B819" s="263"/>
      <c r="C819" s="263"/>
      <c r="D819" s="263"/>
      <c r="E819" s="263"/>
      <c r="F819" s="263"/>
      <c r="G819" s="263"/>
      <c r="H819" s="263"/>
      <c r="I819" s="263"/>
      <c r="J819" s="263"/>
      <c r="K819" s="263"/>
      <c r="L819" s="263"/>
      <c r="M819" s="263"/>
      <c r="N819" s="263"/>
      <c r="O819" s="263"/>
      <c r="P819" s="263"/>
      <c r="Q819" s="263"/>
      <c r="R819" s="263"/>
      <c r="S819" s="263"/>
      <c r="T819" s="263"/>
      <c r="U819" s="263"/>
      <c r="V819" s="263"/>
      <c r="W819" s="263"/>
      <c r="X819" s="263"/>
      <c r="Y819" s="263"/>
      <c r="Z819" s="263"/>
    </row>
    <row r="820">
      <c r="A820" s="263"/>
      <c r="B820" s="263"/>
      <c r="C820" s="263"/>
      <c r="D820" s="263"/>
      <c r="E820" s="263"/>
      <c r="F820" s="263"/>
      <c r="G820" s="263"/>
      <c r="H820" s="263"/>
      <c r="I820" s="263"/>
      <c r="J820" s="263"/>
      <c r="K820" s="263"/>
      <c r="L820" s="263"/>
      <c r="M820" s="263"/>
      <c r="N820" s="263"/>
      <c r="O820" s="263"/>
      <c r="P820" s="263"/>
      <c r="Q820" s="263"/>
      <c r="R820" s="263"/>
      <c r="S820" s="263"/>
      <c r="T820" s="263"/>
      <c r="U820" s="263"/>
      <c r="V820" s="263"/>
      <c r="W820" s="263"/>
      <c r="X820" s="263"/>
      <c r="Y820" s="263"/>
      <c r="Z820" s="263"/>
    </row>
    <row r="821">
      <c r="A821" s="263"/>
      <c r="B821" s="263"/>
      <c r="C821" s="263"/>
      <c r="D821" s="263"/>
      <c r="E821" s="263"/>
      <c r="F821" s="263"/>
      <c r="G821" s="263"/>
      <c r="H821" s="263"/>
      <c r="I821" s="263"/>
      <c r="J821" s="263"/>
      <c r="K821" s="263"/>
      <c r="L821" s="263"/>
      <c r="M821" s="263"/>
      <c r="N821" s="263"/>
      <c r="O821" s="263"/>
      <c r="P821" s="263"/>
      <c r="Q821" s="263"/>
      <c r="R821" s="263"/>
      <c r="S821" s="263"/>
      <c r="T821" s="263"/>
      <c r="U821" s="263"/>
      <c r="V821" s="263"/>
      <c r="W821" s="263"/>
      <c r="X821" s="263"/>
      <c r="Y821" s="263"/>
      <c r="Z821" s="263"/>
    </row>
    <row r="822">
      <c r="A822" s="263"/>
      <c r="B822" s="263"/>
      <c r="C822" s="263"/>
      <c r="D822" s="263"/>
      <c r="E822" s="263"/>
      <c r="F822" s="263"/>
      <c r="G822" s="263"/>
      <c r="H822" s="263"/>
      <c r="I822" s="263"/>
      <c r="J822" s="263"/>
      <c r="K822" s="263"/>
      <c r="L822" s="263"/>
      <c r="M822" s="263"/>
      <c r="N822" s="263"/>
      <c r="O822" s="263"/>
      <c r="P822" s="263"/>
      <c r="Q822" s="263"/>
      <c r="R822" s="263"/>
      <c r="S822" s="263"/>
      <c r="T822" s="263"/>
      <c r="U822" s="263"/>
      <c r="V822" s="263"/>
      <c r="W822" s="263"/>
      <c r="X822" s="263"/>
      <c r="Y822" s="263"/>
      <c r="Z822" s="263"/>
    </row>
    <row r="823">
      <c r="A823" s="263"/>
      <c r="B823" s="263"/>
      <c r="C823" s="263"/>
      <c r="D823" s="263"/>
      <c r="E823" s="263"/>
      <c r="F823" s="263"/>
      <c r="G823" s="263"/>
      <c r="H823" s="263"/>
      <c r="I823" s="263"/>
      <c r="J823" s="263"/>
      <c r="K823" s="263"/>
      <c r="L823" s="263"/>
      <c r="M823" s="263"/>
      <c r="N823" s="263"/>
      <c r="O823" s="263"/>
      <c r="P823" s="263"/>
      <c r="Q823" s="263"/>
      <c r="R823" s="263"/>
      <c r="S823" s="263"/>
      <c r="T823" s="263"/>
      <c r="U823" s="263"/>
      <c r="V823" s="263"/>
      <c r="W823" s="263"/>
      <c r="X823" s="263"/>
      <c r="Y823" s="263"/>
      <c r="Z823" s="263"/>
    </row>
    <row r="824">
      <c r="A824" s="263"/>
      <c r="B824" s="263"/>
      <c r="C824" s="263"/>
      <c r="D824" s="263"/>
      <c r="E824" s="263"/>
      <c r="F824" s="263"/>
      <c r="G824" s="263"/>
      <c r="H824" s="263"/>
      <c r="I824" s="263"/>
      <c r="J824" s="263"/>
      <c r="K824" s="263"/>
      <c r="L824" s="263"/>
      <c r="M824" s="263"/>
      <c r="N824" s="263"/>
      <c r="O824" s="263"/>
      <c r="P824" s="263"/>
      <c r="Q824" s="263"/>
      <c r="R824" s="263"/>
      <c r="S824" s="263"/>
      <c r="T824" s="263"/>
      <c r="U824" s="263"/>
      <c r="V824" s="263"/>
      <c r="W824" s="263"/>
      <c r="X824" s="263"/>
      <c r="Y824" s="263"/>
      <c r="Z824" s="263"/>
    </row>
    <row r="825">
      <c r="A825" s="263"/>
      <c r="B825" s="263"/>
      <c r="C825" s="263"/>
      <c r="D825" s="263"/>
      <c r="E825" s="263"/>
      <c r="F825" s="263"/>
      <c r="G825" s="263"/>
      <c r="H825" s="263"/>
      <c r="I825" s="263"/>
      <c r="J825" s="263"/>
      <c r="K825" s="263"/>
      <c r="L825" s="263"/>
      <c r="M825" s="263"/>
      <c r="N825" s="263"/>
      <c r="O825" s="263"/>
      <c r="P825" s="263"/>
      <c r="Q825" s="263"/>
      <c r="R825" s="263"/>
      <c r="S825" s="263"/>
      <c r="T825" s="263"/>
      <c r="U825" s="263"/>
      <c r="V825" s="263"/>
      <c r="W825" s="263"/>
      <c r="X825" s="263"/>
      <c r="Y825" s="263"/>
      <c r="Z825" s="263"/>
    </row>
    <row r="826">
      <c r="A826" s="263"/>
      <c r="B826" s="263"/>
      <c r="C826" s="263"/>
      <c r="D826" s="263"/>
      <c r="E826" s="263"/>
      <c r="F826" s="263"/>
      <c r="G826" s="263"/>
      <c r="H826" s="263"/>
      <c r="I826" s="263"/>
      <c r="J826" s="263"/>
      <c r="K826" s="263"/>
      <c r="L826" s="263"/>
      <c r="M826" s="263"/>
      <c r="N826" s="263"/>
      <c r="O826" s="263"/>
      <c r="P826" s="263"/>
      <c r="Q826" s="263"/>
      <c r="R826" s="263"/>
      <c r="S826" s="263"/>
      <c r="T826" s="263"/>
      <c r="U826" s="263"/>
      <c r="V826" s="263"/>
      <c r="W826" s="263"/>
      <c r="X826" s="263"/>
      <c r="Y826" s="263"/>
      <c r="Z826" s="263"/>
    </row>
    <row r="827">
      <c r="A827" s="263"/>
      <c r="B827" s="263"/>
      <c r="C827" s="263"/>
      <c r="D827" s="263"/>
      <c r="E827" s="263"/>
      <c r="F827" s="263"/>
      <c r="G827" s="263"/>
      <c r="H827" s="263"/>
      <c r="I827" s="263"/>
      <c r="J827" s="263"/>
      <c r="K827" s="263"/>
      <c r="L827" s="263"/>
      <c r="M827" s="263"/>
      <c r="N827" s="263"/>
      <c r="O827" s="263"/>
      <c r="P827" s="263"/>
      <c r="Q827" s="263"/>
      <c r="R827" s="263"/>
      <c r="S827" s="263"/>
      <c r="T827" s="263"/>
      <c r="U827" s="263"/>
      <c r="V827" s="263"/>
      <c r="W827" s="263"/>
      <c r="X827" s="263"/>
      <c r="Y827" s="263"/>
      <c r="Z827" s="263"/>
    </row>
    <row r="828">
      <c r="A828" s="263"/>
      <c r="B828" s="263"/>
      <c r="C828" s="263"/>
      <c r="D828" s="263"/>
      <c r="E828" s="263"/>
      <c r="F828" s="263"/>
      <c r="G828" s="263"/>
      <c r="H828" s="263"/>
      <c r="I828" s="263"/>
      <c r="J828" s="263"/>
      <c r="K828" s="263"/>
      <c r="L828" s="263"/>
      <c r="M828" s="263"/>
      <c r="N828" s="263"/>
      <c r="O828" s="263"/>
      <c r="P828" s="263"/>
      <c r="Q828" s="263"/>
      <c r="R828" s="263"/>
      <c r="S828" s="263"/>
      <c r="T828" s="263"/>
      <c r="U828" s="263"/>
      <c r="V828" s="263"/>
      <c r="W828" s="263"/>
      <c r="X828" s="263"/>
      <c r="Y828" s="263"/>
      <c r="Z828" s="263"/>
    </row>
    <row r="829">
      <c r="A829" s="263"/>
      <c r="B829" s="263"/>
      <c r="C829" s="263"/>
      <c r="D829" s="263"/>
      <c r="E829" s="263"/>
      <c r="F829" s="263"/>
      <c r="G829" s="263"/>
      <c r="H829" s="263"/>
      <c r="I829" s="263"/>
      <c r="J829" s="263"/>
      <c r="K829" s="263"/>
      <c r="L829" s="263"/>
      <c r="M829" s="263"/>
      <c r="N829" s="263"/>
      <c r="O829" s="263"/>
      <c r="P829" s="263"/>
      <c r="Q829" s="263"/>
      <c r="R829" s="263"/>
      <c r="S829" s="263"/>
      <c r="T829" s="263"/>
      <c r="U829" s="263"/>
      <c r="V829" s="263"/>
      <c r="W829" s="263"/>
      <c r="X829" s="263"/>
      <c r="Y829" s="263"/>
      <c r="Z829" s="263"/>
    </row>
    <row r="830">
      <c r="A830" s="263"/>
      <c r="B830" s="263"/>
      <c r="C830" s="263"/>
      <c r="D830" s="263"/>
      <c r="E830" s="263"/>
      <c r="F830" s="263"/>
      <c r="G830" s="263"/>
      <c r="H830" s="263"/>
      <c r="I830" s="263"/>
      <c r="J830" s="263"/>
      <c r="K830" s="263"/>
      <c r="L830" s="263"/>
      <c r="M830" s="263"/>
      <c r="N830" s="263"/>
      <c r="O830" s="263"/>
      <c r="P830" s="263"/>
      <c r="Q830" s="263"/>
      <c r="R830" s="263"/>
      <c r="S830" s="263"/>
      <c r="T830" s="263"/>
      <c r="U830" s="263"/>
      <c r="V830" s="263"/>
      <c r="W830" s="263"/>
      <c r="X830" s="263"/>
      <c r="Y830" s="263"/>
      <c r="Z830" s="263"/>
    </row>
    <row r="831">
      <c r="A831" s="263"/>
      <c r="B831" s="263"/>
      <c r="C831" s="263"/>
      <c r="D831" s="263"/>
      <c r="E831" s="263"/>
      <c r="F831" s="263"/>
      <c r="G831" s="263"/>
      <c r="H831" s="263"/>
      <c r="I831" s="263"/>
      <c r="J831" s="263"/>
      <c r="K831" s="263"/>
      <c r="L831" s="263"/>
      <c r="M831" s="263"/>
      <c r="N831" s="263"/>
      <c r="O831" s="263"/>
      <c r="P831" s="263"/>
      <c r="Q831" s="263"/>
      <c r="R831" s="263"/>
      <c r="S831" s="263"/>
      <c r="T831" s="263"/>
      <c r="U831" s="263"/>
      <c r="V831" s="263"/>
      <c r="W831" s="263"/>
      <c r="X831" s="263"/>
      <c r="Y831" s="263"/>
      <c r="Z831" s="263"/>
    </row>
    <row r="832">
      <c r="A832" s="263"/>
      <c r="B832" s="263"/>
      <c r="C832" s="263"/>
      <c r="D832" s="263"/>
      <c r="E832" s="263"/>
      <c r="F832" s="263"/>
      <c r="G832" s="263"/>
      <c r="H832" s="263"/>
      <c r="I832" s="263"/>
      <c r="J832" s="263"/>
      <c r="K832" s="263"/>
      <c r="L832" s="263"/>
      <c r="M832" s="263"/>
      <c r="N832" s="263"/>
      <c r="O832" s="263"/>
      <c r="P832" s="263"/>
      <c r="Q832" s="263"/>
      <c r="R832" s="263"/>
      <c r="S832" s="263"/>
      <c r="T832" s="263"/>
      <c r="U832" s="263"/>
      <c r="V832" s="263"/>
      <c r="W832" s="263"/>
      <c r="X832" s="263"/>
      <c r="Y832" s="263"/>
      <c r="Z832" s="263"/>
    </row>
    <row r="833">
      <c r="A833" s="263"/>
      <c r="B833" s="263"/>
      <c r="C833" s="263"/>
      <c r="D833" s="263"/>
      <c r="E833" s="263"/>
      <c r="F833" s="263"/>
      <c r="G833" s="263"/>
      <c r="H833" s="263"/>
      <c r="I833" s="263"/>
      <c r="J833" s="263"/>
      <c r="K833" s="263"/>
      <c r="L833" s="263"/>
      <c r="M833" s="263"/>
      <c r="N833" s="263"/>
      <c r="O833" s="263"/>
      <c r="P833" s="263"/>
      <c r="Q833" s="263"/>
      <c r="R833" s="263"/>
      <c r="S833" s="263"/>
      <c r="T833" s="263"/>
      <c r="U833" s="263"/>
      <c r="V833" s="263"/>
      <c r="W833" s="263"/>
      <c r="X833" s="263"/>
      <c r="Y833" s="263"/>
      <c r="Z833" s="263"/>
    </row>
    <row r="834">
      <c r="A834" s="263"/>
      <c r="B834" s="263"/>
      <c r="C834" s="263"/>
      <c r="D834" s="263"/>
      <c r="E834" s="263"/>
      <c r="F834" s="263"/>
      <c r="G834" s="263"/>
      <c r="H834" s="263"/>
      <c r="I834" s="263"/>
      <c r="J834" s="263"/>
      <c r="K834" s="263"/>
      <c r="L834" s="263"/>
      <c r="M834" s="263"/>
      <c r="N834" s="263"/>
      <c r="O834" s="263"/>
      <c r="P834" s="263"/>
      <c r="Q834" s="263"/>
      <c r="R834" s="263"/>
      <c r="S834" s="263"/>
      <c r="T834" s="263"/>
      <c r="U834" s="263"/>
      <c r="V834" s="263"/>
      <c r="W834" s="263"/>
      <c r="X834" s="263"/>
      <c r="Y834" s="263"/>
      <c r="Z834" s="263"/>
    </row>
    <row r="835">
      <c r="A835" s="263"/>
      <c r="B835" s="263"/>
      <c r="C835" s="263"/>
      <c r="D835" s="263"/>
      <c r="E835" s="263"/>
      <c r="F835" s="263"/>
      <c r="G835" s="263"/>
      <c r="H835" s="263"/>
      <c r="I835" s="263"/>
      <c r="J835" s="263"/>
      <c r="K835" s="263"/>
      <c r="L835" s="263"/>
      <c r="M835" s="263"/>
      <c r="N835" s="263"/>
      <c r="O835" s="263"/>
      <c r="P835" s="263"/>
      <c r="Q835" s="263"/>
      <c r="R835" s="263"/>
      <c r="S835" s="263"/>
      <c r="T835" s="263"/>
      <c r="U835" s="263"/>
      <c r="V835" s="263"/>
      <c r="W835" s="263"/>
      <c r="X835" s="263"/>
      <c r="Y835" s="263"/>
      <c r="Z835" s="263"/>
    </row>
    <row r="836">
      <c r="A836" s="263"/>
      <c r="B836" s="263"/>
      <c r="C836" s="263"/>
      <c r="D836" s="263"/>
      <c r="E836" s="263"/>
      <c r="F836" s="263"/>
      <c r="G836" s="263"/>
      <c r="H836" s="263"/>
      <c r="I836" s="263"/>
      <c r="J836" s="263"/>
      <c r="K836" s="263"/>
      <c r="L836" s="263"/>
      <c r="M836" s="263"/>
      <c r="N836" s="263"/>
      <c r="O836" s="263"/>
      <c r="P836" s="263"/>
      <c r="Q836" s="263"/>
      <c r="R836" s="263"/>
      <c r="S836" s="263"/>
      <c r="T836" s="263"/>
      <c r="U836" s="263"/>
      <c r="V836" s="263"/>
      <c r="W836" s="263"/>
      <c r="X836" s="263"/>
      <c r="Y836" s="263"/>
      <c r="Z836" s="263"/>
    </row>
    <row r="837">
      <c r="A837" s="263"/>
      <c r="B837" s="263"/>
      <c r="C837" s="263"/>
      <c r="D837" s="263"/>
      <c r="E837" s="263"/>
      <c r="F837" s="263"/>
      <c r="G837" s="263"/>
      <c r="H837" s="263"/>
      <c r="I837" s="263"/>
      <c r="J837" s="263"/>
      <c r="K837" s="263"/>
      <c r="L837" s="263"/>
      <c r="M837" s="263"/>
      <c r="N837" s="263"/>
      <c r="O837" s="263"/>
      <c r="P837" s="263"/>
      <c r="Q837" s="263"/>
      <c r="R837" s="263"/>
      <c r="S837" s="263"/>
      <c r="T837" s="263"/>
      <c r="U837" s="263"/>
      <c r="V837" s="263"/>
      <c r="W837" s="263"/>
      <c r="X837" s="263"/>
      <c r="Y837" s="263"/>
      <c r="Z837" s="263"/>
    </row>
    <row r="838">
      <c r="A838" s="263"/>
      <c r="B838" s="263"/>
      <c r="C838" s="263"/>
      <c r="D838" s="263"/>
      <c r="E838" s="263"/>
      <c r="F838" s="263"/>
      <c r="G838" s="263"/>
      <c r="H838" s="263"/>
      <c r="I838" s="263"/>
      <c r="J838" s="263"/>
      <c r="K838" s="263"/>
      <c r="L838" s="263"/>
      <c r="M838" s="263"/>
      <c r="N838" s="263"/>
      <c r="O838" s="263"/>
      <c r="P838" s="263"/>
      <c r="Q838" s="263"/>
      <c r="R838" s="263"/>
      <c r="S838" s="263"/>
      <c r="T838" s="263"/>
      <c r="U838" s="263"/>
      <c r="V838" s="263"/>
      <c r="W838" s="263"/>
      <c r="X838" s="263"/>
      <c r="Y838" s="263"/>
      <c r="Z838" s="263"/>
    </row>
    <row r="839">
      <c r="A839" s="263"/>
      <c r="B839" s="263"/>
      <c r="C839" s="263"/>
      <c r="D839" s="263"/>
      <c r="E839" s="263"/>
      <c r="F839" s="263"/>
      <c r="G839" s="263"/>
      <c r="H839" s="263"/>
      <c r="I839" s="263"/>
      <c r="J839" s="263"/>
      <c r="K839" s="263"/>
      <c r="L839" s="263"/>
      <c r="M839" s="263"/>
      <c r="N839" s="263"/>
      <c r="O839" s="263"/>
      <c r="P839" s="263"/>
      <c r="Q839" s="263"/>
      <c r="R839" s="263"/>
      <c r="S839" s="263"/>
      <c r="T839" s="263"/>
      <c r="U839" s="263"/>
      <c r="V839" s="263"/>
      <c r="W839" s="263"/>
      <c r="X839" s="263"/>
      <c r="Y839" s="263"/>
      <c r="Z839" s="263"/>
    </row>
    <row r="840">
      <c r="A840" s="263"/>
      <c r="B840" s="263"/>
      <c r="C840" s="263"/>
      <c r="D840" s="263"/>
      <c r="E840" s="263"/>
      <c r="F840" s="263"/>
      <c r="G840" s="263"/>
      <c r="H840" s="263"/>
      <c r="I840" s="263"/>
      <c r="J840" s="263"/>
      <c r="K840" s="263"/>
      <c r="L840" s="263"/>
      <c r="M840" s="263"/>
      <c r="N840" s="263"/>
      <c r="O840" s="263"/>
      <c r="P840" s="263"/>
      <c r="Q840" s="263"/>
      <c r="R840" s="263"/>
      <c r="S840" s="263"/>
      <c r="T840" s="263"/>
      <c r="U840" s="263"/>
      <c r="V840" s="263"/>
      <c r="W840" s="263"/>
      <c r="X840" s="263"/>
      <c r="Y840" s="263"/>
      <c r="Z840" s="263"/>
    </row>
    <row r="841">
      <c r="A841" s="263"/>
      <c r="B841" s="263"/>
      <c r="C841" s="263"/>
      <c r="D841" s="263"/>
      <c r="E841" s="263"/>
      <c r="F841" s="263"/>
      <c r="G841" s="263"/>
      <c r="H841" s="263"/>
      <c r="I841" s="263"/>
      <c r="J841" s="263"/>
      <c r="K841" s="263"/>
      <c r="L841" s="263"/>
      <c r="M841" s="263"/>
      <c r="N841" s="263"/>
      <c r="O841" s="263"/>
      <c r="P841" s="263"/>
      <c r="Q841" s="263"/>
      <c r="R841" s="263"/>
      <c r="S841" s="263"/>
      <c r="T841" s="263"/>
      <c r="U841" s="263"/>
      <c r="V841" s="263"/>
      <c r="W841" s="263"/>
      <c r="X841" s="263"/>
      <c r="Y841" s="263"/>
      <c r="Z841" s="263"/>
    </row>
    <row r="842">
      <c r="A842" s="263"/>
      <c r="B842" s="263"/>
      <c r="C842" s="263"/>
      <c r="D842" s="263"/>
      <c r="E842" s="263"/>
      <c r="F842" s="263"/>
      <c r="G842" s="263"/>
      <c r="H842" s="263"/>
      <c r="I842" s="263"/>
      <c r="J842" s="263"/>
      <c r="K842" s="263"/>
      <c r="L842" s="263"/>
      <c r="M842" s="263"/>
      <c r="N842" s="263"/>
      <c r="O842" s="263"/>
      <c r="P842" s="263"/>
      <c r="Q842" s="263"/>
      <c r="R842" s="263"/>
      <c r="S842" s="263"/>
      <c r="T842" s="263"/>
      <c r="U842" s="263"/>
      <c r="V842" s="263"/>
      <c r="W842" s="263"/>
      <c r="X842" s="263"/>
      <c r="Y842" s="263"/>
      <c r="Z842" s="263"/>
    </row>
    <row r="843">
      <c r="A843" s="263"/>
      <c r="B843" s="263"/>
      <c r="C843" s="263"/>
      <c r="D843" s="263"/>
      <c r="E843" s="263"/>
      <c r="F843" s="263"/>
      <c r="G843" s="263"/>
      <c r="H843" s="263"/>
      <c r="I843" s="263"/>
      <c r="J843" s="263"/>
      <c r="K843" s="263"/>
      <c r="L843" s="263"/>
      <c r="M843" s="263"/>
      <c r="N843" s="263"/>
      <c r="O843" s="263"/>
      <c r="P843" s="263"/>
      <c r="Q843" s="263"/>
      <c r="R843" s="263"/>
      <c r="S843" s="263"/>
      <c r="T843" s="263"/>
      <c r="U843" s="263"/>
      <c r="V843" s="263"/>
      <c r="W843" s="263"/>
      <c r="X843" s="263"/>
      <c r="Y843" s="263"/>
      <c r="Z843" s="263"/>
    </row>
    <row r="844">
      <c r="A844" s="263"/>
      <c r="B844" s="263"/>
      <c r="C844" s="263"/>
      <c r="D844" s="263"/>
      <c r="E844" s="263"/>
      <c r="F844" s="263"/>
      <c r="G844" s="263"/>
      <c r="H844" s="263"/>
      <c r="I844" s="263"/>
      <c r="J844" s="263"/>
      <c r="K844" s="263"/>
      <c r="L844" s="263"/>
      <c r="M844" s="263"/>
      <c r="N844" s="263"/>
      <c r="O844" s="263"/>
      <c r="P844" s="263"/>
      <c r="Q844" s="263"/>
      <c r="R844" s="263"/>
      <c r="S844" s="263"/>
      <c r="T844" s="263"/>
      <c r="U844" s="263"/>
      <c r="V844" s="263"/>
      <c r="W844" s="263"/>
      <c r="X844" s="263"/>
      <c r="Y844" s="263"/>
      <c r="Z844" s="263"/>
    </row>
    <row r="845">
      <c r="A845" s="263"/>
      <c r="B845" s="263"/>
      <c r="C845" s="263"/>
      <c r="D845" s="263"/>
      <c r="E845" s="263"/>
      <c r="F845" s="263"/>
      <c r="G845" s="263"/>
      <c r="H845" s="263"/>
      <c r="I845" s="263"/>
      <c r="J845" s="263"/>
      <c r="K845" s="263"/>
      <c r="L845" s="263"/>
      <c r="M845" s="263"/>
      <c r="N845" s="263"/>
      <c r="O845" s="263"/>
      <c r="P845" s="263"/>
      <c r="Q845" s="263"/>
      <c r="R845" s="263"/>
      <c r="S845" s="263"/>
      <c r="T845" s="263"/>
      <c r="U845" s="263"/>
      <c r="V845" s="263"/>
      <c r="W845" s="263"/>
      <c r="X845" s="263"/>
      <c r="Y845" s="263"/>
      <c r="Z845" s="263"/>
    </row>
    <row r="846">
      <c r="A846" s="263"/>
      <c r="B846" s="263"/>
      <c r="C846" s="263"/>
      <c r="D846" s="263"/>
      <c r="E846" s="263"/>
      <c r="F846" s="263"/>
      <c r="G846" s="263"/>
      <c r="H846" s="263"/>
      <c r="I846" s="263"/>
      <c r="J846" s="263"/>
      <c r="K846" s="263"/>
      <c r="L846" s="263"/>
      <c r="M846" s="263"/>
      <c r="N846" s="263"/>
      <c r="O846" s="263"/>
      <c r="P846" s="263"/>
      <c r="Q846" s="263"/>
      <c r="R846" s="263"/>
      <c r="S846" s="263"/>
      <c r="T846" s="263"/>
      <c r="U846" s="263"/>
      <c r="V846" s="263"/>
      <c r="W846" s="263"/>
      <c r="X846" s="263"/>
      <c r="Y846" s="263"/>
      <c r="Z846" s="263"/>
    </row>
    <row r="847">
      <c r="A847" s="263"/>
      <c r="B847" s="263"/>
      <c r="C847" s="263"/>
      <c r="D847" s="263"/>
      <c r="E847" s="263"/>
      <c r="F847" s="263"/>
      <c r="G847" s="263"/>
      <c r="H847" s="263"/>
      <c r="I847" s="263"/>
      <c r="J847" s="263"/>
      <c r="K847" s="263"/>
      <c r="L847" s="263"/>
      <c r="M847" s="263"/>
      <c r="N847" s="263"/>
      <c r="O847" s="263"/>
      <c r="P847" s="263"/>
      <c r="Q847" s="263"/>
      <c r="R847" s="263"/>
      <c r="S847" s="263"/>
      <c r="T847" s="263"/>
      <c r="U847" s="263"/>
      <c r="V847" s="263"/>
      <c r="W847" s="263"/>
      <c r="X847" s="263"/>
      <c r="Y847" s="263"/>
      <c r="Z847" s="263"/>
    </row>
    <row r="848">
      <c r="A848" s="263"/>
      <c r="B848" s="263"/>
      <c r="C848" s="263"/>
      <c r="D848" s="263"/>
      <c r="E848" s="263"/>
      <c r="F848" s="263"/>
      <c r="G848" s="263"/>
      <c r="H848" s="263"/>
      <c r="I848" s="263"/>
      <c r="J848" s="263"/>
      <c r="K848" s="263"/>
      <c r="L848" s="263"/>
      <c r="M848" s="263"/>
      <c r="N848" s="263"/>
      <c r="O848" s="263"/>
      <c r="P848" s="263"/>
      <c r="Q848" s="263"/>
      <c r="R848" s="263"/>
      <c r="S848" s="263"/>
      <c r="T848" s="263"/>
      <c r="U848" s="263"/>
      <c r="V848" s="263"/>
      <c r="W848" s="263"/>
      <c r="X848" s="263"/>
      <c r="Y848" s="263"/>
      <c r="Z848" s="263"/>
    </row>
    <row r="849">
      <c r="A849" s="263"/>
      <c r="B849" s="263"/>
      <c r="C849" s="263"/>
      <c r="D849" s="263"/>
      <c r="E849" s="263"/>
      <c r="F849" s="263"/>
      <c r="G849" s="263"/>
      <c r="H849" s="263"/>
      <c r="I849" s="263"/>
      <c r="J849" s="263"/>
      <c r="K849" s="263"/>
      <c r="L849" s="263"/>
      <c r="M849" s="263"/>
      <c r="N849" s="263"/>
      <c r="O849" s="263"/>
      <c r="P849" s="263"/>
      <c r="Q849" s="263"/>
      <c r="R849" s="263"/>
      <c r="S849" s="263"/>
      <c r="T849" s="263"/>
      <c r="U849" s="263"/>
      <c r="V849" s="263"/>
      <c r="W849" s="263"/>
      <c r="X849" s="263"/>
      <c r="Y849" s="263"/>
      <c r="Z849" s="263"/>
    </row>
    <row r="850">
      <c r="A850" s="263"/>
      <c r="B850" s="263"/>
      <c r="C850" s="263"/>
      <c r="D850" s="263"/>
      <c r="E850" s="263"/>
      <c r="F850" s="263"/>
      <c r="G850" s="263"/>
      <c r="H850" s="263"/>
      <c r="I850" s="263"/>
      <c r="J850" s="263"/>
      <c r="K850" s="263"/>
      <c r="L850" s="263"/>
      <c r="M850" s="263"/>
      <c r="N850" s="263"/>
      <c r="O850" s="263"/>
      <c r="P850" s="263"/>
      <c r="Q850" s="263"/>
      <c r="R850" s="263"/>
      <c r="S850" s="263"/>
      <c r="T850" s="263"/>
      <c r="U850" s="263"/>
      <c r="V850" s="263"/>
      <c r="W850" s="263"/>
      <c r="X850" s="263"/>
      <c r="Y850" s="263"/>
      <c r="Z850" s="263"/>
    </row>
    <row r="851">
      <c r="A851" s="263"/>
      <c r="B851" s="263"/>
      <c r="C851" s="263"/>
      <c r="D851" s="263"/>
      <c r="E851" s="263"/>
      <c r="F851" s="263"/>
      <c r="G851" s="263"/>
      <c r="H851" s="263"/>
      <c r="I851" s="263"/>
      <c r="J851" s="263"/>
      <c r="K851" s="263"/>
      <c r="L851" s="263"/>
      <c r="M851" s="263"/>
      <c r="N851" s="263"/>
      <c r="O851" s="263"/>
      <c r="P851" s="263"/>
      <c r="Q851" s="263"/>
      <c r="R851" s="263"/>
      <c r="S851" s="263"/>
      <c r="T851" s="263"/>
      <c r="U851" s="263"/>
      <c r="V851" s="263"/>
      <c r="W851" s="263"/>
      <c r="X851" s="263"/>
      <c r="Y851" s="263"/>
      <c r="Z851" s="263"/>
    </row>
    <row r="852">
      <c r="A852" s="263"/>
      <c r="B852" s="263"/>
      <c r="C852" s="263"/>
      <c r="D852" s="263"/>
      <c r="E852" s="263"/>
      <c r="F852" s="263"/>
      <c r="G852" s="263"/>
      <c r="H852" s="263"/>
      <c r="I852" s="263"/>
      <c r="J852" s="263"/>
      <c r="K852" s="263"/>
      <c r="L852" s="263"/>
      <c r="M852" s="263"/>
      <c r="N852" s="263"/>
      <c r="O852" s="263"/>
      <c r="P852" s="263"/>
      <c r="Q852" s="263"/>
      <c r="R852" s="263"/>
      <c r="S852" s="263"/>
      <c r="T852" s="263"/>
      <c r="U852" s="263"/>
      <c r="V852" s="263"/>
      <c r="W852" s="263"/>
      <c r="X852" s="263"/>
      <c r="Y852" s="263"/>
      <c r="Z852" s="263"/>
    </row>
    <row r="853">
      <c r="A853" s="263"/>
      <c r="B853" s="263"/>
      <c r="C853" s="263"/>
      <c r="D853" s="263"/>
      <c r="E853" s="263"/>
      <c r="F853" s="263"/>
      <c r="G853" s="263"/>
      <c r="H853" s="263"/>
      <c r="I853" s="263"/>
      <c r="J853" s="263"/>
      <c r="K853" s="263"/>
      <c r="L853" s="263"/>
      <c r="M853" s="263"/>
      <c r="N853" s="263"/>
      <c r="O853" s="263"/>
      <c r="P853" s="263"/>
      <c r="Q853" s="263"/>
      <c r="R853" s="263"/>
      <c r="S853" s="263"/>
      <c r="T853" s="263"/>
      <c r="U853" s="263"/>
      <c r="V853" s="263"/>
      <c r="W853" s="263"/>
      <c r="X853" s="263"/>
      <c r="Y853" s="263"/>
      <c r="Z853" s="263"/>
    </row>
    <row r="854">
      <c r="A854" s="263"/>
      <c r="B854" s="263"/>
      <c r="C854" s="263"/>
      <c r="D854" s="263"/>
      <c r="E854" s="263"/>
      <c r="F854" s="263"/>
      <c r="G854" s="263"/>
      <c r="H854" s="263"/>
      <c r="I854" s="263"/>
      <c r="J854" s="263"/>
      <c r="K854" s="263"/>
      <c r="L854" s="263"/>
      <c r="M854" s="263"/>
      <c r="N854" s="263"/>
      <c r="O854" s="263"/>
      <c r="P854" s="263"/>
      <c r="Q854" s="263"/>
      <c r="R854" s="263"/>
      <c r="S854" s="263"/>
      <c r="T854" s="263"/>
      <c r="U854" s="263"/>
      <c r="V854" s="263"/>
      <c r="W854" s="263"/>
      <c r="X854" s="263"/>
      <c r="Y854" s="263"/>
      <c r="Z854" s="263"/>
    </row>
    <row r="855">
      <c r="A855" s="263"/>
      <c r="B855" s="263"/>
      <c r="C855" s="263"/>
      <c r="D855" s="263"/>
      <c r="E855" s="263"/>
      <c r="F855" s="263"/>
      <c r="G855" s="263"/>
      <c r="H855" s="263"/>
      <c r="I855" s="263"/>
      <c r="J855" s="263"/>
      <c r="K855" s="263"/>
      <c r="L855" s="263"/>
      <c r="M855" s="263"/>
      <c r="N855" s="263"/>
      <c r="O855" s="263"/>
      <c r="P855" s="263"/>
      <c r="Q855" s="263"/>
      <c r="R855" s="263"/>
      <c r="S855" s="263"/>
      <c r="T855" s="263"/>
      <c r="U855" s="263"/>
      <c r="V855" s="263"/>
      <c r="W855" s="263"/>
      <c r="X855" s="263"/>
      <c r="Y855" s="263"/>
      <c r="Z855" s="263"/>
    </row>
    <row r="856">
      <c r="A856" s="263"/>
      <c r="B856" s="263"/>
      <c r="C856" s="263"/>
      <c r="D856" s="263"/>
      <c r="E856" s="263"/>
      <c r="F856" s="263"/>
      <c r="G856" s="263"/>
      <c r="H856" s="263"/>
      <c r="I856" s="263"/>
      <c r="J856" s="263"/>
      <c r="K856" s="263"/>
      <c r="L856" s="263"/>
      <c r="M856" s="263"/>
      <c r="N856" s="263"/>
      <c r="O856" s="263"/>
      <c r="P856" s="263"/>
      <c r="Q856" s="263"/>
      <c r="R856" s="263"/>
      <c r="S856" s="263"/>
      <c r="T856" s="263"/>
      <c r="U856" s="263"/>
      <c r="V856" s="263"/>
      <c r="W856" s="263"/>
      <c r="X856" s="263"/>
      <c r="Y856" s="263"/>
      <c r="Z856" s="263"/>
    </row>
    <row r="857">
      <c r="A857" s="263"/>
      <c r="B857" s="263"/>
      <c r="C857" s="263"/>
      <c r="D857" s="263"/>
      <c r="E857" s="263"/>
      <c r="F857" s="263"/>
      <c r="G857" s="263"/>
      <c r="H857" s="263"/>
      <c r="I857" s="263"/>
      <c r="J857" s="263"/>
      <c r="K857" s="263"/>
      <c r="L857" s="263"/>
      <c r="M857" s="263"/>
      <c r="N857" s="263"/>
      <c r="O857" s="263"/>
      <c r="P857" s="263"/>
      <c r="Q857" s="263"/>
      <c r="R857" s="263"/>
      <c r="S857" s="263"/>
      <c r="T857" s="263"/>
      <c r="U857" s="263"/>
      <c r="V857" s="263"/>
      <c r="W857" s="263"/>
      <c r="X857" s="263"/>
      <c r="Y857" s="263"/>
      <c r="Z857" s="263"/>
    </row>
    <row r="858">
      <c r="A858" s="263"/>
      <c r="B858" s="263"/>
      <c r="C858" s="263"/>
      <c r="D858" s="263"/>
      <c r="E858" s="263"/>
      <c r="F858" s="263"/>
      <c r="G858" s="263"/>
      <c r="H858" s="263"/>
      <c r="I858" s="263"/>
      <c r="J858" s="263"/>
      <c r="K858" s="263"/>
      <c r="L858" s="263"/>
      <c r="M858" s="263"/>
      <c r="N858" s="263"/>
      <c r="O858" s="263"/>
      <c r="P858" s="263"/>
      <c r="Q858" s="263"/>
      <c r="R858" s="263"/>
      <c r="S858" s="263"/>
      <c r="T858" s="263"/>
      <c r="U858" s="263"/>
      <c r="V858" s="263"/>
      <c r="W858" s="263"/>
      <c r="X858" s="263"/>
      <c r="Y858" s="263"/>
      <c r="Z858" s="263"/>
    </row>
    <row r="859">
      <c r="A859" s="263"/>
      <c r="B859" s="263"/>
      <c r="C859" s="263"/>
      <c r="D859" s="263"/>
      <c r="E859" s="263"/>
      <c r="F859" s="263"/>
      <c r="G859" s="263"/>
      <c r="H859" s="263"/>
      <c r="I859" s="263"/>
      <c r="J859" s="263"/>
      <c r="K859" s="263"/>
      <c r="L859" s="263"/>
      <c r="M859" s="263"/>
      <c r="N859" s="263"/>
      <c r="O859" s="263"/>
      <c r="P859" s="263"/>
      <c r="Q859" s="263"/>
      <c r="R859" s="263"/>
      <c r="S859" s="263"/>
      <c r="T859" s="263"/>
      <c r="U859" s="263"/>
      <c r="V859" s="263"/>
      <c r="W859" s="263"/>
      <c r="X859" s="263"/>
      <c r="Y859" s="263"/>
      <c r="Z859" s="263"/>
    </row>
    <row r="860">
      <c r="A860" s="263"/>
      <c r="B860" s="263"/>
      <c r="C860" s="263"/>
      <c r="D860" s="263"/>
      <c r="E860" s="263"/>
      <c r="F860" s="263"/>
      <c r="G860" s="263"/>
      <c r="H860" s="263"/>
      <c r="I860" s="263"/>
      <c r="J860" s="263"/>
      <c r="K860" s="263"/>
      <c r="L860" s="263"/>
      <c r="M860" s="263"/>
      <c r="N860" s="263"/>
      <c r="O860" s="263"/>
      <c r="P860" s="263"/>
      <c r="Q860" s="263"/>
      <c r="R860" s="263"/>
      <c r="S860" s="263"/>
      <c r="T860" s="263"/>
      <c r="U860" s="263"/>
      <c r="V860" s="263"/>
      <c r="W860" s="263"/>
      <c r="X860" s="263"/>
      <c r="Y860" s="263"/>
      <c r="Z860" s="263"/>
    </row>
    <row r="861">
      <c r="A861" s="263"/>
      <c r="B861" s="263"/>
      <c r="C861" s="263"/>
      <c r="D861" s="263"/>
      <c r="E861" s="263"/>
      <c r="F861" s="263"/>
      <c r="G861" s="263"/>
      <c r="H861" s="263"/>
      <c r="I861" s="263"/>
      <c r="J861" s="263"/>
      <c r="K861" s="263"/>
      <c r="L861" s="263"/>
      <c r="M861" s="263"/>
      <c r="N861" s="263"/>
      <c r="O861" s="263"/>
      <c r="P861" s="263"/>
      <c r="Q861" s="263"/>
      <c r="R861" s="263"/>
      <c r="S861" s="263"/>
      <c r="T861" s="263"/>
      <c r="U861" s="263"/>
      <c r="V861" s="263"/>
      <c r="W861" s="263"/>
      <c r="X861" s="263"/>
      <c r="Y861" s="263"/>
      <c r="Z861" s="263"/>
    </row>
    <row r="862">
      <c r="A862" s="263"/>
      <c r="B862" s="263"/>
      <c r="C862" s="263"/>
      <c r="D862" s="263"/>
      <c r="E862" s="263"/>
      <c r="F862" s="263"/>
      <c r="G862" s="263"/>
      <c r="H862" s="263"/>
      <c r="I862" s="263"/>
      <c r="J862" s="263"/>
      <c r="K862" s="263"/>
      <c r="L862" s="263"/>
      <c r="M862" s="263"/>
      <c r="N862" s="263"/>
      <c r="O862" s="263"/>
      <c r="P862" s="263"/>
      <c r="Q862" s="263"/>
      <c r="R862" s="263"/>
      <c r="S862" s="263"/>
      <c r="T862" s="263"/>
      <c r="U862" s="263"/>
      <c r="V862" s="263"/>
      <c r="W862" s="263"/>
      <c r="X862" s="263"/>
      <c r="Y862" s="263"/>
      <c r="Z862" s="263"/>
    </row>
    <row r="863">
      <c r="A863" s="263"/>
      <c r="B863" s="263"/>
      <c r="C863" s="263"/>
      <c r="D863" s="263"/>
      <c r="E863" s="263"/>
      <c r="F863" s="263"/>
      <c r="G863" s="263"/>
      <c r="H863" s="263"/>
      <c r="I863" s="263"/>
      <c r="J863" s="263"/>
      <c r="K863" s="263"/>
      <c r="L863" s="263"/>
      <c r="M863" s="263"/>
      <c r="N863" s="263"/>
      <c r="O863" s="263"/>
      <c r="P863" s="263"/>
      <c r="Q863" s="263"/>
      <c r="R863" s="263"/>
      <c r="S863" s="263"/>
      <c r="T863" s="263"/>
      <c r="U863" s="263"/>
      <c r="V863" s="263"/>
      <c r="W863" s="263"/>
      <c r="X863" s="263"/>
      <c r="Y863" s="263"/>
      <c r="Z863" s="263"/>
    </row>
    <row r="864">
      <c r="A864" s="263"/>
      <c r="B864" s="263"/>
      <c r="C864" s="263"/>
      <c r="D864" s="263"/>
      <c r="E864" s="263"/>
      <c r="F864" s="263"/>
      <c r="G864" s="263"/>
      <c r="H864" s="263"/>
      <c r="I864" s="263"/>
      <c r="J864" s="263"/>
      <c r="K864" s="263"/>
      <c r="L864" s="263"/>
      <c r="M864" s="263"/>
      <c r="N864" s="263"/>
      <c r="O864" s="263"/>
      <c r="P864" s="263"/>
      <c r="Q864" s="263"/>
      <c r="R864" s="263"/>
      <c r="S864" s="263"/>
      <c r="T864" s="263"/>
      <c r="U864" s="263"/>
      <c r="V864" s="263"/>
      <c r="W864" s="263"/>
      <c r="X864" s="263"/>
      <c r="Y864" s="263"/>
      <c r="Z864" s="263"/>
    </row>
    <row r="865">
      <c r="A865" s="263"/>
      <c r="B865" s="263"/>
      <c r="C865" s="263"/>
      <c r="D865" s="263"/>
      <c r="E865" s="263"/>
      <c r="F865" s="263"/>
      <c r="G865" s="263"/>
      <c r="H865" s="263"/>
      <c r="I865" s="263"/>
      <c r="J865" s="263"/>
      <c r="K865" s="263"/>
      <c r="L865" s="263"/>
      <c r="M865" s="263"/>
      <c r="N865" s="263"/>
      <c r="O865" s="263"/>
      <c r="P865" s="263"/>
      <c r="Q865" s="263"/>
      <c r="R865" s="263"/>
      <c r="S865" s="263"/>
      <c r="T865" s="263"/>
      <c r="U865" s="263"/>
      <c r="V865" s="263"/>
      <c r="W865" s="263"/>
      <c r="X865" s="263"/>
      <c r="Y865" s="263"/>
      <c r="Z865" s="263"/>
    </row>
    <row r="866">
      <c r="A866" s="263"/>
      <c r="B866" s="263"/>
      <c r="C866" s="263"/>
      <c r="D866" s="263"/>
      <c r="E866" s="263"/>
      <c r="F866" s="263"/>
      <c r="G866" s="263"/>
      <c r="H866" s="263"/>
      <c r="I866" s="263"/>
      <c r="J866" s="263"/>
      <c r="K866" s="263"/>
      <c r="L866" s="263"/>
      <c r="M866" s="263"/>
      <c r="N866" s="263"/>
      <c r="O866" s="263"/>
      <c r="P866" s="263"/>
      <c r="Q866" s="263"/>
      <c r="R866" s="263"/>
      <c r="S866" s="263"/>
      <c r="T866" s="263"/>
      <c r="U866" s="263"/>
      <c r="V866" s="263"/>
      <c r="W866" s="263"/>
      <c r="X866" s="263"/>
      <c r="Y866" s="263"/>
      <c r="Z866" s="263"/>
    </row>
    <row r="867">
      <c r="A867" s="263"/>
      <c r="B867" s="263"/>
      <c r="C867" s="263"/>
      <c r="D867" s="263"/>
      <c r="E867" s="263"/>
      <c r="F867" s="263"/>
      <c r="G867" s="263"/>
      <c r="H867" s="263"/>
      <c r="I867" s="263"/>
      <c r="J867" s="263"/>
      <c r="K867" s="263"/>
      <c r="L867" s="263"/>
      <c r="M867" s="263"/>
      <c r="N867" s="263"/>
      <c r="O867" s="263"/>
      <c r="P867" s="263"/>
      <c r="Q867" s="263"/>
      <c r="R867" s="263"/>
      <c r="S867" s="263"/>
      <c r="T867" s="263"/>
      <c r="U867" s="263"/>
      <c r="V867" s="263"/>
      <c r="W867" s="263"/>
      <c r="X867" s="263"/>
      <c r="Y867" s="263"/>
      <c r="Z867" s="263"/>
    </row>
    <row r="868">
      <c r="A868" s="263"/>
      <c r="B868" s="263"/>
      <c r="C868" s="263"/>
      <c r="D868" s="263"/>
      <c r="E868" s="263"/>
      <c r="F868" s="263"/>
      <c r="G868" s="263"/>
      <c r="H868" s="263"/>
      <c r="I868" s="263"/>
      <c r="J868" s="263"/>
      <c r="K868" s="263"/>
      <c r="L868" s="263"/>
      <c r="M868" s="263"/>
      <c r="N868" s="263"/>
      <c r="O868" s="263"/>
      <c r="P868" s="263"/>
      <c r="Q868" s="263"/>
      <c r="R868" s="263"/>
      <c r="S868" s="263"/>
      <c r="T868" s="263"/>
      <c r="U868" s="263"/>
      <c r="V868" s="263"/>
      <c r="W868" s="263"/>
      <c r="X868" s="263"/>
      <c r="Y868" s="263"/>
      <c r="Z868" s="263"/>
    </row>
    <row r="869">
      <c r="A869" s="263"/>
      <c r="B869" s="263"/>
      <c r="C869" s="263"/>
      <c r="D869" s="263"/>
      <c r="E869" s="263"/>
      <c r="F869" s="263"/>
      <c r="G869" s="263"/>
      <c r="H869" s="263"/>
      <c r="I869" s="263"/>
      <c r="J869" s="263"/>
      <c r="K869" s="263"/>
      <c r="L869" s="263"/>
      <c r="M869" s="263"/>
      <c r="N869" s="263"/>
      <c r="O869" s="263"/>
      <c r="P869" s="263"/>
      <c r="Q869" s="263"/>
      <c r="R869" s="263"/>
      <c r="S869" s="263"/>
      <c r="T869" s="263"/>
      <c r="U869" s="263"/>
      <c r="V869" s="263"/>
      <c r="W869" s="263"/>
      <c r="X869" s="263"/>
      <c r="Y869" s="263"/>
      <c r="Z869" s="263"/>
    </row>
    <row r="870">
      <c r="A870" s="263"/>
      <c r="B870" s="263"/>
      <c r="C870" s="263"/>
      <c r="D870" s="263"/>
      <c r="E870" s="263"/>
      <c r="F870" s="263"/>
      <c r="G870" s="263"/>
      <c r="H870" s="263"/>
      <c r="I870" s="263"/>
      <c r="J870" s="263"/>
      <c r="K870" s="263"/>
      <c r="L870" s="263"/>
      <c r="M870" s="263"/>
      <c r="N870" s="263"/>
      <c r="O870" s="263"/>
      <c r="P870" s="263"/>
      <c r="Q870" s="263"/>
      <c r="R870" s="263"/>
      <c r="S870" s="263"/>
      <c r="T870" s="263"/>
      <c r="U870" s="263"/>
      <c r="V870" s="263"/>
      <c r="W870" s="263"/>
      <c r="X870" s="263"/>
      <c r="Y870" s="263"/>
      <c r="Z870" s="263"/>
    </row>
    <row r="871">
      <c r="A871" s="263"/>
      <c r="B871" s="263"/>
      <c r="C871" s="263"/>
      <c r="D871" s="263"/>
      <c r="E871" s="263"/>
      <c r="F871" s="263"/>
      <c r="G871" s="263"/>
      <c r="H871" s="263"/>
      <c r="I871" s="263"/>
      <c r="J871" s="263"/>
      <c r="K871" s="263"/>
      <c r="L871" s="263"/>
      <c r="M871" s="263"/>
      <c r="N871" s="263"/>
      <c r="O871" s="263"/>
      <c r="P871" s="263"/>
      <c r="Q871" s="263"/>
      <c r="R871" s="263"/>
      <c r="S871" s="263"/>
      <c r="T871" s="263"/>
      <c r="U871" s="263"/>
      <c r="V871" s="263"/>
      <c r="W871" s="263"/>
      <c r="X871" s="263"/>
      <c r="Y871" s="263"/>
      <c r="Z871" s="263"/>
    </row>
    <row r="872">
      <c r="A872" s="263"/>
      <c r="B872" s="263"/>
      <c r="C872" s="263"/>
      <c r="D872" s="263"/>
      <c r="E872" s="263"/>
      <c r="F872" s="263"/>
      <c r="G872" s="263"/>
      <c r="H872" s="263"/>
      <c r="I872" s="263"/>
      <c r="J872" s="263"/>
      <c r="K872" s="263"/>
      <c r="L872" s="263"/>
      <c r="M872" s="263"/>
      <c r="N872" s="263"/>
      <c r="O872" s="263"/>
      <c r="P872" s="263"/>
      <c r="Q872" s="263"/>
      <c r="R872" s="263"/>
      <c r="S872" s="263"/>
      <c r="T872" s="263"/>
      <c r="U872" s="263"/>
      <c r="V872" s="263"/>
      <c r="W872" s="263"/>
      <c r="X872" s="263"/>
      <c r="Y872" s="263"/>
      <c r="Z872" s="263"/>
    </row>
    <row r="873">
      <c r="A873" s="263"/>
      <c r="B873" s="263"/>
      <c r="C873" s="263"/>
      <c r="D873" s="263"/>
      <c r="E873" s="263"/>
      <c r="F873" s="263"/>
      <c r="G873" s="263"/>
      <c r="H873" s="263"/>
      <c r="I873" s="263"/>
      <c r="J873" s="263"/>
      <c r="K873" s="263"/>
      <c r="L873" s="263"/>
      <c r="M873" s="263"/>
      <c r="N873" s="263"/>
      <c r="O873" s="263"/>
      <c r="P873" s="263"/>
      <c r="Q873" s="263"/>
      <c r="R873" s="263"/>
      <c r="S873" s="263"/>
      <c r="T873" s="263"/>
      <c r="U873" s="263"/>
      <c r="V873" s="263"/>
      <c r="W873" s="263"/>
      <c r="X873" s="263"/>
      <c r="Y873" s="263"/>
      <c r="Z873" s="263"/>
    </row>
    <row r="874">
      <c r="A874" s="263"/>
      <c r="B874" s="263"/>
      <c r="C874" s="263"/>
      <c r="D874" s="263"/>
      <c r="E874" s="263"/>
      <c r="F874" s="263"/>
      <c r="G874" s="263"/>
      <c r="H874" s="263"/>
      <c r="I874" s="263"/>
      <c r="J874" s="263"/>
      <c r="K874" s="263"/>
      <c r="L874" s="263"/>
      <c r="M874" s="263"/>
      <c r="N874" s="263"/>
      <c r="O874" s="263"/>
      <c r="P874" s="263"/>
      <c r="Q874" s="263"/>
      <c r="R874" s="263"/>
      <c r="S874" s="263"/>
      <c r="T874" s="263"/>
      <c r="U874" s="263"/>
      <c r="V874" s="263"/>
      <c r="W874" s="263"/>
      <c r="X874" s="263"/>
      <c r="Y874" s="263"/>
      <c r="Z874" s="263"/>
    </row>
    <row r="875">
      <c r="A875" s="263"/>
      <c r="B875" s="263"/>
      <c r="C875" s="263"/>
      <c r="D875" s="263"/>
      <c r="E875" s="263"/>
      <c r="F875" s="263"/>
      <c r="G875" s="263"/>
      <c r="H875" s="263"/>
      <c r="I875" s="263"/>
      <c r="J875" s="263"/>
      <c r="K875" s="263"/>
      <c r="L875" s="263"/>
      <c r="M875" s="263"/>
      <c r="N875" s="263"/>
      <c r="O875" s="263"/>
      <c r="P875" s="263"/>
      <c r="Q875" s="263"/>
      <c r="R875" s="263"/>
      <c r="S875" s="263"/>
      <c r="T875" s="263"/>
      <c r="U875" s="263"/>
      <c r="V875" s="263"/>
      <c r="W875" s="263"/>
      <c r="X875" s="263"/>
      <c r="Y875" s="263"/>
      <c r="Z875" s="263"/>
    </row>
    <row r="876">
      <c r="A876" s="263"/>
      <c r="B876" s="263"/>
      <c r="C876" s="263"/>
      <c r="D876" s="263"/>
      <c r="E876" s="263"/>
      <c r="F876" s="263"/>
      <c r="G876" s="263"/>
      <c r="H876" s="263"/>
      <c r="I876" s="263"/>
      <c r="J876" s="263"/>
      <c r="K876" s="263"/>
      <c r="L876" s="263"/>
      <c r="M876" s="263"/>
      <c r="N876" s="263"/>
      <c r="O876" s="263"/>
      <c r="P876" s="263"/>
      <c r="Q876" s="263"/>
      <c r="R876" s="263"/>
      <c r="S876" s="263"/>
      <c r="T876" s="263"/>
      <c r="U876" s="263"/>
      <c r="V876" s="263"/>
      <c r="W876" s="263"/>
      <c r="X876" s="263"/>
      <c r="Y876" s="263"/>
      <c r="Z876" s="263"/>
    </row>
    <row r="877">
      <c r="A877" s="263"/>
      <c r="B877" s="263"/>
      <c r="C877" s="263"/>
      <c r="D877" s="263"/>
      <c r="E877" s="263"/>
      <c r="F877" s="263"/>
      <c r="G877" s="263"/>
      <c r="H877" s="263"/>
      <c r="I877" s="263"/>
      <c r="J877" s="263"/>
      <c r="K877" s="263"/>
      <c r="L877" s="263"/>
      <c r="M877" s="263"/>
      <c r="N877" s="263"/>
      <c r="O877" s="263"/>
      <c r="P877" s="263"/>
      <c r="Q877" s="263"/>
      <c r="R877" s="263"/>
      <c r="S877" s="263"/>
      <c r="T877" s="263"/>
      <c r="U877" s="263"/>
      <c r="V877" s="263"/>
      <c r="W877" s="263"/>
      <c r="X877" s="263"/>
      <c r="Y877" s="263"/>
      <c r="Z877" s="263"/>
    </row>
    <row r="878">
      <c r="A878" s="263"/>
      <c r="B878" s="263"/>
      <c r="C878" s="263"/>
      <c r="D878" s="263"/>
      <c r="E878" s="263"/>
      <c r="F878" s="263"/>
      <c r="G878" s="263"/>
      <c r="H878" s="263"/>
      <c r="I878" s="263"/>
      <c r="J878" s="263"/>
      <c r="K878" s="263"/>
      <c r="L878" s="263"/>
      <c r="M878" s="263"/>
      <c r="N878" s="263"/>
      <c r="O878" s="263"/>
      <c r="P878" s="263"/>
      <c r="Q878" s="263"/>
      <c r="R878" s="263"/>
      <c r="S878" s="263"/>
      <c r="T878" s="263"/>
      <c r="U878" s="263"/>
      <c r="V878" s="263"/>
      <c r="W878" s="263"/>
      <c r="X878" s="263"/>
      <c r="Y878" s="263"/>
      <c r="Z878" s="263"/>
    </row>
    <row r="879">
      <c r="A879" s="263"/>
      <c r="B879" s="263"/>
      <c r="C879" s="263"/>
      <c r="D879" s="263"/>
      <c r="E879" s="263"/>
      <c r="F879" s="263"/>
      <c r="G879" s="263"/>
      <c r="H879" s="263"/>
      <c r="I879" s="263"/>
      <c r="J879" s="263"/>
      <c r="K879" s="263"/>
      <c r="L879" s="263"/>
      <c r="M879" s="263"/>
      <c r="N879" s="263"/>
      <c r="O879" s="263"/>
      <c r="P879" s="263"/>
      <c r="Q879" s="263"/>
      <c r="R879" s="263"/>
      <c r="S879" s="263"/>
      <c r="T879" s="263"/>
      <c r="U879" s="263"/>
      <c r="V879" s="263"/>
      <c r="W879" s="263"/>
      <c r="X879" s="263"/>
      <c r="Y879" s="263"/>
      <c r="Z879" s="263"/>
    </row>
    <row r="880">
      <c r="A880" s="263"/>
      <c r="B880" s="263"/>
      <c r="C880" s="263"/>
      <c r="D880" s="263"/>
      <c r="E880" s="263"/>
      <c r="F880" s="263"/>
      <c r="G880" s="263"/>
      <c r="H880" s="263"/>
      <c r="I880" s="263"/>
      <c r="J880" s="263"/>
      <c r="K880" s="263"/>
      <c r="L880" s="263"/>
      <c r="M880" s="263"/>
      <c r="N880" s="263"/>
      <c r="O880" s="263"/>
      <c r="P880" s="263"/>
      <c r="Q880" s="263"/>
      <c r="R880" s="263"/>
      <c r="S880" s="263"/>
      <c r="T880" s="263"/>
      <c r="U880" s="263"/>
      <c r="V880" s="263"/>
      <c r="W880" s="263"/>
      <c r="X880" s="263"/>
      <c r="Y880" s="263"/>
      <c r="Z880" s="263"/>
    </row>
    <row r="881">
      <c r="A881" s="263"/>
      <c r="B881" s="263"/>
      <c r="C881" s="263"/>
      <c r="D881" s="263"/>
      <c r="E881" s="263"/>
      <c r="F881" s="263"/>
      <c r="G881" s="263"/>
      <c r="H881" s="263"/>
      <c r="I881" s="263"/>
      <c r="J881" s="263"/>
      <c r="K881" s="263"/>
      <c r="L881" s="263"/>
      <c r="M881" s="263"/>
      <c r="N881" s="263"/>
      <c r="O881" s="263"/>
      <c r="P881" s="263"/>
      <c r="Q881" s="263"/>
      <c r="R881" s="263"/>
      <c r="S881" s="263"/>
      <c r="T881" s="263"/>
      <c r="U881" s="263"/>
      <c r="V881" s="263"/>
      <c r="W881" s="263"/>
      <c r="X881" s="263"/>
      <c r="Y881" s="263"/>
      <c r="Z881" s="263"/>
    </row>
    <row r="882">
      <c r="A882" s="263"/>
      <c r="B882" s="263"/>
      <c r="C882" s="263"/>
      <c r="D882" s="263"/>
      <c r="E882" s="263"/>
      <c r="F882" s="263"/>
      <c r="G882" s="263"/>
      <c r="H882" s="263"/>
      <c r="I882" s="263"/>
      <c r="J882" s="263"/>
      <c r="K882" s="263"/>
      <c r="L882" s="263"/>
      <c r="M882" s="263"/>
      <c r="N882" s="263"/>
      <c r="O882" s="263"/>
      <c r="P882" s="263"/>
      <c r="Q882" s="263"/>
      <c r="R882" s="263"/>
      <c r="S882" s="263"/>
      <c r="T882" s="263"/>
      <c r="U882" s="263"/>
      <c r="V882" s="263"/>
      <c r="W882" s="263"/>
      <c r="X882" s="263"/>
      <c r="Y882" s="263"/>
      <c r="Z882" s="263"/>
    </row>
    <row r="883">
      <c r="A883" s="263"/>
      <c r="B883" s="263"/>
      <c r="C883" s="263"/>
      <c r="D883" s="263"/>
      <c r="E883" s="263"/>
      <c r="F883" s="263"/>
      <c r="G883" s="263"/>
      <c r="H883" s="263"/>
      <c r="I883" s="263"/>
      <c r="J883" s="263"/>
      <c r="K883" s="263"/>
      <c r="L883" s="263"/>
      <c r="M883" s="263"/>
      <c r="N883" s="263"/>
      <c r="O883" s="263"/>
      <c r="P883" s="263"/>
      <c r="Q883" s="263"/>
      <c r="R883" s="263"/>
      <c r="S883" s="263"/>
      <c r="T883" s="263"/>
      <c r="U883" s="263"/>
      <c r="V883" s="263"/>
      <c r="W883" s="263"/>
      <c r="X883" s="263"/>
      <c r="Y883" s="263"/>
      <c r="Z883" s="263"/>
    </row>
    <row r="884">
      <c r="A884" s="263"/>
      <c r="B884" s="263"/>
      <c r="C884" s="263"/>
      <c r="D884" s="263"/>
      <c r="E884" s="263"/>
      <c r="F884" s="263"/>
      <c r="G884" s="263"/>
      <c r="H884" s="263"/>
      <c r="I884" s="263"/>
      <c r="J884" s="263"/>
      <c r="K884" s="263"/>
      <c r="L884" s="263"/>
      <c r="M884" s="263"/>
      <c r="N884" s="263"/>
      <c r="O884" s="263"/>
      <c r="P884" s="263"/>
      <c r="Q884" s="263"/>
      <c r="R884" s="263"/>
      <c r="S884" s="263"/>
      <c r="T884" s="263"/>
      <c r="U884" s="263"/>
      <c r="V884" s="263"/>
      <c r="W884" s="263"/>
      <c r="X884" s="263"/>
      <c r="Y884" s="263"/>
      <c r="Z884" s="263"/>
    </row>
    <row r="885">
      <c r="A885" s="263"/>
      <c r="B885" s="263"/>
      <c r="C885" s="263"/>
      <c r="D885" s="263"/>
      <c r="E885" s="263"/>
      <c r="F885" s="263"/>
      <c r="G885" s="263"/>
      <c r="H885" s="263"/>
      <c r="I885" s="263"/>
      <c r="J885" s="263"/>
      <c r="K885" s="263"/>
      <c r="L885" s="263"/>
      <c r="M885" s="263"/>
      <c r="N885" s="263"/>
      <c r="O885" s="263"/>
      <c r="P885" s="263"/>
      <c r="Q885" s="263"/>
      <c r="R885" s="263"/>
      <c r="S885" s="263"/>
      <c r="T885" s="263"/>
      <c r="U885" s="263"/>
      <c r="V885" s="263"/>
      <c r="W885" s="263"/>
      <c r="X885" s="263"/>
      <c r="Y885" s="263"/>
      <c r="Z885" s="263"/>
    </row>
    <row r="886">
      <c r="A886" s="263"/>
      <c r="B886" s="263"/>
      <c r="C886" s="263"/>
      <c r="D886" s="263"/>
      <c r="E886" s="263"/>
      <c r="F886" s="263"/>
      <c r="G886" s="263"/>
      <c r="H886" s="263"/>
      <c r="I886" s="263"/>
      <c r="J886" s="263"/>
      <c r="K886" s="263"/>
      <c r="L886" s="263"/>
      <c r="M886" s="263"/>
      <c r="N886" s="263"/>
      <c r="O886" s="263"/>
      <c r="P886" s="263"/>
      <c r="Q886" s="263"/>
      <c r="R886" s="263"/>
      <c r="S886" s="263"/>
      <c r="T886" s="263"/>
      <c r="U886" s="263"/>
      <c r="V886" s="263"/>
      <c r="W886" s="263"/>
      <c r="X886" s="263"/>
      <c r="Y886" s="263"/>
      <c r="Z886" s="263"/>
    </row>
    <row r="887">
      <c r="A887" s="263"/>
      <c r="B887" s="263"/>
      <c r="C887" s="263"/>
      <c r="D887" s="263"/>
      <c r="E887" s="263"/>
      <c r="F887" s="263"/>
      <c r="G887" s="263"/>
      <c r="H887" s="263"/>
      <c r="I887" s="263"/>
      <c r="J887" s="263"/>
      <c r="K887" s="263"/>
      <c r="L887" s="263"/>
      <c r="M887" s="263"/>
      <c r="N887" s="263"/>
      <c r="O887" s="263"/>
      <c r="P887" s="263"/>
      <c r="Q887" s="263"/>
      <c r="R887" s="263"/>
      <c r="S887" s="263"/>
      <c r="T887" s="263"/>
      <c r="U887" s="263"/>
      <c r="V887" s="263"/>
      <c r="W887" s="263"/>
      <c r="X887" s="263"/>
      <c r="Y887" s="263"/>
      <c r="Z887" s="263"/>
    </row>
    <row r="888">
      <c r="A888" s="263"/>
      <c r="B888" s="263"/>
      <c r="C888" s="263"/>
      <c r="D888" s="263"/>
      <c r="E888" s="263"/>
      <c r="F888" s="263"/>
      <c r="G888" s="263"/>
      <c r="H888" s="263"/>
      <c r="I888" s="263"/>
      <c r="J888" s="263"/>
      <c r="K888" s="263"/>
      <c r="L888" s="263"/>
      <c r="M888" s="263"/>
      <c r="N888" s="263"/>
      <c r="O888" s="263"/>
      <c r="P888" s="263"/>
      <c r="Q888" s="263"/>
      <c r="R888" s="263"/>
      <c r="S888" s="263"/>
      <c r="T888" s="263"/>
      <c r="U888" s="263"/>
      <c r="V888" s="263"/>
      <c r="W888" s="263"/>
      <c r="X888" s="263"/>
      <c r="Y888" s="263"/>
      <c r="Z888" s="263"/>
    </row>
    <row r="889">
      <c r="A889" s="263"/>
      <c r="B889" s="263"/>
      <c r="C889" s="263"/>
      <c r="D889" s="263"/>
      <c r="E889" s="263"/>
      <c r="F889" s="263"/>
      <c r="G889" s="263"/>
      <c r="H889" s="263"/>
      <c r="I889" s="263"/>
      <c r="J889" s="263"/>
      <c r="K889" s="263"/>
      <c r="L889" s="263"/>
      <c r="M889" s="263"/>
      <c r="N889" s="263"/>
      <c r="O889" s="263"/>
      <c r="P889" s="263"/>
      <c r="Q889" s="263"/>
      <c r="R889" s="263"/>
      <c r="S889" s="263"/>
      <c r="T889" s="263"/>
      <c r="U889" s="263"/>
      <c r="V889" s="263"/>
      <c r="W889" s="263"/>
      <c r="X889" s="263"/>
      <c r="Y889" s="263"/>
      <c r="Z889" s="263"/>
    </row>
    <row r="890">
      <c r="A890" s="263"/>
      <c r="B890" s="263"/>
      <c r="C890" s="263"/>
      <c r="D890" s="263"/>
      <c r="E890" s="263"/>
      <c r="F890" s="263"/>
      <c r="G890" s="263"/>
      <c r="H890" s="263"/>
      <c r="I890" s="263"/>
      <c r="J890" s="263"/>
      <c r="K890" s="263"/>
      <c r="L890" s="263"/>
      <c r="M890" s="263"/>
      <c r="N890" s="263"/>
      <c r="O890" s="263"/>
      <c r="P890" s="263"/>
      <c r="Q890" s="263"/>
      <c r="R890" s="263"/>
      <c r="S890" s="263"/>
      <c r="T890" s="263"/>
      <c r="U890" s="263"/>
      <c r="V890" s="263"/>
      <c r="W890" s="263"/>
      <c r="X890" s="263"/>
      <c r="Y890" s="263"/>
      <c r="Z890" s="263"/>
    </row>
    <row r="891">
      <c r="A891" s="263"/>
      <c r="B891" s="263"/>
      <c r="C891" s="263"/>
      <c r="D891" s="263"/>
      <c r="E891" s="263"/>
      <c r="F891" s="263"/>
      <c r="G891" s="263"/>
      <c r="H891" s="263"/>
      <c r="I891" s="263"/>
      <c r="J891" s="263"/>
      <c r="K891" s="263"/>
      <c r="L891" s="263"/>
      <c r="M891" s="263"/>
      <c r="N891" s="263"/>
      <c r="O891" s="263"/>
      <c r="P891" s="263"/>
      <c r="Q891" s="263"/>
      <c r="R891" s="263"/>
      <c r="S891" s="263"/>
      <c r="T891" s="263"/>
      <c r="U891" s="263"/>
      <c r="V891" s="263"/>
      <c r="W891" s="263"/>
      <c r="X891" s="263"/>
      <c r="Y891" s="263"/>
      <c r="Z891" s="263"/>
    </row>
    <row r="892">
      <c r="A892" s="263"/>
      <c r="B892" s="263"/>
      <c r="C892" s="263"/>
      <c r="D892" s="263"/>
      <c r="E892" s="263"/>
      <c r="F892" s="263"/>
      <c r="G892" s="263"/>
      <c r="H892" s="263"/>
      <c r="I892" s="263"/>
      <c r="J892" s="263"/>
      <c r="K892" s="263"/>
      <c r="L892" s="263"/>
      <c r="M892" s="263"/>
      <c r="N892" s="263"/>
      <c r="O892" s="263"/>
      <c r="P892" s="263"/>
      <c r="Q892" s="263"/>
      <c r="R892" s="263"/>
      <c r="S892" s="263"/>
      <c r="T892" s="263"/>
      <c r="U892" s="263"/>
      <c r="V892" s="263"/>
      <c r="W892" s="263"/>
      <c r="X892" s="263"/>
      <c r="Y892" s="263"/>
      <c r="Z892" s="263"/>
    </row>
    <row r="893">
      <c r="A893" s="263"/>
      <c r="B893" s="263"/>
      <c r="C893" s="263"/>
      <c r="D893" s="263"/>
      <c r="E893" s="263"/>
      <c r="F893" s="263"/>
      <c r="G893" s="263"/>
      <c r="H893" s="263"/>
      <c r="I893" s="263"/>
      <c r="J893" s="263"/>
      <c r="K893" s="263"/>
      <c r="L893" s="263"/>
      <c r="M893" s="263"/>
      <c r="N893" s="263"/>
      <c r="O893" s="263"/>
      <c r="P893" s="263"/>
      <c r="Q893" s="263"/>
      <c r="R893" s="263"/>
      <c r="S893" s="263"/>
      <c r="T893" s="263"/>
      <c r="U893" s="263"/>
      <c r="V893" s="263"/>
      <c r="W893" s="263"/>
      <c r="X893" s="263"/>
      <c r="Y893" s="263"/>
      <c r="Z893" s="263"/>
    </row>
    <row r="894">
      <c r="A894" s="263"/>
      <c r="B894" s="263"/>
      <c r="C894" s="263"/>
      <c r="D894" s="263"/>
      <c r="E894" s="263"/>
      <c r="F894" s="263"/>
      <c r="G894" s="263"/>
      <c r="H894" s="263"/>
      <c r="I894" s="263"/>
      <c r="J894" s="263"/>
      <c r="K894" s="263"/>
      <c r="L894" s="263"/>
      <c r="M894" s="263"/>
      <c r="N894" s="263"/>
      <c r="O894" s="263"/>
      <c r="P894" s="263"/>
      <c r="Q894" s="263"/>
      <c r="R894" s="263"/>
      <c r="S894" s="263"/>
      <c r="T894" s="263"/>
      <c r="U894" s="263"/>
      <c r="V894" s="263"/>
      <c r="W894" s="263"/>
      <c r="X894" s="263"/>
      <c r="Y894" s="263"/>
      <c r="Z894" s="263"/>
    </row>
    <row r="895">
      <c r="A895" s="263"/>
      <c r="B895" s="263"/>
      <c r="C895" s="263"/>
      <c r="D895" s="263"/>
      <c r="E895" s="263"/>
      <c r="F895" s="263"/>
      <c r="G895" s="263"/>
      <c r="H895" s="263"/>
      <c r="I895" s="263"/>
      <c r="J895" s="263"/>
      <c r="K895" s="263"/>
      <c r="L895" s="263"/>
      <c r="M895" s="263"/>
      <c r="N895" s="263"/>
      <c r="O895" s="263"/>
      <c r="P895" s="263"/>
      <c r="Q895" s="263"/>
      <c r="R895" s="263"/>
      <c r="S895" s="263"/>
      <c r="T895" s="263"/>
      <c r="U895" s="263"/>
      <c r="V895" s="263"/>
      <c r="W895" s="263"/>
      <c r="X895" s="263"/>
      <c r="Y895" s="263"/>
      <c r="Z895" s="263"/>
    </row>
    <row r="896">
      <c r="A896" s="263"/>
      <c r="B896" s="263"/>
      <c r="C896" s="263"/>
      <c r="D896" s="263"/>
      <c r="E896" s="263"/>
      <c r="F896" s="263"/>
      <c r="G896" s="263"/>
      <c r="H896" s="263"/>
      <c r="I896" s="263"/>
      <c r="J896" s="263"/>
      <c r="K896" s="263"/>
      <c r="L896" s="263"/>
      <c r="M896" s="263"/>
      <c r="N896" s="263"/>
      <c r="O896" s="263"/>
      <c r="P896" s="263"/>
      <c r="Q896" s="263"/>
      <c r="R896" s="263"/>
      <c r="S896" s="263"/>
      <c r="T896" s="263"/>
      <c r="U896" s="263"/>
      <c r="V896" s="263"/>
      <c r="W896" s="263"/>
      <c r="X896" s="263"/>
      <c r="Y896" s="263"/>
      <c r="Z896" s="263"/>
    </row>
    <row r="897">
      <c r="A897" s="263"/>
      <c r="B897" s="263"/>
      <c r="C897" s="263"/>
      <c r="D897" s="263"/>
      <c r="E897" s="263"/>
      <c r="F897" s="263"/>
      <c r="G897" s="263"/>
      <c r="H897" s="263"/>
      <c r="I897" s="263"/>
      <c r="J897" s="263"/>
      <c r="K897" s="263"/>
      <c r="L897" s="263"/>
      <c r="M897" s="263"/>
      <c r="N897" s="263"/>
      <c r="O897" s="263"/>
      <c r="P897" s="263"/>
      <c r="Q897" s="263"/>
      <c r="R897" s="263"/>
      <c r="S897" s="263"/>
      <c r="T897" s="263"/>
      <c r="U897" s="263"/>
      <c r="V897" s="263"/>
      <c r="W897" s="263"/>
      <c r="X897" s="263"/>
      <c r="Y897" s="263"/>
      <c r="Z897" s="263"/>
    </row>
    <row r="898">
      <c r="A898" s="263"/>
      <c r="B898" s="263"/>
      <c r="C898" s="263"/>
      <c r="D898" s="263"/>
      <c r="E898" s="263"/>
      <c r="F898" s="263"/>
      <c r="G898" s="263"/>
      <c r="H898" s="263"/>
      <c r="I898" s="263"/>
      <c r="J898" s="263"/>
      <c r="K898" s="263"/>
      <c r="L898" s="263"/>
      <c r="M898" s="263"/>
      <c r="N898" s="263"/>
      <c r="O898" s="263"/>
      <c r="P898" s="263"/>
      <c r="Q898" s="263"/>
      <c r="R898" s="263"/>
      <c r="S898" s="263"/>
      <c r="T898" s="263"/>
      <c r="U898" s="263"/>
      <c r="V898" s="263"/>
      <c r="W898" s="263"/>
      <c r="X898" s="263"/>
      <c r="Y898" s="263"/>
      <c r="Z898" s="263"/>
    </row>
    <row r="899">
      <c r="A899" s="263"/>
      <c r="B899" s="263"/>
      <c r="C899" s="263"/>
      <c r="D899" s="263"/>
      <c r="E899" s="263"/>
      <c r="F899" s="263"/>
      <c r="G899" s="263"/>
      <c r="H899" s="263"/>
      <c r="I899" s="263"/>
      <c r="J899" s="263"/>
      <c r="K899" s="263"/>
      <c r="L899" s="263"/>
      <c r="M899" s="263"/>
      <c r="N899" s="263"/>
      <c r="O899" s="263"/>
      <c r="P899" s="263"/>
      <c r="Q899" s="263"/>
      <c r="R899" s="263"/>
      <c r="S899" s="263"/>
      <c r="T899" s="263"/>
      <c r="U899" s="263"/>
      <c r="V899" s="263"/>
      <c r="W899" s="263"/>
      <c r="X899" s="263"/>
      <c r="Y899" s="263"/>
      <c r="Z899" s="263"/>
    </row>
    <row r="900">
      <c r="A900" s="263"/>
      <c r="B900" s="263"/>
      <c r="C900" s="263"/>
      <c r="D900" s="263"/>
      <c r="E900" s="263"/>
      <c r="F900" s="263"/>
      <c r="G900" s="263"/>
      <c r="H900" s="263"/>
      <c r="I900" s="263"/>
      <c r="J900" s="263"/>
      <c r="K900" s="263"/>
      <c r="L900" s="263"/>
      <c r="M900" s="263"/>
      <c r="N900" s="263"/>
      <c r="O900" s="263"/>
      <c r="P900" s="263"/>
      <c r="Q900" s="263"/>
      <c r="R900" s="263"/>
      <c r="S900" s="263"/>
      <c r="T900" s="263"/>
      <c r="U900" s="263"/>
      <c r="V900" s="263"/>
      <c r="W900" s="263"/>
      <c r="X900" s="263"/>
      <c r="Y900" s="263"/>
      <c r="Z900" s="263"/>
    </row>
    <row r="901">
      <c r="A901" s="263"/>
      <c r="B901" s="263"/>
      <c r="C901" s="263"/>
      <c r="D901" s="263"/>
      <c r="E901" s="263"/>
      <c r="F901" s="263"/>
      <c r="G901" s="263"/>
      <c r="H901" s="263"/>
      <c r="I901" s="263"/>
      <c r="J901" s="263"/>
      <c r="K901" s="263"/>
      <c r="L901" s="263"/>
      <c r="M901" s="263"/>
      <c r="N901" s="263"/>
      <c r="O901" s="263"/>
      <c r="P901" s="263"/>
      <c r="Q901" s="263"/>
      <c r="R901" s="263"/>
      <c r="S901" s="263"/>
      <c r="T901" s="263"/>
      <c r="U901" s="263"/>
      <c r="V901" s="263"/>
      <c r="W901" s="263"/>
      <c r="X901" s="263"/>
      <c r="Y901" s="263"/>
      <c r="Z901" s="263"/>
    </row>
    <row r="902">
      <c r="A902" s="263"/>
      <c r="B902" s="263"/>
      <c r="C902" s="263"/>
      <c r="D902" s="263"/>
      <c r="E902" s="263"/>
      <c r="F902" s="263"/>
      <c r="G902" s="263"/>
      <c r="H902" s="263"/>
      <c r="I902" s="263"/>
      <c r="J902" s="263"/>
      <c r="K902" s="263"/>
      <c r="L902" s="263"/>
      <c r="M902" s="263"/>
      <c r="N902" s="263"/>
      <c r="O902" s="263"/>
      <c r="P902" s="263"/>
      <c r="Q902" s="263"/>
      <c r="R902" s="263"/>
      <c r="S902" s="263"/>
      <c r="T902" s="263"/>
      <c r="U902" s="263"/>
      <c r="V902" s="263"/>
      <c r="W902" s="263"/>
      <c r="X902" s="263"/>
      <c r="Y902" s="263"/>
      <c r="Z902" s="263"/>
    </row>
    <row r="903">
      <c r="A903" s="263"/>
      <c r="B903" s="263"/>
      <c r="C903" s="263"/>
      <c r="D903" s="263"/>
      <c r="E903" s="263"/>
      <c r="F903" s="263"/>
      <c r="G903" s="263"/>
      <c r="H903" s="263"/>
      <c r="I903" s="263"/>
      <c r="J903" s="263"/>
      <c r="K903" s="263"/>
      <c r="L903" s="263"/>
      <c r="M903" s="263"/>
      <c r="N903" s="263"/>
      <c r="O903" s="263"/>
      <c r="P903" s="263"/>
      <c r="Q903" s="263"/>
      <c r="R903" s="263"/>
      <c r="S903" s="263"/>
      <c r="T903" s="263"/>
      <c r="U903" s="263"/>
      <c r="V903" s="263"/>
      <c r="W903" s="263"/>
      <c r="X903" s="263"/>
      <c r="Y903" s="263"/>
      <c r="Z903" s="263"/>
    </row>
    <row r="904">
      <c r="A904" s="263"/>
      <c r="B904" s="263"/>
      <c r="C904" s="263"/>
      <c r="D904" s="263"/>
      <c r="E904" s="263"/>
      <c r="F904" s="263"/>
      <c r="G904" s="263"/>
      <c r="H904" s="263"/>
      <c r="I904" s="263"/>
      <c r="J904" s="263"/>
      <c r="K904" s="263"/>
      <c r="L904" s="263"/>
      <c r="M904" s="263"/>
      <c r="N904" s="263"/>
      <c r="O904" s="263"/>
      <c r="P904" s="263"/>
      <c r="Q904" s="263"/>
      <c r="R904" s="263"/>
      <c r="S904" s="263"/>
      <c r="T904" s="263"/>
      <c r="U904" s="263"/>
      <c r="V904" s="263"/>
      <c r="W904" s="263"/>
      <c r="X904" s="263"/>
      <c r="Y904" s="263"/>
      <c r="Z904" s="263"/>
    </row>
    <row r="905">
      <c r="A905" s="263"/>
      <c r="B905" s="263"/>
      <c r="C905" s="263"/>
      <c r="D905" s="263"/>
      <c r="E905" s="263"/>
      <c r="F905" s="263"/>
      <c r="G905" s="263"/>
      <c r="H905" s="263"/>
      <c r="I905" s="263"/>
      <c r="J905" s="263"/>
      <c r="K905" s="263"/>
      <c r="L905" s="263"/>
      <c r="M905" s="263"/>
      <c r="N905" s="263"/>
      <c r="O905" s="263"/>
      <c r="P905" s="263"/>
      <c r="Q905" s="263"/>
      <c r="R905" s="263"/>
      <c r="S905" s="263"/>
      <c r="T905" s="263"/>
      <c r="U905" s="263"/>
      <c r="V905" s="263"/>
      <c r="W905" s="263"/>
      <c r="X905" s="263"/>
      <c r="Y905" s="263"/>
      <c r="Z905" s="263"/>
    </row>
    <row r="906">
      <c r="A906" s="263"/>
      <c r="B906" s="263"/>
      <c r="C906" s="263"/>
      <c r="D906" s="263"/>
      <c r="E906" s="263"/>
      <c r="F906" s="263"/>
      <c r="G906" s="263"/>
      <c r="H906" s="263"/>
      <c r="I906" s="263"/>
      <c r="J906" s="263"/>
      <c r="K906" s="263"/>
      <c r="L906" s="263"/>
      <c r="M906" s="263"/>
      <c r="N906" s="263"/>
      <c r="O906" s="263"/>
      <c r="P906" s="263"/>
      <c r="Q906" s="263"/>
      <c r="R906" s="263"/>
      <c r="S906" s="263"/>
      <c r="T906" s="263"/>
      <c r="U906" s="263"/>
      <c r="V906" s="263"/>
      <c r="W906" s="263"/>
      <c r="X906" s="263"/>
      <c r="Y906" s="263"/>
      <c r="Z906" s="263"/>
    </row>
    <row r="907">
      <c r="A907" s="263"/>
      <c r="B907" s="263"/>
      <c r="C907" s="263"/>
      <c r="D907" s="263"/>
      <c r="E907" s="263"/>
      <c r="F907" s="263"/>
      <c r="G907" s="263"/>
      <c r="H907" s="263"/>
      <c r="I907" s="263"/>
      <c r="J907" s="263"/>
      <c r="K907" s="263"/>
      <c r="L907" s="263"/>
      <c r="M907" s="263"/>
      <c r="N907" s="263"/>
      <c r="O907" s="263"/>
      <c r="P907" s="263"/>
      <c r="Q907" s="263"/>
      <c r="R907" s="263"/>
      <c r="S907" s="263"/>
      <c r="T907" s="263"/>
      <c r="U907" s="263"/>
      <c r="V907" s="263"/>
      <c r="W907" s="263"/>
      <c r="X907" s="263"/>
      <c r="Y907" s="263"/>
      <c r="Z907" s="263"/>
    </row>
    <row r="908">
      <c r="A908" s="263"/>
      <c r="B908" s="263"/>
      <c r="C908" s="263"/>
      <c r="D908" s="263"/>
      <c r="E908" s="263"/>
      <c r="F908" s="263"/>
      <c r="G908" s="263"/>
      <c r="H908" s="263"/>
      <c r="I908" s="263"/>
      <c r="J908" s="263"/>
      <c r="K908" s="263"/>
      <c r="L908" s="263"/>
      <c r="M908" s="263"/>
      <c r="N908" s="263"/>
      <c r="O908" s="263"/>
      <c r="P908" s="263"/>
      <c r="Q908" s="263"/>
      <c r="R908" s="263"/>
      <c r="S908" s="263"/>
      <c r="T908" s="263"/>
      <c r="U908" s="263"/>
      <c r="V908" s="263"/>
      <c r="W908" s="263"/>
      <c r="X908" s="263"/>
      <c r="Y908" s="263"/>
      <c r="Z908" s="263"/>
    </row>
    <row r="909">
      <c r="A909" s="263"/>
      <c r="B909" s="263"/>
      <c r="C909" s="263"/>
      <c r="D909" s="263"/>
      <c r="E909" s="263"/>
      <c r="F909" s="263"/>
      <c r="G909" s="263"/>
      <c r="H909" s="263"/>
      <c r="I909" s="263"/>
      <c r="J909" s="263"/>
      <c r="K909" s="263"/>
      <c r="L909" s="263"/>
      <c r="M909" s="263"/>
      <c r="N909" s="263"/>
      <c r="O909" s="263"/>
      <c r="P909" s="263"/>
      <c r="Q909" s="263"/>
      <c r="R909" s="263"/>
      <c r="S909" s="263"/>
      <c r="T909" s="263"/>
      <c r="U909" s="263"/>
      <c r="V909" s="263"/>
      <c r="W909" s="263"/>
      <c r="X909" s="263"/>
      <c r="Y909" s="263"/>
      <c r="Z909" s="263"/>
    </row>
    <row r="910">
      <c r="A910" s="263"/>
      <c r="B910" s="263"/>
      <c r="C910" s="263"/>
      <c r="D910" s="263"/>
      <c r="E910" s="263"/>
      <c r="F910" s="263"/>
      <c r="G910" s="263"/>
      <c r="H910" s="263"/>
      <c r="I910" s="263"/>
      <c r="J910" s="263"/>
      <c r="K910" s="263"/>
      <c r="L910" s="263"/>
      <c r="M910" s="263"/>
      <c r="N910" s="263"/>
      <c r="O910" s="263"/>
      <c r="P910" s="263"/>
      <c r="Q910" s="263"/>
      <c r="R910" s="263"/>
      <c r="S910" s="263"/>
      <c r="T910" s="263"/>
      <c r="U910" s="263"/>
      <c r="V910" s="263"/>
      <c r="W910" s="263"/>
      <c r="X910" s="263"/>
      <c r="Y910" s="263"/>
      <c r="Z910" s="263"/>
    </row>
    <row r="911">
      <c r="A911" s="263"/>
      <c r="B911" s="263"/>
      <c r="C911" s="263"/>
      <c r="D911" s="263"/>
      <c r="E911" s="263"/>
      <c r="F911" s="263"/>
      <c r="G911" s="263"/>
      <c r="H911" s="263"/>
      <c r="I911" s="263"/>
      <c r="J911" s="263"/>
      <c r="K911" s="263"/>
      <c r="L911" s="263"/>
      <c r="M911" s="263"/>
      <c r="N911" s="263"/>
      <c r="O911" s="263"/>
      <c r="P911" s="263"/>
      <c r="Q911" s="263"/>
      <c r="R911" s="263"/>
      <c r="S911" s="263"/>
      <c r="T911" s="263"/>
      <c r="U911" s="263"/>
      <c r="V911" s="263"/>
      <c r="W911" s="263"/>
      <c r="X911" s="263"/>
      <c r="Y911" s="263"/>
      <c r="Z911" s="263"/>
    </row>
    <row r="912">
      <c r="A912" s="263"/>
      <c r="B912" s="263"/>
      <c r="C912" s="263"/>
      <c r="D912" s="263"/>
      <c r="E912" s="263"/>
      <c r="F912" s="263"/>
      <c r="G912" s="263"/>
      <c r="H912" s="263"/>
      <c r="I912" s="263"/>
      <c r="J912" s="263"/>
      <c r="K912" s="263"/>
      <c r="L912" s="263"/>
      <c r="M912" s="263"/>
      <c r="N912" s="263"/>
      <c r="O912" s="263"/>
      <c r="P912" s="263"/>
      <c r="Q912" s="263"/>
      <c r="R912" s="263"/>
      <c r="S912" s="263"/>
      <c r="T912" s="263"/>
      <c r="U912" s="263"/>
      <c r="V912" s="263"/>
      <c r="W912" s="263"/>
      <c r="X912" s="263"/>
      <c r="Y912" s="263"/>
      <c r="Z912" s="263"/>
    </row>
    <row r="913">
      <c r="A913" s="263"/>
      <c r="B913" s="263"/>
      <c r="C913" s="263"/>
      <c r="D913" s="263"/>
      <c r="E913" s="263"/>
      <c r="F913" s="263"/>
      <c r="G913" s="263"/>
      <c r="H913" s="263"/>
      <c r="I913" s="263"/>
      <c r="J913" s="263"/>
      <c r="K913" s="263"/>
      <c r="L913" s="263"/>
      <c r="M913" s="263"/>
      <c r="N913" s="263"/>
      <c r="O913" s="263"/>
      <c r="P913" s="263"/>
      <c r="Q913" s="263"/>
      <c r="R913" s="263"/>
      <c r="S913" s="263"/>
      <c r="T913" s="263"/>
      <c r="U913" s="263"/>
      <c r="V913" s="263"/>
      <c r="W913" s="263"/>
      <c r="X913" s="263"/>
      <c r="Y913" s="263"/>
      <c r="Z913" s="263"/>
    </row>
    <row r="914">
      <c r="A914" s="263"/>
      <c r="B914" s="263"/>
      <c r="C914" s="263"/>
      <c r="D914" s="263"/>
      <c r="E914" s="263"/>
      <c r="F914" s="263"/>
      <c r="G914" s="263"/>
      <c r="H914" s="263"/>
      <c r="I914" s="263"/>
      <c r="J914" s="263"/>
      <c r="K914" s="263"/>
      <c r="L914" s="263"/>
      <c r="M914" s="263"/>
      <c r="N914" s="263"/>
      <c r="O914" s="263"/>
      <c r="P914" s="263"/>
      <c r="Q914" s="263"/>
      <c r="R914" s="263"/>
      <c r="S914" s="263"/>
      <c r="T914" s="263"/>
      <c r="U914" s="263"/>
      <c r="V914" s="263"/>
      <c r="W914" s="263"/>
      <c r="X914" s="263"/>
      <c r="Y914" s="263"/>
      <c r="Z914" s="263"/>
    </row>
    <row r="915">
      <c r="A915" s="263"/>
      <c r="B915" s="263"/>
      <c r="C915" s="263"/>
      <c r="D915" s="263"/>
      <c r="E915" s="263"/>
      <c r="F915" s="263"/>
      <c r="G915" s="263"/>
      <c r="H915" s="263"/>
      <c r="I915" s="263"/>
      <c r="J915" s="263"/>
      <c r="K915" s="263"/>
      <c r="L915" s="263"/>
      <c r="M915" s="263"/>
      <c r="N915" s="263"/>
      <c r="O915" s="263"/>
      <c r="P915" s="263"/>
      <c r="Q915" s="263"/>
      <c r="R915" s="263"/>
      <c r="S915" s="263"/>
      <c r="T915" s="263"/>
      <c r="U915" s="263"/>
      <c r="V915" s="263"/>
      <c r="W915" s="263"/>
      <c r="X915" s="263"/>
      <c r="Y915" s="263"/>
      <c r="Z915" s="263"/>
    </row>
    <row r="916">
      <c r="A916" s="263"/>
      <c r="B916" s="263"/>
      <c r="C916" s="263"/>
      <c r="D916" s="263"/>
      <c r="E916" s="263"/>
      <c r="F916" s="263"/>
      <c r="G916" s="263"/>
      <c r="H916" s="263"/>
      <c r="I916" s="263"/>
      <c r="J916" s="263"/>
      <c r="K916" s="263"/>
      <c r="L916" s="263"/>
      <c r="M916" s="263"/>
      <c r="N916" s="263"/>
      <c r="O916" s="263"/>
      <c r="P916" s="263"/>
      <c r="Q916" s="263"/>
      <c r="R916" s="263"/>
      <c r="S916" s="263"/>
      <c r="T916" s="263"/>
      <c r="U916" s="263"/>
      <c r="V916" s="263"/>
      <c r="W916" s="263"/>
      <c r="X916" s="263"/>
      <c r="Y916" s="263"/>
      <c r="Z916" s="263"/>
    </row>
    <row r="917">
      <c r="A917" s="263"/>
      <c r="B917" s="263"/>
      <c r="C917" s="263"/>
      <c r="D917" s="263"/>
      <c r="E917" s="263"/>
      <c r="F917" s="263"/>
      <c r="G917" s="263"/>
      <c r="H917" s="263"/>
      <c r="I917" s="263"/>
      <c r="J917" s="263"/>
      <c r="K917" s="263"/>
      <c r="L917" s="263"/>
      <c r="M917" s="263"/>
      <c r="N917" s="263"/>
      <c r="O917" s="263"/>
      <c r="P917" s="263"/>
      <c r="Q917" s="263"/>
      <c r="R917" s="263"/>
      <c r="S917" s="263"/>
      <c r="T917" s="263"/>
      <c r="U917" s="263"/>
      <c r="V917" s="263"/>
      <c r="W917" s="263"/>
      <c r="X917" s="263"/>
      <c r="Y917" s="263"/>
      <c r="Z917" s="263"/>
    </row>
    <row r="918">
      <c r="A918" s="263"/>
      <c r="B918" s="263"/>
      <c r="C918" s="263"/>
      <c r="D918" s="263"/>
      <c r="E918" s="263"/>
      <c r="F918" s="263"/>
      <c r="G918" s="263"/>
      <c r="H918" s="263"/>
      <c r="I918" s="263"/>
      <c r="J918" s="263"/>
      <c r="K918" s="263"/>
      <c r="L918" s="263"/>
      <c r="M918" s="263"/>
      <c r="N918" s="263"/>
      <c r="O918" s="263"/>
      <c r="P918" s="263"/>
      <c r="Q918" s="263"/>
      <c r="R918" s="263"/>
      <c r="S918" s="263"/>
      <c r="T918" s="263"/>
      <c r="U918" s="263"/>
      <c r="V918" s="263"/>
      <c r="W918" s="263"/>
      <c r="X918" s="263"/>
      <c r="Y918" s="263"/>
      <c r="Z918" s="263"/>
    </row>
    <row r="919">
      <c r="A919" s="263"/>
      <c r="B919" s="263"/>
      <c r="C919" s="263"/>
      <c r="D919" s="263"/>
      <c r="E919" s="263"/>
      <c r="F919" s="263"/>
      <c r="G919" s="263"/>
      <c r="H919" s="263"/>
      <c r="I919" s="263"/>
      <c r="J919" s="263"/>
      <c r="K919" s="263"/>
      <c r="L919" s="263"/>
      <c r="M919" s="263"/>
      <c r="N919" s="263"/>
      <c r="O919" s="263"/>
      <c r="P919" s="263"/>
      <c r="Q919" s="263"/>
      <c r="R919" s="263"/>
      <c r="S919" s="263"/>
      <c r="T919" s="263"/>
      <c r="U919" s="263"/>
      <c r="V919" s="263"/>
      <c r="W919" s="263"/>
      <c r="X919" s="263"/>
      <c r="Y919" s="263"/>
      <c r="Z919" s="263"/>
    </row>
    <row r="920">
      <c r="A920" s="263"/>
      <c r="B920" s="263"/>
      <c r="C920" s="263"/>
      <c r="D920" s="263"/>
      <c r="E920" s="263"/>
      <c r="F920" s="263"/>
      <c r="G920" s="263"/>
      <c r="H920" s="263"/>
      <c r="I920" s="263"/>
      <c r="J920" s="263"/>
      <c r="K920" s="263"/>
      <c r="L920" s="263"/>
      <c r="M920" s="263"/>
      <c r="N920" s="263"/>
      <c r="O920" s="263"/>
      <c r="P920" s="263"/>
      <c r="Q920" s="263"/>
      <c r="R920" s="263"/>
      <c r="S920" s="263"/>
      <c r="T920" s="263"/>
      <c r="U920" s="263"/>
      <c r="V920" s="263"/>
      <c r="W920" s="263"/>
      <c r="X920" s="263"/>
      <c r="Y920" s="263"/>
      <c r="Z920" s="263"/>
    </row>
    <row r="921">
      <c r="A921" s="263"/>
      <c r="B921" s="263"/>
      <c r="C921" s="263"/>
      <c r="D921" s="263"/>
      <c r="E921" s="263"/>
      <c r="F921" s="263"/>
      <c r="G921" s="263"/>
      <c r="H921" s="263"/>
      <c r="I921" s="263"/>
      <c r="J921" s="263"/>
      <c r="K921" s="263"/>
      <c r="L921" s="263"/>
      <c r="M921" s="263"/>
      <c r="N921" s="263"/>
      <c r="O921" s="263"/>
      <c r="P921" s="263"/>
      <c r="Q921" s="263"/>
      <c r="R921" s="263"/>
      <c r="S921" s="263"/>
      <c r="T921" s="263"/>
      <c r="U921" s="263"/>
      <c r="V921" s="263"/>
      <c r="W921" s="263"/>
      <c r="X921" s="263"/>
      <c r="Y921" s="263"/>
      <c r="Z921" s="263"/>
    </row>
    <row r="922">
      <c r="A922" s="263"/>
      <c r="B922" s="263"/>
      <c r="C922" s="263"/>
      <c r="D922" s="263"/>
      <c r="E922" s="263"/>
      <c r="F922" s="263"/>
      <c r="G922" s="263"/>
      <c r="H922" s="263"/>
      <c r="I922" s="263"/>
      <c r="J922" s="263"/>
      <c r="K922" s="263"/>
      <c r="L922" s="263"/>
      <c r="M922" s="263"/>
      <c r="N922" s="263"/>
      <c r="O922" s="263"/>
      <c r="P922" s="263"/>
      <c r="Q922" s="263"/>
      <c r="R922" s="263"/>
      <c r="S922" s="263"/>
      <c r="T922" s="263"/>
      <c r="U922" s="263"/>
      <c r="V922" s="263"/>
      <c r="W922" s="263"/>
      <c r="X922" s="263"/>
      <c r="Y922" s="263"/>
      <c r="Z922" s="263"/>
    </row>
    <row r="923">
      <c r="A923" s="263"/>
      <c r="B923" s="263"/>
      <c r="C923" s="263"/>
      <c r="D923" s="263"/>
      <c r="E923" s="263"/>
      <c r="F923" s="263"/>
      <c r="G923" s="263"/>
      <c r="H923" s="263"/>
      <c r="I923" s="263"/>
      <c r="J923" s="263"/>
      <c r="K923" s="263"/>
      <c r="L923" s="263"/>
      <c r="M923" s="263"/>
      <c r="N923" s="263"/>
      <c r="O923" s="263"/>
      <c r="P923" s="263"/>
      <c r="Q923" s="263"/>
      <c r="R923" s="263"/>
      <c r="S923" s="263"/>
      <c r="T923" s="263"/>
      <c r="U923" s="263"/>
      <c r="V923" s="263"/>
      <c r="W923" s="263"/>
      <c r="X923" s="263"/>
      <c r="Y923" s="263"/>
      <c r="Z923" s="263"/>
    </row>
    <row r="924">
      <c r="A924" s="263"/>
      <c r="B924" s="263"/>
      <c r="C924" s="263"/>
      <c r="D924" s="263"/>
      <c r="E924" s="263"/>
      <c r="F924" s="263"/>
      <c r="G924" s="263"/>
      <c r="H924" s="263"/>
      <c r="I924" s="263"/>
      <c r="J924" s="263"/>
      <c r="K924" s="263"/>
      <c r="L924" s="263"/>
      <c r="M924" s="263"/>
      <c r="N924" s="263"/>
      <c r="O924" s="263"/>
      <c r="P924" s="263"/>
      <c r="Q924" s="263"/>
      <c r="R924" s="263"/>
      <c r="S924" s="263"/>
      <c r="T924" s="263"/>
      <c r="U924" s="263"/>
      <c r="V924" s="263"/>
      <c r="W924" s="263"/>
      <c r="X924" s="263"/>
      <c r="Y924" s="263"/>
      <c r="Z924" s="263"/>
    </row>
    <row r="925">
      <c r="A925" s="263"/>
      <c r="B925" s="263"/>
      <c r="C925" s="263"/>
      <c r="D925" s="263"/>
      <c r="E925" s="263"/>
      <c r="F925" s="263"/>
      <c r="G925" s="263"/>
      <c r="H925" s="263"/>
      <c r="I925" s="263"/>
      <c r="J925" s="263"/>
      <c r="K925" s="263"/>
      <c r="L925" s="263"/>
      <c r="M925" s="263"/>
      <c r="N925" s="263"/>
      <c r="O925" s="263"/>
      <c r="P925" s="263"/>
      <c r="Q925" s="263"/>
      <c r="R925" s="263"/>
      <c r="S925" s="263"/>
      <c r="T925" s="263"/>
      <c r="U925" s="263"/>
      <c r="V925" s="263"/>
      <c r="W925" s="263"/>
      <c r="X925" s="263"/>
      <c r="Y925" s="263"/>
      <c r="Z925" s="263"/>
    </row>
    <row r="926">
      <c r="A926" s="263"/>
      <c r="B926" s="263"/>
      <c r="C926" s="263"/>
      <c r="D926" s="263"/>
      <c r="E926" s="263"/>
      <c r="F926" s="263"/>
      <c r="G926" s="263"/>
      <c r="H926" s="263"/>
      <c r="I926" s="263"/>
      <c r="J926" s="263"/>
      <c r="K926" s="263"/>
      <c r="L926" s="263"/>
      <c r="M926" s="263"/>
      <c r="N926" s="263"/>
      <c r="O926" s="263"/>
      <c r="P926" s="263"/>
      <c r="Q926" s="263"/>
      <c r="R926" s="263"/>
      <c r="S926" s="263"/>
      <c r="T926" s="263"/>
      <c r="U926" s="263"/>
      <c r="V926" s="263"/>
      <c r="W926" s="263"/>
      <c r="X926" s="263"/>
      <c r="Y926" s="263"/>
      <c r="Z926" s="263"/>
    </row>
    <row r="927">
      <c r="A927" s="263"/>
      <c r="B927" s="263"/>
      <c r="C927" s="263"/>
      <c r="D927" s="263"/>
      <c r="E927" s="263"/>
      <c r="F927" s="263"/>
      <c r="G927" s="263"/>
      <c r="H927" s="263"/>
      <c r="I927" s="263"/>
      <c r="J927" s="263"/>
      <c r="K927" s="263"/>
      <c r="L927" s="263"/>
      <c r="M927" s="263"/>
      <c r="N927" s="263"/>
      <c r="O927" s="263"/>
      <c r="P927" s="263"/>
      <c r="Q927" s="263"/>
      <c r="R927" s="263"/>
      <c r="S927" s="263"/>
      <c r="T927" s="263"/>
      <c r="U927" s="263"/>
      <c r="V927" s="263"/>
      <c r="W927" s="263"/>
      <c r="X927" s="263"/>
      <c r="Y927" s="263"/>
      <c r="Z927" s="263"/>
    </row>
    <row r="928">
      <c r="A928" s="263"/>
      <c r="B928" s="263"/>
      <c r="C928" s="263"/>
      <c r="D928" s="263"/>
      <c r="E928" s="263"/>
      <c r="F928" s="263"/>
      <c r="G928" s="263"/>
      <c r="H928" s="263"/>
      <c r="I928" s="263"/>
      <c r="J928" s="263"/>
      <c r="K928" s="263"/>
      <c r="L928" s="263"/>
      <c r="M928" s="263"/>
      <c r="N928" s="263"/>
      <c r="O928" s="263"/>
      <c r="P928" s="263"/>
      <c r="Q928" s="263"/>
      <c r="R928" s="263"/>
      <c r="S928" s="263"/>
      <c r="T928" s="263"/>
      <c r="U928" s="263"/>
      <c r="V928" s="263"/>
      <c r="W928" s="263"/>
      <c r="X928" s="263"/>
      <c r="Y928" s="263"/>
      <c r="Z928" s="263"/>
    </row>
    <row r="929">
      <c r="A929" s="263"/>
      <c r="B929" s="263"/>
      <c r="C929" s="263"/>
      <c r="D929" s="263"/>
      <c r="E929" s="263"/>
      <c r="F929" s="263"/>
      <c r="G929" s="263"/>
      <c r="H929" s="263"/>
      <c r="I929" s="263"/>
      <c r="J929" s="263"/>
      <c r="K929" s="263"/>
      <c r="L929" s="263"/>
      <c r="M929" s="263"/>
      <c r="N929" s="263"/>
      <c r="O929" s="263"/>
      <c r="P929" s="263"/>
      <c r="Q929" s="263"/>
      <c r="R929" s="263"/>
      <c r="S929" s="263"/>
      <c r="T929" s="263"/>
      <c r="U929" s="263"/>
      <c r="V929" s="263"/>
      <c r="W929" s="263"/>
      <c r="X929" s="263"/>
      <c r="Y929" s="263"/>
      <c r="Z929" s="263"/>
    </row>
    <row r="930">
      <c r="A930" s="263"/>
      <c r="B930" s="263"/>
      <c r="C930" s="263"/>
      <c r="D930" s="263"/>
      <c r="E930" s="263"/>
      <c r="F930" s="263"/>
      <c r="G930" s="263"/>
      <c r="H930" s="263"/>
      <c r="I930" s="263"/>
      <c r="J930" s="263"/>
      <c r="K930" s="263"/>
      <c r="L930" s="263"/>
      <c r="M930" s="263"/>
      <c r="N930" s="263"/>
      <c r="O930" s="263"/>
      <c r="P930" s="263"/>
      <c r="Q930" s="263"/>
      <c r="R930" s="263"/>
      <c r="S930" s="263"/>
      <c r="T930" s="263"/>
      <c r="U930" s="263"/>
      <c r="V930" s="263"/>
      <c r="W930" s="263"/>
      <c r="X930" s="263"/>
      <c r="Y930" s="263"/>
      <c r="Z930" s="263"/>
    </row>
    <row r="931">
      <c r="A931" s="263"/>
      <c r="B931" s="263"/>
      <c r="C931" s="263"/>
      <c r="D931" s="263"/>
      <c r="E931" s="263"/>
      <c r="F931" s="263"/>
      <c r="G931" s="263"/>
      <c r="H931" s="263"/>
      <c r="I931" s="263"/>
      <c r="J931" s="263"/>
      <c r="K931" s="263"/>
      <c r="L931" s="263"/>
      <c r="M931" s="263"/>
      <c r="N931" s="263"/>
      <c r="O931" s="263"/>
      <c r="P931" s="263"/>
      <c r="Q931" s="263"/>
      <c r="R931" s="263"/>
      <c r="S931" s="263"/>
      <c r="T931" s="263"/>
      <c r="U931" s="263"/>
      <c r="V931" s="263"/>
      <c r="W931" s="263"/>
      <c r="X931" s="263"/>
      <c r="Y931" s="263"/>
      <c r="Z931" s="263"/>
    </row>
    <row r="932">
      <c r="A932" s="263"/>
      <c r="B932" s="263"/>
      <c r="C932" s="263"/>
      <c r="D932" s="263"/>
      <c r="E932" s="263"/>
      <c r="F932" s="263"/>
      <c r="G932" s="263"/>
      <c r="H932" s="263"/>
      <c r="I932" s="263"/>
      <c r="J932" s="263"/>
      <c r="K932" s="263"/>
      <c r="L932" s="263"/>
      <c r="M932" s="263"/>
      <c r="N932" s="263"/>
      <c r="O932" s="263"/>
      <c r="P932" s="263"/>
      <c r="Q932" s="263"/>
      <c r="R932" s="263"/>
      <c r="S932" s="263"/>
      <c r="T932" s="263"/>
      <c r="U932" s="263"/>
      <c r="V932" s="263"/>
      <c r="W932" s="263"/>
      <c r="X932" s="263"/>
      <c r="Y932" s="263"/>
      <c r="Z932" s="263"/>
    </row>
    <row r="933">
      <c r="A933" s="263"/>
      <c r="B933" s="263"/>
      <c r="C933" s="263"/>
      <c r="D933" s="263"/>
      <c r="E933" s="263"/>
      <c r="F933" s="263"/>
      <c r="G933" s="263"/>
      <c r="H933" s="263"/>
      <c r="I933" s="263"/>
      <c r="J933" s="263"/>
      <c r="K933" s="263"/>
      <c r="L933" s="263"/>
      <c r="M933" s="263"/>
      <c r="N933" s="263"/>
      <c r="O933" s="263"/>
      <c r="P933" s="263"/>
      <c r="Q933" s="263"/>
      <c r="R933" s="263"/>
      <c r="S933" s="263"/>
      <c r="T933" s="263"/>
      <c r="U933" s="263"/>
      <c r="V933" s="263"/>
      <c r="W933" s="263"/>
      <c r="X933" s="263"/>
      <c r="Y933" s="263"/>
      <c r="Z933" s="263"/>
    </row>
    <row r="934">
      <c r="A934" s="263"/>
      <c r="B934" s="263"/>
      <c r="C934" s="263"/>
      <c r="D934" s="263"/>
      <c r="E934" s="263"/>
      <c r="F934" s="263"/>
      <c r="G934" s="263"/>
      <c r="H934" s="263"/>
      <c r="I934" s="263"/>
      <c r="J934" s="263"/>
      <c r="K934" s="263"/>
      <c r="L934" s="263"/>
      <c r="M934" s="263"/>
      <c r="N934" s="263"/>
      <c r="O934" s="263"/>
      <c r="P934" s="263"/>
      <c r="Q934" s="263"/>
      <c r="R934" s="263"/>
      <c r="S934" s="263"/>
      <c r="T934" s="263"/>
      <c r="U934" s="263"/>
      <c r="V934" s="263"/>
      <c r="W934" s="263"/>
      <c r="X934" s="263"/>
      <c r="Y934" s="263"/>
      <c r="Z934" s="263"/>
    </row>
    <row r="935">
      <c r="A935" s="263"/>
      <c r="B935" s="263"/>
      <c r="C935" s="263"/>
      <c r="D935" s="263"/>
      <c r="E935" s="263"/>
      <c r="F935" s="263"/>
      <c r="G935" s="263"/>
      <c r="H935" s="263"/>
      <c r="I935" s="263"/>
      <c r="J935" s="263"/>
      <c r="K935" s="263"/>
      <c r="L935" s="263"/>
      <c r="M935" s="263"/>
      <c r="N935" s="263"/>
      <c r="O935" s="263"/>
      <c r="P935" s="263"/>
      <c r="Q935" s="263"/>
      <c r="R935" s="263"/>
      <c r="S935" s="263"/>
      <c r="T935" s="263"/>
      <c r="U935" s="263"/>
      <c r="V935" s="263"/>
      <c r="W935" s="263"/>
      <c r="X935" s="263"/>
      <c r="Y935" s="263"/>
      <c r="Z935" s="263"/>
    </row>
    <row r="936">
      <c r="A936" s="263"/>
      <c r="B936" s="263"/>
      <c r="C936" s="263"/>
      <c r="D936" s="263"/>
      <c r="E936" s="263"/>
      <c r="F936" s="263"/>
      <c r="G936" s="263"/>
      <c r="H936" s="263"/>
      <c r="I936" s="263"/>
      <c r="J936" s="263"/>
      <c r="K936" s="263"/>
      <c r="L936" s="263"/>
      <c r="M936" s="263"/>
      <c r="N936" s="263"/>
      <c r="O936" s="263"/>
      <c r="P936" s="263"/>
      <c r="Q936" s="263"/>
      <c r="R936" s="263"/>
      <c r="S936" s="263"/>
      <c r="T936" s="263"/>
      <c r="U936" s="263"/>
      <c r="V936" s="263"/>
      <c r="W936" s="263"/>
      <c r="X936" s="263"/>
      <c r="Y936" s="263"/>
      <c r="Z936" s="263"/>
    </row>
    <row r="937">
      <c r="A937" s="263"/>
      <c r="B937" s="263"/>
      <c r="C937" s="263"/>
      <c r="D937" s="263"/>
      <c r="E937" s="263"/>
      <c r="F937" s="263"/>
      <c r="G937" s="263"/>
      <c r="H937" s="263"/>
      <c r="I937" s="263"/>
      <c r="J937" s="263"/>
      <c r="K937" s="263"/>
      <c r="L937" s="263"/>
      <c r="M937" s="263"/>
      <c r="N937" s="263"/>
      <c r="O937" s="263"/>
      <c r="P937" s="263"/>
      <c r="Q937" s="263"/>
      <c r="R937" s="263"/>
      <c r="S937" s="263"/>
      <c r="T937" s="263"/>
      <c r="U937" s="263"/>
      <c r="V937" s="263"/>
      <c r="W937" s="263"/>
      <c r="X937" s="263"/>
      <c r="Y937" s="263"/>
      <c r="Z937" s="263"/>
    </row>
    <row r="938">
      <c r="A938" s="263"/>
      <c r="B938" s="263"/>
      <c r="C938" s="263"/>
      <c r="D938" s="263"/>
      <c r="E938" s="263"/>
      <c r="F938" s="263"/>
      <c r="G938" s="263"/>
      <c r="H938" s="263"/>
      <c r="I938" s="263"/>
      <c r="J938" s="263"/>
      <c r="K938" s="263"/>
      <c r="L938" s="263"/>
      <c r="M938" s="263"/>
      <c r="N938" s="263"/>
      <c r="O938" s="263"/>
      <c r="P938" s="263"/>
      <c r="Q938" s="263"/>
      <c r="R938" s="263"/>
      <c r="S938" s="263"/>
      <c r="T938" s="263"/>
      <c r="U938" s="263"/>
      <c r="V938" s="263"/>
      <c r="W938" s="263"/>
      <c r="X938" s="263"/>
      <c r="Y938" s="263"/>
      <c r="Z938" s="263"/>
    </row>
    <row r="939">
      <c r="A939" s="263"/>
      <c r="B939" s="263"/>
      <c r="C939" s="263"/>
      <c r="D939" s="263"/>
      <c r="E939" s="263"/>
      <c r="F939" s="263"/>
      <c r="G939" s="263"/>
      <c r="H939" s="263"/>
      <c r="I939" s="263"/>
      <c r="J939" s="263"/>
      <c r="K939" s="263"/>
      <c r="L939" s="263"/>
      <c r="M939" s="263"/>
      <c r="N939" s="263"/>
      <c r="O939" s="263"/>
      <c r="P939" s="263"/>
      <c r="Q939" s="263"/>
      <c r="R939" s="263"/>
      <c r="S939" s="263"/>
      <c r="T939" s="263"/>
      <c r="U939" s="263"/>
      <c r="V939" s="263"/>
      <c r="W939" s="263"/>
      <c r="X939" s="263"/>
      <c r="Y939" s="263"/>
      <c r="Z939" s="263"/>
    </row>
    <row r="940">
      <c r="A940" s="263"/>
      <c r="B940" s="263"/>
      <c r="C940" s="263"/>
      <c r="D940" s="263"/>
      <c r="E940" s="263"/>
      <c r="F940" s="263"/>
      <c r="G940" s="263"/>
      <c r="H940" s="263"/>
      <c r="I940" s="263"/>
      <c r="J940" s="263"/>
      <c r="K940" s="263"/>
      <c r="L940" s="263"/>
      <c r="M940" s="263"/>
      <c r="N940" s="263"/>
      <c r="O940" s="263"/>
      <c r="P940" s="263"/>
      <c r="Q940" s="263"/>
      <c r="R940" s="263"/>
      <c r="S940" s="263"/>
      <c r="T940" s="263"/>
      <c r="U940" s="263"/>
      <c r="V940" s="263"/>
      <c r="W940" s="263"/>
      <c r="X940" s="263"/>
      <c r="Y940" s="263"/>
      <c r="Z940" s="263"/>
    </row>
    <row r="941">
      <c r="A941" s="263"/>
      <c r="B941" s="263"/>
      <c r="C941" s="263"/>
      <c r="D941" s="263"/>
      <c r="E941" s="263"/>
      <c r="F941" s="263"/>
      <c r="G941" s="263"/>
      <c r="H941" s="263"/>
      <c r="I941" s="263"/>
      <c r="J941" s="263"/>
      <c r="K941" s="263"/>
      <c r="L941" s="263"/>
      <c r="M941" s="263"/>
      <c r="N941" s="263"/>
      <c r="O941" s="263"/>
      <c r="P941" s="263"/>
      <c r="Q941" s="263"/>
      <c r="R941" s="263"/>
      <c r="S941" s="263"/>
      <c r="T941" s="263"/>
      <c r="U941" s="263"/>
      <c r="V941" s="263"/>
      <c r="W941" s="263"/>
      <c r="X941" s="263"/>
      <c r="Y941" s="263"/>
      <c r="Z941" s="263"/>
    </row>
    <row r="942">
      <c r="A942" s="263"/>
      <c r="B942" s="263"/>
      <c r="C942" s="263"/>
      <c r="D942" s="263"/>
      <c r="E942" s="263"/>
      <c r="F942" s="263"/>
      <c r="G942" s="263"/>
      <c r="H942" s="263"/>
      <c r="I942" s="263"/>
      <c r="J942" s="263"/>
      <c r="K942" s="263"/>
      <c r="L942" s="263"/>
      <c r="M942" s="263"/>
      <c r="N942" s="263"/>
      <c r="O942" s="263"/>
      <c r="P942" s="263"/>
      <c r="Q942" s="263"/>
      <c r="R942" s="263"/>
      <c r="S942" s="263"/>
      <c r="T942" s="263"/>
      <c r="U942" s="263"/>
      <c r="V942" s="263"/>
      <c r="W942" s="263"/>
      <c r="X942" s="263"/>
      <c r="Y942" s="263"/>
      <c r="Z942" s="263"/>
    </row>
    <row r="943">
      <c r="A943" s="263"/>
      <c r="B943" s="263"/>
      <c r="C943" s="263"/>
      <c r="D943" s="263"/>
      <c r="E943" s="263"/>
      <c r="F943" s="263"/>
      <c r="G943" s="263"/>
      <c r="H943" s="263"/>
      <c r="I943" s="263"/>
      <c r="J943" s="263"/>
      <c r="K943" s="263"/>
      <c r="L943" s="263"/>
      <c r="M943" s="263"/>
      <c r="N943" s="263"/>
      <c r="O943" s="263"/>
      <c r="P943" s="263"/>
      <c r="Q943" s="263"/>
      <c r="R943" s="263"/>
      <c r="S943" s="263"/>
      <c r="T943" s="263"/>
      <c r="U943" s="263"/>
      <c r="V943" s="263"/>
      <c r="W943" s="263"/>
      <c r="X943" s="263"/>
      <c r="Y943" s="263"/>
      <c r="Z943" s="263"/>
    </row>
    <row r="944">
      <c r="A944" s="263"/>
      <c r="B944" s="263"/>
      <c r="C944" s="263"/>
      <c r="D944" s="263"/>
      <c r="E944" s="263"/>
      <c r="F944" s="263"/>
      <c r="G944" s="263"/>
      <c r="H944" s="263"/>
      <c r="I944" s="263"/>
      <c r="J944" s="263"/>
      <c r="K944" s="263"/>
      <c r="L944" s="263"/>
      <c r="M944" s="263"/>
      <c r="N944" s="263"/>
      <c r="O944" s="263"/>
      <c r="P944" s="263"/>
      <c r="Q944" s="263"/>
      <c r="R944" s="263"/>
      <c r="S944" s="263"/>
      <c r="T944" s="263"/>
      <c r="U944" s="263"/>
      <c r="V944" s="263"/>
      <c r="W944" s="263"/>
      <c r="X944" s="263"/>
      <c r="Y944" s="263"/>
      <c r="Z944" s="263"/>
    </row>
    <row r="945">
      <c r="A945" s="263"/>
      <c r="B945" s="263"/>
      <c r="C945" s="263"/>
      <c r="D945" s="263"/>
      <c r="E945" s="263"/>
      <c r="F945" s="263"/>
      <c r="G945" s="263"/>
      <c r="H945" s="263"/>
      <c r="I945" s="263"/>
      <c r="J945" s="263"/>
      <c r="K945" s="263"/>
      <c r="L945" s="263"/>
      <c r="M945" s="263"/>
      <c r="N945" s="263"/>
      <c r="O945" s="263"/>
      <c r="P945" s="263"/>
      <c r="Q945" s="263"/>
      <c r="R945" s="263"/>
      <c r="S945" s="263"/>
      <c r="T945" s="263"/>
      <c r="U945" s="263"/>
      <c r="V945" s="263"/>
      <c r="W945" s="263"/>
      <c r="X945" s="263"/>
      <c r="Y945" s="263"/>
      <c r="Z945" s="263"/>
    </row>
    <row r="946">
      <c r="A946" s="263"/>
      <c r="B946" s="263"/>
      <c r="C946" s="263"/>
      <c r="D946" s="263"/>
      <c r="E946" s="263"/>
      <c r="F946" s="263"/>
      <c r="G946" s="263"/>
      <c r="H946" s="263"/>
      <c r="I946" s="263"/>
      <c r="J946" s="263"/>
      <c r="K946" s="263"/>
      <c r="L946" s="263"/>
      <c r="M946" s="263"/>
      <c r="N946" s="263"/>
      <c r="O946" s="263"/>
      <c r="P946" s="263"/>
      <c r="Q946" s="263"/>
      <c r="R946" s="263"/>
      <c r="S946" s="263"/>
      <c r="T946" s="263"/>
      <c r="U946" s="263"/>
      <c r="V946" s="263"/>
      <c r="W946" s="263"/>
      <c r="X946" s="263"/>
      <c r="Y946" s="263"/>
      <c r="Z946" s="263"/>
    </row>
    <row r="947">
      <c r="A947" s="263"/>
      <c r="B947" s="263"/>
      <c r="C947" s="263"/>
      <c r="D947" s="263"/>
      <c r="E947" s="263"/>
      <c r="F947" s="263"/>
      <c r="G947" s="263"/>
      <c r="H947" s="263"/>
      <c r="I947" s="263"/>
      <c r="J947" s="263"/>
      <c r="K947" s="263"/>
      <c r="L947" s="263"/>
      <c r="M947" s="263"/>
      <c r="N947" s="263"/>
      <c r="O947" s="263"/>
      <c r="P947" s="263"/>
      <c r="Q947" s="263"/>
      <c r="R947" s="263"/>
      <c r="S947" s="263"/>
      <c r="T947" s="263"/>
      <c r="U947" s="263"/>
      <c r="V947" s="263"/>
      <c r="W947" s="263"/>
      <c r="X947" s="263"/>
      <c r="Y947" s="263"/>
      <c r="Z947" s="263"/>
    </row>
    <row r="948">
      <c r="A948" s="263"/>
      <c r="B948" s="263"/>
      <c r="C948" s="263"/>
      <c r="D948" s="263"/>
      <c r="E948" s="263"/>
      <c r="F948" s="263"/>
      <c r="G948" s="263"/>
      <c r="H948" s="263"/>
      <c r="I948" s="263"/>
      <c r="J948" s="263"/>
      <c r="K948" s="263"/>
      <c r="L948" s="263"/>
      <c r="M948" s="263"/>
      <c r="N948" s="263"/>
      <c r="O948" s="263"/>
      <c r="P948" s="263"/>
      <c r="Q948" s="263"/>
      <c r="R948" s="263"/>
      <c r="S948" s="263"/>
      <c r="T948" s="263"/>
      <c r="U948" s="263"/>
      <c r="V948" s="263"/>
      <c r="W948" s="263"/>
      <c r="X948" s="263"/>
      <c r="Y948" s="263"/>
      <c r="Z948" s="263"/>
    </row>
    <row r="949">
      <c r="A949" s="263"/>
      <c r="B949" s="263"/>
      <c r="C949" s="263"/>
      <c r="D949" s="263"/>
      <c r="E949" s="263"/>
      <c r="F949" s="263"/>
      <c r="G949" s="263"/>
      <c r="H949" s="263"/>
      <c r="I949" s="263"/>
      <c r="J949" s="263"/>
      <c r="K949" s="263"/>
      <c r="L949" s="263"/>
      <c r="M949" s="263"/>
      <c r="N949" s="263"/>
      <c r="O949" s="263"/>
      <c r="P949" s="263"/>
      <c r="Q949" s="263"/>
      <c r="R949" s="263"/>
      <c r="S949" s="263"/>
      <c r="T949" s="263"/>
      <c r="U949" s="263"/>
      <c r="V949" s="263"/>
      <c r="W949" s="263"/>
      <c r="X949" s="263"/>
      <c r="Y949" s="263"/>
      <c r="Z949" s="263"/>
    </row>
    <row r="950">
      <c r="A950" s="263"/>
      <c r="B950" s="263"/>
      <c r="C950" s="263"/>
      <c r="D950" s="263"/>
      <c r="E950" s="263"/>
      <c r="F950" s="263"/>
      <c r="G950" s="263"/>
      <c r="H950" s="263"/>
      <c r="I950" s="263"/>
      <c r="J950" s="263"/>
      <c r="K950" s="263"/>
      <c r="L950" s="263"/>
      <c r="M950" s="263"/>
      <c r="N950" s="263"/>
      <c r="O950" s="263"/>
      <c r="P950" s="263"/>
      <c r="Q950" s="263"/>
      <c r="R950" s="263"/>
      <c r="S950" s="263"/>
      <c r="T950" s="263"/>
      <c r="U950" s="263"/>
      <c r="V950" s="263"/>
      <c r="W950" s="263"/>
      <c r="X950" s="263"/>
      <c r="Y950" s="263"/>
      <c r="Z950" s="263"/>
    </row>
    <row r="951">
      <c r="A951" s="263"/>
      <c r="B951" s="263"/>
      <c r="C951" s="263"/>
      <c r="D951" s="263"/>
      <c r="E951" s="263"/>
      <c r="F951" s="263"/>
      <c r="G951" s="263"/>
      <c r="H951" s="263"/>
      <c r="I951" s="263"/>
      <c r="J951" s="263"/>
      <c r="K951" s="263"/>
      <c r="L951" s="263"/>
      <c r="M951" s="263"/>
      <c r="N951" s="263"/>
      <c r="O951" s="263"/>
      <c r="P951" s="263"/>
      <c r="Q951" s="263"/>
      <c r="R951" s="263"/>
      <c r="S951" s="263"/>
      <c r="T951" s="263"/>
      <c r="U951" s="263"/>
      <c r="V951" s="263"/>
      <c r="W951" s="263"/>
      <c r="X951" s="263"/>
      <c r="Y951" s="263"/>
      <c r="Z951" s="263"/>
    </row>
    <row r="952">
      <c r="A952" s="263"/>
      <c r="B952" s="263"/>
      <c r="C952" s="263"/>
      <c r="D952" s="263"/>
      <c r="E952" s="263"/>
      <c r="F952" s="263"/>
      <c r="G952" s="263"/>
      <c r="H952" s="263"/>
      <c r="I952" s="263"/>
      <c r="J952" s="263"/>
      <c r="K952" s="263"/>
      <c r="L952" s="263"/>
      <c r="M952" s="263"/>
      <c r="N952" s="263"/>
      <c r="O952" s="263"/>
      <c r="P952" s="263"/>
      <c r="Q952" s="263"/>
      <c r="R952" s="263"/>
      <c r="S952" s="263"/>
      <c r="T952" s="263"/>
      <c r="U952" s="263"/>
      <c r="V952" s="263"/>
      <c r="W952" s="263"/>
      <c r="X952" s="263"/>
      <c r="Y952" s="263"/>
      <c r="Z952" s="263"/>
    </row>
    <row r="953">
      <c r="A953" s="263"/>
      <c r="B953" s="263"/>
      <c r="C953" s="263"/>
      <c r="D953" s="263"/>
      <c r="E953" s="263"/>
      <c r="F953" s="263"/>
      <c r="G953" s="263"/>
      <c r="H953" s="263"/>
      <c r="I953" s="263"/>
      <c r="J953" s="263"/>
      <c r="K953" s="263"/>
      <c r="L953" s="263"/>
      <c r="M953" s="263"/>
      <c r="N953" s="263"/>
      <c r="O953" s="263"/>
      <c r="P953" s="263"/>
      <c r="Q953" s="263"/>
      <c r="R953" s="263"/>
      <c r="S953" s="263"/>
      <c r="T953" s="263"/>
      <c r="U953" s="263"/>
      <c r="V953" s="263"/>
      <c r="W953" s="263"/>
      <c r="X953" s="263"/>
      <c r="Y953" s="263"/>
      <c r="Z953" s="263"/>
    </row>
    <row r="954">
      <c r="A954" s="263"/>
      <c r="B954" s="263"/>
      <c r="C954" s="263"/>
      <c r="D954" s="263"/>
      <c r="E954" s="263"/>
      <c r="F954" s="263"/>
      <c r="G954" s="263"/>
      <c r="H954" s="263"/>
      <c r="I954" s="263"/>
      <c r="J954" s="263"/>
      <c r="K954" s="263"/>
      <c r="L954" s="263"/>
      <c r="M954" s="263"/>
      <c r="N954" s="263"/>
      <c r="O954" s="263"/>
      <c r="P954" s="263"/>
      <c r="Q954" s="263"/>
      <c r="R954" s="263"/>
      <c r="S954" s="263"/>
      <c r="T954" s="263"/>
      <c r="U954" s="263"/>
      <c r="V954" s="263"/>
      <c r="W954" s="263"/>
      <c r="X954" s="263"/>
      <c r="Y954" s="263"/>
      <c r="Z954" s="263"/>
    </row>
    <row r="955">
      <c r="A955" s="263"/>
      <c r="B955" s="263"/>
      <c r="C955" s="263"/>
      <c r="D955" s="263"/>
      <c r="E955" s="263"/>
      <c r="F955" s="263"/>
      <c r="G955" s="263"/>
      <c r="H955" s="263"/>
      <c r="I955" s="263"/>
      <c r="J955" s="263"/>
      <c r="K955" s="263"/>
      <c r="L955" s="263"/>
      <c r="M955" s="263"/>
      <c r="N955" s="263"/>
      <c r="O955" s="263"/>
      <c r="P955" s="263"/>
      <c r="Q955" s="263"/>
      <c r="R955" s="263"/>
      <c r="S955" s="263"/>
      <c r="T955" s="263"/>
      <c r="U955" s="263"/>
      <c r="V955" s="263"/>
      <c r="W955" s="263"/>
      <c r="X955" s="263"/>
      <c r="Y955" s="263"/>
      <c r="Z955" s="263"/>
    </row>
    <row r="956">
      <c r="A956" s="263"/>
      <c r="B956" s="263"/>
      <c r="C956" s="263"/>
      <c r="D956" s="263"/>
      <c r="E956" s="263"/>
      <c r="F956" s="263"/>
      <c r="G956" s="263"/>
      <c r="H956" s="263"/>
      <c r="I956" s="263"/>
      <c r="J956" s="263"/>
      <c r="K956" s="263"/>
      <c r="L956" s="263"/>
      <c r="M956" s="263"/>
      <c r="N956" s="263"/>
      <c r="O956" s="263"/>
      <c r="P956" s="263"/>
      <c r="Q956" s="263"/>
      <c r="R956" s="263"/>
      <c r="S956" s="263"/>
      <c r="T956" s="263"/>
      <c r="U956" s="263"/>
      <c r="V956" s="263"/>
      <c r="W956" s="263"/>
      <c r="X956" s="263"/>
      <c r="Y956" s="263"/>
      <c r="Z956" s="263"/>
    </row>
    <row r="957">
      <c r="A957" s="263"/>
      <c r="B957" s="263"/>
      <c r="C957" s="263"/>
      <c r="D957" s="263"/>
      <c r="E957" s="263"/>
      <c r="F957" s="263"/>
      <c r="G957" s="263"/>
      <c r="H957" s="263"/>
      <c r="I957" s="263"/>
      <c r="J957" s="263"/>
      <c r="K957" s="263"/>
      <c r="L957" s="263"/>
      <c r="M957" s="263"/>
      <c r="N957" s="263"/>
      <c r="O957" s="263"/>
      <c r="P957" s="263"/>
      <c r="Q957" s="263"/>
      <c r="R957" s="263"/>
      <c r="S957" s="263"/>
      <c r="T957" s="263"/>
      <c r="U957" s="263"/>
      <c r="V957" s="263"/>
      <c r="W957" s="263"/>
      <c r="X957" s="263"/>
      <c r="Y957" s="263"/>
      <c r="Z957" s="263"/>
    </row>
    <row r="958">
      <c r="A958" s="263"/>
      <c r="B958" s="263"/>
      <c r="C958" s="263"/>
      <c r="D958" s="263"/>
      <c r="E958" s="263"/>
      <c r="F958" s="263"/>
      <c r="G958" s="263"/>
      <c r="H958" s="263"/>
      <c r="I958" s="263"/>
      <c r="J958" s="263"/>
      <c r="K958" s="263"/>
      <c r="L958" s="263"/>
      <c r="M958" s="263"/>
      <c r="N958" s="263"/>
      <c r="O958" s="263"/>
      <c r="P958" s="263"/>
      <c r="Q958" s="263"/>
      <c r="R958" s="263"/>
      <c r="S958" s="263"/>
      <c r="T958" s="263"/>
      <c r="U958" s="263"/>
      <c r="V958" s="263"/>
      <c r="W958" s="263"/>
      <c r="X958" s="263"/>
      <c r="Y958" s="263"/>
      <c r="Z958" s="263"/>
    </row>
    <row r="959">
      <c r="A959" s="263"/>
      <c r="B959" s="263"/>
      <c r="C959" s="263"/>
      <c r="D959" s="263"/>
      <c r="E959" s="263"/>
      <c r="F959" s="263"/>
      <c r="G959" s="263"/>
      <c r="H959" s="263"/>
      <c r="I959" s="263"/>
      <c r="J959" s="263"/>
      <c r="K959" s="263"/>
      <c r="L959" s="263"/>
      <c r="M959" s="263"/>
      <c r="N959" s="263"/>
      <c r="O959" s="263"/>
      <c r="P959" s="263"/>
      <c r="Q959" s="263"/>
      <c r="R959" s="263"/>
      <c r="S959" s="263"/>
      <c r="T959" s="263"/>
      <c r="U959" s="263"/>
      <c r="V959" s="263"/>
      <c r="W959" s="263"/>
      <c r="X959" s="263"/>
      <c r="Y959" s="263"/>
      <c r="Z959" s="263"/>
    </row>
    <row r="960">
      <c r="A960" s="263"/>
      <c r="B960" s="263"/>
      <c r="C960" s="263"/>
      <c r="D960" s="263"/>
      <c r="E960" s="263"/>
      <c r="F960" s="263"/>
      <c r="G960" s="263"/>
      <c r="H960" s="263"/>
      <c r="I960" s="263"/>
      <c r="J960" s="263"/>
      <c r="K960" s="263"/>
      <c r="L960" s="263"/>
      <c r="M960" s="263"/>
      <c r="N960" s="263"/>
      <c r="O960" s="263"/>
      <c r="P960" s="263"/>
      <c r="Q960" s="263"/>
      <c r="R960" s="263"/>
      <c r="S960" s="263"/>
      <c r="T960" s="263"/>
      <c r="U960" s="263"/>
      <c r="V960" s="263"/>
      <c r="W960" s="263"/>
      <c r="X960" s="263"/>
      <c r="Y960" s="263"/>
      <c r="Z960" s="263"/>
    </row>
    <row r="961">
      <c r="A961" s="263"/>
      <c r="B961" s="263"/>
      <c r="C961" s="263"/>
      <c r="D961" s="263"/>
      <c r="E961" s="263"/>
      <c r="F961" s="263"/>
      <c r="G961" s="263"/>
      <c r="H961" s="263"/>
      <c r="I961" s="263"/>
      <c r="J961" s="263"/>
      <c r="K961" s="263"/>
      <c r="L961" s="263"/>
      <c r="M961" s="263"/>
      <c r="N961" s="263"/>
      <c r="O961" s="263"/>
      <c r="P961" s="263"/>
      <c r="Q961" s="263"/>
      <c r="R961" s="263"/>
      <c r="S961" s="263"/>
      <c r="T961" s="263"/>
      <c r="U961" s="263"/>
      <c r="V961" s="263"/>
      <c r="W961" s="263"/>
      <c r="X961" s="263"/>
      <c r="Y961" s="263"/>
      <c r="Z961" s="263"/>
    </row>
    <row r="962">
      <c r="A962" s="263"/>
      <c r="B962" s="263"/>
      <c r="C962" s="263"/>
      <c r="D962" s="263"/>
      <c r="E962" s="263"/>
      <c r="F962" s="263"/>
      <c r="G962" s="263"/>
      <c r="H962" s="263"/>
      <c r="I962" s="263"/>
      <c r="J962" s="263"/>
      <c r="K962" s="263"/>
      <c r="L962" s="263"/>
      <c r="M962" s="263"/>
      <c r="N962" s="263"/>
      <c r="O962" s="263"/>
      <c r="P962" s="263"/>
      <c r="Q962" s="263"/>
      <c r="R962" s="263"/>
      <c r="S962" s="263"/>
      <c r="T962" s="263"/>
      <c r="U962" s="263"/>
      <c r="V962" s="263"/>
      <c r="W962" s="263"/>
      <c r="X962" s="263"/>
      <c r="Y962" s="263"/>
      <c r="Z962" s="263"/>
    </row>
    <row r="963">
      <c r="A963" s="263"/>
      <c r="B963" s="263"/>
      <c r="C963" s="263"/>
      <c r="D963" s="263"/>
      <c r="E963" s="263"/>
      <c r="F963" s="263"/>
      <c r="G963" s="263"/>
      <c r="H963" s="263"/>
      <c r="I963" s="263"/>
      <c r="J963" s="263"/>
      <c r="K963" s="263"/>
      <c r="L963" s="263"/>
      <c r="M963" s="263"/>
      <c r="N963" s="263"/>
      <c r="O963" s="263"/>
      <c r="P963" s="263"/>
      <c r="Q963" s="263"/>
      <c r="R963" s="263"/>
      <c r="S963" s="263"/>
      <c r="T963" s="263"/>
      <c r="U963" s="263"/>
      <c r="V963" s="263"/>
      <c r="W963" s="263"/>
      <c r="X963" s="263"/>
      <c r="Y963" s="263"/>
      <c r="Z963" s="263"/>
    </row>
    <row r="964">
      <c r="A964" s="263"/>
      <c r="B964" s="263"/>
      <c r="C964" s="263"/>
      <c r="D964" s="263"/>
      <c r="E964" s="263"/>
      <c r="F964" s="263"/>
      <c r="G964" s="263"/>
      <c r="H964" s="263"/>
      <c r="I964" s="263"/>
      <c r="J964" s="263"/>
      <c r="K964" s="263"/>
      <c r="L964" s="263"/>
      <c r="M964" s="263"/>
      <c r="N964" s="263"/>
      <c r="O964" s="263"/>
      <c r="P964" s="263"/>
      <c r="Q964" s="263"/>
      <c r="R964" s="263"/>
      <c r="S964" s="263"/>
      <c r="T964" s="263"/>
      <c r="U964" s="263"/>
      <c r="V964" s="263"/>
      <c r="W964" s="263"/>
      <c r="X964" s="263"/>
      <c r="Y964" s="263"/>
      <c r="Z964" s="263"/>
    </row>
    <row r="965">
      <c r="A965" s="263"/>
      <c r="B965" s="263"/>
      <c r="C965" s="263"/>
      <c r="D965" s="263"/>
      <c r="E965" s="263"/>
      <c r="F965" s="263"/>
      <c r="G965" s="263"/>
      <c r="H965" s="263"/>
      <c r="I965" s="263"/>
      <c r="J965" s="263"/>
      <c r="K965" s="263"/>
      <c r="L965" s="263"/>
      <c r="M965" s="263"/>
      <c r="N965" s="263"/>
      <c r="O965" s="263"/>
      <c r="P965" s="263"/>
      <c r="Q965" s="263"/>
      <c r="R965" s="263"/>
      <c r="S965" s="263"/>
      <c r="T965" s="263"/>
      <c r="U965" s="263"/>
      <c r="V965" s="263"/>
      <c r="W965" s="263"/>
      <c r="X965" s="263"/>
      <c r="Y965" s="263"/>
      <c r="Z965" s="263"/>
    </row>
    <row r="966">
      <c r="A966" s="263"/>
      <c r="B966" s="263"/>
      <c r="C966" s="263"/>
      <c r="D966" s="263"/>
      <c r="E966" s="263"/>
      <c r="F966" s="263"/>
      <c r="G966" s="263"/>
      <c r="H966" s="263"/>
      <c r="I966" s="263"/>
      <c r="J966" s="263"/>
      <c r="K966" s="263"/>
      <c r="L966" s="263"/>
      <c r="M966" s="263"/>
      <c r="N966" s="263"/>
      <c r="O966" s="263"/>
      <c r="P966" s="263"/>
      <c r="Q966" s="263"/>
      <c r="R966" s="263"/>
      <c r="S966" s="263"/>
      <c r="T966" s="263"/>
      <c r="U966" s="263"/>
      <c r="V966" s="263"/>
      <c r="W966" s="263"/>
      <c r="X966" s="263"/>
      <c r="Y966" s="263"/>
      <c r="Z966" s="263"/>
    </row>
    <row r="967">
      <c r="A967" s="263"/>
      <c r="B967" s="263"/>
      <c r="C967" s="263"/>
      <c r="D967" s="263"/>
      <c r="E967" s="263"/>
      <c r="F967" s="263"/>
      <c r="G967" s="263"/>
      <c r="H967" s="263"/>
      <c r="I967" s="263"/>
      <c r="J967" s="263"/>
      <c r="K967" s="263"/>
      <c r="L967" s="263"/>
      <c r="M967" s="263"/>
      <c r="N967" s="263"/>
      <c r="O967" s="263"/>
      <c r="P967" s="263"/>
      <c r="Q967" s="263"/>
      <c r="R967" s="263"/>
      <c r="S967" s="263"/>
      <c r="T967" s="263"/>
      <c r="U967" s="263"/>
      <c r="V967" s="263"/>
      <c r="W967" s="263"/>
      <c r="X967" s="263"/>
      <c r="Y967" s="263"/>
      <c r="Z967" s="263"/>
    </row>
    <row r="968">
      <c r="A968" s="263"/>
      <c r="B968" s="263"/>
      <c r="C968" s="263"/>
      <c r="D968" s="263"/>
      <c r="E968" s="263"/>
      <c r="F968" s="263"/>
      <c r="G968" s="263"/>
      <c r="H968" s="263"/>
      <c r="I968" s="263"/>
      <c r="J968" s="263"/>
      <c r="K968" s="263"/>
      <c r="L968" s="263"/>
      <c r="M968" s="263"/>
      <c r="N968" s="263"/>
      <c r="O968" s="263"/>
      <c r="P968" s="263"/>
      <c r="Q968" s="263"/>
      <c r="R968" s="263"/>
      <c r="S968" s="263"/>
      <c r="T968" s="263"/>
      <c r="U968" s="263"/>
      <c r="V968" s="263"/>
      <c r="W968" s="263"/>
      <c r="X968" s="263"/>
      <c r="Y968" s="263"/>
      <c r="Z968" s="263"/>
    </row>
    <row r="969">
      <c r="A969" s="263"/>
      <c r="B969" s="263"/>
      <c r="C969" s="263"/>
      <c r="D969" s="263"/>
      <c r="E969" s="263"/>
      <c r="F969" s="263"/>
      <c r="G969" s="263"/>
      <c r="H969" s="263"/>
      <c r="I969" s="263"/>
      <c r="J969" s="263"/>
      <c r="K969" s="263"/>
      <c r="L969" s="263"/>
      <c r="M969" s="263"/>
      <c r="N969" s="263"/>
      <c r="O969" s="263"/>
      <c r="P969" s="263"/>
      <c r="Q969" s="263"/>
      <c r="R969" s="263"/>
      <c r="S969" s="263"/>
      <c r="T969" s="263"/>
      <c r="U969" s="263"/>
      <c r="V969" s="263"/>
      <c r="W969" s="263"/>
      <c r="X969" s="263"/>
      <c r="Y969" s="263"/>
      <c r="Z969" s="263"/>
    </row>
    <row r="970">
      <c r="A970" s="263"/>
      <c r="B970" s="263"/>
      <c r="C970" s="263"/>
      <c r="D970" s="263"/>
      <c r="E970" s="263"/>
      <c r="F970" s="263"/>
      <c r="G970" s="263"/>
      <c r="H970" s="263"/>
      <c r="I970" s="263"/>
      <c r="J970" s="263"/>
      <c r="K970" s="263"/>
      <c r="L970" s="263"/>
      <c r="M970" s="263"/>
      <c r="N970" s="263"/>
      <c r="O970" s="263"/>
      <c r="P970" s="263"/>
      <c r="Q970" s="263"/>
      <c r="R970" s="263"/>
      <c r="S970" s="263"/>
      <c r="T970" s="263"/>
      <c r="U970" s="263"/>
      <c r="V970" s="263"/>
      <c r="W970" s="263"/>
      <c r="X970" s="263"/>
      <c r="Y970" s="263"/>
      <c r="Z970" s="263"/>
    </row>
    <row r="971">
      <c r="A971" s="263"/>
      <c r="B971" s="263"/>
      <c r="C971" s="263"/>
      <c r="D971" s="263"/>
      <c r="E971" s="263"/>
      <c r="F971" s="263"/>
      <c r="G971" s="263"/>
      <c r="H971" s="263"/>
      <c r="I971" s="263"/>
      <c r="J971" s="263"/>
      <c r="K971" s="263"/>
      <c r="L971" s="263"/>
      <c r="M971" s="263"/>
      <c r="N971" s="263"/>
      <c r="O971" s="263"/>
      <c r="P971" s="263"/>
      <c r="Q971" s="263"/>
      <c r="R971" s="263"/>
      <c r="S971" s="263"/>
      <c r="T971" s="263"/>
      <c r="U971" s="263"/>
      <c r="V971" s="263"/>
      <c r="W971" s="263"/>
      <c r="X971" s="263"/>
      <c r="Y971" s="263"/>
      <c r="Z971" s="263"/>
    </row>
    <row r="972">
      <c r="A972" s="263"/>
      <c r="B972" s="263"/>
      <c r="C972" s="263"/>
      <c r="D972" s="263"/>
      <c r="E972" s="263"/>
      <c r="F972" s="263"/>
      <c r="G972" s="263"/>
      <c r="H972" s="263"/>
      <c r="I972" s="263"/>
      <c r="J972" s="263"/>
      <c r="K972" s="263"/>
      <c r="L972" s="263"/>
      <c r="M972" s="263"/>
      <c r="N972" s="263"/>
      <c r="O972" s="263"/>
      <c r="P972" s="263"/>
      <c r="Q972" s="263"/>
      <c r="R972" s="263"/>
      <c r="S972" s="263"/>
      <c r="T972" s="263"/>
      <c r="U972" s="263"/>
      <c r="V972" s="263"/>
      <c r="W972" s="263"/>
      <c r="X972" s="263"/>
      <c r="Y972" s="263"/>
      <c r="Z972" s="263"/>
    </row>
    <row r="973">
      <c r="A973" s="263"/>
      <c r="B973" s="263"/>
      <c r="C973" s="263"/>
      <c r="D973" s="263"/>
      <c r="E973" s="263"/>
      <c r="F973" s="263"/>
      <c r="G973" s="263"/>
      <c r="H973" s="263"/>
      <c r="I973" s="263"/>
      <c r="J973" s="263"/>
      <c r="K973" s="263"/>
      <c r="L973" s="263"/>
      <c r="M973" s="263"/>
      <c r="N973" s="263"/>
      <c r="O973" s="263"/>
      <c r="P973" s="263"/>
      <c r="Q973" s="263"/>
      <c r="R973" s="263"/>
      <c r="S973" s="263"/>
      <c r="T973" s="263"/>
      <c r="U973" s="263"/>
      <c r="V973" s="263"/>
      <c r="W973" s="263"/>
      <c r="X973" s="263"/>
      <c r="Y973" s="263"/>
      <c r="Z973" s="263"/>
    </row>
    <row r="974">
      <c r="A974" s="263"/>
      <c r="B974" s="263"/>
      <c r="C974" s="263"/>
      <c r="D974" s="263"/>
      <c r="E974" s="263"/>
      <c r="F974" s="263"/>
      <c r="G974" s="263"/>
      <c r="H974" s="263"/>
      <c r="I974" s="263"/>
      <c r="J974" s="263"/>
      <c r="K974" s="263"/>
      <c r="L974" s="263"/>
      <c r="M974" s="263"/>
      <c r="N974" s="263"/>
      <c r="O974" s="263"/>
      <c r="P974" s="263"/>
      <c r="Q974" s="263"/>
      <c r="R974" s="263"/>
      <c r="S974" s="263"/>
      <c r="T974" s="263"/>
      <c r="U974" s="263"/>
      <c r="V974" s="263"/>
      <c r="W974" s="263"/>
      <c r="X974" s="263"/>
      <c r="Y974" s="263"/>
      <c r="Z974" s="263"/>
    </row>
    <row r="975">
      <c r="A975" s="263"/>
      <c r="B975" s="263"/>
      <c r="C975" s="263"/>
      <c r="D975" s="263"/>
      <c r="E975" s="263"/>
      <c r="F975" s="263"/>
      <c r="G975" s="263"/>
      <c r="H975" s="263"/>
      <c r="I975" s="263"/>
      <c r="J975" s="263"/>
      <c r="K975" s="263"/>
      <c r="L975" s="263"/>
      <c r="M975" s="263"/>
      <c r="N975" s="263"/>
      <c r="O975" s="263"/>
      <c r="P975" s="263"/>
      <c r="Q975" s="263"/>
      <c r="R975" s="263"/>
      <c r="S975" s="263"/>
      <c r="T975" s="263"/>
      <c r="U975" s="263"/>
      <c r="V975" s="263"/>
      <c r="W975" s="263"/>
      <c r="X975" s="263"/>
      <c r="Y975" s="263"/>
      <c r="Z975" s="263"/>
    </row>
    <row r="976">
      <c r="A976" s="263"/>
      <c r="B976" s="263"/>
      <c r="C976" s="263"/>
      <c r="D976" s="263"/>
      <c r="E976" s="263"/>
      <c r="F976" s="263"/>
      <c r="G976" s="263"/>
      <c r="H976" s="263"/>
      <c r="I976" s="263"/>
      <c r="J976" s="263"/>
      <c r="K976" s="263"/>
      <c r="L976" s="263"/>
      <c r="M976" s="263"/>
      <c r="N976" s="263"/>
      <c r="O976" s="263"/>
      <c r="P976" s="263"/>
      <c r="Q976" s="263"/>
      <c r="R976" s="263"/>
      <c r="S976" s="263"/>
      <c r="T976" s="263"/>
      <c r="U976" s="263"/>
      <c r="V976" s="263"/>
      <c r="W976" s="263"/>
      <c r="X976" s="263"/>
      <c r="Y976" s="263"/>
      <c r="Z976" s="263"/>
    </row>
    <row r="977">
      <c r="A977" s="263"/>
      <c r="B977" s="263"/>
      <c r="C977" s="263"/>
      <c r="D977" s="263"/>
      <c r="E977" s="263"/>
      <c r="F977" s="263"/>
      <c r="G977" s="263"/>
      <c r="H977" s="263"/>
      <c r="I977" s="263"/>
      <c r="J977" s="263"/>
      <c r="K977" s="263"/>
      <c r="L977" s="263"/>
      <c r="M977" s="263"/>
      <c r="N977" s="263"/>
      <c r="O977" s="263"/>
      <c r="P977" s="263"/>
      <c r="Q977" s="263"/>
      <c r="R977" s="263"/>
      <c r="S977" s="263"/>
      <c r="T977" s="263"/>
      <c r="U977" s="263"/>
      <c r="V977" s="263"/>
      <c r="W977" s="263"/>
      <c r="X977" s="263"/>
      <c r="Y977" s="263"/>
      <c r="Z977" s="263"/>
    </row>
    <row r="978">
      <c r="A978" s="263"/>
      <c r="B978" s="263"/>
      <c r="C978" s="263"/>
      <c r="D978" s="263"/>
      <c r="E978" s="263"/>
      <c r="F978" s="263"/>
      <c r="G978" s="263"/>
      <c r="H978" s="263"/>
      <c r="I978" s="263"/>
      <c r="J978" s="263"/>
      <c r="K978" s="263"/>
      <c r="L978" s="263"/>
      <c r="M978" s="263"/>
      <c r="N978" s="263"/>
      <c r="O978" s="263"/>
      <c r="P978" s="263"/>
      <c r="Q978" s="263"/>
      <c r="R978" s="263"/>
      <c r="S978" s="263"/>
      <c r="T978" s="263"/>
      <c r="U978" s="263"/>
      <c r="V978" s="263"/>
      <c r="W978" s="263"/>
      <c r="X978" s="263"/>
      <c r="Y978" s="263"/>
      <c r="Z978" s="263"/>
    </row>
    <row r="979">
      <c r="A979" s="263"/>
      <c r="B979" s="263"/>
      <c r="C979" s="263"/>
      <c r="D979" s="263"/>
      <c r="E979" s="263"/>
      <c r="F979" s="263"/>
      <c r="G979" s="263"/>
      <c r="H979" s="263"/>
      <c r="I979" s="263"/>
      <c r="J979" s="263"/>
      <c r="K979" s="263"/>
      <c r="L979" s="263"/>
      <c r="M979" s="263"/>
      <c r="N979" s="263"/>
      <c r="O979" s="263"/>
      <c r="P979" s="263"/>
      <c r="Q979" s="263"/>
      <c r="R979" s="263"/>
      <c r="S979" s="263"/>
      <c r="T979" s="263"/>
      <c r="U979" s="263"/>
      <c r="V979" s="263"/>
      <c r="W979" s="263"/>
      <c r="X979" s="263"/>
      <c r="Y979" s="263"/>
      <c r="Z979" s="263"/>
    </row>
    <row r="980">
      <c r="A980" s="263"/>
      <c r="B980" s="263"/>
      <c r="C980" s="263"/>
      <c r="D980" s="263"/>
      <c r="E980" s="263"/>
      <c r="F980" s="263"/>
      <c r="G980" s="263"/>
      <c r="H980" s="263"/>
      <c r="I980" s="263"/>
      <c r="J980" s="263"/>
      <c r="K980" s="263"/>
      <c r="L980" s="263"/>
      <c r="M980" s="263"/>
      <c r="N980" s="263"/>
      <c r="O980" s="263"/>
      <c r="P980" s="263"/>
      <c r="Q980" s="263"/>
      <c r="R980" s="263"/>
      <c r="S980" s="263"/>
      <c r="T980" s="263"/>
      <c r="U980" s="263"/>
      <c r="V980" s="263"/>
      <c r="W980" s="263"/>
      <c r="X980" s="263"/>
      <c r="Y980" s="263"/>
      <c r="Z980" s="263"/>
    </row>
    <row r="981">
      <c r="A981" s="263"/>
      <c r="B981" s="263"/>
      <c r="C981" s="263"/>
      <c r="D981" s="263"/>
      <c r="E981" s="263"/>
      <c r="F981" s="263"/>
      <c r="G981" s="263"/>
      <c r="H981" s="263"/>
      <c r="I981" s="263"/>
      <c r="J981" s="263"/>
      <c r="K981" s="263"/>
      <c r="L981" s="263"/>
      <c r="M981" s="263"/>
      <c r="N981" s="263"/>
      <c r="O981" s="263"/>
      <c r="P981" s="263"/>
      <c r="Q981" s="263"/>
      <c r="R981" s="263"/>
      <c r="S981" s="263"/>
      <c r="T981" s="263"/>
      <c r="U981" s="263"/>
      <c r="V981" s="263"/>
      <c r="W981" s="263"/>
      <c r="X981" s="263"/>
      <c r="Y981" s="263"/>
      <c r="Z981" s="263"/>
    </row>
    <row r="982">
      <c r="A982" s="263"/>
      <c r="B982" s="263"/>
      <c r="C982" s="263"/>
      <c r="D982" s="263"/>
      <c r="E982" s="263"/>
      <c r="F982" s="263"/>
      <c r="G982" s="263"/>
      <c r="H982" s="263"/>
      <c r="I982" s="263"/>
      <c r="J982" s="263"/>
      <c r="K982" s="263"/>
      <c r="L982" s="263"/>
      <c r="M982" s="263"/>
      <c r="N982" s="263"/>
      <c r="O982" s="263"/>
      <c r="P982" s="263"/>
      <c r="Q982" s="263"/>
      <c r="R982" s="263"/>
      <c r="S982" s="263"/>
      <c r="T982" s="263"/>
      <c r="U982" s="263"/>
      <c r="V982" s="263"/>
      <c r="W982" s="263"/>
      <c r="X982" s="263"/>
      <c r="Y982" s="263"/>
      <c r="Z982" s="263"/>
    </row>
    <row r="983">
      <c r="A983" s="263"/>
      <c r="B983" s="263"/>
      <c r="C983" s="263"/>
      <c r="D983" s="263"/>
      <c r="E983" s="263"/>
      <c r="F983" s="263"/>
      <c r="G983" s="263"/>
      <c r="H983" s="263"/>
      <c r="I983" s="263"/>
      <c r="J983" s="263"/>
      <c r="K983" s="263"/>
      <c r="L983" s="263"/>
      <c r="M983" s="263"/>
      <c r="N983" s="263"/>
      <c r="O983" s="263"/>
      <c r="P983" s="263"/>
      <c r="Q983" s="263"/>
      <c r="R983" s="263"/>
      <c r="S983" s="263"/>
      <c r="T983" s="263"/>
      <c r="U983" s="263"/>
      <c r="V983" s="263"/>
      <c r="W983" s="263"/>
      <c r="X983" s="263"/>
      <c r="Y983" s="263"/>
      <c r="Z983" s="263"/>
    </row>
    <row r="984">
      <c r="A984" s="263"/>
      <c r="B984" s="263"/>
      <c r="C984" s="263"/>
      <c r="D984" s="263"/>
      <c r="E984" s="263"/>
      <c r="F984" s="263"/>
      <c r="G984" s="263"/>
      <c r="H984" s="263"/>
      <c r="I984" s="263"/>
      <c r="J984" s="263"/>
      <c r="K984" s="263"/>
      <c r="L984" s="263"/>
      <c r="M984" s="263"/>
      <c r="N984" s="263"/>
      <c r="O984" s="263"/>
      <c r="P984" s="263"/>
      <c r="Q984" s="263"/>
      <c r="R984" s="263"/>
      <c r="S984" s="263"/>
      <c r="T984" s="263"/>
      <c r="U984" s="263"/>
      <c r="V984" s="263"/>
      <c r="W984" s="263"/>
      <c r="X984" s="263"/>
      <c r="Y984" s="263"/>
      <c r="Z984" s="263"/>
    </row>
    <row r="985">
      <c r="A985" s="263"/>
      <c r="B985" s="263"/>
      <c r="C985" s="263"/>
      <c r="D985" s="263"/>
      <c r="E985" s="263"/>
      <c r="F985" s="263"/>
      <c r="G985" s="263"/>
      <c r="H985" s="263"/>
      <c r="I985" s="263"/>
      <c r="J985" s="263"/>
      <c r="K985" s="263"/>
      <c r="L985" s="263"/>
      <c r="M985" s="263"/>
      <c r="N985" s="263"/>
      <c r="O985" s="263"/>
      <c r="P985" s="263"/>
      <c r="Q985" s="263"/>
      <c r="R985" s="263"/>
      <c r="S985" s="263"/>
      <c r="T985" s="263"/>
      <c r="U985" s="263"/>
      <c r="V985" s="263"/>
      <c r="W985" s="263"/>
      <c r="X985" s="263"/>
      <c r="Y985" s="263"/>
      <c r="Z985" s="263"/>
    </row>
    <row r="986">
      <c r="A986" s="263"/>
      <c r="B986" s="263"/>
      <c r="C986" s="263"/>
      <c r="D986" s="263"/>
      <c r="E986" s="263"/>
      <c r="F986" s="263"/>
      <c r="G986" s="263"/>
      <c r="H986" s="263"/>
      <c r="I986" s="263"/>
      <c r="J986" s="263"/>
      <c r="K986" s="263"/>
      <c r="L986" s="263"/>
      <c r="M986" s="263"/>
      <c r="N986" s="263"/>
      <c r="O986" s="263"/>
      <c r="P986" s="263"/>
      <c r="Q986" s="263"/>
      <c r="R986" s="263"/>
      <c r="S986" s="263"/>
      <c r="T986" s="263"/>
      <c r="U986" s="263"/>
      <c r="V986" s="263"/>
      <c r="W986" s="263"/>
      <c r="X986" s="263"/>
      <c r="Y986" s="263"/>
      <c r="Z986" s="263"/>
    </row>
    <row r="987">
      <c r="A987" s="263"/>
      <c r="B987" s="263"/>
      <c r="C987" s="263"/>
      <c r="D987" s="263"/>
      <c r="E987" s="263"/>
      <c r="F987" s="263"/>
      <c r="G987" s="263"/>
      <c r="H987" s="263"/>
      <c r="I987" s="263"/>
      <c r="J987" s="263"/>
      <c r="K987" s="263"/>
      <c r="L987" s="263"/>
      <c r="M987" s="263"/>
      <c r="N987" s="263"/>
      <c r="O987" s="263"/>
      <c r="P987" s="263"/>
      <c r="Q987" s="263"/>
      <c r="R987" s="263"/>
      <c r="S987" s="263"/>
      <c r="T987" s="263"/>
      <c r="U987" s="263"/>
      <c r="V987" s="263"/>
      <c r="W987" s="263"/>
      <c r="X987" s="263"/>
      <c r="Y987" s="263"/>
      <c r="Z987" s="263"/>
    </row>
    <row r="988">
      <c r="A988" s="263"/>
      <c r="B988" s="263"/>
      <c r="C988" s="263"/>
      <c r="D988" s="263"/>
      <c r="E988" s="263"/>
      <c r="F988" s="263"/>
      <c r="G988" s="263"/>
      <c r="H988" s="263"/>
      <c r="I988" s="263"/>
      <c r="J988" s="263"/>
      <c r="K988" s="263"/>
      <c r="L988" s="263"/>
      <c r="M988" s="263"/>
      <c r="N988" s="263"/>
      <c r="O988" s="263"/>
      <c r="P988" s="263"/>
      <c r="Q988" s="263"/>
      <c r="R988" s="263"/>
      <c r="S988" s="263"/>
      <c r="T988" s="263"/>
      <c r="U988" s="263"/>
      <c r="V988" s="263"/>
      <c r="W988" s="263"/>
      <c r="X988" s="263"/>
      <c r="Y988" s="263"/>
      <c r="Z988" s="263"/>
    </row>
    <row r="989">
      <c r="A989" s="263"/>
      <c r="B989" s="263"/>
      <c r="C989" s="263"/>
      <c r="D989" s="263"/>
      <c r="E989" s="263"/>
      <c r="F989" s="263"/>
      <c r="G989" s="263"/>
      <c r="H989" s="263"/>
      <c r="I989" s="263"/>
      <c r="J989" s="263"/>
      <c r="K989" s="263"/>
      <c r="L989" s="263"/>
      <c r="M989" s="263"/>
      <c r="N989" s="263"/>
      <c r="O989" s="263"/>
      <c r="P989" s="263"/>
      <c r="Q989" s="263"/>
      <c r="R989" s="263"/>
      <c r="S989" s="263"/>
      <c r="T989" s="263"/>
      <c r="U989" s="263"/>
      <c r="V989" s="263"/>
      <c r="W989" s="263"/>
      <c r="X989" s="263"/>
      <c r="Y989" s="263"/>
      <c r="Z989" s="263"/>
    </row>
    <row r="990">
      <c r="A990" s="263"/>
      <c r="B990" s="263"/>
      <c r="C990" s="263"/>
      <c r="D990" s="263"/>
      <c r="E990" s="263"/>
      <c r="F990" s="263"/>
      <c r="G990" s="263"/>
      <c r="H990" s="263"/>
      <c r="I990" s="263"/>
      <c r="J990" s="263"/>
      <c r="K990" s="263"/>
      <c r="L990" s="263"/>
      <c r="M990" s="263"/>
      <c r="N990" s="263"/>
      <c r="O990" s="263"/>
      <c r="P990" s="263"/>
      <c r="Q990" s="263"/>
      <c r="R990" s="263"/>
      <c r="S990" s="263"/>
      <c r="T990" s="263"/>
      <c r="U990" s="263"/>
      <c r="V990" s="263"/>
      <c r="W990" s="263"/>
      <c r="X990" s="263"/>
      <c r="Y990" s="263"/>
      <c r="Z990" s="263"/>
    </row>
    <row r="991">
      <c r="A991" s="263"/>
      <c r="B991" s="263"/>
      <c r="C991" s="263"/>
      <c r="D991" s="263"/>
      <c r="E991" s="263"/>
      <c r="F991" s="263"/>
      <c r="G991" s="263"/>
      <c r="H991" s="263"/>
      <c r="I991" s="263"/>
      <c r="J991" s="263"/>
      <c r="K991" s="263"/>
      <c r="L991" s="263"/>
      <c r="M991" s="263"/>
      <c r="N991" s="263"/>
      <c r="O991" s="263"/>
      <c r="P991" s="263"/>
      <c r="Q991" s="263"/>
      <c r="R991" s="263"/>
      <c r="S991" s="263"/>
      <c r="T991" s="263"/>
      <c r="U991" s="263"/>
      <c r="V991" s="263"/>
      <c r="W991" s="263"/>
      <c r="X991" s="263"/>
      <c r="Y991" s="263"/>
      <c r="Z991" s="263"/>
    </row>
    <row r="992">
      <c r="A992" s="263"/>
      <c r="B992" s="263"/>
      <c r="C992" s="263"/>
      <c r="D992" s="263"/>
      <c r="E992" s="263"/>
      <c r="F992" s="263"/>
      <c r="G992" s="263"/>
      <c r="H992" s="263"/>
      <c r="I992" s="263"/>
      <c r="J992" s="263"/>
      <c r="K992" s="263"/>
      <c r="L992" s="263"/>
      <c r="M992" s="263"/>
      <c r="N992" s="263"/>
      <c r="O992" s="263"/>
      <c r="P992" s="263"/>
      <c r="Q992" s="263"/>
      <c r="R992" s="263"/>
      <c r="S992" s="263"/>
      <c r="T992" s="263"/>
      <c r="U992" s="263"/>
      <c r="V992" s="263"/>
      <c r="W992" s="263"/>
      <c r="X992" s="263"/>
      <c r="Y992" s="263"/>
      <c r="Z992" s="263"/>
    </row>
    <row r="993">
      <c r="A993" s="263"/>
      <c r="B993" s="263"/>
      <c r="C993" s="263"/>
      <c r="D993" s="263"/>
      <c r="E993" s="263"/>
      <c r="F993" s="263"/>
      <c r="G993" s="263"/>
      <c r="H993" s="263"/>
      <c r="I993" s="263"/>
      <c r="J993" s="263"/>
      <c r="K993" s="263"/>
      <c r="L993" s="263"/>
      <c r="M993" s="263"/>
      <c r="N993" s="263"/>
      <c r="O993" s="263"/>
      <c r="P993" s="263"/>
      <c r="Q993" s="263"/>
      <c r="R993" s="263"/>
      <c r="S993" s="263"/>
      <c r="T993" s="263"/>
      <c r="U993" s="263"/>
      <c r="V993" s="263"/>
      <c r="W993" s="263"/>
      <c r="X993" s="263"/>
      <c r="Y993" s="263"/>
      <c r="Z993" s="263"/>
    </row>
    <row r="994">
      <c r="A994" s="263"/>
      <c r="B994" s="263"/>
      <c r="C994" s="263"/>
      <c r="D994" s="263"/>
      <c r="E994" s="263"/>
      <c r="F994" s="263"/>
      <c r="G994" s="263"/>
      <c r="H994" s="263"/>
      <c r="I994" s="263"/>
      <c r="J994" s="263"/>
      <c r="K994" s="263"/>
      <c r="L994" s="263"/>
      <c r="M994" s="263"/>
      <c r="N994" s="263"/>
      <c r="O994" s="263"/>
      <c r="P994" s="263"/>
      <c r="Q994" s="263"/>
      <c r="R994" s="263"/>
      <c r="S994" s="263"/>
      <c r="T994" s="263"/>
      <c r="U994" s="263"/>
      <c r="V994" s="263"/>
      <c r="W994" s="263"/>
      <c r="X994" s="263"/>
      <c r="Y994" s="263"/>
      <c r="Z994" s="263"/>
    </row>
    <row r="995">
      <c r="A995" s="263"/>
      <c r="B995" s="263"/>
      <c r="C995" s="263"/>
      <c r="D995" s="263"/>
      <c r="E995" s="263"/>
      <c r="F995" s="263"/>
      <c r="G995" s="263"/>
      <c r="H995" s="263"/>
      <c r="I995" s="263"/>
      <c r="J995" s="263"/>
      <c r="K995" s="263"/>
      <c r="L995" s="263"/>
      <c r="M995" s="263"/>
      <c r="N995" s="263"/>
      <c r="O995" s="263"/>
      <c r="P995" s="263"/>
      <c r="Q995" s="263"/>
      <c r="R995" s="263"/>
      <c r="S995" s="263"/>
      <c r="T995" s="263"/>
      <c r="U995" s="263"/>
      <c r="V995" s="263"/>
      <c r="W995" s="263"/>
      <c r="X995" s="263"/>
      <c r="Y995" s="263"/>
      <c r="Z995" s="263"/>
    </row>
    <row r="996">
      <c r="A996" s="263"/>
      <c r="B996" s="263"/>
      <c r="C996" s="263"/>
      <c r="D996" s="263"/>
      <c r="E996" s="263"/>
      <c r="F996" s="263"/>
      <c r="G996" s="263"/>
      <c r="H996" s="263"/>
      <c r="I996" s="263"/>
      <c r="J996" s="263"/>
      <c r="K996" s="263"/>
      <c r="L996" s="263"/>
      <c r="M996" s="263"/>
      <c r="N996" s="263"/>
      <c r="O996" s="263"/>
      <c r="P996" s="263"/>
      <c r="Q996" s="263"/>
      <c r="R996" s="263"/>
      <c r="S996" s="263"/>
      <c r="T996" s="263"/>
      <c r="U996" s="263"/>
      <c r="V996" s="263"/>
      <c r="W996" s="263"/>
      <c r="X996" s="263"/>
      <c r="Y996" s="263"/>
      <c r="Z996" s="263"/>
    </row>
    <row r="997">
      <c r="A997" s="263"/>
      <c r="B997" s="263"/>
      <c r="C997" s="263"/>
      <c r="D997" s="263"/>
      <c r="E997" s="263"/>
      <c r="F997" s="263"/>
      <c r="G997" s="263"/>
      <c r="H997" s="263"/>
      <c r="I997" s="263"/>
      <c r="J997" s="263"/>
      <c r="K997" s="263"/>
      <c r="L997" s="263"/>
      <c r="M997" s="263"/>
      <c r="N997" s="263"/>
      <c r="O997" s="263"/>
      <c r="P997" s="263"/>
      <c r="Q997" s="263"/>
      <c r="R997" s="263"/>
      <c r="S997" s="263"/>
      <c r="T997" s="263"/>
      <c r="U997" s="263"/>
      <c r="V997" s="263"/>
      <c r="W997" s="263"/>
      <c r="X997" s="263"/>
      <c r="Y997" s="263"/>
      <c r="Z997" s="263"/>
    </row>
    <row r="998">
      <c r="A998" s="263"/>
      <c r="B998" s="263"/>
      <c r="C998" s="263"/>
      <c r="D998" s="263"/>
      <c r="E998" s="263"/>
      <c r="F998" s="263"/>
      <c r="G998" s="263"/>
      <c r="H998" s="263"/>
      <c r="I998" s="263"/>
      <c r="J998" s="263"/>
      <c r="K998" s="263"/>
      <c r="L998" s="263"/>
      <c r="M998" s="263"/>
      <c r="N998" s="263"/>
      <c r="O998" s="263"/>
      <c r="P998" s="263"/>
      <c r="Q998" s="263"/>
      <c r="R998" s="263"/>
      <c r="S998" s="263"/>
      <c r="T998" s="263"/>
      <c r="U998" s="263"/>
      <c r="V998" s="263"/>
      <c r="W998" s="263"/>
      <c r="X998" s="263"/>
      <c r="Y998" s="263"/>
      <c r="Z998" s="263"/>
    </row>
    <row r="999">
      <c r="A999" s="263"/>
      <c r="B999" s="263"/>
      <c r="C999" s="263"/>
      <c r="D999" s="263"/>
      <c r="E999" s="263"/>
      <c r="F999" s="263"/>
      <c r="G999" s="263"/>
      <c r="H999" s="263"/>
      <c r="I999" s="263"/>
      <c r="J999" s="263"/>
      <c r="K999" s="263"/>
      <c r="L999" s="263"/>
      <c r="M999" s="263"/>
      <c r="N999" s="263"/>
      <c r="O999" s="263"/>
      <c r="P999" s="263"/>
      <c r="Q999" s="263"/>
      <c r="R999" s="263"/>
      <c r="S999" s="263"/>
      <c r="T999" s="263"/>
      <c r="U999" s="263"/>
      <c r="V999" s="263"/>
      <c r="W999" s="263"/>
      <c r="X999" s="263"/>
      <c r="Y999" s="263"/>
      <c r="Z999" s="263"/>
    </row>
    <row r="1000">
      <c r="A1000" s="263"/>
      <c r="B1000" s="263"/>
      <c r="C1000" s="263"/>
      <c r="D1000" s="263"/>
      <c r="E1000" s="263"/>
      <c r="F1000" s="263"/>
      <c r="G1000" s="263"/>
      <c r="H1000" s="263"/>
      <c r="I1000" s="263"/>
      <c r="J1000" s="263"/>
      <c r="K1000" s="263"/>
      <c r="L1000" s="263"/>
      <c r="M1000" s="263"/>
      <c r="N1000" s="263"/>
      <c r="O1000" s="263"/>
      <c r="P1000" s="263"/>
      <c r="Q1000" s="263"/>
      <c r="R1000" s="263"/>
      <c r="S1000" s="263"/>
      <c r="T1000" s="263"/>
      <c r="U1000" s="263"/>
      <c r="V1000" s="263"/>
      <c r="W1000" s="263"/>
      <c r="X1000" s="263"/>
      <c r="Y1000" s="263"/>
      <c r="Z1000" s="263"/>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71"/>
    <col customWidth="1" min="2" max="2" width="16.71"/>
    <col customWidth="1" min="4" max="4" width="20.0"/>
  </cols>
  <sheetData>
    <row r="1">
      <c r="A1" s="269" t="str">
        <f>IFERROR(__xludf.DUMMYFUNCTION("IMPORTRANGE(""https://docs.google.com/spreadsheets/d/1xgDM68xiM34Lb7pPa9X0VaOqdhswjHKkl6KIk-vu_2Q/edit?gid=0#gid=0"", ""Classes!B1:B"")"),"Name")</f>
        <v>Name</v>
      </c>
      <c r="B1" s="269" t="str">
        <f>IFERROR(__xludf.DUMMYFUNCTION("IMPORTRANGE(""https://docs.google.com/spreadsheets/d/1xgDM68xiM34Lb7pPa9X0VaOqdhswjHKkl6KIk-vu_2Q/edit?gid=0#gid=0"", ""Classes!C1:C"")"),"Tier")</f>
        <v>Tier</v>
      </c>
      <c r="C1" s="269"/>
      <c r="D1" s="270"/>
      <c r="E1" s="269"/>
      <c r="F1" s="269"/>
      <c r="G1" s="269"/>
      <c r="H1" s="269"/>
      <c r="I1" s="269"/>
      <c r="J1" s="269"/>
      <c r="K1" s="269"/>
      <c r="L1" s="269"/>
      <c r="M1" s="269"/>
      <c r="N1" s="269"/>
      <c r="O1" s="269"/>
      <c r="P1" s="269"/>
      <c r="Q1" s="269"/>
      <c r="R1" s="269"/>
      <c r="S1" s="269"/>
      <c r="T1" s="269"/>
      <c r="U1" s="269"/>
      <c r="V1" s="269"/>
      <c r="W1" s="269"/>
      <c r="X1" s="269"/>
      <c r="Y1" s="269"/>
      <c r="Z1" s="269"/>
    </row>
    <row r="2">
      <c r="A2" s="269" t="str">
        <f>IFERROR(__xludf.DUMMYFUNCTION("""COMPUTED_VALUE"""),"Abjurer")</f>
        <v>Abjurer</v>
      </c>
      <c r="B2" s="269" t="str">
        <f>IFERROR(__xludf.DUMMYFUNCTION("""COMPUTED_VALUE"""),"Tier 2")</f>
        <v>Tier 2</v>
      </c>
      <c r="C2" s="269"/>
      <c r="D2" s="269"/>
      <c r="E2" s="269"/>
      <c r="F2" s="269"/>
      <c r="G2" s="269"/>
      <c r="H2" s="269"/>
      <c r="I2" s="269"/>
      <c r="J2" s="269"/>
      <c r="K2" s="269"/>
      <c r="L2" s="269"/>
      <c r="M2" s="269"/>
      <c r="N2" s="269"/>
      <c r="O2" s="269"/>
      <c r="P2" s="269"/>
      <c r="Q2" s="269"/>
      <c r="R2" s="269"/>
      <c r="S2" s="269"/>
      <c r="T2" s="269"/>
      <c r="U2" s="269"/>
      <c r="V2" s="269"/>
      <c r="W2" s="269"/>
      <c r="X2" s="269"/>
      <c r="Y2" s="269"/>
      <c r="Z2" s="269"/>
    </row>
    <row r="3">
      <c r="A3" s="269" t="str">
        <f>IFERROR(__xludf.DUMMYFUNCTION("""COMPUTED_VALUE"""),"Acolyte")</f>
        <v>Acolyte</v>
      </c>
      <c r="B3" s="269" t="str">
        <f>IFERROR(__xludf.DUMMYFUNCTION("""COMPUTED_VALUE"""),"Tier 1")</f>
        <v>Tier 1</v>
      </c>
      <c r="C3" s="269"/>
      <c r="D3" s="269"/>
      <c r="E3" s="269"/>
      <c r="F3" s="269"/>
      <c r="G3" s="269"/>
      <c r="H3" s="269"/>
      <c r="I3" s="269"/>
      <c r="J3" s="269"/>
      <c r="K3" s="269"/>
      <c r="L3" s="269"/>
      <c r="M3" s="269"/>
      <c r="N3" s="269"/>
      <c r="O3" s="269"/>
      <c r="P3" s="269"/>
      <c r="Q3" s="269"/>
      <c r="R3" s="269"/>
      <c r="S3" s="269"/>
      <c r="T3" s="269"/>
      <c r="U3" s="269"/>
      <c r="V3" s="269"/>
      <c r="W3" s="269"/>
      <c r="X3" s="269"/>
      <c r="Y3" s="269"/>
      <c r="Z3" s="269"/>
    </row>
    <row r="4">
      <c r="A4" s="269" t="str">
        <f>IFERROR(__xludf.DUMMYFUNCTION("""COMPUTED_VALUE"""),"Adventurer")</f>
        <v>Adventurer</v>
      </c>
      <c r="B4" s="269" t="str">
        <f>IFERROR(__xludf.DUMMYFUNCTION("""COMPUTED_VALUE"""),"Tier 1")</f>
        <v>Tier 1</v>
      </c>
      <c r="C4" s="269"/>
      <c r="D4" s="269"/>
      <c r="E4" s="269"/>
      <c r="F4" s="269"/>
      <c r="G4" s="269"/>
      <c r="H4" s="269"/>
      <c r="I4" s="269"/>
      <c r="J4" s="269"/>
      <c r="K4" s="269"/>
      <c r="L4" s="269"/>
      <c r="M4" s="269"/>
      <c r="N4" s="269"/>
      <c r="O4" s="269"/>
      <c r="P4" s="269"/>
      <c r="Q4" s="269"/>
      <c r="R4" s="269"/>
      <c r="S4" s="269"/>
      <c r="T4" s="269"/>
      <c r="U4" s="269"/>
      <c r="V4" s="269"/>
      <c r="W4" s="269"/>
      <c r="X4" s="269"/>
      <c r="Y4" s="269"/>
      <c r="Z4" s="269"/>
    </row>
    <row r="5">
      <c r="A5" s="269" t="str">
        <f>IFERROR(__xludf.DUMMYFUNCTION("""COMPUTED_VALUE"""),"Aerial Mage")</f>
        <v>Aerial Mage</v>
      </c>
      <c r="B5" s="269" t="str">
        <f>IFERROR(__xludf.DUMMYFUNCTION("""COMPUTED_VALUE"""),"Tier 2")</f>
        <v>Tier 2</v>
      </c>
      <c r="C5" s="269"/>
      <c r="D5" s="269"/>
      <c r="E5" s="269"/>
      <c r="F5" s="269"/>
      <c r="G5" s="269"/>
      <c r="H5" s="269"/>
      <c r="I5" s="269"/>
      <c r="J5" s="269"/>
      <c r="K5" s="269"/>
      <c r="L5" s="269"/>
      <c r="M5" s="269"/>
      <c r="N5" s="269"/>
      <c r="O5" s="269"/>
      <c r="P5" s="269"/>
      <c r="Q5" s="269"/>
      <c r="R5" s="269"/>
      <c r="S5" s="269"/>
      <c r="T5" s="269"/>
      <c r="U5" s="269"/>
      <c r="V5" s="269"/>
      <c r="W5" s="269"/>
      <c r="X5" s="269"/>
      <c r="Y5" s="269"/>
      <c r="Z5" s="269"/>
    </row>
    <row r="6">
      <c r="A6" s="269" t="str">
        <f>IFERROR(__xludf.DUMMYFUNCTION("""COMPUTED_VALUE"""),"Aeromancer")</f>
        <v>Aeromancer</v>
      </c>
      <c r="B6" s="269" t="str">
        <f>IFERROR(__xludf.DUMMYFUNCTION("""COMPUTED_VALUE"""),"Tier 2")</f>
        <v>Tier 2</v>
      </c>
      <c r="C6" s="269"/>
      <c r="D6" s="269"/>
      <c r="E6" s="269"/>
      <c r="F6" s="269"/>
      <c r="G6" s="269"/>
      <c r="H6" s="269"/>
      <c r="I6" s="269"/>
      <c r="J6" s="269"/>
      <c r="K6" s="269"/>
      <c r="L6" s="269"/>
      <c r="M6" s="269"/>
      <c r="N6" s="269"/>
      <c r="O6" s="269"/>
      <c r="P6" s="269"/>
      <c r="Q6" s="269"/>
      <c r="R6" s="269"/>
      <c r="S6" s="269"/>
      <c r="T6" s="269"/>
      <c r="U6" s="269"/>
      <c r="V6" s="269"/>
      <c r="W6" s="269"/>
      <c r="X6" s="269"/>
      <c r="Y6" s="269"/>
      <c r="Z6" s="269"/>
    </row>
    <row r="7">
      <c r="A7" s="269" t="str">
        <f>IFERROR(__xludf.DUMMYFUNCTION("""COMPUTED_VALUE"""),"Aeromaster")</f>
        <v>Aeromaster</v>
      </c>
      <c r="B7" s="269" t="str">
        <f>IFERROR(__xludf.DUMMYFUNCTION("""COMPUTED_VALUE"""),"Tier 3")</f>
        <v>Tier 3</v>
      </c>
      <c r="C7" s="269"/>
      <c r="D7" s="269"/>
      <c r="E7" s="269"/>
      <c r="F7" s="269"/>
      <c r="G7" s="269"/>
      <c r="H7" s="269"/>
      <c r="I7" s="269"/>
      <c r="J7" s="269"/>
      <c r="K7" s="269"/>
      <c r="L7" s="269"/>
      <c r="M7" s="269"/>
      <c r="N7" s="269"/>
      <c r="O7" s="269"/>
      <c r="P7" s="269"/>
      <c r="Q7" s="269"/>
      <c r="R7" s="269"/>
      <c r="S7" s="269"/>
      <c r="T7" s="269"/>
      <c r="U7" s="269"/>
      <c r="V7" s="269"/>
      <c r="W7" s="269"/>
      <c r="X7" s="269"/>
      <c r="Y7" s="269"/>
      <c r="Z7" s="269"/>
    </row>
    <row r="8">
      <c r="A8" s="269" t="str">
        <f>IFERROR(__xludf.DUMMYFUNCTION("""COMPUTED_VALUE"""),"Aetherie")</f>
        <v>Aetherie</v>
      </c>
      <c r="B8" s="269" t="str">
        <f>IFERROR(__xludf.DUMMYFUNCTION("""COMPUTED_VALUE"""),"Tier 2")</f>
        <v>Tier 2</v>
      </c>
      <c r="C8" s="269"/>
      <c r="D8" s="269"/>
      <c r="E8" s="269"/>
      <c r="F8" s="269"/>
      <c r="G8" s="269"/>
      <c r="H8" s="269"/>
      <c r="I8" s="269"/>
      <c r="J8" s="269"/>
      <c r="K8" s="269"/>
      <c r="L8" s="269"/>
      <c r="M8" s="269"/>
      <c r="N8" s="269"/>
      <c r="O8" s="269"/>
      <c r="P8" s="269"/>
      <c r="Q8" s="269"/>
      <c r="R8" s="269"/>
      <c r="S8" s="269"/>
      <c r="T8" s="269"/>
      <c r="U8" s="269"/>
      <c r="V8" s="269"/>
      <c r="W8" s="269"/>
      <c r="X8" s="269"/>
      <c r="Y8" s="269"/>
      <c r="Z8" s="269"/>
    </row>
    <row r="9">
      <c r="A9" s="269" t="str">
        <f>IFERROR(__xludf.DUMMYFUNCTION("""COMPUTED_VALUE"""),"Agrarian")</f>
        <v>Agrarian</v>
      </c>
      <c r="B9" s="269" t="str">
        <f>IFERROR(__xludf.DUMMYFUNCTION("""COMPUTED_VALUE"""),"Tier 2")</f>
        <v>Tier 2</v>
      </c>
      <c r="C9" s="269"/>
      <c r="D9" s="269"/>
      <c r="E9" s="269"/>
      <c r="F9" s="269"/>
      <c r="G9" s="269"/>
      <c r="H9" s="269"/>
      <c r="I9" s="269"/>
      <c r="J9" s="269"/>
      <c r="K9" s="269"/>
      <c r="L9" s="269"/>
      <c r="M9" s="269"/>
      <c r="N9" s="269"/>
      <c r="O9" s="269"/>
      <c r="P9" s="269"/>
      <c r="Q9" s="269"/>
      <c r="R9" s="269"/>
      <c r="S9" s="269"/>
      <c r="T9" s="269"/>
      <c r="U9" s="269"/>
      <c r="V9" s="269"/>
      <c r="W9" s="269"/>
      <c r="X9" s="269"/>
      <c r="Y9" s="269"/>
      <c r="Z9" s="269"/>
    </row>
    <row r="10">
      <c r="A10" s="269" t="str">
        <f>IFERROR(__xludf.DUMMYFUNCTION("""COMPUTED_VALUE"""),"Alchemeister")</f>
        <v>Alchemeister</v>
      </c>
      <c r="B10" s="269" t="str">
        <f>IFERROR(__xludf.DUMMYFUNCTION("""COMPUTED_VALUE"""),"Tier 2")</f>
        <v>Tier 2</v>
      </c>
      <c r="C10" s="269"/>
      <c r="D10" s="269"/>
      <c r="E10" s="269"/>
      <c r="F10" s="269"/>
      <c r="G10" s="269"/>
      <c r="H10" s="269"/>
      <c r="I10" s="269"/>
      <c r="J10" s="269"/>
      <c r="K10" s="269"/>
      <c r="L10" s="269"/>
      <c r="M10" s="269"/>
      <c r="N10" s="269"/>
      <c r="O10" s="269"/>
      <c r="P10" s="269"/>
      <c r="Q10" s="269"/>
      <c r="R10" s="269"/>
      <c r="S10" s="269"/>
      <c r="T10" s="269"/>
      <c r="U10" s="269"/>
      <c r="V10" s="269"/>
      <c r="W10" s="269"/>
      <c r="X10" s="269"/>
      <c r="Y10" s="269"/>
      <c r="Z10" s="269"/>
    </row>
    <row r="11">
      <c r="A11" s="269" t="str">
        <f>IFERROR(__xludf.DUMMYFUNCTION("""COMPUTED_VALUE"""),"Alchemist")</f>
        <v>Alchemist</v>
      </c>
      <c r="B11" s="269" t="str">
        <f>IFERROR(__xludf.DUMMYFUNCTION("""COMPUTED_VALUE"""),"Tier 1")</f>
        <v>Tier 1</v>
      </c>
      <c r="C11" s="269"/>
      <c r="D11" s="269"/>
      <c r="E11" s="269"/>
      <c r="F11" s="269"/>
      <c r="G11" s="269"/>
      <c r="H11" s="269"/>
      <c r="I11" s="269"/>
      <c r="J11" s="269"/>
      <c r="K11" s="269"/>
      <c r="L11" s="269"/>
      <c r="M11" s="269"/>
      <c r="N11" s="269"/>
      <c r="O11" s="269"/>
      <c r="P11" s="269"/>
      <c r="Q11" s="269"/>
      <c r="R11" s="269"/>
      <c r="S11" s="269"/>
      <c r="T11" s="269"/>
      <c r="U11" s="269"/>
      <c r="V11" s="269"/>
      <c r="W11" s="269"/>
      <c r="X11" s="269"/>
      <c r="Y11" s="269"/>
      <c r="Z11" s="269"/>
    </row>
    <row r="12">
      <c r="A12" s="269" t="str">
        <f>IFERROR(__xludf.DUMMYFUNCTION("""COMPUTED_VALUE"""),"Alkahest")</f>
        <v>Alkahest</v>
      </c>
      <c r="B12" s="269" t="str">
        <f>IFERROR(__xludf.DUMMYFUNCTION("""COMPUTED_VALUE"""),"Tier 2")</f>
        <v>Tier 2</v>
      </c>
      <c r="C12" s="269"/>
      <c r="D12" s="269"/>
      <c r="E12" s="269"/>
      <c r="F12" s="269"/>
      <c r="G12" s="269"/>
      <c r="H12" s="269"/>
      <c r="I12" s="269"/>
      <c r="J12" s="269"/>
      <c r="K12" s="269"/>
      <c r="L12" s="269"/>
      <c r="M12" s="269"/>
      <c r="N12" s="269"/>
      <c r="O12" s="269"/>
      <c r="P12" s="269"/>
      <c r="Q12" s="269"/>
      <c r="R12" s="269"/>
      <c r="S12" s="269"/>
      <c r="T12" s="269"/>
      <c r="U12" s="269"/>
      <c r="V12" s="269"/>
      <c r="W12" s="269"/>
      <c r="X12" s="269"/>
      <c r="Y12" s="269"/>
      <c r="Z12" s="269"/>
    </row>
    <row r="13">
      <c r="A13" s="269" t="str">
        <f>IFERROR(__xludf.DUMMYFUNCTION("""COMPUTED_VALUE"""),"Amanita")</f>
        <v>Amanita</v>
      </c>
      <c r="B13" s="269" t="str">
        <f>IFERROR(__xludf.DUMMYFUNCTION("""COMPUTED_VALUE"""),"Tier 3")</f>
        <v>Tier 3</v>
      </c>
      <c r="C13" s="269"/>
      <c r="D13" s="269"/>
      <c r="E13" s="269"/>
      <c r="F13" s="269"/>
      <c r="G13" s="269"/>
      <c r="H13" s="269"/>
      <c r="I13" s="269"/>
      <c r="J13" s="269"/>
      <c r="K13" s="269"/>
      <c r="L13" s="269"/>
      <c r="M13" s="269"/>
      <c r="N13" s="269"/>
      <c r="O13" s="269"/>
      <c r="P13" s="269"/>
      <c r="Q13" s="269"/>
      <c r="R13" s="269"/>
      <c r="S13" s="269"/>
      <c r="T13" s="269"/>
      <c r="U13" s="269"/>
      <c r="V13" s="269"/>
      <c r="W13" s="269"/>
      <c r="X13" s="269"/>
      <c r="Y13" s="269"/>
      <c r="Z13" s="269"/>
    </row>
    <row r="14">
      <c r="A14" s="269" t="str">
        <f>IFERROR(__xludf.DUMMYFUNCTION("""COMPUTED_VALUE"""),"Angelblooded")</f>
        <v>Angelblooded</v>
      </c>
      <c r="B14" s="269" t="str">
        <f>IFERROR(__xludf.DUMMYFUNCTION("""COMPUTED_VALUE"""),"Tier 2")</f>
        <v>Tier 2</v>
      </c>
      <c r="C14" s="269"/>
      <c r="D14" s="269"/>
      <c r="E14" s="269"/>
      <c r="F14" s="269"/>
      <c r="G14" s="269"/>
      <c r="H14" s="269"/>
      <c r="I14" s="269"/>
      <c r="J14" s="269"/>
      <c r="K14" s="269"/>
      <c r="L14" s="269"/>
      <c r="M14" s="269"/>
      <c r="N14" s="269"/>
      <c r="O14" s="269"/>
      <c r="P14" s="269"/>
      <c r="Q14" s="269"/>
      <c r="R14" s="269"/>
      <c r="S14" s="269"/>
      <c r="T14" s="269"/>
      <c r="U14" s="269"/>
      <c r="V14" s="269"/>
      <c r="W14" s="269"/>
      <c r="X14" s="269"/>
      <c r="Y14" s="269"/>
      <c r="Z14" s="269"/>
    </row>
    <row r="15">
      <c r="A15" s="269" t="str">
        <f>IFERROR(__xludf.DUMMYFUNCTION("""COMPUTED_VALUE"""),"Animal Summoner")</f>
        <v>Animal Summoner</v>
      </c>
      <c r="B15" s="269" t="str">
        <f>IFERROR(__xludf.DUMMYFUNCTION("""COMPUTED_VALUE"""),"Tier 2")</f>
        <v>Tier 2</v>
      </c>
      <c r="C15" s="269"/>
      <c r="D15" s="269"/>
      <c r="E15" s="269"/>
      <c r="F15" s="269"/>
      <c r="G15" s="269"/>
      <c r="H15" s="269"/>
      <c r="I15" s="269"/>
      <c r="J15" s="269"/>
      <c r="K15" s="269"/>
      <c r="L15" s="269"/>
      <c r="M15" s="269"/>
      <c r="N15" s="269"/>
      <c r="O15" s="269"/>
      <c r="P15" s="269"/>
      <c r="Q15" s="269"/>
      <c r="R15" s="269"/>
      <c r="S15" s="269"/>
      <c r="T15" s="269"/>
      <c r="U15" s="269"/>
      <c r="V15" s="269"/>
      <c r="W15" s="269"/>
      <c r="X15" s="269"/>
      <c r="Y15" s="269"/>
      <c r="Z15" s="269"/>
    </row>
    <row r="16">
      <c r="A16" s="269" t="str">
        <f>IFERROR(__xludf.DUMMYFUNCTION("""COMPUTED_VALUE"""),"Anti-Mage")</f>
        <v>Anti-Mage</v>
      </c>
      <c r="B16" s="269" t="str">
        <f>IFERROR(__xludf.DUMMYFUNCTION("""COMPUTED_VALUE"""),"Tier 2")</f>
        <v>Tier 2</v>
      </c>
      <c r="C16" s="269"/>
      <c r="D16" s="269"/>
      <c r="E16" s="269"/>
      <c r="F16" s="269"/>
      <c r="G16" s="269"/>
      <c r="H16" s="269"/>
      <c r="I16" s="269"/>
      <c r="J16" s="269"/>
      <c r="K16" s="269"/>
      <c r="L16" s="269"/>
      <c r="M16" s="269"/>
      <c r="N16" s="269"/>
      <c r="O16" s="269"/>
      <c r="P16" s="269"/>
      <c r="Q16" s="269"/>
      <c r="R16" s="269"/>
      <c r="S16" s="269"/>
      <c r="T16" s="269"/>
      <c r="U16" s="269"/>
      <c r="V16" s="269"/>
      <c r="W16" s="269"/>
      <c r="X16" s="269"/>
      <c r="Y16" s="269"/>
      <c r="Z16" s="269"/>
    </row>
    <row r="17">
      <c r="A17" s="269" t="str">
        <f>IFERROR(__xludf.DUMMYFUNCTION("""COMPUTED_VALUE"""),"Arcanist")</f>
        <v>Arcanist</v>
      </c>
      <c r="B17" s="269" t="str">
        <f>IFERROR(__xludf.DUMMYFUNCTION("""COMPUTED_VALUE"""),"Tier 2")</f>
        <v>Tier 2</v>
      </c>
      <c r="C17" s="269"/>
      <c r="D17" s="269"/>
      <c r="E17" s="269"/>
      <c r="F17" s="269"/>
      <c r="G17" s="269"/>
      <c r="H17" s="269"/>
      <c r="I17" s="269"/>
      <c r="J17" s="269"/>
      <c r="K17" s="269"/>
      <c r="L17" s="269"/>
      <c r="M17" s="269"/>
      <c r="N17" s="269"/>
      <c r="O17" s="269"/>
      <c r="P17" s="269"/>
      <c r="Q17" s="269"/>
      <c r="R17" s="269"/>
      <c r="S17" s="269"/>
      <c r="T17" s="269"/>
      <c r="U17" s="269"/>
      <c r="V17" s="269"/>
      <c r="W17" s="269"/>
      <c r="X17" s="269"/>
      <c r="Y17" s="269"/>
      <c r="Z17" s="269"/>
    </row>
    <row r="18">
      <c r="A18" s="269" t="str">
        <f>IFERROR(__xludf.DUMMYFUNCTION("""COMPUTED_VALUE"""),"Archer")</f>
        <v>Archer</v>
      </c>
      <c r="B18" s="269" t="str">
        <f>IFERROR(__xludf.DUMMYFUNCTION("""COMPUTED_VALUE"""),"Tier 2")</f>
        <v>Tier 2</v>
      </c>
      <c r="C18" s="269"/>
      <c r="D18" s="269"/>
      <c r="E18" s="269"/>
      <c r="F18" s="269"/>
      <c r="G18" s="269"/>
      <c r="H18" s="269"/>
      <c r="I18" s="269"/>
      <c r="J18" s="269"/>
      <c r="K18" s="269"/>
      <c r="L18" s="269"/>
      <c r="M18" s="269"/>
      <c r="N18" s="269"/>
      <c r="O18" s="269"/>
      <c r="P18" s="269"/>
      <c r="Q18" s="269"/>
      <c r="R18" s="269"/>
      <c r="S18" s="269"/>
      <c r="T18" s="269"/>
      <c r="U18" s="269"/>
      <c r="V18" s="269"/>
      <c r="W18" s="269"/>
      <c r="X18" s="269"/>
      <c r="Y18" s="269"/>
      <c r="Z18" s="269"/>
    </row>
    <row r="19">
      <c r="A19" s="269" t="str">
        <f>IFERROR(__xludf.DUMMYFUNCTION("""COMPUTED_VALUE"""),"Archsage")</f>
        <v>Archsage</v>
      </c>
      <c r="B19" s="269" t="str">
        <f>IFERROR(__xludf.DUMMYFUNCTION("""COMPUTED_VALUE"""),"Tier 3")</f>
        <v>Tier 3</v>
      </c>
      <c r="C19" s="269"/>
      <c r="D19" s="269"/>
      <c r="E19" s="269"/>
      <c r="F19" s="269"/>
      <c r="G19" s="269"/>
      <c r="H19" s="269"/>
      <c r="I19" s="269"/>
      <c r="J19" s="269"/>
      <c r="K19" s="269"/>
      <c r="L19" s="269"/>
      <c r="M19" s="269"/>
      <c r="N19" s="269"/>
      <c r="O19" s="269"/>
      <c r="P19" s="269"/>
      <c r="Q19" s="269"/>
      <c r="R19" s="269"/>
      <c r="S19" s="269"/>
      <c r="T19" s="269"/>
      <c r="U19" s="269"/>
      <c r="V19" s="269"/>
      <c r="W19" s="269"/>
      <c r="X19" s="269"/>
      <c r="Y19" s="269"/>
      <c r="Z19" s="269"/>
    </row>
    <row r="20">
      <c r="A20" s="269" t="str">
        <f>IFERROR(__xludf.DUMMYFUNCTION("""COMPUTED_VALUE"""),"Armiger")</f>
        <v>Armiger</v>
      </c>
      <c r="B20" s="269" t="str">
        <f>IFERROR(__xludf.DUMMYFUNCTION("""COMPUTED_VALUE"""),"Tier 2")</f>
        <v>Tier 2</v>
      </c>
      <c r="C20" s="269"/>
      <c r="D20" s="269"/>
      <c r="E20" s="269"/>
      <c r="F20" s="269"/>
      <c r="G20" s="269"/>
      <c r="H20" s="269"/>
      <c r="I20" s="269"/>
      <c r="J20" s="269"/>
      <c r="K20" s="269"/>
      <c r="L20" s="269"/>
      <c r="M20" s="269"/>
      <c r="N20" s="269"/>
      <c r="O20" s="269"/>
      <c r="P20" s="269"/>
      <c r="Q20" s="269"/>
      <c r="R20" s="269"/>
      <c r="S20" s="269"/>
      <c r="T20" s="269"/>
      <c r="U20" s="269"/>
      <c r="V20" s="269"/>
      <c r="W20" s="269"/>
      <c r="X20" s="269"/>
      <c r="Y20" s="269"/>
      <c r="Z20" s="269"/>
    </row>
    <row r="21">
      <c r="A21" s="269" t="str">
        <f>IFERROR(__xludf.DUMMYFUNCTION("""COMPUTED_VALUE"""),"Armorsmith")</f>
        <v>Armorsmith</v>
      </c>
      <c r="B21" s="269" t="str">
        <f>IFERROR(__xludf.DUMMYFUNCTION("""COMPUTED_VALUE"""),"Tier 1")</f>
        <v>Tier 1</v>
      </c>
      <c r="C21" s="269"/>
      <c r="D21" s="269"/>
      <c r="E21" s="269"/>
      <c r="F21" s="269"/>
      <c r="G21" s="269"/>
      <c r="H21" s="269"/>
      <c r="I21" s="269"/>
      <c r="J21" s="269"/>
      <c r="K21" s="269"/>
      <c r="L21" s="269"/>
      <c r="M21" s="269"/>
      <c r="N21" s="269"/>
      <c r="O21" s="269"/>
      <c r="P21" s="269"/>
      <c r="Q21" s="269"/>
      <c r="R21" s="269"/>
      <c r="S21" s="269"/>
      <c r="T21" s="269"/>
      <c r="U21" s="269"/>
      <c r="V21" s="269"/>
      <c r="W21" s="269"/>
      <c r="X21" s="269"/>
      <c r="Y21" s="269"/>
      <c r="Z21" s="269"/>
    </row>
    <row r="22">
      <c r="A22" s="269" t="str">
        <f>IFERROR(__xludf.DUMMYFUNCTION("""COMPUTED_VALUE"""),"Artificer")</f>
        <v>Artificer</v>
      </c>
      <c r="B22" s="269" t="str">
        <f>IFERROR(__xludf.DUMMYFUNCTION("""COMPUTED_VALUE"""),"Tier 1")</f>
        <v>Tier 1</v>
      </c>
      <c r="C22" s="269"/>
      <c r="D22" s="269"/>
      <c r="E22" s="269"/>
      <c r="F22" s="269"/>
      <c r="G22" s="269"/>
      <c r="H22" s="269"/>
      <c r="I22" s="269"/>
      <c r="J22" s="269"/>
      <c r="K22" s="269"/>
      <c r="L22" s="269"/>
      <c r="M22" s="269"/>
      <c r="N22" s="269"/>
      <c r="O22" s="269"/>
      <c r="P22" s="269"/>
      <c r="Q22" s="269"/>
      <c r="R22" s="269"/>
      <c r="S22" s="269"/>
      <c r="T22" s="269"/>
      <c r="U22" s="269"/>
      <c r="V22" s="269"/>
      <c r="W22" s="269"/>
      <c r="X22" s="269"/>
      <c r="Y22" s="269"/>
      <c r="Z22" s="269"/>
    </row>
    <row r="23">
      <c r="A23" s="269" t="str">
        <f>IFERROR(__xludf.DUMMYFUNCTION("""COMPUTED_VALUE"""),"Assassin")</f>
        <v>Assassin</v>
      </c>
      <c r="B23" s="269" t="str">
        <f>IFERROR(__xludf.DUMMYFUNCTION("""COMPUTED_VALUE"""),"Tier 3")</f>
        <v>Tier 3</v>
      </c>
      <c r="C23" s="269"/>
      <c r="D23" s="269"/>
      <c r="E23" s="269"/>
      <c r="F23" s="269"/>
      <c r="G23" s="269"/>
      <c r="H23" s="269"/>
      <c r="I23" s="269"/>
      <c r="J23" s="269"/>
      <c r="K23" s="269"/>
      <c r="L23" s="269"/>
      <c r="M23" s="269"/>
      <c r="N23" s="269"/>
      <c r="O23" s="269"/>
      <c r="P23" s="269"/>
      <c r="Q23" s="269"/>
      <c r="R23" s="269"/>
      <c r="S23" s="269"/>
      <c r="T23" s="269"/>
      <c r="U23" s="269"/>
      <c r="V23" s="269"/>
      <c r="W23" s="269"/>
      <c r="X23" s="269"/>
      <c r="Y23" s="269"/>
      <c r="Z23" s="269"/>
    </row>
    <row r="24">
      <c r="A24" s="269" t="str">
        <f>IFERROR(__xludf.DUMMYFUNCTION("""COMPUTED_VALUE"""),"Aurora Blade Style")</f>
        <v>Aurora Blade Style</v>
      </c>
      <c r="B24" s="269" t="str">
        <f>IFERROR(__xludf.DUMMYFUNCTION("""COMPUTED_VALUE"""),"Tier 2")</f>
        <v>Tier 2</v>
      </c>
      <c r="C24" s="269"/>
      <c r="D24" s="269"/>
      <c r="E24" s="269"/>
      <c r="F24" s="269"/>
      <c r="G24" s="269"/>
      <c r="H24" s="269"/>
      <c r="I24" s="269"/>
      <c r="J24" s="269"/>
      <c r="K24" s="269"/>
      <c r="L24" s="269"/>
      <c r="M24" s="269"/>
      <c r="N24" s="269"/>
      <c r="O24" s="269"/>
      <c r="P24" s="269"/>
      <c r="Q24" s="269"/>
      <c r="R24" s="269"/>
      <c r="S24" s="269"/>
      <c r="T24" s="269"/>
      <c r="U24" s="269"/>
      <c r="V24" s="269"/>
      <c r="W24" s="269"/>
      <c r="X24" s="269"/>
      <c r="Y24" s="269"/>
      <c r="Z24" s="269"/>
    </row>
    <row r="25">
      <c r="A25" s="269" t="str">
        <f>IFERROR(__xludf.DUMMYFUNCTION("""COMPUTED_VALUE"""),"Bajiquan Style")</f>
        <v>Bajiquan Style</v>
      </c>
      <c r="B25" s="269" t="str">
        <f>IFERROR(__xludf.DUMMYFUNCTION("""COMPUTED_VALUE"""),"Tier 2")</f>
        <v>Tier 2</v>
      </c>
      <c r="C25" s="269"/>
      <c r="D25" s="269"/>
      <c r="E25" s="269"/>
      <c r="F25" s="269"/>
      <c r="G25" s="269"/>
      <c r="H25" s="269"/>
      <c r="I25" s="269"/>
      <c r="J25" s="269"/>
      <c r="K25" s="269"/>
      <c r="L25" s="269"/>
      <c r="M25" s="269"/>
      <c r="N25" s="269"/>
      <c r="O25" s="269"/>
      <c r="P25" s="269"/>
      <c r="Q25" s="269"/>
      <c r="R25" s="269"/>
      <c r="S25" s="269"/>
      <c r="T25" s="269"/>
      <c r="U25" s="269"/>
      <c r="V25" s="269"/>
      <c r="W25" s="269"/>
      <c r="X25" s="269"/>
      <c r="Y25" s="269"/>
      <c r="Z25" s="269"/>
    </row>
    <row r="26">
      <c r="A26" s="269" t="str">
        <f>IFERROR(__xludf.DUMMYFUNCTION("""COMPUTED_VALUE"""),"Bard")</f>
        <v>Bard</v>
      </c>
      <c r="B26" s="269" t="str">
        <f>IFERROR(__xludf.DUMMYFUNCTION("""COMPUTED_VALUE"""),"Tier 2")</f>
        <v>Tier 2</v>
      </c>
      <c r="C26" s="269"/>
      <c r="D26" s="269"/>
      <c r="E26" s="269"/>
      <c r="F26" s="269"/>
      <c r="G26" s="269"/>
      <c r="H26" s="269"/>
      <c r="I26" s="269"/>
      <c r="J26" s="269"/>
      <c r="K26" s="269"/>
      <c r="L26" s="269"/>
      <c r="M26" s="269"/>
      <c r="N26" s="269"/>
      <c r="O26" s="269"/>
      <c r="P26" s="269"/>
      <c r="Q26" s="269"/>
      <c r="R26" s="269"/>
      <c r="S26" s="269"/>
      <c r="T26" s="269"/>
      <c r="U26" s="269"/>
      <c r="V26" s="269"/>
      <c r="W26" s="269"/>
      <c r="X26" s="269"/>
      <c r="Y26" s="269"/>
      <c r="Z26" s="269"/>
    </row>
    <row r="27">
      <c r="A27" s="269" t="str">
        <f>IFERROR(__xludf.DUMMYFUNCTION("""COMPUTED_VALUE"""),"Battle Mage")</f>
        <v>Battle Mage</v>
      </c>
      <c r="B27" s="269" t="str">
        <f>IFERROR(__xludf.DUMMYFUNCTION("""COMPUTED_VALUE"""),"Tier 2")</f>
        <v>Tier 2</v>
      </c>
      <c r="C27" s="269"/>
      <c r="D27" s="269"/>
      <c r="E27" s="269"/>
      <c r="F27" s="269"/>
      <c r="G27" s="269"/>
      <c r="H27" s="269"/>
      <c r="I27" s="269"/>
      <c r="J27" s="269"/>
      <c r="K27" s="269"/>
      <c r="L27" s="269"/>
      <c r="M27" s="269"/>
      <c r="N27" s="269"/>
      <c r="O27" s="269"/>
      <c r="P27" s="269"/>
      <c r="Q27" s="269"/>
      <c r="R27" s="269"/>
      <c r="S27" s="269"/>
      <c r="T27" s="269"/>
      <c r="U27" s="269"/>
      <c r="V27" s="269"/>
      <c r="W27" s="269"/>
      <c r="X27" s="269"/>
      <c r="Y27" s="269"/>
      <c r="Z27" s="269"/>
    </row>
    <row r="28">
      <c r="A28" s="269" t="str">
        <f>IFERROR(__xludf.DUMMYFUNCTION("""COMPUTED_VALUE"""),"Battlemaster")</f>
        <v>Battlemaster</v>
      </c>
      <c r="B28" s="269" t="str">
        <f>IFERROR(__xludf.DUMMYFUNCTION("""COMPUTED_VALUE"""),"Tier 2")</f>
        <v>Tier 2</v>
      </c>
      <c r="C28" s="269"/>
      <c r="D28" s="269"/>
      <c r="E28" s="269"/>
      <c r="F28" s="269"/>
      <c r="G28" s="269"/>
      <c r="H28" s="269"/>
      <c r="I28" s="269"/>
      <c r="J28" s="269"/>
      <c r="K28" s="269"/>
      <c r="L28" s="269"/>
      <c r="M28" s="269"/>
      <c r="N28" s="269"/>
      <c r="O28" s="269"/>
      <c r="P28" s="269"/>
      <c r="Q28" s="269"/>
      <c r="R28" s="269"/>
      <c r="S28" s="269"/>
      <c r="T28" s="269"/>
      <c r="U28" s="269"/>
      <c r="V28" s="269"/>
      <c r="W28" s="269"/>
      <c r="X28" s="269"/>
      <c r="Y28" s="269"/>
      <c r="Z28" s="269"/>
    </row>
    <row r="29">
      <c r="A29" s="269" t="str">
        <f>IFERROR(__xludf.DUMMYFUNCTION("""COMPUTED_VALUE"""),"Berserker")</f>
        <v>Berserker</v>
      </c>
      <c r="B29" s="269" t="str">
        <f>IFERROR(__xludf.DUMMYFUNCTION("""COMPUTED_VALUE"""),"Tier 2")</f>
        <v>Tier 2</v>
      </c>
      <c r="C29" s="269"/>
      <c r="D29" s="269"/>
      <c r="E29" s="269"/>
      <c r="F29" s="269"/>
      <c r="G29" s="269"/>
      <c r="H29" s="269"/>
      <c r="I29" s="269"/>
      <c r="J29" s="269"/>
      <c r="K29" s="269"/>
      <c r="L29" s="269"/>
      <c r="M29" s="269"/>
      <c r="N29" s="269"/>
      <c r="O29" s="269"/>
      <c r="P29" s="269"/>
      <c r="Q29" s="269"/>
      <c r="R29" s="269"/>
      <c r="S29" s="269"/>
      <c r="T29" s="269"/>
      <c r="U29" s="269"/>
      <c r="V29" s="269"/>
      <c r="W29" s="269"/>
      <c r="X29" s="269"/>
      <c r="Y29" s="269"/>
      <c r="Z29" s="269"/>
    </row>
    <row r="30">
      <c r="A30" s="269" t="str">
        <f>IFERROR(__xludf.DUMMYFUNCTION("""COMPUTED_VALUE"""),"Biochemist")</f>
        <v>Biochemist</v>
      </c>
      <c r="B30" s="269" t="str">
        <f>IFERROR(__xludf.DUMMYFUNCTION("""COMPUTED_VALUE"""),"Tier 2")</f>
        <v>Tier 2</v>
      </c>
      <c r="C30" s="269"/>
      <c r="D30" s="269"/>
      <c r="E30" s="269"/>
      <c r="F30" s="269"/>
      <c r="G30" s="269"/>
      <c r="H30" s="269"/>
      <c r="I30" s="269"/>
      <c r="J30" s="269"/>
      <c r="K30" s="269"/>
      <c r="L30" s="269"/>
      <c r="M30" s="269"/>
      <c r="N30" s="269"/>
      <c r="O30" s="269"/>
      <c r="P30" s="269"/>
      <c r="Q30" s="269"/>
      <c r="R30" s="269"/>
      <c r="S30" s="269"/>
      <c r="T30" s="269"/>
      <c r="U30" s="269"/>
      <c r="V30" s="269"/>
      <c r="W30" s="269"/>
      <c r="X30" s="269"/>
      <c r="Y30" s="269"/>
      <c r="Z30" s="269"/>
    </row>
    <row r="31">
      <c r="A31" s="269" t="str">
        <f>IFERROR(__xludf.DUMMYFUNCTION("""COMPUTED_VALUE"""),"Black Oath Style")</f>
        <v>Black Oath Style</v>
      </c>
      <c r="B31" s="269" t="str">
        <f>IFERROR(__xludf.DUMMYFUNCTION("""COMPUTED_VALUE"""),"Tier 2")</f>
        <v>Tier 2</v>
      </c>
      <c r="C31" s="269"/>
      <c r="D31" s="269"/>
      <c r="E31" s="269"/>
      <c r="F31" s="269"/>
      <c r="G31" s="269"/>
      <c r="H31" s="269"/>
      <c r="I31" s="269"/>
      <c r="J31" s="269"/>
      <c r="K31" s="269"/>
      <c r="L31" s="269"/>
      <c r="M31" s="269"/>
      <c r="N31" s="269"/>
      <c r="O31" s="269"/>
      <c r="P31" s="269"/>
      <c r="Q31" s="269"/>
      <c r="R31" s="269"/>
      <c r="S31" s="269"/>
      <c r="T31" s="269"/>
      <c r="U31" s="269"/>
      <c r="V31" s="269"/>
      <c r="W31" s="269"/>
      <c r="X31" s="269"/>
      <c r="Y31" s="269"/>
      <c r="Z31" s="269"/>
    </row>
    <row r="32">
      <c r="A32" s="269" t="str">
        <f>IFERROR(__xludf.DUMMYFUNCTION("""COMPUTED_VALUE"""),"Blacksmith")</f>
        <v>Blacksmith</v>
      </c>
      <c r="B32" s="269" t="str">
        <f>IFERROR(__xludf.DUMMYFUNCTION("""COMPUTED_VALUE"""),"Tier 1")</f>
        <v>Tier 1</v>
      </c>
      <c r="C32" s="269"/>
      <c r="D32" s="269"/>
      <c r="E32" s="269"/>
      <c r="F32" s="269"/>
      <c r="G32" s="269"/>
      <c r="H32" s="269"/>
      <c r="I32" s="269"/>
      <c r="J32" s="269"/>
      <c r="K32" s="269"/>
      <c r="L32" s="269"/>
      <c r="M32" s="269"/>
      <c r="N32" s="269"/>
      <c r="O32" s="269"/>
      <c r="P32" s="269"/>
      <c r="Q32" s="269"/>
      <c r="R32" s="269"/>
      <c r="S32" s="269"/>
      <c r="T32" s="269"/>
      <c r="U32" s="269"/>
      <c r="V32" s="269"/>
      <c r="W32" s="269"/>
      <c r="X32" s="269"/>
      <c r="Y32" s="269"/>
      <c r="Z32" s="269"/>
    </row>
    <row r="33">
      <c r="A33" s="269" t="str">
        <f>IFERROR(__xludf.DUMMYFUNCTION("""COMPUTED_VALUE"""),"Bloodbinder")</f>
        <v>Bloodbinder</v>
      </c>
      <c r="B33" s="269" t="str">
        <f>IFERROR(__xludf.DUMMYFUNCTION("""COMPUTED_VALUE"""),"Tier 2")</f>
        <v>Tier 2</v>
      </c>
      <c r="C33" s="269"/>
      <c r="D33" s="269"/>
      <c r="E33" s="269"/>
      <c r="F33" s="269"/>
      <c r="G33" s="269"/>
      <c r="H33" s="269"/>
      <c r="I33" s="269"/>
      <c r="J33" s="269"/>
      <c r="K33" s="269"/>
      <c r="L33" s="269"/>
      <c r="M33" s="269"/>
      <c r="N33" s="269"/>
      <c r="O33" s="269"/>
      <c r="P33" s="269"/>
      <c r="Q33" s="269"/>
      <c r="R33" s="269"/>
      <c r="S33" s="269"/>
      <c r="T33" s="269"/>
      <c r="U33" s="269"/>
      <c r="V33" s="269"/>
      <c r="W33" s="269"/>
      <c r="X33" s="269"/>
      <c r="Y33" s="269"/>
      <c r="Z33" s="269"/>
    </row>
    <row r="34">
      <c r="A34" s="269" t="str">
        <f>IFERROR(__xludf.DUMMYFUNCTION("""COMPUTED_VALUE"""),"Bodyguard")</f>
        <v>Bodyguard</v>
      </c>
      <c r="B34" s="269" t="str">
        <f>IFERROR(__xludf.DUMMYFUNCTION("""COMPUTED_VALUE"""),"Tier 2")</f>
        <v>Tier 2</v>
      </c>
      <c r="C34" s="269"/>
      <c r="D34" s="269"/>
      <c r="E34" s="269"/>
      <c r="F34" s="269"/>
      <c r="G34" s="269"/>
      <c r="H34" s="269"/>
      <c r="I34" s="269"/>
      <c r="J34" s="269"/>
      <c r="K34" s="269"/>
      <c r="L34" s="269"/>
      <c r="M34" s="269"/>
      <c r="N34" s="269"/>
      <c r="O34" s="269"/>
      <c r="P34" s="269"/>
      <c r="Q34" s="269"/>
      <c r="R34" s="269"/>
      <c r="S34" s="269"/>
      <c r="T34" s="269"/>
      <c r="U34" s="269"/>
      <c r="V34" s="269"/>
      <c r="W34" s="269"/>
      <c r="X34" s="269"/>
      <c r="Y34" s="269"/>
      <c r="Z34" s="269"/>
    </row>
    <row r="35">
      <c r="A35" s="269" t="str">
        <f>IFERROR(__xludf.DUMMYFUNCTION("""COMPUTED_VALUE"""),"Botanist")</f>
        <v>Botanist</v>
      </c>
      <c r="B35" s="269" t="str">
        <f>IFERROR(__xludf.DUMMYFUNCTION("""COMPUTED_VALUE"""),"Tier 2")</f>
        <v>Tier 2</v>
      </c>
      <c r="C35" s="269"/>
      <c r="D35" s="269"/>
      <c r="E35" s="269"/>
      <c r="F35" s="269"/>
      <c r="G35" s="269"/>
      <c r="H35" s="269"/>
      <c r="I35" s="269"/>
      <c r="J35" s="269"/>
      <c r="K35" s="269"/>
      <c r="L35" s="269"/>
      <c r="M35" s="269"/>
      <c r="N35" s="269"/>
      <c r="O35" s="269"/>
      <c r="P35" s="269"/>
      <c r="Q35" s="269"/>
      <c r="R35" s="269"/>
      <c r="S35" s="269"/>
      <c r="T35" s="269"/>
      <c r="U35" s="269"/>
      <c r="V35" s="269"/>
      <c r="W35" s="269"/>
      <c r="X35" s="269"/>
      <c r="Y35" s="269"/>
      <c r="Z35" s="269"/>
    </row>
    <row r="36">
      <c r="A36" s="269" t="str">
        <f>IFERROR(__xludf.DUMMYFUNCTION("""COMPUTED_VALUE"""),"Brawler")</f>
        <v>Brawler</v>
      </c>
      <c r="B36" s="269" t="str">
        <f>IFERROR(__xludf.DUMMYFUNCTION("""COMPUTED_VALUE"""),"Tier 2")</f>
        <v>Tier 2</v>
      </c>
      <c r="C36" s="269"/>
      <c r="D36" s="269"/>
      <c r="E36" s="269"/>
      <c r="F36" s="269"/>
      <c r="G36" s="269"/>
      <c r="H36" s="269"/>
      <c r="I36" s="269"/>
      <c r="J36" s="269"/>
      <c r="K36" s="269"/>
      <c r="L36" s="269"/>
      <c r="M36" s="269"/>
      <c r="N36" s="269"/>
      <c r="O36" s="269"/>
      <c r="P36" s="269"/>
      <c r="Q36" s="269"/>
      <c r="R36" s="269"/>
      <c r="S36" s="269"/>
      <c r="T36" s="269"/>
      <c r="U36" s="269"/>
      <c r="V36" s="269"/>
      <c r="W36" s="269"/>
      <c r="X36" s="269"/>
      <c r="Y36" s="269"/>
      <c r="Z36" s="269"/>
    </row>
    <row r="37">
      <c r="A37" s="269" t="str">
        <f>IFERROR(__xludf.DUMMYFUNCTION("""COMPUTED_VALUE"""),"Cannoneer")</f>
        <v>Cannoneer</v>
      </c>
      <c r="B37" s="269" t="str">
        <f>IFERROR(__xludf.DUMMYFUNCTION("""COMPUTED_VALUE"""),"Tier 2")</f>
        <v>Tier 2</v>
      </c>
      <c r="C37" s="269"/>
      <c r="D37" s="269"/>
      <c r="E37" s="269"/>
      <c r="F37" s="269"/>
      <c r="G37" s="269"/>
      <c r="H37" s="269"/>
      <c r="I37" s="269"/>
      <c r="J37" s="269"/>
      <c r="K37" s="269"/>
      <c r="L37" s="269"/>
      <c r="M37" s="269"/>
      <c r="N37" s="269"/>
      <c r="O37" s="269"/>
      <c r="P37" s="269"/>
      <c r="Q37" s="269"/>
      <c r="R37" s="269"/>
      <c r="S37" s="269"/>
      <c r="T37" s="269"/>
      <c r="U37" s="269"/>
      <c r="V37" s="269"/>
      <c r="W37" s="269"/>
      <c r="X37" s="269"/>
      <c r="Y37" s="269"/>
      <c r="Z37" s="269"/>
    </row>
    <row r="38">
      <c r="A38" s="269" t="str">
        <f>IFERROR(__xludf.DUMMYFUNCTION("""COMPUTED_VALUE"""),"Carpenter")</f>
        <v>Carpenter</v>
      </c>
      <c r="B38" s="269" t="str">
        <f>IFERROR(__xludf.DUMMYFUNCTION("""COMPUTED_VALUE"""),"Tier 1")</f>
        <v>Tier 1</v>
      </c>
      <c r="C38" s="269"/>
      <c r="D38" s="269"/>
      <c r="E38" s="269"/>
      <c r="F38" s="269"/>
      <c r="G38" s="269"/>
      <c r="H38" s="269"/>
      <c r="I38" s="269"/>
      <c r="J38" s="269"/>
      <c r="K38" s="269"/>
      <c r="L38" s="269"/>
      <c r="M38" s="269"/>
      <c r="N38" s="269"/>
      <c r="O38" s="269"/>
      <c r="P38" s="269"/>
      <c r="Q38" s="269"/>
      <c r="R38" s="269"/>
      <c r="S38" s="269"/>
      <c r="T38" s="269"/>
      <c r="U38" s="269"/>
      <c r="V38" s="269"/>
      <c r="W38" s="269"/>
      <c r="X38" s="269"/>
      <c r="Y38" s="269"/>
      <c r="Z38" s="269"/>
    </row>
    <row r="39">
      <c r="A39" s="269" t="str">
        <f>IFERROR(__xludf.DUMMYFUNCTION("""COMPUTED_VALUE"""),"Cavalier")</f>
        <v>Cavalier</v>
      </c>
      <c r="B39" s="269" t="str">
        <f>IFERROR(__xludf.DUMMYFUNCTION("""COMPUTED_VALUE"""),"Tier 1")</f>
        <v>Tier 1</v>
      </c>
      <c r="C39" s="269"/>
      <c r="D39" s="269"/>
      <c r="E39" s="269"/>
      <c r="F39" s="269"/>
      <c r="G39" s="269"/>
      <c r="H39" s="269"/>
      <c r="I39" s="269"/>
      <c r="J39" s="269"/>
      <c r="K39" s="269"/>
      <c r="L39" s="269"/>
      <c r="M39" s="269"/>
      <c r="N39" s="269"/>
      <c r="O39" s="269"/>
      <c r="P39" s="269"/>
      <c r="Q39" s="269"/>
      <c r="R39" s="269"/>
      <c r="S39" s="269"/>
      <c r="T39" s="269"/>
      <c r="U39" s="269"/>
      <c r="V39" s="269"/>
      <c r="W39" s="269"/>
      <c r="X39" s="269"/>
      <c r="Y39" s="269"/>
      <c r="Z39" s="269"/>
    </row>
    <row r="40">
      <c r="A40" s="269" t="str">
        <f>IFERROR(__xludf.DUMMYFUNCTION("""COMPUTED_VALUE"""),"Chronofighter")</f>
        <v>Chronofighter</v>
      </c>
      <c r="B40" s="269" t="str">
        <f>IFERROR(__xludf.DUMMYFUNCTION("""COMPUTED_VALUE"""),"Tier 2")</f>
        <v>Tier 2</v>
      </c>
      <c r="C40" s="269"/>
      <c r="D40" s="269"/>
      <c r="E40" s="269"/>
      <c r="F40" s="269"/>
      <c r="G40" s="269"/>
      <c r="H40" s="269"/>
      <c r="I40" s="269"/>
      <c r="J40" s="269"/>
      <c r="K40" s="269"/>
      <c r="L40" s="269"/>
      <c r="M40" s="269"/>
      <c r="N40" s="269"/>
      <c r="O40" s="269"/>
      <c r="P40" s="269"/>
      <c r="Q40" s="269"/>
      <c r="R40" s="269"/>
      <c r="S40" s="269"/>
      <c r="T40" s="269"/>
      <c r="U40" s="269"/>
      <c r="V40" s="269"/>
      <c r="W40" s="269"/>
      <c r="X40" s="269"/>
      <c r="Y40" s="269"/>
      <c r="Z40" s="269"/>
    </row>
    <row r="41">
      <c r="A41" s="269" t="str">
        <f>IFERROR(__xludf.DUMMYFUNCTION("""COMPUTED_VALUE"""),"Chronomancer")</f>
        <v>Chronomancer</v>
      </c>
      <c r="B41" s="269" t="str">
        <f>IFERROR(__xludf.DUMMYFUNCTION("""COMPUTED_VALUE"""),"Tier 2")</f>
        <v>Tier 2</v>
      </c>
      <c r="C41" s="269"/>
      <c r="D41" s="269"/>
      <c r="E41" s="269"/>
      <c r="F41" s="269"/>
      <c r="G41" s="269"/>
      <c r="H41" s="269"/>
      <c r="I41" s="269"/>
      <c r="J41" s="269"/>
      <c r="K41" s="269"/>
      <c r="L41" s="269"/>
      <c r="M41" s="269"/>
      <c r="N41" s="269"/>
      <c r="O41" s="269"/>
      <c r="P41" s="269"/>
      <c r="Q41" s="269"/>
      <c r="R41" s="269"/>
      <c r="S41" s="269"/>
      <c r="T41" s="269"/>
      <c r="U41" s="269"/>
      <c r="V41" s="269"/>
      <c r="W41" s="269"/>
      <c r="X41" s="269"/>
      <c r="Y41" s="269"/>
      <c r="Z41" s="269"/>
    </row>
    <row r="42">
      <c r="A42" s="269" t="str">
        <f>IFERROR(__xludf.DUMMYFUNCTION("""COMPUTED_VALUE"""),"Colossus")</f>
        <v>Colossus</v>
      </c>
      <c r="B42" s="269" t="str">
        <f>IFERROR(__xludf.DUMMYFUNCTION("""COMPUTED_VALUE"""),"Tier 3")</f>
        <v>Tier 3</v>
      </c>
      <c r="C42" s="269"/>
      <c r="D42" s="269"/>
      <c r="E42" s="269"/>
      <c r="F42" s="269"/>
      <c r="G42" s="269"/>
      <c r="H42" s="269"/>
      <c r="I42" s="269"/>
      <c r="J42" s="269"/>
      <c r="K42" s="269"/>
      <c r="L42" s="269"/>
      <c r="M42" s="269"/>
      <c r="N42" s="269"/>
      <c r="O42" s="269"/>
      <c r="P42" s="269"/>
      <c r="Q42" s="269"/>
      <c r="R42" s="269"/>
      <c r="S42" s="269"/>
      <c r="T42" s="269"/>
      <c r="U42" s="269"/>
      <c r="V42" s="269"/>
      <c r="W42" s="269"/>
      <c r="X42" s="269"/>
      <c r="Y42" s="269"/>
      <c r="Z42" s="269"/>
    </row>
    <row r="43">
      <c r="A43" s="269" t="str">
        <f>IFERROR(__xludf.DUMMYFUNCTION("""COMPUTED_VALUE"""),"Cryomancer")</f>
        <v>Cryomancer</v>
      </c>
      <c r="B43" s="269" t="str">
        <f>IFERROR(__xludf.DUMMYFUNCTION("""COMPUTED_VALUE"""),"Tier 2")</f>
        <v>Tier 2</v>
      </c>
      <c r="C43" s="269"/>
      <c r="D43" s="269"/>
      <c r="E43" s="269"/>
      <c r="F43" s="269"/>
      <c r="G43" s="269"/>
      <c r="H43" s="269"/>
      <c r="I43" s="269"/>
      <c r="J43" s="269"/>
      <c r="K43" s="269"/>
      <c r="L43" s="269"/>
      <c r="M43" s="269"/>
      <c r="N43" s="269"/>
      <c r="O43" s="269"/>
      <c r="P43" s="269"/>
      <c r="Q43" s="269"/>
      <c r="R43" s="269"/>
      <c r="S43" s="269"/>
      <c r="T43" s="269"/>
      <c r="U43" s="269"/>
      <c r="V43" s="269"/>
      <c r="W43" s="269"/>
      <c r="X43" s="269"/>
      <c r="Y43" s="269"/>
      <c r="Z43" s="269"/>
    </row>
    <row r="44">
      <c r="A44" s="269" t="str">
        <f>IFERROR(__xludf.DUMMYFUNCTION("""COMPUTED_VALUE"""),"Culinarian")</f>
        <v>Culinarian</v>
      </c>
      <c r="B44" s="269" t="str">
        <f>IFERROR(__xludf.DUMMYFUNCTION("""COMPUTED_VALUE"""),"Tier 1")</f>
        <v>Tier 1</v>
      </c>
      <c r="C44" s="269"/>
      <c r="D44" s="269"/>
      <c r="E44" s="269"/>
      <c r="F44" s="269"/>
      <c r="G44" s="269"/>
      <c r="H44" s="269"/>
      <c r="I44" s="269"/>
      <c r="J44" s="269"/>
      <c r="K44" s="269"/>
      <c r="L44" s="269"/>
      <c r="M44" s="269"/>
      <c r="N44" s="269"/>
      <c r="O44" s="269"/>
      <c r="P44" s="269"/>
      <c r="Q44" s="269"/>
      <c r="R44" s="269"/>
      <c r="S44" s="269"/>
      <c r="T44" s="269"/>
      <c r="U44" s="269"/>
      <c r="V44" s="269"/>
      <c r="W44" s="269"/>
      <c r="X44" s="269"/>
      <c r="Y44" s="269"/>
      <c r="Z44" s="269"/>
    </row>
    <row r="45">
      <c r="A45" s="269" t="str">
        <f>IFERROR(__xludf.DUMMYFUNCTION("""COMPUTED_VALUE"""),"Cultivator")</f>
        <v>Cultivator</v>
      </c>
      <c r="B45" s="269" t="str">
        <f>IFERROR(__xludf.DUMMYFUNCTION("""COMPUTED_VALUE"""),"Tier 1")</f>
        <v>Tier 1</v>
      </c>
      <c r="C45" s="269"/>
      <c r="D45" s="269"/>
      <c r="E45" s="269"/>
      <c r="F45" s="269"/>
      <c r="G45" s="269"/>
      <c r="H45" s="269"/>
      <c r="I45" s="269"/>
      <c r="J45" s="269"/>
      <c r="K45" s="269"/>
      <c r="L45" s="269"/>
      <c r="M45" s="269"/>
      <c r="N45" s="269"/>
      <c r="O45" s="269"/>
      <c r="P45" s="269"/>
      <c r="Q45" s="269"/>
      <c r="R45" s="269"/>
      <c r="S45" s="269"/>
      <c r="T45" s="269"/>
      <c r="U45" s="269"/>
      <c r="V45" s="269"/>
      <c r="W45" s="269"/>
      <c r="X45" s="269"/>
      <c r="Y45" s="269"/>
      <c r="Z45" s="269"/>
    </row>
    <row r="46">
      <c r="A46" s="269" t="str">
        <f>IFERROR(__xludf.DUMMYFUNCTION("""COMPUTED_VALUE"""),"Curse Knight")</f>
        <v>Curse Knight</v>
      </c>
      <c r="B46" s="269" t="str">
        <f>IFERROR(__xludf.DUMMYFUNCTION("""COMPUTED_VALUE"""),"Tier 2")</f>
        <v>Tier 2</v>
      </c>
      <c r="C46" s="269"/>
      <c r="D46" s="269"/>
      <c r="E46" s="269"/>
      <c r="F46" s="269"/>
      <c r="G46" s="269"/>
      <c r="H46" s="269"/>
      <c r="I46" s="269"/>
      <c r="J46" s="269"/>
      <c r="K46" s="269"/>
      <c r="L46" s="269"/>
      <c r="M46" s="269"/>
      <c r="N46" s="269"/>
      <c r="O46" s="269"/>
      <c r="P46" s="269"/>
      <c r="Q46" s="269"/>
      <c r="R46" s="269"/>
      <c r="S46" s="269"/>
      <c r="T46" s="269"/>
      <c r="U46" s="269"/>
      <c r="V46" s="269"/>
      <c r="W46" s="269"/>
      <c r="X46" s="269"/>
      <c r="Y46" s="269"/>
      <c r="Z46" s="269"/>
    </row>
    <row r="47">
      <c r="A47" s="269" t="str">
        <f>IFERROR(__xludf.DUMMYFUNCTION("""COMPUTED_VALUE"""),"Cutthroat")</f>
        <v>Cutthroat</v>
      </c>
      <c r="B47" s="269" t="str">
        <f>IFERROR(__xludf.DUMMYFUNCTION("""COMPUTED_VALUE"""),"Tier 2")</f>
        <v>Tier 2</v>
      </c>
      <c r="C47" s="269"/>
      <c r="D47" s="269"/>
      <c r="E47" s="269"/>
      <c r="F47" s="269"/>
      <c r="G47" s="269"/>
      <c r="H47" s="269"/>
      <c r="I47" s="269"/>
      <c r="J47" s="269"/>
      <c r="K47" s="269"/>
      <c r="L47" s="269"/>
      <c r="M47" s="269"/>
      <c r="N47" s="269"/>
      <c r="O47" s="269"/>
      <c r="P47" s="269"/>
      <c r="Q47" s="269"/>
      <c r="R47" s="269"/>
      <c r="S47" s="269"/>
      <c r="T47" s="269"/>
      <c r="U47" s="269"/>
      <c r="V47" s="269"/>
      <c r="W47" s="269"/>
      <c r="X47" s="269"/>
      <c r="Y47" s="269"/>
      <c r="Z47" s="269"/>
    </row>
    <row r="48">
      <c r="A48" s="269" t="str">
        <f>IFERROR(__xludf.DUMMYFUNCTION("""COMPUTED_VALUE"""),"Daionmyoji")</f>
        <v>Daionmyoji</v>
      </c>
      <c r="B48" s="269" t="str">
        <f>IFERROR(__xludf.DUMMYFUNCTION("""COMPUTED_VALUE"""),"Tier 3")</f>
        <v>Tier 3</v>
      </c>
      <c r="C48" s="269"/>
      <c r="D48" s="269"/>
      <c r="E48" s="269"/>
      <c r="F48" s="269"/>
      <c r="G48" s="269"/>
      <c r="H48" s="269"/>
      <c r="I48" s="269"/>
      <c r="J48" s="269"/>
      <c r="K48" s="269"/>
      <c r="L48" s="269"/>
      <c r="M48" s="269"/>
      <c r="N48" s="269"/>
      <c r="O48" s="269"/>
      <c r="P48" s="269"/>
      <c r="Q48" s="269"/>
      <c r="R48" s="269"/>
      <c r="S48" s="269"/>
      <c r="T48" s="269"/>
      <c r="U48" s="269"/>
      <c r="V48" s="269"/>
      <c r="W48" s="269"/>
      <c r="X48" s="269"/>
      <c r="Y48" s="269"/>
      <c r="Z48" s="269"/>
    </row>
    <row r="49">
      <c r="A49" s="269" t="str">
        <f>IFERROR(__xludf.DUMMYFUNCTION("""COMPUTED_VALUE"""),"Dark Priest")</f>
        <v>Dark Priest</v>
      </c>
      <c r="B49" s="269" t="str">
        <f>IFERROR(__xludf.DUMMYFUNCTION("""COMPUTED_VALUE"""),"Tier 2")</f>
        <v>Tier 2</v>
      </c>
      <c r="C49" s="269"/>
      <c r="D49" s="269"/>
      <c r="E49" s="269"/>
      <c r="F49" s="269"/>
      <c r="G49" s="269"/>
      <c r="H49" s="269"/>
      <c r="I49" s="269"/>
      <c r="J49" s="269"/>
      <c r="K49" s="269"/>
      <c r="L49" s="269"/>
      <c r="M49" s="269"/>
      <c r="N49" s="269"/>
      <c r="O49" s="269"/>
      <c r="P49" s="269"/>
      <c r="Q49" s="269"/>
      <c r="R49" s="269"/>
      <c r="S49" s="269"/>
      <c r="T49" s="269"/>
      <c r="U49" s="269"/>
      <c r="V49" s="269"/>
      <c r="W49" s="269"/>
      <c r="X49" s="269"/>
      <c r="Y49" s="269"/>
      <c r="Z49" s="269"/>
    </row>
    <row r="50">
      <c r="A50" s="269" t="str">
        <f>IFERROR(__xludf.DUMMYFUNCTION("""COMPUTED_VALUE"""),"Deadeye")</f>
        <v>Deadeye</v>
      </c>
      <c r="B50" s="269" t="str">
        <f>IFERROR(__xludf.DUMMYFUNCTION("""COMPUTED_VALUE"""),"Tier 3")</f>
        <v>Tier 3</v>
      </c>
      <c r="C50" s="269"/>
      <c r="D50" s="269"/>
      <c r="E50" s="269"/>
      <c r="F50" s="269"/>
      <c r="G50" s="269"/>
      <c r="H50" s="269"/>
      <c r="I50" s="269"/>
      <c r="J50" s="269"/>
      <c r="K50" s="269"/>
      <c r="L50" s="269"/>
      <c r="M50" s="269"/>
      <c r="N50" s="269"/>
      <c r="O50" s="269"/>
      <c r="P50" s="269"/>
      <c r="Q50" s="269"/>
      <c r="R50" s="269"/>
      <c r="S50" s="269"/>
      <c r="T50" s="269"/>
      <c r="U50" s="269"/>
      <c r="V50" s="269"/>
      <c r="W50" s="269"/>
      <c r="X50" s="269"/>
      <c r="Y50" s="269"/>
      <c r="Z50" s="269"/>
    </row>
    <row r="51">
      <c r="A51" s="269" t="str">
        <f>IFERROR(__xludf.DUMMYFUNCTION("""COMPUTED_VALUE"""),"Death Knight")</f>
        <v>Death Knight</v>
      </c>
      <c r="B51" s="269" t="str">
        <f>IFERROR(__xludf.DUMMYFUNCTION("""COMPUTED_VALUE"""),"Tier 3")</f>
        <v>Tier 3</v>
      </c>
      <c r="C51" s="269"/>
      <c r="D51" s="269"/>
      <c r="E51" s="269"/>
      <c r="F51" s="269"/>
      <c r="G51" s="269"/>
      <c r="H51" s="269"/>
      <c r="I51" s="269"/>
      <c r="J51" s="269"/>
      <c r="K51" s="269"/>
      <c r="L51" s="269"/>
      <c r="M51" s="269"/>
      <c r="N51" s="269"/>
      <c r="O51" s="269"/>
      <c r="P51" s="269"/>
      <c r="Q51" s="269"/>
      <c r="R51" s="269"/>
      <c r="S51" s="269"/>
      <c r="T51" s="269"/>
      <c r="U51" s="269"/>
      <c r="V51" s="269"/>
      <c r="W51" s="269"/>
      <c r="X51" s="269"/>
      <c r="Y51" s="269"/>
      <c r="Z51" s="269"/>
    </row>
    <row r="52">
      <c r="A52" s="269" t="str">
        <f>IFERROR(__xludf.DUMMYFUNCTION("""COMPUTED_VALUE"""),"Dragoon")</f>
        <v>Dragoon</v>
      </c>
      <c r="B52" s="269" t="str">
        <f>IFERROR(__xludf.DUMMYFUNCTION("""COMPUTED_VALUE"""),"Tier 3")</f>
        <v>Tier 3</v>
      </c>
      <c r="C52" s="269"/>
      <c r="D52" s="269"/>
      <c r="E52" s="269"/>
      <c r="F52" s="269"/>
      <c r="G52" s="269"/>
      <c r="H52" s="269"/>
      <c r="I52" s="269"/>
      <c r="J52" s="269"/>
      <c r="K52" s="269"/>
      <c r="L52" s="269"/>
      <c r="M52" s="269"/>
      <c r="N52" s="269"/>
      <c r="O52" s="269"/>
      <c r="P52" s="269"/>
      <c r="Q52" s="269"/>
      <c r="R52" s="269"/>
      <c r="S52" s="269"/>
      <c r="T52" s="269"/>
      <c r="U52" s="269"/>
      <c r="V52" s="269"/>
      <c r="W52" s="269"/>
      <c r="X52" s="269"/>
      <c r="Y52" s="269"/>
      <c r="Z52" s="269"/>
    </row>
    <row r="53">
      <c r="A53" s="269" t="str">
        <f>IFERROR(__xludf.DUMMYFUNCTION("""COMPUTED_VALUE"""),"Duelist")</f>
        <v>Duelist</v>
      </c>
      <c r="B53" s="269" t="str">
        <f>IFERROR(__xludf.DUMMYFUNCTION("""COMPUTED_VALUE"""),"Tier 3")</f>
        <v>Tier 3</v>
      </c>
      <c r="C53" s="269"/>
      <c r="D53" s="269"/>
      <c r="E53" s="269"/>
      <c r="F53" s="269"/>
      <c r="G53" s="269"/>
      <c r="H53" s="269"/>
      <c r="I53" s="269"/>
      <c r="J53" s="269"/>
      <c r="K53" s="269"/>
      <c r="L53" s="269"/>
      <c r="M53" s="269"/>
      <c r="N53" s="269"/>
      <c r="O53" s="269"/>
      <c r="P53" s="269"/>
      <c r="Q53" s="269"/>
      <c r="R53" s="269"/>
      <c r="S53" s="269"/>
      <c r="T53" s="269"/>
      <c r="U53" s="269"/>
      <c r="V53" s="269"/>
      <c r="W53" s="269"/>
      <c r="X53" s="269"/>
      <c r="Y53" s="269"/>
      <c r="Z53" s="269"/>
    </row>
    <row r="54">
      <c r="A54" s="269" t="str">
        <f>IFERROR(__xludf.DUMMYFUNCTION("""COMPUTED_VALUE"""),"Earthcleaving Style")</f>
        <v>Earthcleaving Style</v>
      </c>
      <c r="B54" s="269" t="str">
        <f>IFERROR(__xludf.DUMMYFUNCTION("""COMPUTED_VALUE"""),"Tier 2")</f>
        <v>Tier 2</v>
      </c>
      <c r="C54" s="269"/>
      <c r="D54" s="269"/>
      <c r="E54" s="269"/>
      <c r="F54" s="269"/>
      <c r="G54" s="269"/>
      <c r="H54" s="269"/>
      <c r="I54" s="269"/>
      <c r="J54" s="269"/>
      <c r="K54" s="269"/>
      <c r="L54" s="269"/>
      <c r="M54" s="269"/>
      <c r="N54" s="269"/>
      <c r="O54" s="269"/>
      <c r="P54" s="269"/>
      <c r="Q54" s="269"/>
      <c r="R54" s="269"/>
      <c r="S54" s="269"/>
      <c r="T54" s="269"/>
      <c r="U54" s="269"/>
      <c r="V54" s="269"/>
      <c r="W54" s="269"/>
      <c r="X54" s="269"/>
      <c r="Y54" s="269"/>
      <c r="Z54" s="269"/>
    </row>
    <row r="55">
      <c r="A55" s="269" t="str">
        <f>IFERROR(__xludf.DUMMYFUNCTION("""COMPUTED_VALUE"""),"Electromancer")</f>
        <v>Electromancer</v>
      </c>
      <c r="B55" s="269" t="str">
        <f>IFERROR(__xludf.DUMMYFUNCTION("""COMPUTED_VALUE"""),"Tier 2")</f>
        <v>Tier 2</v>
      </c>
      <c r="C55" s="269"/>
      <c r="D55" s="269"/>
      <c r="E55" s="269"/>
      <c r="F55" s="269"/>
      <c r="G55" s="269"/>
      <c r="H55" s="269"/>
      <c r="I55" s="269"/>
      <c r="J55" s="269"/>
      <c r="K55" s="269"/>
      <c r="L55" s="269"/>
      <c r="M55" s="269"/>
      <c r="N55" s="269"/>
      <c r="O55" s="269"/>
      <c r="P55" s="269"/>
      <c r="Q55" s="269"/>
      <c r="R55" s="269"/>
      <c r="S55" s="269"/>
      <c r="T55" s="269"/>
      <c r="U55" s="269"/>
      <c r="V55" s="269"/>
      <c r="W55" s="269"/>
      <c r="X55" s="269"/>
      <c r="Y55" s="269"/>
      <c r="Z55" s="269"/>
    </row>
    <row r="56">
      <c r="A56" s="269" t="str">
        <f>IFERROR(__xludf.DUMMYFUNCTION("""COMPUTED_VALUE"""),"Electromaster")</f>
        <v>Electromaster</v>
      </c>
      <c r="B56" s="269" t="str">
        <f>IFERROR(__xludf.DUMMYFUNCTION("""COMPUTED_VALUE"""),"Tier 3")</f>
        <v>Tier 3</v>
      </c>
      <c r="C56" s="269"/>
      <c r="D56" s="269"/>
      <c r="E56" s="269"/>
      <c r="F56" s="269"/>
      <c r="G56" s="269"/>
      <c r="H56" s="269"/>
      <c r="I56" s="269"/>
      <c r="J56" s="269"/>
      <c r="K56" s="269"/>
      <c r="L56" s="269"/>
      <c r="M56" s="269"/>
      <c r="N56" s="269"/>
      <c r="O56" s="269"/>
      <c r="P56" s="269"/>
      <c r="Q56" s="269"/>
      <c r="R56" s="269"/>
      <c r="S56" s="269"/>
      <c r="T56" s="269"/>
      <c r="U56" s="269"/>
      <c r="V56" s="269"/>
      <c r="W56" s="269"/>
      <c r="X56" s="269"/>
      <c r="Y56" s="269"/>
      <c r="Z56" s="269"/>
    </row>
    <row r="57">
      <c r="A57" s="269" t="str">
        <f>IFERROR(__xludf.DUMMYFUNCTION("""COMPUTED_VALUE"""),"Elementalist")</f>
        <v>Elementalist</v>
      </c>
      <c r="B57" s="269" t="str">
        <f>IFERROR(__xludf.DUMMYFUNCTION("""COMPUTED_VALUE"""),"Tier 2")</f>
        <v>Tier 2</v>
      </c>
      <c r="C57" s="269"/>
      <c r="D57" s="269"/>
      <c r="E57" s="269"/>
      <c r="F57" s="269"/>
      <c r="G57" s="269"/>
      <c r="H57" s="269"/>
      <c r="I57" s="269"/>
      <c r="J57" s="269"/>
      <c r="K57" s="269"/>
      <c r="L57" s="269"/>
      <c r="M57" s="269"/>
      <c r="N57" s="269"/>
      <c r="O57" s="269"/>
      <c r="P57" s="269"/>
      <c r="Q57" s="269"/>
      <c r="R57" s="269"/>
      <c r="S57" s="269"/>
      <c r="T57" s="269"/>
      <c r="U57" s="269"/>
      <c r="V57" s="269"/>
      <c r="W57" s="269"/>
      <c r="X57" s="269"/>
      <c r="Y57" s="269"/>
      <c r="Z57" s="269"/>
    </row>
    <row r="58">
      <c r="A58" s="269" t="str">
        <f>IFERROR(__xludf.DUMMYFUNCTION("""COMPUTED_VALUE"""),"Eremancer")</f>
        <v>Eremancer</v>
      </c>
      <c r="B58" s="269" t="str">
        <f>IFERROR(__xludf.DUMMYFUNCTION("""COMPUTED_VALUE"""),"Tier 2")</f>
        <v>Tier 2</v>
      </c>
      <c r="C58" s="269"/>
      <c r="D58" s="269"/>
      <c r="E58" s="269"/>
      <c r="F58" s="269"/>
      <c r="G58" s="269"/>
      <c r="H58" s="269"/>
      <c r="I58" s="269"/>
      <c r="J58" s="269"/>
      <c r="K58" s="269"/>
      <c r="L58" s="269"/>
      <c r="M58" s="269"/>
      <c r="N58" s="269"/>
      <c r="O58" s="269"/>
      <c r="P58" s="269"/>
      <c r="Q58" s="269"/>
      <c r="R58" s="269"/>
      <c r="S58" s="269"/>
      <c r="T58" s="269"/>
      <c r="U58" s="269"/>
      <c r="V58" s="269"/>
      <c r="W58" s="269"/>
      <c r="X58" s="269"/>
      <c r="Y58" s="269"/>
      <c r="Z58" s="269"/>
    </row>
    <row r="59">
      <c r="A59" s="269" t="str">
        <f>IFERROR(__xludf.DUMMYFUNCTION("""COMPUTED_VALUE"""),"Evil Eye")</f>
        <v>Evil Eye</v>
      </c>
      <c r="B59" s="269" t="str">
        <f>IFERROR(__xludf.DUMMYFUNCTION("""COMPUTED_VALUE"""),"Tier 2")</f>
        <v>Tier 2</v>
      </c>
      <c r="C59" s="269"/>
      <c r="D59" s="269"/>
      <c r="E59" s="269"/>
      <c r="F59" s="269"/>
      <c r="G59" s="269"/>
      <c r="H59" s="269"/>
      <c r="I59" s="269"/>
      <c r="J59" s="269"/>
      <c r="K59" s="269"/>
      <c r="L59" s="269"/>
      <c r="M59" s="269"/>
      <c r="N59" s="269"/>
      <c r="O59" s="269"/>
      <c r="P59" s="269"/>
      <c r="Q59" s="269"/>
      <c r="R59" s="269"/>
      <c r="S59" s="269"/>
      <c r="T59" s="269"/>
      <c r="U59" s="269"/>
      <c r="V59" s="269"/>
      <c r="W59" s="269"/>
      <c r="X59" s="269"/>
      <c r="Y59" s="269"/>
      <c r="Z59" s="269"/>
    </row>
    <row r="60">
      <c r="A60" s="269" t="str">
        <f>IFERROR(__xludf.DUMMYFUNCTION("""COMPUTED_VALUE"""),"Exalted Blade")</f>
        <v>Exalted Blade</v>
      </c>
      <c r="B60" s="269" t="str">
        <f>IFERROR(__xludf.DUMMYFUNCTION("""COMPUTED_VALUE"""),"Tier 3")</f>
        <v>Tier 3</v>
      </c>
      <c r="C60" s="269"/>
      <c r="D60" s="269"/>
      <c r="E60" s="269"/>
      <c r="F60" s="269"/>
      <c r="G60" s="269"/>
      <c r="H60" s="269"/>
      <c r="I60" s="269"/>
      <c r="J60" s="269"/>
      <c r="K60" s="269"/>
      <c r="L60" s="269"/>
      <c r="M60" s="269"/>
      <c r="N60" s="269"/>
      <c r="O60" s="269"/>
      <c r="P60" s="269"/>
      <c r="Q60" s="269"/>
      <c r="R60" s="269"/>
      <c r="S60" s="269"/>
      <c r="T60" s="269"/>
      <c r="U60" s="269"/>
      <c r="V60" s="269"/>
      <c r="W60" s="269"/>
      <c r="X60" s="269"/>
      <c r="Y60" s="269"/>
      <c r="Z60" s="269"/>
    </row>
    <row r="61">
      <c r="A61" s="269" t="str">
        <f>IFERROR(__xludf.DUMMYFUNCTION("""COMPUTED_VALUE"""),"Exalted Shield")</f>
        <v>Exalted Shield</v>
      </c>
      <c r="B61" s="269" t="str">
        <f>IFERROR(__xludf.DUMMYFUNCTION("""COMPUTED_VALUE"""),"Tier 3")</f>
        <v>Tier 3</v>
      </c>
      <c r="C61" s="269"/>
      <c r="D61" s="269"/>
      <c r="E61" s="269"/>
      <c r="F61" s="269"/>
      <c r="G61" s="269"/>
      <c r="H61" s="269"/>
      <c r="I61" s="269"/>
      <c r="J61" s="269"/>
      <c r="K61" s="269"/>
      <c r="L61" s="269"/>
      <c r="M61" s="269"/>
      <c r="N61" s="269"/>
      <c r="O61" s="269"/>
      <c r="P61" s="269"/>
      <c r="Q61" s="269"/>
      <c r="R61" s="269"/>
      <c r="S61" s="269"/>
      <c r="T61" s="269"/>
      <c r="U61" s="269"/>
      <c r="V61" s="269"/>
      <c r="W61" s="269"/>
      <c r="X61" s="269"/>
      <c r="Y61" s="269"/>
      <c r="Z61" s="269"/>
    </row>
    <row r="62">
      <c r="A62" s="269" t="str">
        <f>IFERROR(__xludf.DUMMYFUNCTION("""COMPUTED_VALUE"""),"Excavator")</f>
        <v>Excavator</v>
      </c>
      <c r="B62" s="269" t="str">
        <f>IFERROR(__xludf.DUMMYFUNCTION("""COMPUTED_VALUE"""),"Tier 2")</f>
        <v>Tier 2</v>
      </c>
      <c r="C62" s="269"/>
      <c r="D62" s="269"/>
      <c r="E62" s="269"/>
      <c r="F62" s="269"/>
      <c r="G62" s="269"/>
      <c r="H62" s="269"/>
      <c r="I62" s="269"/>
      <c r="J62" s="269"/>
      <c r="K62" s="269"/>
      <c r="L62" s="269"/>
      <c r="M62" s="269"/>
      <c r="N62" s="269"/>
      <c r="O62" s="269"/>
      <c r="P62" s="269"/>
      <c r="Q62" s="269"/>
      <c r="R62" s="269"/>
      <c r="S62" s="269"/>
      <c r="T62" s="269"/>
      <c r="U62" s="269"/>
      <c r="V62" s="269"/>
      <c r="W62" s="269"/>
      <c r="X62" s="269"/>
      <c r="Y62" s="269"/>
      <c r="Z62" s="269"/>
    </row>
    <row r="63">
      <c r="A63" s="269" t="str">
        <f>IFERROR(__xludf.DUMMYFUNCTION("""COMPUTED_VALUE"""),"Executor")</f>
        <v>Executor</v>
      </c>
      <c r="B63" s="269" t="str">
        <f>IFERROR(__xludf.DUMMYFUNCTION("""COMPUTED_VALUE"""),"Tier 2")</f>
        <v>Tier 2</v>
      </c>
      <c r="C63" s="269"/>
      <c r="D63" s="269"/>
      <c r="E63" s="269"/>
      <c r="F63" s="269"/>
      <c r="G63" s="269"/>
      <c r="H63" s="269"/>
      <c r="I63" s="269"/>
      <c r="J63" s="269"/>
      <c r="K63" s="269"/>
      <c r="L63" s="269"/>
      <c r="M63" s="269"/>
      <c r="N63" s="269"/>
      <c r="O63" s="269"/>
      <c r="P63" s="269"/>
      <c r="Q63" s="269"/>
      <c r="R63" s="269"/>
      <c r="S63" s="269"/>
      <c r="T63" s="269"/>
      <c r="U63" s="269"/>
      <c r="V63" s="269"/>
      <c r="W63" s="269"/>
      <c r="X63" s="269"/>
      <c r="Y63" s="269"/>
      <c r="Z63" s="269"/>
    </row>
    <row r="64">
      <c r="A64" s="269" t="str">
        <f>IFERROR(__xludf.DUMMYFUNCTION("""COMPUTED_VALUE"""),"Fae Knight")</f>
        <v>Fae Knight</v>
      </c>
      <c r="B64" s="269" t="str">
        <f>IFERROR(__xludf.DUMMYFUNCTION("""COMPUTED_VALUE"""),"Tier 2")</f>
        <v>Tier 2</v>
      </c>
      <c r="C64" s="269"/>
      <c r="D64" s="269"/>
      <c r="E64" s="269"/>
      <c r="F64" s="269"/>
      <c r="G64" s="269"/>
      <c r="H64" s="269"/>
      <c r="I64" s="269"/>
      <c r="J64" s="269"/>
      <c r="K64" s="269"/>
      <c r="L64" s="269"/>
      <c r="M64" s="269"/>
      <c r="N64" s="269"/>
      <c r="O64" s="269"/>
      <c r="P64" s="269"/>
      <c r="Q64" s="269"/>
      <c r="R64" s="269"/>
      <c r="S64" s="269"/>
      <c r="T64" s="269"/>
      <c r="U64" s="269"/>
      <c r="V64" s="269"/>
      <c r="W64" s="269"/>
      <c r="X64" s="269"/>
      <c r="Y64" s="269"/>
      <c r="Z64" s="269"/>
    </row>
    <row r="65">
      <c r="A65" s="269" t="str">
        <f>IFERROR(__xludf.DUMMYFUNCTION("""COMPUTED_VALUE"""),"Fae Knight: Willow Style")</f>
        <v>Fae Knight: Willow Style</v>
      </c>
      <c r="B65" s="269" t="str">
        <f>IFERROR(__xludf.DUMMYFUNCTION("""COMPUTED_VALUE"""),"Tier 3")</f>
        <v>Tier 3</v>
      </c>
      <c r="C65" s="269"/>
      <c r="D65" s="269"/>
      <c r="E65" s="269"/>
      <c r="F65" s="269"/>
      <c r="G65" s="269"/>
      <c r="H65" s="269"/>
      <c r="I65" s="269"/>
      <c r="J65" s="269"/>
      <c r="K65" s="269"/>
      <c r="L65" s="269"/>
      <c r="M65" s="269"/>
      <c r="N65" s="269"/>
      <c r="O65" s="269"/>
      <c r="P65" s="269"/>
      <c r="Q65" s="269"/>
      <c r="R65" s="269"/>
      <c r="S65" s="269"/>
      <c r="T65" s="269"/>
      <c r="U65" s="269"/>
      <c r="V65" s="269"/>
      <c r="W65" s="269"/>
      <c r="X65" s="269"/>
      <c r="Y65" s="269"/>
      <c r="Z65" s="269"/>
    </row>
    <row r="66">
      <c r="A66" s="269" t="str">
        <f>IFERROR(__xludf.DUMMYFUNCTION("""COMPUTED_VALUE"""),"Faerie Light Eyes")</f>
        <v>Faerie Light Eyes</v>
      </c>
      <c r="B66" s="269" t="str">
        <f>IFERROR(__xludf.DUMMYFUNCTION("""COMPUTED_VALUE"""),"Tier 2")</f>
        <v>Tier 2</v>
      </c>
      <c r="C66" s="269"/>
      <c r="D66" s="269"/>
      <c r="E66" s="269"/>
      <c r="F66" s="269"/>
      <c r="G66" s="269"/>
      <c r="H66" s="269"/>
      <c r="I66" s="269"/>
      <c r="J66" s="269"/>
      <c r="K66" s="269"/>
      <c r="L66" s="269"/>
      <c r="M66" s="269"/>
      <c r="N66" s="269"/>
      <c r="O66" s="269"/>
      <c r="P66" s="269"/>
      <c r="Q66" s="269"/>
      <c r="R66" s="269"/>
      <c r="S66" s="269"/>
      <c r="T66" s="269"/>
      <c r="U66" s="269"/>
      <c r="V66" s="269"/>
      <c r="W66" s="269"/>
      <c r="X66" s="269"/>
      <c r="Y66" s="269"/>
      <c r="Z66" s="269"/>
    </row>
    <row r="67">
      <c r="A67" s="269" t="str">
        <f>IFERROR(__xludf.DUMMYFUNCTION("""COMPUTED_VALUE"""),"Farmer")</f>
        <v>Farmer</v>
      </c>
      <c r="B67" s="269" t="str">
        <f>IFERROR(__xludf.DUMMYFUNCTION("""COMPUTED_VALUE"""),"Tier 1")</f>
        <v>Tier 1</v>
      </c>
      <c r="C67" s="269"/>
      <c r="D67" s="269"/>
      <c r="E67" s="269"/>
      <c r="F67" s="269"/>
      <c r="G67" s="269"/>
      <c r="H67" s="269"/>
      <c r="I67" s="269"/>
      <c r="J67" s="269"/>
      <c r="K67" s="269"/>
      <c r="L67" s="269"/>
      <c r="M67" s="269"/>
      <c r="N67" s="269"/>
      <c r="O67" s="269"/>
      <c r="P67" s="269"/>
      <c r="Q67" s="269"/>
      <c r="R67" s="269"/>
      <c r="S67" s="269"/>
      <c r="T67" s="269"/>
      <c r="U67" s="269"/>
      <c r="V67" s="269"/>
      <c r="W67" s="269"/>
      <c r="X67" s="269"/>
      <c r="Y67" s="269"/>
      <c r="Z67" s="269"/>
    </row>
    <row r="68">
      <c r="A68" s="269" t="str">
        <f>IFERROR(__xludf.DUMMYFUNCTION("""COMPUTED_VALUE"""),"Fencer")</f>
        <v>Fencer</v>
      </c>
      <c r="B68" s="269" t="str">
        <f>IFERROR(__xludf.DUMMYFUNCTION("""COMPUTED_VALUE"""),"Tier 2")</f>
        <v>Tier 2</v>
      </c>
      <c r="C68" s="269"/>
      <c r="D68" s="269"/>
      <c r="E68" s="269"/>
      <c r="F68" s="269"/>
      <c r="G68" s="269"/>
      <c r="H68" s="269"/>
      <c r="I68" s="269"/>
      <c r="J68" s="269"/>
      <c r="K68" s="269"/>
      <c r="L68" s="269"/>
      <c r="M68" s="269"/>
      <c r="N68" s="269"/>
      <c r="O68" s="269"/>
      <c r="P68" s="269"/>
      <c r="Q68" s="269"/>
      <c r="R68" s="269"/>
      <c r="S68" s="269"/>
      <c r="T68" s="269"/>
      <c r="U68" s="269"/>
      <c r="V68" s="269"/>
      <c r="W68" s="269"/>
      <c r="X68" s="269"/>
      <c r="Y68" s="269"/>
      <c r="Z68" s="269"/>
    </row>
    <row r="69">
      <c r="A69" s="269" t="str">
        <f>IFERROR(__xludf.DUMMYFUNCTION("""COMPUTED_VALUE"""),"Fighter")</f>
        <v>Fighter</v>
      </c>
      <c r="B69" s="269" t="str">
        <f>IFERROR(__xludf.DUMMYFUNCTION("""COMPUTED_VALUE"""),"Tier 1")</f>
        <v>Tier 1</v>
      </c>
      <c r="C69" s="269"/>
      <c r="D69" s="269"/>
      <c r="E69" s="269"/>
      <c r="F69" s="269"/>
      <c r="G69" s="269"/>
      <c r="H69" s="269"/>
      <c r="I69" s="269"/>
      <c r="J69" s="269"/>
      <c r="K69" s="269"/>
      <c r="L69" s="269"/>
      <c r="M69" s="269"/>
      <c r="N69" s="269"/>
      <c r="O69" s="269"/>
      <c r="P69" s="269"/>
      <c r="Q69" s="269"/>
      <c r="R69" s="269"/>
      <c r="S69" s="269"/>
      <c r="T69" s="269"/>
      <c r="U69" s="269"/>
      <c r="V69" s="269"/>
      <c r="W69" s="269"/>
      <c r="X69" s="269"/>
      <c r="Y69" s="269"/>
      <c r="Z69" s="269"/>
    </row>
    <row r="70">
      <c r="A70" s="269" t="str">
        <f>IFERROR(__xludf.DUMMYFUNCTION("""COMPUTED_VALUE"""),"Five Harmonies Style")</f>
        <v>Five Harmonies Style</v>
      </c>
      <c r="B70" s="269" t="str">
        <f>IFERROR(__xludf.DUMMYFUNCTION("""COMPUTED_VALUE"""),"Tier 2")</f>
        <v>Tier 2</v>
      </c>
      <c r="C70" s="269"/>
      <c r="D70" s="269"/>
      <c r="E70" s="269"/>
      <c r="F70" s="269"/>
      <c r="G70" s="269"/>
      <c r="H70" s="269"/>
      <c r="I70" s="269"/>
      <c r="J70" s="269"/>
      <c r="K70" s="269"/>
      <c r="L70" s="269"/>
      <c r="M70" s="269"/>
      <c r="N70" s="269"/>
      <c r="O70" s="269"/>
      <c r="P70" s="269"/>
      <c r="Q70" s="269"/>
      <c r="R70" s="269"/>
      <c r="S70" s="269"/>
      <c r="T70" s="269"/>
      <c r="U70" s="269"/>
      <c r="V70" s="269"/>
      <c r="W70" s="269"/>
      <c r="X70" s="269"/>
      <c r="Y70" s="269"/>
      <c r="Z70" s="269"/>
    </row>
    <row r="71">
      <c r="A71" s="269" t="str">
        <f>IFERROR(__xludf.DUMMYFUNCTION("""COMPUTED_VALUE"""),"Flame Sentinel")</f>
        <v>Flame Sentinel</v>
      </c>
      <c r="B71" s="269" t="str">
        <f>IFERROR(__xludf.DUMMYFUNCTION("""COMPUTED_VALUE"""),"Tier 2")</f>
        <v>Tier 2</v>
      </c>
      <c r="C71" s="269"/>
      <c r="D71" s="269"/>
      <c r="E71" s="269"/>
      <c r="F71" s="269"/>
      <c r="G71" s="269"/>
      <c r="H71" s="269"/>
      <c r="I71" s="269"/>
      <c r="J71" s="269"/>
      <c r="K71" s="269"/>
      <c r="L71" s="269"/>
      <c r="M71" s="269"/>
      <c r="N71" s="269"/>
      <c r="O71" s="269"/>
      <c r="P71" s="269"/>
      <c r="Q71" s="269"/>
      <c r="R71" s="269"/>
      <c r="S71" s="269"/>
      <c r="T71" s="269"/>
      <c r="U71" s="269"/>
      <c r="V71" s="269"/>
      <c r="W71" s="269"/>
      <c r="X71" s="269"/>
      <c r="Y71" s="269"/>
      <c r="Z71" s="269"/>
    </row>
    <row r="72">
      <c r="A72" s="269" t="str">
        <f>IFERROR(__xludf.DUMMYFUNCTION("""COMPUTED_VALUE"""),"Flash Star Blade Style")</f>
        <v>Flash Star Blade Style</v>
      </c>
      <c r="B72" s="269" t="str">
        <f>IFERROR(__xludf.DUMMYFUNCTION("""COMPUTED_VALUE"""),"Tier 2")</f>
        <v>Tier 2</v>
      </c>
      <c r="C72" s="269"/>
      <c r="D72" s="269"/>
      <c r="E72" s="269"/>
      <c r="F72" s="269"/>
      <c r="G72" s="269"/>
      <c r="H72" s="269"/>
      <c r="I72" s="269"/>
      <c r="J72" s="269"/>
      <c r="K72" s="269"/>
      <c r="L72" s="269"/>
      <c r="M72" s="269"/>
      <c r="N72" s="269"/>
      <c r="O72" s="269"/>
      <c r="P72" s="269"/>
      <c r="Q72" s="269"/>
      <c r="R72" s="269"/>
      <c r="S72" s="269"/>
      <c r="T72" s="269"/>
      <c r="U72" s="269"/>
      <c r="V72" s="269"/>
      <c r="W72" s="269"/>
      <c r="X72" s="269"/>
      <c r="Y72" s="269"/>
      <c r="Z72" s="269"/>
    </row>
    <row r="73">
      <c r="A73" s="269" t="str">
        <f>IFERROR(__xludf.DUMMYFUNCTION("""COMPUTED_VALUE"""),"Flowing Wind Style")</f>
        <v>Flowing Wind Style</v>
      </c>
      <c r="B73" s="269" t="str">
        <f>IFERROR(__xludf.DUMMYFUNCTION("""COMPUTED_VALUE"""),"Tier 2")</f>
        <v>Tier 2</v>
      </c>
      <c r="C73" s="269"/>
      <c r="D73" s="269"/>
      <c r="E73" s="269"/>
      <c r="F73" s="269"/>
      <c r="G73" s="269"/>
      <c r="H73" s="269"/>
      <c r="I73" s="269"/>
      <c r="J73" s="269"/>
      <c r="K73" s="269"/>
      <c r="L73" s="269"/>
      <c r="M73" s="269"/>
      <c r="N73" s="269"/>
      <c r="O73" s="269"/>
      <c r="P73" s="269"/>
      <c r="Q73" s="269"/>
      <c r="R73" s="269"/>
      <c r="S73" s="269"/>
      <c r="T73" s="269"/>
      <c r="U73" s="269"/>
      <c r="V73" s="269"/>
      <c r="W73" s="269"/>
      <c r="X73" s="269"/>
      <c r="Y73" s="269"/>
      <c r="Z73" s="269"/>
    </row>
    <row r="74">
      <c r="A74" s="269" t="str">
        <f>IFERROR(__xludf.DUMMYFUNCTION("""COMPUTED_VALUE"""),"Forager")</f>
        <v>Forager</v>
      </c>
      <c r="B74" s="269" t="str">
        <f>IFERROR(__xludf.DUMMYFUNCTION("""COMPUTED_VALUE"""),"Tier 1")</f>
        <v>Tier 1</v>
      </c>
      <c r="C74" s="269"/>
      <c r="D74" s="269"/>
      <c r="E74" s="269"/>
      <c r="F74" s="269"/>
      <c r="G74" s="269"/>
      <c r="H74" s="269"/>
      <c r="I74" s="269"/>
      <c r="J74" s="269"/>
      <c r="K74" s="269"/>
      <c r="L74" s="269"/>
      <c r="M74" s="269"/>
      <c r="N74" s="269"/>
      <c r="O74" s="269"/>
      <c r="P74" s="269"/>
      <c r="Q74" s="269"/>
      <c r="R74" s="269"/>
      <c r="S74" s="269"/>
      <c r="T74" s="269"/>
      <c r="U74" s="269"/>
      <c r="V74" s="269"/>
      <c r="W74" s="269"/>
      <c r="X74" s="269"/>
      <c r="Y74" s="269"/>
      <c r="Z74" s="269"/>
    </row>
    <row r="75">
      <c r="A75" s="269" t="str">
        <f>IFERROR(__xludf.DUMMYFUNCTION("""COMPUTED_VALUE"""),"Forgemaster")</f>
        <v>Forgemaster</v>
      </c>
      <c r="B75" s="269" t="str">
        <f>IFERROR(__xludf.DUMMYFUNCTION("""COMPUTED_VALUE"""),"Tier 2")</f>
        <v>Tier 2</v>
      </c>
      <c r="C75" s="269"/>
      <c r="D75" s="269"/>
      <c r="E75" s="269"/>
      <c r="F75" s="269"/>
      <c r="G75" s="269"/>
      <c r="H75" s="269"/>
      <c r="I75" s="269"/>
      <c r="J75" s="269"/>
      <c r="K75" s="269"/>
      <c r="L75" s="269"/>
      <c r="M75" s="269"/>
      <c r="N75" s="269"/>
      <c r="O75" s="269"/>
      <c r="P75" s="269"/>
      <c r="Q75" s="269"/>
      <c r="R75" s="269"/>
      <c r="S75" s="269"/>
      <c r="T75" s="269"/>
      <c r="U75" s="269"/>
      <c r="V75" s="269"/>
      <c r="W75" s="269"/>
      <c r="X75" s="269"/>
      <c r="Y75" s="269"/>
      <c r="Z75" s="269"/>
    </row>
    <row r="76">
      <c r="A76" s="269" t="str">
        <f>IFERROR(__xludf.DUMMYFUNCTION("""COMPUTED_VALUE"""),"Geomancer")</f>
        <v>Geomancer</v>
      </c>
      <c r="B76" s="269" t="str">
        <f>IFERROR(__xludf.DUMMYFUNCTION("""COMPUTED_VALUE"""),"Tier 2")</f>
        <v>Tier 2</v>
      </c>
      <c r="C76" s="269"/>
      <c r="D76" s="269"/>
      <c r="E76" s="269"/>
      <c r="F76" s="269"/>
      <c r="G76" s="269"/>
      <c r="H76" s="269"/>
      <c r="I76" s="269"/>
      <c r="J76" s="269"/>
      <c r="K76" s="269"/>
      <c r="L76" s="269"/>
      <c r="M76" s="269"/>
      <c r="N76" s="269"/>
      <c r="O76" s="269"/>
      <c r="P76" s="269"/>
      <c r="Q76" s="269"/>
      <c r="R76" s="269"/>
      <c r="S76" s="269"/>
      <c r="T76" s="269"/>
      <c r="U76" s="269"/>
      <c r="V76" s="269"/>
      <c r="W76" s="269"/>
      <c r="X76" s="269"/>
      <c r="Y76" s="269"/>
      <c r="Z76" s="269"/>
    </row>
    <row r="77">
      <c r="A77" s="269" t="str">
        <f>IFERROR(__xludf.DUMMYFUNCTION("""COMPUTED_VALUE"""),"Geomaster")</f>
        <v>Geomaster</v>
      </c>
      <c r="B77" s="269" t="str">
        <f>IFERROR(__xludf.DUMMYFUNCTION("""COMPUTED_VALUE"""),"Tier 3")</f>
        <v>Tier 3</v>
      </c>
      <c r="C77" s="269"/>
      <c r="D77" s="269"/>
      <c r="E77" s="269"/>
      <c r="F77" s="269"/>
      <c r="G77" s="269"/>
      <c r="H77" s="269"/>
      <c r="I77" s="269"/>
      <c r="J77" s="269"/>
      <c r="K77" s="269"/>
      <c r="L77" s="269"/>
      <c r="M77" s="269"/>
      <c r="N77" s="269"/>
      <c r="O77" s="269"/>
      <c r="P77" s="269"/>
      <c r="Q77" s="269"/>
      <c r="R77" s="269"/>
      <c r="S77" s="269"/>
      <c r="T77" s="269"/>
      <c r="U77" s="269"/>
      <c r="V77" s="269"/>
      <c r="W77" s="269"/>
      <c r="X77" s="269"/>
      <c r="Y77" s="269"/>
      <c r="Z77" s="269"/>
    </row>
    <row r="78">
      <c r="A78" s="269" t="str">
        <f>IFERROR(__xludf.DUMMYFUNCTION("""COMPUTED_VALUE"""),"Grandmaster")</f>
        <v>Grandmaster</v>
      </c>
      <c r="B78" s="269" t="str">
        <f>IFERROR(__xludf.DUMMYFUNCTION("""COMPUTED_VALUE"""),"Tier 2")</f>
        <v>Tier 2</v>
      </c>
      <c r="C78" s="269"/>
      <c r="D78" s="269"/>
      <c r="E78" s="269"/>
      <c r="F78" s="269"/>
      <c r="G78" s="269"/>
      <c r="H78" s="269"/>
      <c r="I78" s="269"/>
      <c r="J78" s="269"/>
      <c r="K78" s="269"/>
      <c r="L78" s="269"/>
      <c r="M78" s="269"/>
      <c r="N78" s="269"/>
      <c r="O78" s="269"/>
      <c r="P78" s="269"/>
      <c r="Q78" s="269"/>
      <c r="R78" s="269"/>
      <c r="S78" s="269"/>
      <c r="T78" s="269"/>
      <c r="U78" s="269"/>
      <c r="V78" s="269"/>
      <c r="W78" s="269"/>
      <c r="X78" s="269"/>
      <c r="Y78" s="269"/>
      <c r="Z78" s="269"/>
    </row>
    <row r="79">
      <c r="A79" s="269" t="str">
        <f>IFERROR(__xludf.DUMMYFUNCTION("""COMPUTED_VALUE"""),"Granite Warden")</f>
        <v>Granite Warden</v>
      </c>
      <c r="B79" s="269" t="str">
        <f>IFERROR(__xludf.DUMMYFUNCTION("""COMPUTED_VALUE"""),"Tier 2")</f>
        <v>Tier 2</v>
      </c>
      <c r="C79" s="269"/>
      <c r="D79" s="269"/>
      <c r="E79" s="269"/>
      <c r="F79" s="269"/>
      <c r="G79" s="269"/>
      <c r="H79" s="269"/>
      <c r="I79" s="269"/>
      <c r="J79" s="269"/>
      <c r="K79" s="269"/>
      <c r="L79" s="269"/>
      <c r="M79" s="269"/>
      <c r="N79" s="269"/>
      <c r="O79" s="269"/>
      <c r="P79" s="269"/>
      <c r="Q79" s="269"/>
      <c r="R79" s="269"/>
      <c r="S79" s="269"/>
      <c r="T79" s="269"/>
      <c r="U79" s="269"/>
      <c r="V79" s="269"/>
      <c r="W79" s="269"/>
      <c r="X79" s="269"/>
      <c r="Y79" s="269"/>
      <c r="Z79" s="269"/>
    </row>
    <row r="80">
      <c r="A80" s="269" t="str">
        <f>IFERROR(__xludf.DUMMYFUNCTION("""COMPUTED_VALUE"""),"Gravitect")</f>
        <v>Gravitect</v>
      </c>
      <c r="B80" s="269" t="str">
        <f>IFERROR(__xludf.DUMMYFUNCTION("""COMPUTED_VALUE"""),"Tier 3")</f>
        <v>Tier 3</v>
      </c>
      <c r="C80" s="269"/>
      <c r="D80" s="269"/>
      <c r="E80" s="269"/>
      <c r="F80" s="269"/>
      <c r="G80" s="269"/>
      <c r="H80" s="269"/>
      <c r="I80" s="269"/>
      <c r="J80" s="269"/>
      <c r="K80" s="269"/>
      <c r="L80" s="269"/>
      <c r="M80" s="269"/>
      <c r="N80" s="269"/>
      <c r="O80" s="269"/>
      <c r="P80" s="269"/>
      <c r="Q80" s="269"/>
      <c r="R80" s="269"/>
      <c r="S80" s="269"/>
      <c r="T80" s="269"/>
      <c r="U80" s="269"/>
      <c r="V80" s="269"/>
      <c r="W80" s="269"/>
      <c r="X80" s="269"/>
      <c r="Y80" s="269"/>
      <c r="Z80" s="269"/>
    </row>
    <row r="81">
      <c r="A81" s="269" t="str">
        <f>IFERROR(__xludf.DUMMYFUNCTION("""COMPUTED_VALUE"""),"Graviturge")</f>
        <v>Graviturge</v>
      </c>
      <c r="B81" s="269" t="str">
        <f>IFERROR(__xludf.DUMMYFUNCTION("""COMPUTED_VALUE"""),"Tier 3")</f>
        <v>Tier 3</v>
      </c>
      <c r="C81" s="269"/>
      <c r="D81" s="269"/>
      <c r="E81" s="269"/>
      <c r="F81" s="269"/>
      <c r="G81" s="269"/>
      <c r="H81" s="269"/>
      <c r="I81" s="269"/>
      <c r="J81" s="269"/>
      <c r="K81" s="269"/>
      <c r="L81" s="269"/>
      <c r="M81" s="269"/>
      <c r="N81" s="269"/>
      <c r="O81" s="269"/>
      <c r="P81" s="269"/>
      <c r="Q81" s="269"/>
      <c r="R81" s="269"/>
      <c r="S81" s="269"/>
      <c r="T81" s="269"/>
      <c r="U81" s="269"/>
      <c r="V81" s="269"/>
      <c r="W81" s="269"/>
      <c r="X81" s="269"/>
      <c r="Y81" s="269"/>
      <c r="Z81" s="269"/>
    </row>
    <row r="82">
      <c r="A82" s="269" t="str">
        <f>IFERROR(__xludf.DUMMYFUNCTION("""COMPUTED_VALUE"""),"Great Berserker")</f>
        <v>Great Berserker</v>
      </c>
      <c r="B82" s="269" t="str">
        <f>IFERROR(__xludf.DUMMYFUNCTION("""COMPUTED_VALUE"""),"Tier 3")</f>
        <v>Tier 3</v>
      </c>
      <c r="C82" s="269"/>
      <c r="D82" s="269"/>
      <c r="E82" s="269"/>
      <c r="F82" s="269"/>
      <c r="G82" s="269"/>
      <c r="H82" s="269"/>
      <c r="I82" s="269"/>
      <c r="J82" s="269"/>
      <c r="K82" s="269"/>
      <c r="L82" s="269"/>
      <c r="M82" s="269"/>
      <c r="N82" s="269"/>
      <c r="O82" s="269"/>
      <c r="P82" s="269"/>
      <c r="Q82" s="269"/>
      <c r="R82" s="269"/>
      <c r="S82" s="269"/>
      <c r="T82" s="269"/>
      <c r="U82" s="269"/>
      <c r="V82" s="269"/>
      <c r="W82" s="269"/>
      <c r="X82" s="269"/>
      <c r="Y82" s="269"/>
      <c r="Z82" s="269"/>
    </row>
    <row r="83">
      <c r="A83" s="269" t="str">
        <f>IFERROR(__xludf.DUMMYFUNCTION("""COMPUTED_VALUE"""),"Great Knight")</f>
        <v>Great Knight</v>
      </c>
      <c r="B83" s="269" t="str">
        <f>IFERROR(__xludf.DUMMYFUNCTION("""COMPUTED_VALUE"""),"Tier 2")</f>
        <v>Tier 2</v>
      </c>
      <c r="C83" s="269"/>
      <c r="D83" s="269"/>
      <c r="E83" s="269"/>
      <c r="F83" s="269"/>
      <c r="G83" s="269"/>
      <c r="H83" s="269"/>
      <c r="I83" s="269"/>
      <c r="J83" s="269"/>
      <c r="K83" s="269"/>
      <c r="L83" s="269"/>
      <c r="M83" s="269"/>
      <c r="N83" s="269"/>
      <c r="O83" s="269"/>
      <c r="P83" s="269"/>
      <c r="Q83" s="269"/>
      <c r="R83" s="269"/>
      <c r="S83" s="269"/>
      <c r="T83" s="269"/>
      <c r="U83" s="269"/>
      <c r="V83" s="269"/>
      <c r="W83" s="269"/>
      <c r="X83" s="269"/>
      <c r="Y83" s="269"/>
      <c r="Z83" s="269"/>
    </row>
    <row r="84">
      <c r="A84" s="269" t="str">
        <f>IFERROR(__xludf.DUMMYFUNCTION("""COMPUTED_VALUE"""),"Guardian")</f>
        <v>Guardian</v>
      </c>
      <c r="B84" s="269" t="str">
        <f>IFERROR(__xludf.DUMMYFUNCTION("""COMPUTED_VALUE"""),"Tier 2")</f>
        <v>Tier 2</v>
      </c>
      <c r="C84" s="269"/>
      <c r="D84" s="269"/>
      <c r="E84" s="269"/>
      <c r="F84" s="269"/>
      <c r="G84" s="269"/>
      <c r="H84" s="269"/>
      <c r="I84" s="269"/>
      <c r="J84" s="269"/>
      <c r="K84" s="269"/>
      <c r="L84" s="269"/>
      <c r="M84" s="269"/>
      <c r="N84" s="269"/>
      <c r="O84" s="269"/>
      <c r="P84" s="269"/>
      <c r="Q84" s="269"/>
      <c r="R84" s="269"/>
      <c r="S84" s="269"/>
      <c r="T84" s="269"/>
      <c r="U84" s="269"/>
      <c r="V84" s="269"/>
      <c r="W84" s="269"/>
      <c r="X84" s="269"/>
      <c r="Y84" s="269"/>
      <c r="Z84" s="269"/>
    </row>
    <row r="85">
      <c r="A85" s="269" t="str">
        <f>IFERROR(__xludf.DUMMYFUNCTION("""COMPUTED_VALUE"""),"Gun Paladin")</f>
        <v>Gun Paladin</v>
      </c>
      <c r="B85" s="269" t="str">
        <f>IFERROR(__xludf.DUMMYFUNCTION("""COMPUTED_VALUE"""),"Tier 2")</f>
        <v>Tier 2</v>
      </c>
      <c r="C85" s="269"/>
      <c r="D85" s="269"/>
      <c r="E85" s="269"/>
      <c r="F85" s="269"/>
      <c r="G85" s="269"/>
      <c r="H85" s="269"/>
      <c r="I85" s="269"/>
      <c r="J85" s="269"/>
      <c r="K85" s="269"/>
      <c r="L85" s="269"/>
      <c r="M85" s="269"/>
      <c r="N85" s="269"/>
      <c r="O85" s="269"/>
      <c r="P85" s="269"/>
      <c r="Q85" s="269"/>
      <c r="R85" s="269"/>
      <c r="S85" s="269"/>
      <c r="T85" s="269"/>
      <c r="U85" s="269"/>
      <c r="V85" s="269"/>
      <c r="W85" s="269"/>
      <c r="X85" s="269"/>
      <c r="Y85" s="269"/>
      <c r="Z85" s="269"/>
    </row>
    <row r="86">
      <c r="A86" s="269" t="str">
        <f>IFERROR(__xludf.DUMMYFUNCTION("""COMPUTED_VALUE"""),"Gunfu")</f>
        <v>Gunfu</v>
      </c>
      <c r="B86" s="269" t="str">
        <f>IFERROR(__xludf.DUMMYFUNCTION("""COMPUTED_VALUE"""),"Tier 3")</f>
        <v>Tier 3</v>
      </c>
      <c r="C86" s="269"/>
      <c r="D86" s="269"/>
      <c r="E86" s="269"/>
      <c r="F86" s="269"/>
      <c r="G86" s="269"/>
      <c r="H86" s="269"/>
      <c r="I86" s="269"/>
      <c r="J86" s="269"/>
      <c r="K86" s="269"/>
      <c r="L86" s="269"/>
      <c r="M86" s="269"/>
      <c r="N86" s="269"/>
      <c r="O86" s="269"/>
      <c r="P86" s="269"/>
      <c r="Q86" s="269"/>
      <c r="R86" s="269"/>
      <c r="S86" s="269"/>
      <c r="T86" s="269"/>
      <c r="U86" s="269"/>
      <c r="V86" s="269"/>
      <c r="W86" s="269"/>
      <c r="X86" s="269"/>
      <c r="Y86" s="269"/>
      <c r="Z86" s="269"/>
    </row>
    <row r="87">
      <c r="A87" s="269" t="str">
        <f>IFERROR(__xludf.DUMMYFUNCTION("""COMPUTED_VALUE"""),"Gunslinger")</f>
        <v>Gunslinger</v>
      </c>
      <c r="B87" s="269" t="str">
        <f>IFERROR(__xludf.DUMMYFUNCTION("""COMPUTED_VALUE"""),"Tier 2")</f>
        <v>Tier 2</v>
      </c>
      <c r="C87" s="269"/>
      <c r="D87" s="269"/>
      <c r="E87" s="269"/>
      <c r="F87" s="269"/>
      <c r="G87" s="269"/>
      <c r="H87" s="269"/>
      <c r="I87" s="269"/>
      <c r="J87" s="269"/>
      <c r="K87" s="269"/>
      <c r="L87" s="269"/>
      <c r="M87" s="269"/>
      <c r="N87" s="269"/>
      <c r="O87" s="269"/>
      <c r="P87" s="269"/>
      <c r="Q87" s="269"/>
      <c r="R87" s="269"/>
      <c r="S87" s="269"/>
      <c r="T87" s="269"/>
      <c r="U87" s="269"/>
      <c r="V87" s="269"/>
      <c r="W87" s="269"/>
      <c r="X87" s="269"/>
      <c r="Y87" s="269"/>
      <c r="Z87" s="269"/>
    </row>
    <row r="88">
      <c r="A88" s="269" t="str">
        <f>IFERROR(__xludf.DUMMYFUNCTION("""COMPUTED_VALUE"""),"Harrier")</f>
        <v>Harrier</v>
      </c>
      <c r="B88" s="269" t="str">
        <f>IFERROR(__xludf.DUMMYFUNCTION("""COMPUTED_VALUE"""),"Tier 2")</f>
        <v>Tier 2</v>
      </c>
      <c r="C88" s="269"/>
      <c r="D88" s="269"/>
      <c r="E88" s="269"/>
      <c r="F88" s="269"/>
      <c r="G88" s="269"/>
      <c r="H88" s="269"/>
      <c r="I88" s="269"/>
      <c r="J88" s="269"/>
      <c r="K88" s="269"/>
      <c r="L88" s="269"/>
      <c r="M88" s="269"/>
      <c r="N88" s="269"/>
      <c r="O88" s="269"/>
      <c r="P88" s="269"/>
      <c r="Q88" s="269"/>
      <c r="R88" s="269"/>
      <c r="S88" s="269"/>
      <c r="T88" s="269"/>
      <c r="U88" s="269"/>
      <c r="V88" s="269"/>
      <c r="W88" s="269"/>
      <c r="X88" s="269"/>
      <c r="Y88" s="269"/>
      <c r="Z88" s="269"/>
    </row>
    <row r="89">
      <c r="A89" s="269" t="str">
        <f>IFERROR(__xludf.DUMMYFUNCTION("""COMPUTED_VALUE"""),"High Priest")</f>
        <v>High Priest</v>
      </c>
      <c r="B89" s="269" t="str">
        <f>IFERROR(__xludf.DUMMYFUNCTION("""COMPUTED_VALUE"""),"Tier 3")</f>
        <v>Tier 3</v>
      </c>
      <c r="C89" s="269"/>
      <c r="D89" s="269"/>
      <c r="E89" s="269"/>
      <c r="F89" s="269"/>
      <c r="G89" s="269"/>
      <c r="H89" s="269"/>
      <c r="I89" s="269"/>
      <c r="J89" s="269"/>
      <c r="K89" s="269"/>
      <c r="L89" s="269"/>
      <c r="M89" s="269"/>
      <c r="N89" s="269"/>
      <c r="O89" s="269"/>
      <c r="P89" s="269"/>
      <c r="Q89" s="269"/>
      <c r="R89" s="269"/>
      <c r="S89" s="269"/>
      <c r="T89" s="269"/>
      <c r="U89" s="269"/>
      <c r="V89" s="269"/>
      <c r="W89" s="269"/>
      <c r="X89" s="269"/>
      <c r="Y89" s="269"/>
      <c r="Z89" s="269"/>
    </row>
    <row r="90">
      <c r="A90" s="269" t="str">
        <f>IFERROR(__xludf.DUMMYFUNCTION("""COMPUTED_VALUE"""),"Highlander")</f>
        <v>Highlander</v>
      </c>
      <c r="B90" s="269" t="str">
        <f>IFERROR(__xludf.DUMMYFUNCTION("""COMPUTED_VALUE"""),"Tier 2")</f>
        <v>Tier 2</v>
      </c>
      <c r="C90" s="269"/>
      <c r="D90" s="269"/>
      <c r="E90" s="269"/>
      <c r="F90" s="269"/>
      <c r="G90" s="269"/>
      <c r="H90" s="269"/>
      <c r="I90" s="269"/>
      <c r="J90" s="269"/>
      <c r="K90" s="269"/>
      <c r="L90" s="269"/>
      <c r="M90" s="269"/>
      <c r="N90" s="269"/>
      <c r="O90" s="269"/>
      <c r="P90" s="269"/>
      <c r="Q90" s="269"/>
      <c r="R90" s="269"/>
      <c r="S90" s="269"/>
      <c r="T90" s="269"/>
      <c r="U90" s="269"/>
      <c r="V90" s="269"/>
      <c r="W90" s="269"/>
      <c r="X90" s="269"/>
      <c r="Y90" s="269"/>
      <c r="Z90" s="269"/>
    </row>
    <row r="91">
      <c r="A91" s="269" t="str">
        <f>IFERROR(__xludf.DUMMYFUNCTION("""COMPUTED_VALUE"""),"Hoarfrost")</f>
        <v>Hoarfrost</v>
      </c>
      <c r="B91" s="269" t="str">
        <f>IFERROR(__xludf.DUMMYFUNCTION("""COMPUTED_VALUE"""),"Tier 3")</f>
        <v>Tier 3</v>
      </c>
      <c r="C91" s="269"/>
      <c r="D91" s="269"/>
      <c r="E91" s="269"/>
      <c r="F91" s="269"/>
      <c r="G91" s="269"/>
      <c r="H91" s="269"/>
      <c r="I91" s="269"/>
      <c r="J91" s="269"/>
      <c r="K91" s="269"/>
      <c r="L91" s="269"/>
      <c r="M91" s="269"/>
      <c r="N91" s="269"/>
      <c r="O91" s="269"/>
      <c r="P91" s="269"/>
      <c r="Q91" s="269"/>
      <c r="R91" s="269"/>
      <c r="S91" s="269"/>
      <c r="T91" s="269"/>
      <c r="U91" s="269"/>
      <c r="V91" s="269"/>
      <c r="W91" s="269"/>
      <c r="X91" s="269"/>
      <c r="Y91" s="269"/>
      <c r="Z91" s="269"/>
    </row>
    <row r="92">
      <c r="A92" s="269" t="str">
        <f>IFERROR(__xludf.DUMMYFUNCTION("""COMPUTED_VALUE"""),"Hussar")</f>
        <v>Hussar</v>
      </c>
      <c r="B92" s="269" t="str">
        <f>IFERROR(__xludf.DUMMYFUNCTION("""COMPUTED_VALUE"""),"Tier 2")</f>
        <v>Tier 2</v>
      </c>
      <c r="C92" s="269"/>
      <c r="D92" s="269"/>
      <c r="E92" s="269"/>
      <c r="F92" s="269"/>
      <c r="G92" s="269"/>
      <c r="H92" s="269"/>
      <c r="I92" s="269"/>
      <c r="J92" s="269"/>
      <c r="K92" s="269"/>
      <c r="L92" s="269"/>
      <c r="M92" s="269"/>
      <c r="N92" s="269"/>
      <c r="O92" s="269"/>
      <c r="P92" s="269"/>
      <c r="Q92" s="269"/>
      <c r="R92" s="269"/>
      <c r="S92" s="269"/>
      <c r="T92" s="269"/>
      <c r="U92" s="269"/>
      <c r="V92" s="269"/>
      <c r="W92" s="269"/>
      <c r="X92" s="269"/>
      <c r="Y92" s="269"/>
      <c r="Z92" s="269"/>
    </row>
    <row r="93">
      <c r="A93" s="269" t="str">
        <f>IFERROR(__xludf.DUMMYFUNCTION("""COMPUTED_VALUE"""),"Hydromancer")</f>
        <v>Hydromancer</v>
      </c>
      <c r="B93" s="269" t="str">
        <f>IFERROR(__xludf.DUMMYFUNCTION("""COMPUTED_VALUE"""),"Tier 2")</f>
        <v>Tier 2</v>
      </c>
      <c r="C93" s="269"/>
      <c r="D93" s="269"/>
      <c r="E93" s="269"/>
      <c r="F93" s="269"/>
      <c r="G93" s="269"/>
      <c r="H93" s="269"/>
      <c r="I93" s="269"/>
      <c r="J93" s="269"/>
      <c r="K93" s="269"/>
      <c r="L93" s="269"/>
      <c r="M93" s="269"/>
      <c r="N93" s="269"/>
      <c r="O93" s="269"/>
      <c r="P93" s="269"/>
      <c r="Q93" s="269"/>
      <c r="R93" s="269"/>
      <c r="S93" s="269"/>
      <c r="T93" s="269"/>
      <c r="U93" s="269"/>
      <c r="V93" s="269"/>
      <c r="W93" s="269"/>
      <c r="X93" s="269"/>
      <c r="Y93" s="269"/>
      <c r="Z93" s="269"/>
    </row>
    <row r="94">
      <c r="A94" s="269" t="str">
        <f>IFERROR(__xludf.DUMMYFUNCTION("""COMPUTED_VALUE"""),"Iai Style")</f>
        <v>Iai Style</v>
      </c>
      <c r="B94" s="269" t="str">
        <f>IFERROR(__xludf.DUMMYFUNCTION("""COMPUTED_VALUE"""),"Tier 2")</f>
        <v>Tier 2</v>
      </c>
      <c r="C94" s="269"/>
      <c r="D94" s="269"/>
      <c r="E94" s="269"/>
      <c r="F94" s="269"/>
      <c r="G94" s="269"/>
      <c r="H94" s="269"/>
      <c r="I94" s="269"/>
      <c r="J94" s="269"/>
      <c r="K94" s="269"/>
      <c r="L94" s="269"/>
      <c r="M94" s="269"/>
      <c r="N94" s="269"/>
      <c r="O94" s="269"/>
      <c r="P94" s="269"/>
      <c r="Q94" s="269"/>
      <c r="R94" s="269"/>
      <c r="S94" s="269"/>
      <c r="T94" s="269"/>
      <c r="U94" s="269"/>
      <c r="V94" s="269"/>
      <c r="W94" s="269"/>
      <c r="X94" s="269"/>
      <c r="Y94" s="269"/>
      <c r="Z94" s="269"/>
    </row>
    <row r="95">
      <c r="A95" s="269" t="str">
        <f>IFERROR(__xludf.DUMMYFUNCTION("""COMPUTED_VALUE"""),"Idol")</f>
        <v>Idol</v>
      </c>
      <c r="B95" s="269" t="str">
        <f>IFERROR(__xludf.DUMMYFUNCTION("""COMPUTED_VALUE"""),"Tier 1")</f>
        <v>Tier 1</v>
      </c>
      <c r="C95" s="269"/>
      <c r="D95" s="269"/>
      <c r="E95" s="269"/>
      <c r="F95" s="269"/>
      <c r="G95" s="269"/>
      <c r="H95" s="269"/>
      <c r="I95" s="269"/>
      <c r="J95" s="269"/>
      <c r="K95" s="269"/>
      <c r="L95" s="269"/>
      <c r="M95" s="269"/>
      <c r="N95" s="269"/>
      <c r="O95" s="269"/>
      <c r="P95" s="269"/>
      <c r="Q95" s="269"/>
      <c r="R95" s="269"/>
      <c r="S95" s="269"/>
      <c r="T95" s="269"/>
      <c r="U95" s="269"/>
      <c r="V95" s="269"/>
      <c r="W95" s="269"/>
      <c r="X95" s="269"/>
      <c r="Y95" s="269"/>
      <c r="Z95" s="269"/>
    </row>
    <row r="96">
      <c r="A96" s="269" t="str">
        <f>IFERROR(__xludf.DUMMYFUNCTION("""COMPUTED_VALUE"""),"Jewel Idol")</f>
        <v>Jewel Idol</v>
      </c>
      <c r="B96" s="269" t="str">
        <f>IFERROR(__xludf.DUMMYFUNCTION("""COMPUTED_VALUE"""),"Tier 2")</f>
        <v>Tier 2</v>
      </c>
      <c r="C96" s="269"/>
      <c r="D96" s="269"/>
      <c r="E96" s="269"/>
      <c r="F96" s="269"/>
      <c r="G96" s="269"/>
      <c r="H96" s="269"/>
      <c r="I96" s="269"/>
      <c r="J96" s="269"/>
      <c r="K96" s="269"/>
      <c r="L96" s="269"/>
      <c r="M96" s="269"/>
      <c r="N96" s="269"/>
      <c r="O96" s="269"/>
      <c r="P96" s="269"/>
      <c r="Q96" s="269"/>
      <c r="R96" s="269"/>
      <c r="S96" s="269"/>
      <c r="T96" s="269"/>
      <c r="U96" s="269"/>
      <c r="V96" s="269"/>
      <c r="W96" s="269"/>
      <c r="X96" s="269"/>
      <c r="Y96" s="269"/>
      <c r="Z96" s="269"/>
    </row>
    <row r="97">
      <c r="A97" s="269" t="str">
        <f>IFERROR(__xludf.DUMMYFUNCTION("""COMPUTED_VALUE"""),"Jonin")</f>
        <v>Jonin</v>
      </c>
      <c r="B97" s="269" t="str">
        <f>IFERROR(__xludf.DUMMYFUNCTION("""COMPUTED_VALUE"""),"Tier 3")</f>
        <v>Tier 3</v>
      </c>
      <c r="C97" s="269"/>
      <c r="D97" s="269"/>
      <c r="E97" s="269"/>
      <c r="F97" s="269"/>
      <c r="G97" s="269"/>
      <c r="H97" s="269"/>
      <c r="I97" s="269"/>
      <c r="J97" s="269"/>
      <c r="K97" s="269"/>
      <c r="L97" s="269"/>
      <c r="M97" s="269"/>
      <c r="N97" s="269"/>
      <c r="O97" s="269"/>
      <c r="P97" s="269"/>
      <c r="Q97" s="269"/>
      <c r="R97" s="269"/>
      <c r="S97" s="269"/>
      <c r="T97" s="269"/>
      <c r="U97" s="269"/>
      <c r="V97" s="269"/>
      <c r="W97" s="269"/>
      <c r="X97" s="269"/>
      <c r="Y97" s="269"/>
      <c r="Z97" s="269"/>
    </row>
    <row r="98">
      <c r="A98" s="269" t="str">
        <f>IFERROR(__xludf.DUMMYFUNCTION("""COMPUTED_VALUE"""),"Knight-Paramount")</f>
        <v>Knight-Paramount</v>
      </c>
      <c r="B98" s="269" t="str">
        <f>IFERROR(__xludf.DUMMYFUNCTION("""COMPUTED_VALUE"""),"Tier 3")</f>
        <v>Tier 3</v>
      </c>
      <c r="C98" s="269"/>
      <c r="D98" s="269"/>
      <c r="E98" s="269"/>
      <c r="F98" s="269"/>
      <c r="G98" s="269"/>
      <c r="H98" s="269"/>
      <c r="I98" s="269"/>
      <c r="J98" s="269"/>
      <c r="K98" s="269"/>
      <c r="L98" s="269"/>
      <c r="M98" s="269"/>
      <c r="N98" s="269"/>
      <c r="O98" s="269"/>
      <c r="P98" s="269"/>
      <c r="Q98" s="269"/>
      <c r="R98" s="269"/>
      <c r="S98" s="269"/>
      <c r="T98" s="269"/>
      <c r="U98" s="269"/>
      <c r="V98" s="269"/>
      <c r="W98" s="269"/>
      <c r="X98" s="269"/>
      <c r="Y98" s="269"/>
      <c r="Z98" s="269"/>
    </row>
    <row r="99">
      <c r="A99" s="269" t="str">
        <f>IFERROR(__xludf.DUMMYFUNCTION("""COMPUTED_VALUE"""),"Lancer")</f>
        <v>Lancer</v>
      </c>
      <c r="B99" s="269" t="str">
        <f>IFERROR(__xludf.DUMMYFUNCTION("""COMPUTED_VALUE"""),"Tier 2")</f>
        <v>Tier 2</v>
      </c>
      <c r="C99" s="269"/>
      <c r="D99" s="269"/>
      <c r="E99" s="269"/>
      <c r="F99" s="269"/>
      <c r="G99" s="269"/>
      <c r="H99" s="269"/>
      <c r="I99" s="269"/>
      <c r="J99" s="269"/>
      <c r="K99" s="269"/>
      <c r="L99" s="269"/>
      <c r="M99" s="269"/>
      <c r="N99" s="269"/>
      <c r="O99" s="269"/>
      <c r="P99" s="269"/>
      <c r="Q99" s="269"/>
      <c r="R99" s="269"/>
      <c r="S99" s="269"/>
      <c r="T99" s="269"/>
      <c r="U99" s="269"/>
      <c r="V99" s="269"/>
      <c r="W99" s="269"/>
      <c r="X99" s="269"/>
      <c r="Y99" s="269"/>
      <c r="Z99" s="269"/>
    </row>
    <row r="100">
      <c r="A100" s="269" t="str">
        <f>IFERROR(__xludf.DUMMYFUNCTION("""COMPUTED_VALUE"""),"Mage")</f>
        <v>Mage</v>
      </c>
      <c r="B100" s="269" t="str">
        <f>IFERROR(__xludf.DUMMYFUNCTION("""COMPUTED_VALUE"""),"Tier 1")</f>
        <v>Tier 1</v>
      </c>
      <c r="C100" s="269"/>
      <c r="D100" s="269"/>
      <c r="E100" s="269"/>
      <c r="F100" s="269"/>
      <c r="G100" s="269"/>
      <c r="H100" s="269"/>
      <c r="I100" s="269"/>
      <c r="J100" s="269"/>
      <c r="K100" s="269"/>
      <c r="L100" s="269"/>
      <c r="M100" s="269"/>
      <c r="N100" s="269"/>
      <c r="O100" s="269"/>
      <c r="P100" s="269"/>
      <c r="Q100" s="269"/>
      <c r="R100" s="269"/>
      <c r="S100" s="269"/>
      <c r="T100" s="269"/>
      <c r="U100" s="269"/>
      <c r="V100" s="269"/>
      <c r="W100" s="269"/>
      <c r="X100" s="269"/>
      <c r="Y100" s="269"/>
      <c r="Z100" s="269"/>
    </row>
    <row r="101">
      <c r="A101" s="269" t="str">
        <f>IFERROR(__xludf.DUMMYFUNCTION("""COMPUTED_VALUE"""),"Mage Knight")</f>
        <v>Mage Knight</v>
      </c>
      <c r="B101" s="269" t="str">
        <f>IFERROR(__xludf.DUMMYFUNCTION("""COMPUTED_VALUE"""),"Tier 2")</f>
        <v>Tier 2</v>
      </c>
      <c r="C101" s="269"/>
      <c r="D101" s="269"/>
      <c r="E101" s="269"/>
      <c r="F101" s="269"/>
      <c r="G101" s="269"/>
      <c r="H101" s="269"/>
      <c r="I101" s="269"/>
      <c r="J101" s="269"/>
      <c r="K101" s="269"/>
      <c r="L101" s="269"/>
      <c r="M101" s="269"/>
      <c r="N101" s="269"/>
      <c r="O101" s="269"/>
      <c r="P101" s="269"/>
      <c r="Q101" s="269"/>
      <c r="R101" s="269"/>
      <c r="S101" s="269"/>
      <c r="T101" s="269"/>
      <c r="U101" s="269"/>
      <c r="V101" s="269"/>
      <c r="W101" s="269"/>
      <c r="X101" s="269"/>
      <c r="Y101" s="269"/>
      <c r="Z101" s="269"/>
    </row>
    <row r="102">
      <c r="A102" s="269" t="str">
        <f>IFERROR(__xludf.DUMMYFUNCTION("""COMPUTED_VALUE"""),"Magitechnician")</f>
        <v>Magitechnician</v>
      </c>
      <c r="B102" s="269" t="str">
        <f>IFERROR(__xludf.DUMMYFUNCTION("""COMPUTED_VALUE"""),"Tier 2")</f>
        <v>Tier 2</v>
      </c>
      <c r="C102" s="269"/>
      <c r="D102" s="269"/>
      <c r="E102" s="269"/>
      <c r="F102" s="269"/>
      <c r="G102" s="269"/>
      <c r="H102" s="269"/>
      <c r="I102" s="269"/>
      <c r="J102" s="269"/>
      <c r="K102" s="269"/>
      <c r="L102" s="269"/>
      <c r="M102" s="269"/>
      <c r="N102" s="269"/>
      <c r="O102" s="269"/>
      <c r="P102" s="269"/>
      <c r="Q102" s="269"/>
      <c r="R102" s="269"/>
      <c r="S102" s="269"/>
      <c r="T102" s="269"/>
      <c r="U102" s="269"/>
      <c r="V102" s="269"/>
      <c r="W102" s="269"/>
      <c r="X102" s="269"/>
      <c r="Y102" s="269"/>
      <c r="Z102" s="269"/>
    </row>
    <row r="103">
      <c r="A103" s="269" t="str">
        <f>IFERROR(__xludf.DUMMYFUNCTION("""COMPUTED_VALUE"""),"Maid")</f>
        <v>Maid</v>
      </c>
      <c r="B103" s="269" t="str">
        <f>IFERROR(__xludf.DUMMYFUNCTION("""COMPUTED_VALUE"""),"Tier 1")</f>
        <v>Tier 1</v>
      </c>
      <c r="C103" s="269"/>
      <c r="D103" s="269"/>
      <c r="E103" s="269"/>
      <c r="F103" s="269"/>
      <c r="G103" s="269"/>
      <c r="H103" s="269"/>
      <c r="I103" s="269"/>
      <c r="J103" s="269"/>
      <c r="K103" s="269"/>
      <c r="L103" s="269"/>
      <c r="M103" s="269"/>
      <c r="N103" s="269"/>
      <c r="O103" s="269"/>
      <c r="P103" s="269"/>
      <c r="Q103" s="269"/>
      <c r="R103" s="269"/>
      <c r="S103" s="269"/>
      <c r="T103" s="269"/>
      <c r="U103" s="269"/>
      <c r="V103" s="269"/>
      <c r="W103" s="269"/>
      <c r="X103" s="269"/>
      <c r="Y103" s="269"/>
      <c r="Z103" s="269"/>
    </row>
    <row r="104">
      <c r="A104" s="269" t="str">
        <f>IFERROR(__xludf.DUMMYFUNCTION("""COMPUTED_VALUE"""),"Marksman")</f>
        <v>Marksman</v>
      </c>
      <c r="B104" s="269" t="str">
        <f>IFERROR(__xludf.DUMMYFUNCTION("""COMPUTED_VALUE"""),"Tier 2")</f>
        <v>Tier 2</v>
      </c>
      <c r="C104" s="269"/>
      <c r="D104" s="269"/>
      <c r="E104" s="269"/>
      <c r="F104" s="269"/>
      <c r="G104" s="269"/>
      <c r="H104" s="269"/>
      <c r="I104" s="269"/>
      <c r="J104" s="269"/>
      <c r="K104" s="269"/>
      <c r="L104" s="269"/>
      <c r="M104" s="269"/>
      <c r="N104" s="269"/>
      <c r="O104" s="269"/>
      <c r="P104" s="269"/>
      <c r="Q104" s="269"/>
      <c r="R104" s="269"/>
      <c r="S104" s="269"/>
      <c r="T104" s="269"/>
      <c r="U104" s="269"/>
      <c r="V104" s="269"/>
      <c r="W104" s="269"/>
      <c r="X104" s="269"/>
      <c r="Y104" s="269"/>
      <c r="Z104" s="269"/>
    </row>
    <row r="105">
      <c r="A105" s="269" t="str">
        <f>IFERROR(__xludf.DUMMYFUNCTION("""COMPUTED_VALUE"""),"Martial Artist")</f>
        <v>Martial Artist</v>
      </c>
      <c r="B105" s="269" t="str">
        <f>IFERROR(__xludf.DUMMYFUNCTION("""COMPUTED_VALUE"""),"Tier 1")</f>
        <v>Tier 1</v>
      </c>
      <c r="C105" s="269"/>
      <c r="D105" s="269"/>
      <c r="E105" s="269"/>
      <c r="F105" s="269"/>
      <c r="G105" s="269"/>
      <c r="H105" s="269"/>
      <c r="I105" s="269"/>
      <c r="J105" s="269"/>
      <c r="K105" s="269"/>
      <c r="L105" s="269"/>
      <c r="M105" s="269"/>
      <c r="N105" s="269"/>
      <c r="O105" s="269"/>
      <c r="P105" s="269"/>
      <c r="Q105" s="269"/>
      <c r="R105" s="269"/>
      <c r="S105" s="269"/>
      <c r="T105" s="269"/>
      <c r="U105" s="269"/>
      <c r="V105" s="269"/>
      <c r="W105" s="269"/>
      <c r="X105" s="269"/>
      <c r="Y105" s="269"/>
      <c r="Z105" s="269"/>
    </row>
    <row r="106">
      <c r="A106" s="269" t="str">
        <f>IFERROR(__xludf.DUMMYFUNCTION("""COMPUTED_VALUE"""),"Master Armorer")</f>
        <v>Master Armorer</v>
      </c>
      <c r="B106" s="269" t="str">
        <f>IFERROR(__xludf.DUMMYFUNCTION("""COMPUTED_VALUE"""),"Tier 2")</f>
        <v>Tier 2</v>
      </c>
      <c r="C106" s="269"/>
      <c r="D106" s="269"/>
      <c r="E106" s="269"/>
      <c r="F106" s="269"/>
      <c r="G106" s="269"/>
      <c r="H106" s="269"/>
      <c r="I106" s="269"/>
      <c r="J106" s="269"/>
      <c r="K106" s="269"/>
      <c r="L106" s="269"/>
      <c r="M106" s="269"/>
      <c r="N106" s="269"/>
      <c r="O106" s="269"/>
      <c r="P106" s="269"/>
      <c r="Q106" s="269"/>
      <c r="R106" s="269"/>
      <c r="S106" s="269"/>
      <c r="T106" s="269"/>
      <c r="U106" s="269"/>
      <c r="V106" s="269"/>
      <c r="W106" s="269"/>
      <c r="X106" s="269"/>
      <c r="Y106" s="269"/>
      <c r="Z106" s="269"/>
    </row>
    <row r="107">
      <c r="A107" s="269" t="str">
        <f>IFERROR(__xludf.DUMMYFUNCTION("""COMPUTED_VALUE"""),"Medic")</f>
        <v>Medic</v>
      </c>
      <c r="B107" s="269" t="str">
        <f>IFERROR(__xludf.DUMMYFUNCTION("""COMPUTED_VALUE"""),"Tier 1")</f>
        <v>Tier 1</v>
      </c>
      <c r="C107" s="269"/>
      <c r="D107" s="269"/>
      <c r="E107" s="269"/>
      <c r="F107" s="269"/>
      <c r="G107" s="269"/>
      <c r="H107" s="269"/>
      <c r="I107" s="269"/>
      <c r="J107" s="269"/>
      <c r="K107" s="269"/>
      <c r="L107" s="269"/>
      <c r="M107" s="269"/>
      <c r="N107" s="269"/>
      <c r="O107" s="269"/>
      <c r="P107" s="269"/>
      <c r="Q107" s="269"/>
      <c r="R107" s="269"/>
      <c r="S107" s="269"/>
      <c r="T107" s="269"/>
      <c r="U107" s="269"/>
      <c r="V107" s="269"/>
      <c r="W107" s="269"/>
      <c r="X107" s="269"/>
      <c r="Y107" s="269"/>
      <c r="Z107" s="269"/>
    </row>
    <row r="108">
      <c r="A108" s="269" t="str">
        <f>IFERROR(__xludf.DUMMYFUNCTION("""COMPUTED_VALUE"""),"Merchant")</f>
        <v>Merchant</v>
      </c>
      <c r="B108" s="269" t="str">
        <f>IFERROR(__xludf.DUMMYFUNCTION("""COMPUTED_VALUE"""),"Tier 1")</f>
        <v>Tier 1</v>
      </c>
      <c r="C108" s="269"/>
      <c r="D108" s="269"/>
      <c r="E108" s="269"/>
      <c r="F108" s="269"/>
      <c r="G108" s="269"/>
      <c r="H108" s="269"/>
      <c r="I108" s="269"/>
      <c r="J108" s="269"/>
      <c r="K108" s="269"/>
      <c r="L108" s="269"/>
      <c r="M108" s="269"/>
      <c r="N108" s="269"/>
      <c r="O108" s="269"/>
      <c r="P108" s="269"/>
      <c r="Q108" s="269"/>
      <c r="R108" s="269"/>
      <c r="S108" s="269"/>
      <c r="T108" s="269"/>
      <c r="U108" s="269"/>
      <c r="V108" s="269"/>
      <c r="W108" s="269"/>
      <c r="X108" s="269"/>
      <c r="Y108" s="269"/>
      <c r="Z108" s="269"/>
    </row>
    <row r="109">
      <c r="A109" s="269" t="str">
        <f>IFERROR(__xludf.DUMMYFUNCTION("""COMPUTED_VALUE"""),"Mime")</f>
        <v>Mime</v>
      </c>
      <c r="B109" s="269" t="str">
        <f>IFERROR(__xludf.DUMMYFUNCTION("""COMPUTED_VALUE"""),"Tier 1")</f>
        <v>Tier 1</v>
      </c>
      <c r="C109" s="269"/>
      <c r="D109" s="269"/>
      <c r="E109" s="269"/>
      <c r="F109" s="269"/>
      <c r="G109" s="269"/>
      <c r="H109" s="269"/>
      <c r="I109" s="269"/>
      <c r="J109" s="269"/>
      <c r="K109" s="269"/>
      <c r="L109" s="269"/>
      <c r="M109" s="269"/>
      <c r="N109" s="269"/>
      <c r="O109" s="269"/>
      <c r="P109" s="269"/>
      <c r="Q109" s="269"/>
      <c r="R109" s="269"/>
      <c r="S109" s="269"/>
      <c r="T109" s="269"/>
      <c r="U109" s="269"/>
      <c r="V109" s="269"/>
      <c r="W109" s="269"/>
      <c r="X109" s="269"/>
      <c r="Y109" s="269"/>
      <c r="Z109" s="269"/>
    </row>
    <row r="110">
      <c r="A110" s="269" t="str">
        <f>IFERROR(__xludf.DUMMYFUNCTION("""COMPUTED_VALUE"""),"Miner")</f>
        <v>Miner</v>
      </c>
      <c r="B110" s="269" t="str">
        <f>IFERROR(__xludf.DUMMYFUNCTION("""COMPUTED_VALUE"""),"Tier 1")</f>
        <v>Tier 1</v>
      </c>
      <c r="C110" s="269"/>
      <c r="D110" s="269"/>
      <c r="E110" s="269"/>
      <c r="F110" s="269"/>
      <c r="G110" s="269"/>
      <c r="H110" s="269"/>
      <c r="I110" s="269"/>
      <c r="J110" s="269"/>
      <c r="K110" s="269"/>
      <c r="L110" s="269"/>
      <c r="M110" s="269"/>
      <c r="N110" s="269"/>
      <c r="O110" s="269"/>
      <c r="P110" s="269"/>
      <c r="Q110" s="269"/>
      <c r="R110" s="269"/>
      <c r="S110" s="269"/>
      <c r="T110" s="269"/>
      <c r="U110" s="269"/>
      <c r="V110" s="269"/>
      <c r="W110" s="269"/>
      <c r="X110" s="269"/>
      <c r="Y110" s="269"/>
      <c r="Z110" s="269"/>
    </row>
    <row r="111">
      <c r="A111" s="269" t="str">
        <f>IFERROR(__xludf.DUMMYFUNCTION("""COMPUTED_VALUE"""),"Mist Veil Elegy")</f>
        <v>Mist Veil Elegy</v>
      </c>
      <c r="B111" s="269" t="str">
        <f>IFERROR(__xludf.DUMMYFUNCTION("""COMPUTED_VALUE"""),"Tier 2")</f>
        <v>Tier 2</v>
      </c>
      <c r="C111" s="269"/>
      <c r="D111" s="269"/>
      <c r="E111" s="269"/>
      <c r="F111" s="269"/>
      <c r="G111" s="269"/>
      <c r="H111" s="269"/>
      <c r="I111" s="269"/>
      <c r="J111" s="269"/>
      <c r="K111" s="269"/>
      <c r="L111" s="269"/>
      <c r="M111" s="269"/>
      <c r="N111" s="269"/>
      <c r="O111" s="269"/>
      <c r="P111" s="269"/>
      <c r="Q111" s="269"/>
      <c r="R111" s="269"/>
      <c r="S111" s="269"/>
      <c r="T111" s="269"/>
      <c r="U111" s="269"/>
      <c r="V111" s="269"/>
      <c r="W111" s="269"/>
      <c r="X111" s="269"/>
      <c r="Y111" s="269"/>
      <c r="Z111" s="269"/>
    </row>
    <row r="112">
      <c r="A112" s="269" t="str">
        <f>IFERROR(__xludf.DUMMYFUNCTION("""COMPUTED_VALUE"""),"Mogul")</f>
        <v>Mogul</v>
      </c>
      <c r="B112" s="269" t="str">
        <f>IFERROR(__xludf.DUMMYFUNCTION("""COMPUTED_VALUE"""),"Tier 2")</f>
        <v>Tier 2</v>
      </c>
      <c r="C112" s="269"/>
      <c r="D112" s="269"/>
      <c r="E112" s="269"/>
      <c r="F112" s="269"/>
      <c r="G112" s="269"/>
      <c r="H112" s="269"/>
      <c r="I112" s="269"/>
      <c r="J112" s="269"/>
      <c r="K112" s="269"/>
      <c r="L112" s="269"/>
      <c r="M112" s="269"/>
      <c r="N112" s="269"/>
      <c r="O112" s="269"/>
      <c r="P112" s="269"/>
      <c r="Q112" s="269"/>
      <c r="R112" s="269"/>
      <c r="S112" s="269"/>
      <c r="T112" s="269"/>
      <c r="U112" s="269"/>
      <c r="V112" s="269"/>
      <c r="W112" s="269"/>
      <c r="X112" s="269"/>
      <c r="Y112" s="269"/>
      <c r="Z112" s="269"/>
    </row>
    <row r="113">
      <c r="A113" s="269" t="str">
        <f>IFERROR(__xludf.DUMMYFUNCTION("""COMPUTED_VALUE"""),"Monk")</f>
        <v>Monk</v>
      </c>
      <c r="B113" s="269" t="str">
        <f>IFERROR(__xludf.DUMMYFUNCTION("""COMPUTED_VALUE"""),"Tier 2")</f>
        <v>Tier 2</v>
      </c>
      <c r="C113" s="269"/>
      <c r="D113" s="269"/>
      <c r="E113" s="269"/>
      <c r="F113" s="269"/>
      <c r="G113" s="269"/>
      <c r="H113" s="269"/>
      <c r="I113" s="269"/>
      <c r="J113" s="269"/>
      <c r="K113" s="269"/>
      <c r="L113" s="269"/>
      <c r="M113" s="269"/>
      <c r="N113" s="269"/>
      <c r="O113" s="269"/>
      <c r="P113" s="269"/>
      <c r="Q113" s="269"/>
      <c r="R113" s="269"/>
      <c r="S113" s="269"/>
      <c r="T113" s="269"/>
      <c r="U113" s="269"/>
      <c r="V113" s="269"/>
      <c r="W113" s="269"/>
      <c r="X113" s="269"/>
      <c r="Y113" s="269"/>
      <c r="Z113" s="269"/>
    </row>
    <row r="114">
      <c r="A114" s="269" t="str">
        <f>IFERROR(__xludf.DUMMYFUNCTION("""COMPUTED_VALUE"""),"Mycomancer")</f>
        <v>Mycomancer</v>
      </c>
      <c r="B114" s="269" t="str">
        <f>IFERROR(__xludf.DUMMYFUNCTION("""COMPUTED_VALUE"""),"Tier 2")</f>
        <v>Tier 2</v>
      </c>
      <c r="C114" s="269"/>
      <c r="D114" s="269"/>
      <c r="E114" s="269"/>
      <c r="F114" s="269"/>
      <c r="G114" s="269"/>
      <c r="H114" s="269"/>
      <c r="I114" s="269"/>
      <c r="J114" s="269"/>
      <c r="K114" s="269"/>
      <c r="L114" s="269"/>
      <c r="M114" s="269"/>
      <c r="N114" s="269"/>
      <c r="O114" s="269"/>
      <c r="P114" s="269"/>
      <c r="Q114" s="269"/>
      <c r="R114" s="269"/>
      <c r="S114" s="269"/>
      <c r="T114" s="269"/>
      <c r="U114" s="269"/>
      <c r="V114" s="269"/>
      <c r="W114" s="269"/>
      <c r="X114" s="269"/>
      <c r="Y114" s="269"/>
      <c r="Z114" s="269"/>
    </row>
    <row r="115">
      <c r="A115" s="269" t="str">
        <f>IFERROR(__xludf.DUMMYFUNCTION("""COMPUTED_VALUE"""),"Mystic Eyes Of Destruction")</f>
        <v>Mystic Eyes Of Destruction</v>
      </c>
      <c r="B115" s="269" t="str">
        <f>IFERROR(__xludf.DUMMYFUNCTION("""COMPUTED_VALUE"""),"Tier 3")</f>
        <v>Tier 3</v>
      </c>
      <c r="C115" s="269"/>
      <c r="D115" s="269"/>
      <c r="E115" s="269"/>
      <c r="F115" s="269"/>
      <c r="G115" s="269"/>
      <c r="H115" s="269"/>
      <c r="I115" s="269"/>
      <c r="J115" s="269"/>
      <c r="K115" s="269"/>
      <c r="L115" s="269"/>
      <c r="M115" s="269"/>
      <c r="N115" s="269"/>
      <c r="O115" s="269"/>
      <c r="P115" s="269"/>
      <c r="Q115" s="269"/>
      <c r="R115" s="269"/>
      <c r="S115" s="269"/>
      <c r="T115" s="269"/>
      <c r="U115" s="269"/>
      <c r="V115" s="269"/>
      <c r="W115" s="269"/>
      <c r="X115" s="269"/>
      <c r="Y115" s="269"/>
      <c r="Z115" s="269"/>
    </row>
    <row r="116">
      <c r="A116" s="269" t="str">
        <f>IFERROR(__xludf.DUMMYFUNCTION("""COMPUTED_VALUE"""),"Mystic Eyes Of Domination")</f>
        <v>Mystic Eyes Of Domination</v>
      </c>
      <c r="B116" s="269" t="str">
        <f>IFERROR(__xludf.DUMMYFUNCTION("""COMPUTED_VALUE"""),"Tier 3")</f>
        <v>Tier 3</v>
      </c>
      <c r="C116" s="269"/>
      <c r="D116" s="269"/>
      <c r="E116" s="269"/>
      <c r="F116" s="269"/>
      <c r="G116" s="269"/>
      <c r="H116" s="269"/>
      <c r="I116" s="269"/>
      <c r="J116" s="269"/>
      <c r="K116" s="269"/>
      <c r="L116" s="269"/>
      <c r="M116" s="269"/>
      <c r="N116" s="269"/>
      <c r="O116" s="269"/>
      <c r="P116" s="269"/>
      <c r="Q116" s="269"/>
      <c r="R116" s="269"/>
      <c r="S116" s="269"/>
      <c r="T116" s="269"/>
      <c r="U116" s="269"/>
      <c r="V116" s="269"/>
      <c r="W116" s="269"/>
      <c r="X116" s="269"/>
      <c r="Y116" s="269"/>
      <c r="Z116" s="269"/>
    </row>
    <row r="117">
      <c r="A117" s="269" t="str">
        <f>IFERROR(__xludf.DUMMYFUNCTION("""COMPUTED_VALUE"""),"Naturalist")</f>
        <v>Naturalist</v>
      </c>
      <c r="B117" s="269" t="str">
        <f>IFERROR(__xludf.DUMMYFUNCTION("""COMPUTED_VALUE"""),"Tier 2")</f>
        <v>Tier 2</v>
      </c>
      <c r="C117" s="269"/>
      <c r="D117" s="269"/>
      <c r="E117" s="269"/>
      <c r="F117" s="269"/>
      <c r="G117" s="269"/>
      <c r="H117" s="269"/>
      <c r="I117" s="269"/>
      <c r="J117" s="269"/>
      <c r="K117" s="269"/>
      <c r="L117" s="269"/>
      <c r="M117" s="269"/>
      <c r="N117" s="269"/>
      <c r="O117" s="269"/>
      <c r="P117" s="269"/>
      <c r="Q117" s="269"/>
      <c r="R117" s="269"/>
      <c r="S117" s="269"/>
      <c r="T117" s="269"/>
      <c r="U117" s="269"/>
      <c r="V117" s="269"/>
      <c r="W117" s="269"/>
      <c r="X117" s="269"/>
      <c r="Y117" s="269"/>
      <c r="Z117" s="269"/>
    </row>
    <row r="118">
      <c r="A118" s="269" t="str">
        <f>IFERROR(__xludf.DUMMYFUNCTION("""COMPUTED_VALUE"""),"Necromancer")</f>
        <v>Necromancer</v>
      </c>
      <c r="B118" s="269" t="str">
        <f>IFERROR(__xludf.DUMMYFUNCTION("""COMPUTED_VALUE"""),"Tier 2")</f>
        <v>Tier 2</v>
      </c>
      <c r="C118" s="269"/>
      <c r="D118" s="269"/>
      <c r="E118" s="269"/>
      <c r="F118" s="269"/>
      <c r="G118" s="269"/>
      <c r="H118" s="269"/>
      <c r="I118" s="269"/>
      <c r="J118" s="269"/>
      <c r="K118" s="269"/>
      <c r="L118" s="269"/>
      <c r="M118" s="269"/>
      <c r="N118" s="269"/>
      <c r="O118" s="269"/>
      <c r="P118" s="269"/>
      <c r="Q118" s="269"/>
      <c r="R118" s="269"/>
      <c r="S118" s="269"/>
      <c r="T118" s="269"/>
      <c r="U118" s="269"/>
      <c r="V118" s="269"/>
      <c r="W118" s="269"/>
      <c r="X118" s="269"/>
      <c r="Y118" s="269"/>
      <c r="Z118" s="269"/>
    </row>
    <row r="119">
      <c r="A119" s="269" t="str">
        <f>IFERROR(__xludf.DUMMYFUNCTION("""COMPUTED_VALUE"""),"Necromaster")</f>
        <v>Necromaster</v>
      </c>
      <c r="B119" s="269" t="str">
        <f>IFERROR(__xludf.DUMMYFUNCTION("""COMPUTED_VALUE"""),"Tier 3")</f>
        <v>Tier 3</v>
      </c>
      <c r="C119" s="269"/>
      <c r="D119" s="269"/>
      <c r="E119" s="269"/>
      <c r="F119" s="269"/>
      <c r="G119" s="269"/>
      <c r="H119" s="269"/>
      <c r="I119" s="269"/>
      <c r="J119" s="269"/>
      <c r="K119" s="269"/>
      <c r="L119" s="269"/>
      <c r="M119" s="269"/>
      <c r="N119" s="269"/>
      <c r="O119" s="269"/>
      <c r="P119" s="269"/>
      <c r="Q119" s="269"/>
      <c r="R119" s="269"/>
      <c r="S119" s="269"/>
      <c r="T119" s="269"/>
      <c r="U119" s="269"/>
      <c r="V119" s="269"/>
      <c r="W119" s="269"/>
      <c r="X119" s="269"/>
      <c r="Y119" s="269"/>
      <c r="Z119" s="269"/>
    </row>
    <row r="120">
      <c r="A120" s="269" t="str">
        <f>IFERROR(__xludf.DUMMYFUNCTION("""COMPUTED_VALUE"""),"Ninja")</f>
        <v>Ninja</v>
      </c>
      <c r="B120" s="269" t="str">
        <f>IFERROR(__xludf.DUMMYFUNCTION("""COMPUTED_VALUE"""),"Tier 2")</f>
        <v>Tier 2</v>
      </c>
      <c r="C120" s="269"/>
      <c r="D120" s="269"/>
      <c r="E120" s="269"/>
      <c r="F120" s="269"/>
      <c r="G120" s="269"/>
      <c r="H120" s="269"/>
      <c r="I120" s="269"/>
      <c r="J120" s="269"/>
      <c r="K120" s="269"/>
      <c r="L120" s="269"/>
      <c r="M120" s="269"/>
      <c r="N120" s="269"/>
      <c r="O120" s="269"/>
      <c r="P120" s="269"/>
      <c r="Q120" s="269"/>
      <c r="R120" s="269"/>
      <c r="S120" s="269"/>
      <c r="T120" s="269"/>
      <c r="U120" s="269"/>
      <c r="V120" s="269"/>
      <c r="W120" s="269"/>
      <c r="X120" s="269"/>
      <c r="Y120" s="269"/>
      <c r="Z120" s="269"/>
    </row>
    <row r="121">
      <c r="A121" s="269" t="str">
        <f>IFERROR(__xludf.DUMMYFUNCTION("""COMPUTED_VALUE"""),"Nomad")</f>
        <v>Nomad</v>
      </c>
      <c r="B121" s="269" t="str">
        <f>IFERROR(__xludf.DUMMYFUNCTION("""COMPUTED_VALUE"""),"Tier 2")</f>
        <v>Tier 2</v>
      </c>
      <c r="C121" s="269"/>
      <c r="D121" s="269"/>
      <c r="E121" s="269"/>
      <c r="F121" s="269"/>
      <c r="G121" s="269"/>
      <c r="H121" s="269"/>
      <c r="I121" s="269"/>
      <c r="J121" s="269"/>
      <c r="K121" s="269"/>
      <c r="L121" s="269"/>
      <c r="M121" s="269"/>
      <c r="N121" s="269"/>
      <c r="O121" s="269"/>
      <c r="P121" s="269"/>
      <c r="Q121" s="269"/>
      <c r="R121" s="269"/>
      <c r="S121" s="269"/>
      <c r="T121" s="269"/>
      <c r="U121" s="269"/>
      <c r="V121" s="269"/>
      <c r="W121" s="269"/>
      <c r="X121" s="269"/>
      <c r="Y121" s="269"/>
      <c r="Z121" s="269"/>
    </row>
    <row r="122">
      <c r="A122" s="269" t="str">
        <f>IFERROR(__xludf.DUMMYFUNCTION("""COMPUTED_VALUE"""),"Onmyoji")</f>
        <v>Onmyoji</v>
      </c>
      <c r="B122" s="269" t="str">
        <f>IFERROR(__xludf.DUMMYFUNCTION("""COMPUTED_VALUE"""),"Tier 2")</f>
        <v>Tier 2</v>
      </c>
      <c r="C122" s="269"/>
      <c r="D122" s="269"/>
      <c r="E122" s="269"/>
      <c r="F122" s="269"/>
      <c r="G122" s="269"/>
      <c r="H122" s="269"/>
      <c r="I122" s="269"/>
      <c r="J122" s="269"/>
      <c r="K122" s="269"/>
      <c r="L122" s="269"/>
      <c r="M122" s="269"/>
      <c r="N122" s="269"/>
      <c r="O122" s="269"/>
      <c r="P122" s="269"/>
      <c r="Q122" s="269"/>
      <c r="R122" s="269"/>
      <c r="S122" s="269"/>
      <c r="T122" s="269"/>
      <c r="U122" s="269"/>
      <c r="V122" s="269"/>
      <c r="W122" s="269"/>
      <c r="X122" s="269"/>
      <c r="Y122" s="269"/>
      <c r="Z122" s="269"/>
    </row>
    <row r="123">
      <c r="A123" s="269" t="str">
        <f>IFERROR(__xludf.DUMMYFUNCTION("""COMPUTED_VALUE"""),"Oracle")</f>
        <v>Oracle</v>
      </c>
      <c r="B123" s="269" t="str">
        <f>IFERROR(__xludf.DUMMYFUNCTION("""COMPUTED_VALUE"""),"Tier 2")</f>
        <v>Tier 2</v>
      </c>
      <c r="C123" s="269"/>
      <c r="D123" s="269"/>
      <c r="E123" s="269"/>
      <c r="F123" s="269"/>
      <c r="G123" s="269"/>
      <c r="H123" s="269"/>
      <c r="I123" s="269"/>
      <c r="J123" s="269"/>
      <c r="K123" s="269"/>
      <c r="L123" s="269"/>
      <c r="M123" s="269"/>
      <c r="N123" s="269"/>
      <c r="O123" s="269"/>
      <c r="P123" s="269"/>
      <c r="Q123" s="269"/>
      <c r="R123" s="269"/>
      <c r="S123" s="269"/>
      <c r="T123" s="269"/>
      <c r="U123" s="269"/>
      <c r="V123" s="269"/>
      <c r="W123" s="269"/>
      <c r="X123" s="269"/>
      <c r="Y123" s="269"/>
      <c r="Z123" s="269"/>
    </row>
    <row r="124">
      <c r="A124" s="269" t="str">
        <f>IFERROR(__xludf.DUMMYFUNCTION("""COMPUTED_VALUE"""),"Peltast")</f>
        <v>Peltast</v>
      </c>
      <c r="B124" s="269" t="str">
        <f>IFERROR(__xludf.DUMMYFUNCTION("""COMPUTED_VALUE"""),"Tier 2")</f>
        <v>Tier 2</v>
      </c>
      <c r="C124" s="269"/>
      <c r="D124" s="269"/>
      <c r="E124" s="269"/>
      <c r="F124" s="269"/>
      <c r="G124" s="269"/>
      <c r="H124" s="269"/>
      <c r="I124" s="269"/>
      <c r="J124" s="269"/>
      <c r="K124" s="269"/>
      <c r="L124" s="269"/>
      <c r="M124" s="269"/>
      <c r="N124" s="269"/>
      <c r="O124" s="269"/>
      <c r="P124" s="269"/>
      <c r="Q124" s="269"/>
      <c r="R124" s="269"/>
      <c r="S124" s="269"/>
      <c r="T124" s="269"/>
      <c r="U124" s="269"/>
      <c r="V124" s="269"/>
      <c r="W124" s="269"/>
      <c r="X124" s="269"/>
      <c r="Y124" s="269"/>
      <c r="Z124" s="269"/>
    </row>
    <row r="125">
      <c r="A125" s="269" t="str">
        <f>IFERROR(__xludf.DUMMYFUNCTION("""COMPUTED_VALUE"""),"Phantom Thief")</f>
        <v>Phantom Thief</v>
      </c>
      <c r="B125" s="269" t="str">
        <f>IFERROR(__xludf.DUMMYFUNCTION("""COMPUTED_VALUE"""),"Tier 3")</f>
        <v>Tier 3</v>
      </c>
      <c r="C125" s="269"/>
      <c r="D125" s="269"/>
      <c r="E125" s="269"/>
      <c r="F125" s="269"/>
      <c r="G125" s="269"/>
      <c r="H125" s="269"/>
      <c r="I125" s="269"/>
      <c r="J125" s="269"/>
      <c r="K125" s="269"/>
      <c r="L125" s="269"/>
      <c r="M125" s="269"/>
      <c r="N125" s="269"/>
      <c r="O125" s="269"/>
      <c r="P125" s="269"/>
      <c r="Q125" s="269"/>
      <c r="R125" s="269"/>
      <c r="S125" s="269"/>
      <c r="T125" s="269"/>
      <c r="U125" s="269"/>
      <c r="V125" s="269"/>
      <c r="W125" s="269"/>
      <c r="X125" s="269"/>
      <c r="Y125" s="269"/>
      <c r="Z125" s="269"/>
    </row>
    <row r="126">
      <c r="A126" s="269" t="str">
        <f>IFERROR(__xludf.DUMMYFUNCTION("""COMPUTED_VALUE"""),"Phosphomancer")</f>
        <v>Phosphomancer</v>
      </c>
      <c r="B126" s="269" t="str">
        <f>IFERROR(__xludf.DUMMYFUNCTION("""COMPUTED_VALUE"""),"Tier 2")</f>
        <v>Tier 2</v>
      </c>
      <c r="C126" s="269"/>
      <c r="D126" s="269"/>
      <c r="E126" s="269"/>
      <c r="F126" s="269"/>
      <c r="G126" s="269"/>
      <c r="H126" s="269"/>
      <c r="I126" s="269"/>
      <c r="J126" s="269"/>
      <c r="K126" s="269"/>
      <c r="L126" s="269"/>
      <c r="M126" s="269"/>
      <c r="N126" s="269"/>
      <c r="O126" s="269"/>
      <c r="P126" s="269"/>
      <c r="Q126" s="269"/>
      <c r="R126" s="269"/>
      <c r="S126" s="269"/>
      <c r="T126" s="269"/>
      <c r="U126" s="269"/>
      <c r="V126" s="269"/>
      <c r="W126" s="269"/>
      <c r="X126" s="269"/>
      <c r="Y126" s="269"/>
      <c r="Z126" s="269"/>
    </row>
    <row r="127">
      <c r="A127" s="269" t="str">
        <f>IFERROR(__xludf.DUMMYFUNCTION("""COMPUTED_VALUE"""),"Pierrot")</f>
        <v>Pierrot</v>
      </c>
      <c r="B127" s="269" t="str">
        <f>IFERROR(__xludf.DUMMYFUNCTION("""COMPUTED_VALUE"""),"Tier 1")</f>
        <v>Tier 1</v>
      </c>
      <c r="C127" s="269"/>
      <c r="D127" s="269"/>
      <c r="E127" s="269"/>
      <c r="F127" s="269"/>
      <c r="G127" s="269"/>
      <c r="H127" s="269"/>
      <c r="I127" s="269"/>
      <c r="J127" s="269"/>
      <c r="K127" s="269"/>
      <c r="L127" s="269"/>
      <c r="M127" s="269"/>
      <c r="N127" s="269"/>
      <c r="O127" s="269"/>
      <c r="P127" s="269"/>
      <c r="Q127" s="269"/>
      <c r="R127" s="269"/>
      <c r="S127" s="269"/>
      <c r="T127" s="269"/>
      <c r="U127" s="269"/>
      <c r="V127" s="269"/>
      <c r="W127" s="269"/>
      <c r="X127" s="269"/>
      <c r="Y127" s="269"/>
      <c r="Z127" s="269"/>
    </row>
    <row r="128">
      <c r="A128" s="269" t="str">
        <f>IFERROR(__xludf.DUMMYFUNCTION("""COMPUTED_VALUE"""),"Priest")</f>
        <v>Priest</v>
      </c>
      <c r="B128" s="269" t="str">
        <f>IFERROR(__xludf.DUMMYFUNCTION("""COMPUTED_VALUE"""),"Tier 2")</f>
        <v>Tier 2</v>
      </c>
      <c r="C128" s="269"/>
      <c r="D128" s="269"/>
      <c r="E128" s="269"/>
      <c r="F128" s="269"/>
      <c r="G128" s="269"/>
      <c r="H128" s="269"/>
      <c r="I128" s="269"/>
      <c r="J128" s="269"/>
      <c r="K128" s="269"/>
      <c r="L128" s="269"/>
      <c r="M128" s="269"/>
      <c r="N128" s="269"/>
      <c r="O128" s="269"/>
      <c r="P128" s="269"/>
      <c r="Q128" s="269"/>
      <c r="R128" s="269"/>
      <c r="S128" s="269"/>
      <c r="T128" s="269"/>
      <c r="U128" s="269"/>
      <c r="V128" s="269"/>
      <c r="W128" s="269"/>
      <c r="X128" s="269"/>
      <c r="Y128" s="269"/>
      <c r="Z128" s="269"/>
    </row>
    <row r="129">
      <c r="A129" s="269" t="str">
        <f>IFERROR(__xludf.DUMMYFUNCTION("""COMPUTED_VALUE"""),"Protector")</f>
        <v>Protector</v>
      </c>
      <c r="B129" s="269" t="str">
        <f>IFERROR(__xludf.DUMMYFUNCTION("""COMPUTED_VALUE"""),"Tier 3")</f>
        <v>Tier 3</v>
      </c>
      <c r="C129" s="269"/>
      <c r="D129" s="269"/>
      <c r="E129" s="269"/>
      <c r="F129" s="269"/>
      <c r="G129" s="269"/>
      <c r="H129" s="269"/>
      <c r="I129" s="269"/>
      <c r="J129" s="269"/>
      <c r="K129" s="269"/>
      <c r="L129" s="269"/>
      <c r="M129" s="269"/>
      <c r="N129" s="269"/>
      <c r="O129" s="269"/>
      <c r="P129" s="269"/>
      <c r="Q129" s="269"/>
      <c r="R129" s="269"/>
      <c r="S129" s="269"/>
      <c r="T129" s="269"/>
      <c r="U129" s="269"/>
      <c r="V129" s="269"/>
      <c r="W129" s="269"/>
      <c r="X129" s="269"/>
      <c r="Y129" s="269"/>
      <c r="Z129" s="269"/>
    </row>
    <row r="130">
      <c r="A130" s="269" t="str">
        <f>IFERROR(__xludf.DUMMYFUNCTION("""COMPUTED_VALUE"""),"Pyromancer")</f>
        <v>Pyromancer</v>
      </c>
      <c r="B130" s="269" t="str">
        <f>IFERROR(__xludf.DUMMYFUNCTION("""COMPUTED_VALUE"""),"Tier 2")</f>
        <v>Tier 2</v>
      </c>
      <c r="C130" s="269"/>
      <c r="D130" s="269"/>
      <c r="E130" s="269"/>
      <c r="F130" s="269"/>
      <c r="G130" s="269"/>
      <c r="H130" s="269"/>
      <c r="I130" s="269"/>
      <c r="J130" s="269"/>
      <c r="K130" s="269"/>
      <c r="L130" s="269"/>
      <c r="M130" s="269"/>
      <c r="N130" s="269"/>
      <c r="O130" s="269"/>
      <c r="P130" s="269"/>
      <c r="Q130" s="269"/>
      <c r="R130" s="269"/>
      <c r="S130" s="269"/>
      <c r="T130" s="269"/>
      <c r="U130" s="269"/>
      <c r="V130" s="269"/>
      <c r="W130" s="269"/>
      <c r="X130" s="269"/>
      <c r="Y130" s="269"/>
      <c r="Z130" s="269"/>
    </row>
    <row r="131">
      <c r="A131" s="269" t="str">
        <f>IFERROR(__xludf.DUMMYFUNCTION("""COMPUTED_VALUE"""),"Pyromaster")</f>
        <v>Pyromaster</v>
      </c>
      <c r="B131" s="269" t="str">
        <f>IFERROR(__xludf.DUMMYFUNCTION("""COMPUTED_VALUE"""),"Tier 3")</f>
        <v>Tier 3</v>
      </c>
      <c r="C131" s="269"/>
      <c r="D131" s="269"/>
      <c r="E131" s="269"/>
      <c r="F131" s="269"/>
      <c r="G131" s="269"/>
      <c r="H131" s="269"/>
      <c r="I131" s="269"/>
      <c r="J131" s="269"/>
      <c r="K131" s="269"/>
      <c r="L131" s="269"/>
      <c r="M131" s="269"/>
      <c r="N131" s="269"/>
      <c r="O131" s="269"/>
      <c r="P131" s="269"/>
      <c r="Q131" s="269"/>
      <c r="R131" s="269"/>
      <c r="S131" s="269"/>
      <c r="T131" s="269"/>
      <c r="U131" s="269"/>
      <c r="V131" s="269"/>
      <c r="W131" s="269"/>
      <c r="X131" s="269"/>
      <c r="Y131" s="269"/>
      <c r="Z131" s="269"/>
    </row>
    <row r="132">
      <c r="A132" s="269" t="str">
        <f>IFERROR(__xludf.DUMMYFUNCTION("""COMPUTED_VALUE"""),"Ranger")</f>
        <v>Ranger</v>
      </c>
      <c r="B132" s="269" t="str">
        <f>IFERROR(__xludf.DUMMYFUNCTION("""COMPUTED_VALUE"""),"Tier 1")</f>
        <v>Tier 1</v>
      </c>
      <c r="C132" s="269"/>
      <c r="D132" s="269"/>
      <c r="E132" s="269"/>
      <c r="F132" s="269"/>
      <c r="G132" s="269"/>
      <c r="H132" s="269"/>
      <c r="I132" s="269"/>
      <c r="J132" s="269"/>
      <c r="K132" s="269"/>
      <c r="L132" s="269"/>
      <c r="M132" s="269"/>
      <c r="N132" s="269"/>
      <c r="O132" s="269"/>
      <c r="P132" s="269"/>
      <c r="Q132" s="269"/>
      <c r="R132" s="269"/>
      <c r="S132" s="269"/>
      <c r="T132" s="269"/>
      <c r="U132" s="269"/>
      <c r="V132" s="269"/>
      <c r="W132" s="269"/>
      <c r="X132" s="269"/>
      <c r="Y132" s="269"/>
      <c r="Z132" s="269"/>
    </row>
    <row r="133">
      <c r="A133" s="269" t="str">
        <f>IFERROR(__xludf.DUMMYFUNCTION("""COMPUTED_VALUE"""),"Reaver")</f>
        <v>Reaver</v>
      </c>
      <c r="B133" s="269" t="str">
        <f>IFERROR(__xludf.DUMMYFUNCTION("""COMPUTED_VALUE"""),"Tier 3")</f>
        <v>Tier 3</v>
      </c>
      <c r="C133" s="269"/>
      <c r="D133" s="269"/>
      <c r="E133" s="269"/>
      <c r="F133" s="269"/>
      <c r="G133" s="269"/>
      <c r="H133" s="269"/>
      <c r="I133" s="269"/>
      <c r="J133" s="269"/>
      <c r="K133" s="269"/>
      <c r="L133" s="269"/>
      <c r="M133" s="269"/>
      <c r="N133" s="269"/>
      <c r="O133" s="269"/>
      <c r="P133" s="269"/>
      <c r="Q133" s="269"/>
      <c r="R133" s="269"/>
      <c r="S133" s="269"/>
      <c r="T133" s="269"/>
      <c r="U133" s="269"/>
      <c r="V133" s="269"/>
      <c r="W133" s="269"/>
      <c r="X133" s="269"/>
      <c r="Y133" s="269"/>
      <c r="Z133" s="269"/>
    </row>
    <row r="134">
      <c r="A134" s="269" t="str">
        <f>IFERROR(__xludf.DUMMYFUNCTION("""COMPUTED_VALUE"""),"Rogue")</f>
        <v>Rogue</v>
      </c>
      <c r="B134" s="269" t="str">
        <f>IFERROR(__xludf.DUMMYFUNCTION("""COMPUTED_VALUE"""),"Tier 1")</f>
        <v>Tier 1</v>
      </c>
      <c r="C134" s="269"/>
      <c r="D134" s="269"/>
      <c r="E134" s="269"/>
      <c r="F134" s="269"/>
      <c r="G134" s="269"/>
      <c r="H134" s="269"/>
      <c r="I134" s="269"/>
      <c r="J134" s="269"/>
      <c r="K134" s="269"/>
      <c r="L134" s="269"/>
      <c r="M134" s="269"/>
      <c r="N134" s="269"/>
      <c r="O134" s="269"/>
      <c r="P134" s="269"/>
      <c r="Q134" s="269"/>
      <c r="R134" s="269"/>
      <c r="S134" s="269"/>
      <c r="T134" s="269"/>
      <c r="U134" s="269"/>
      <c r="V134" s="269"/>
      <c r="W134" s="269"/>
      <c r="X134" s="269"/>
      <c r="Y134" s="269"/>
      <c r="Z134" s="269"/>
    </row>
    <row r="135">
      <c r="A135" s="269" t="str">
        <f>IFERROR(__xludf.DUMMYFUNCTION("""COMPUTED_VALUE"""),"Saboteur")</f>
        <v>Saboteur</v>
      </c>
      <c r="B135" s="269" t="str">
        <f>IFERROR(__xludf.DUMMYFUNCTION("""COMPUTED_VALUE"""),"Tier 2")</f>
        <v>Tier 2</v>
      </c>
      <c r="C135" s="269"/>
      <c r="D135" s="269"/>
      <c r="E135" s="269"/>
      <c r="F135" s="269"/>
      <c r="G135" s="269"/>
      <c r="H135" s="269"/>
      <c r="I135" s="269"/>
      <c r="J135" s="269"/>
      <c r="K135" s="269"/>
      <c r="L135" s="269"/>
      <c r="M135" s="269"/>
      <c r="N135" s="269"/>
      <c r="O135" s="269"/>
      <c r="P135" s="269"/>
      <c r="Q135" s="269"/>
      <c r="R135" s="269"/>
      <c r="S135" s="269"/>
      <c r="T135" s="269"/>
      <c r="U135" s="269"/>
      <c r="V135" s="269"/>
      <c r="W135" s="269"/>
      <c r="X135" s="269"/>
      <c r="Y135" s="269"/>
      <c r="Z135" s="269"/>
    </row>
    <row r="136">
      <c r="A136" s="269" t="str">
        <f>IFERROR(__xludf.DUMMYFUNCTION("""COMPUTED_VALUE"""),"Sage")</f>
        <v>Sage</v>
      </c>
      <c r="B136" s="269" t="str">
        <f>IFERROR(__xludf.DUMMYFUNCTION("""COMPUTED_VALUE"""),"Tier 2")</f>
        <v>Tier 2</v>
      </c>
      <c r="C136" s="269"/>
      <c r="D136" s="269"/>
      <c r="E136" s="269"/>
      <c r="F136" s="269"/>
      <c r="G136" s="269"/>
      <c r="H136" s="269"/>
      <c r="I136" s="269"/>
      <c r="J136" s="269"/>
      <c r="K136" s="269"/>
      <c r="L136" s="269"/>
      <c r="M136" s="269"/>
      <c r="N136" s="269"/>
      <c r="O136" s="269"/>
      <c r="P136" s="269"/>
      <c r="Q136" s="269"/>
      <c r="R136" s="269"/>
      <c r="S136" s="269"/>
      <c r="T136" s="269"/>
      <c r="U136" s="269"/>
      <c r="V136" s="269"/>
      <c r="W136" s="269"/>
      <c r="X136" s="269"/>
      <c r="Y136" s="269"/>
      <c r="Z136" s="269"/>
    </row>
    <row r="137">
      <c r="A137" s="269" t="str">
        <f>IFERROR(__xludf.DUMMYFUNCTION("""COMPUTED_VALUE"""),"Sanctioner")</f>
        <v>Sanctioner</v>
      </c>
      <c r="B137" s="269" t="str">
        <f>IFERROR(__xludf.DUMMYFUNCTION("""COMPUTED_VALUE"""),"Tier 2")</f>
        <v>Tier 2</v>
      </c>
      <c r="C137" s="269"/>
      <c r="D137" s="269"/>
      <c r="E137" s="269"/>
      <c r="F137" s="269"/>
      <c r="G137" s="269"/>
      <c r="H137" s="269"/>
      <c r="I137" s="269"/>
      <c r="J137" s="269"/>
      <c r="K137" s="269"/>
      <c r="L137" s="269"/>
      <c r="M137" s="269"/>
      <c r="N137" s="269"/>
      <c r="O137" s="269"/>
      <c r="P137" s="269"/>
      <c r="Q137" s="269"/>
      <c r="R137" s="269"/>
      <c r="S137" s="269"/>
      <c r="T137" s="269"/>
      <c r="U137" s="269"/>
      <c r="V137" s="269"/>
      <c r="W137" s="269"/>
      <c r="X137" s="269"/>
      <c r="Y137" s="269"/>
      <c r="Z137" s="269"/>
    </row>
    <row r="138">
      <c r="A138" s="269" t="str">
        <f>IFERROR(__xludf.DUMMYFUNCTION("""COMPUTED_VALUE"""),"Scout")</f>
        <v>Scout</v>
      </c>
      <c r="B138" s="269" t="str">
        <f>IFERROR(__xludf.DUMMYFUNCTION("""COMPUTED_VALUE"""),"Tier 2")</f>
        <v>Tier 2</v>
      </c>
      <c r="C138" s="269"/>
      <c r="D138" s="269"/>
      <c r="E138" s="269"/>
      <c r="F138" s="269"/>
      <c r="G138" s="269"/>
      <c r="H138" s="269"/>
      <c r="I138" s="269"/>
      <c r="J138" s="269"/>
      <c r="K138" s="269"/>
      <c r="L138" s="269"/>
      <c r="M138" s="269"/>
      <c r="N138" s="269"/>
      <c r="O138" s="269"/>
      <c r="P138" s="269"/>
      <c r="Q138" s="269"/>
      <c r="R138" s="269"/>
      <c r="S138" s="269"/>
      <c r="T138" s="269"/>
      <c r="U138" s="269"/>
      <c r="V138" s="269"/>
      <c r="W138" s="269"/>
      <c r="X138" s="269"/>
      <c r="Y138" s="269"/>
      <c r="Z138" s="269"/>
    </row>
    <row r="139">
      <c r="A139" s="269" t="str">
        <f>IFERROR(__xludf.DUMMYFUNCTION("""COMPUTED_VALUE"""),"Searing Lotus Style")</f>
        <v>Searing Lotus Style</v>
      </c>
      <c r="B139" s="269" t="str">
        <f>IFERROR(__xludf.DUMMYFUNCTION("""COMPUTED_VALUE"""),"Tier 2")</f>
        <v>Tier 2</v>
      </c>
      <c r="C139" s="269"/>
      <c r="D139" s="269"/>
      <c r="E139" s="269"/>
      <c r="F139" s="269"/>
      <c r="G139" s="269"/>
      <c r="H139" s="269"/>
      <c r="I139" s="269"/>
      <c r="J139" s="269"/>
      <c r="K139" s="269"/>
      <c r="L139" s="269"/>
      <c r="M139" s="269"/>
      <c r="N139" s="269"/>
      <c r="O139" s="269"/>
      <c r="P139" s="269"/>
      <c r="Q139" s="269"/>
      <c r="R139" s="269"/>
      <c r="S139" s="269"/>
      <c r="T139" s="269"/>
      <c r="U139" s="269"/>
      <c r="V139" s="269"/>
      <c r="W139" s="269"/>
      <c r="X139" s="269"/>
      <c r="Y139" s="269"/>
      <c r="Z139" s="269"/>
    </row>
    <row r="140">
      <c r="A140" s="269" t="str">
        <f>IFERROR(__xludf.DUMMYFUNCTION("""COMPUTED_VALUE"""),"Shadow Thief")</f>
        <v>Shadow Thief</v>
      </c>
      <c r="B140" s="269" t="str">
        <f>IFERROR(__xludf.DUMMYFUNCTION("""COMPUTED_VALUE"""),"Tier 2")</f>
        <v>Tier 2</v>
      </c>
      <c r="C140" s="269"/>
      <c r="D140" s="269"/>
      <c r="E140" s="269"/>
      <c r="F140" s="269"/>
      <c r="G140" s="269"/>
      <c r="H140" s="269"/>
      <c r="I140" s="269"/>
      <c r="J140" s="269"/>
      <c r="K140" s="269"/>
      <c r="L140" s="269"/>
      <c r="M140" s="269"/>
      <c r="N140" s="269"/>
      <c r="O140" s="269"/>
      <c r="P140" s="269"/>
      <c r="Q140" s="269"/>
      <c r="R140" s="269"/>
      <c r="S140" s="269"/>
      <c r="T140" s="269"/>
      <c r="U140" s="269"/>
      <c r="V140" s="269"/>
      <c r="W140" s="269"/>
      <c r="X140" s="269"/>
      <c r="Y140" s="269"/>
      <c r="Z140" s="269"/>
    </row>
    <row r="141">
      <c r="A141" s="269" t="str">
        <f>IFERROR(__xludf.DUMMYFUNCTION("""COMPUTED_VALUE"""),"Shadowbringer")</f>
        <v>Shadowbringer</v>
      </c>
      <c r="B141" s="269" t="str">
        <f>IFERROR(__xludf.DUMMYFUNCTION("""COMPUTED_VALUE"""),"Tier 3")</f>
        <v>Tier 3</v>
      </c>
      <c r="C141" s="269"/>
      <c r="D141" s="269"/>
      <c r="E141" s="269"/>
      <c r="F141" s="269"/>
      <c r="G141" s="269"/>
      <c r="H141" s="269"/>
      <c r="I141" s="269"/>
      <c r="J141" s="269"/>
      <c r="K141" s="269"/>
      <c r="L141" s="269"/>
      <c r="M141" s="269"/>
      <c r="N141" s="269"/>
      <c r="O141" s="269"/>
      <c r="P141" s="269"/>
      <c r="Q141" s="269"/>
      <c r="R141" s="269"/>
      <c r="S141" s="269"/>
      <c r="T141" s="269"/>
      <c r="U141" s="269"/>
      <c r="V141" s="269"/>
      <c r="W141" s="269"/>
      <c r="X141" s="269"/>
      <c r="Y141" s="269"/>
      <c r="Z141" s="269"/>
    </row>
    <row r="142">
      <c r="A142" s="269" t="str">
        <f>IFERROR(__xludf.DUMMYFUNCTION("""COMPUTED_VALUE"""),"Shield Paladin")</f>
        <v>Shield Paladin</v>
      </c>
      <c r="B142" s="269" t="str">
        <f>IFERROR(__xludf.DUMMYFUNCTION("""COMPUTED_VALUE"""),"Tier 2")</f>
        <v>Tier 2</v>
      </c>
      <c r="C142" s="269"/>
      <c r="D142" s="269"/>
      <c r="E142" s="269"/>
      <c r="F142" s="269"/>
      <c r="G142" s="269"/>
      <c r="H142" s="269"/>
      <c r="I142" s="269"/>
      <c r="J142" s="269"/>
      <c r="K142" s="269"/>
      <c r="L142" s="269"/>
      <c r="M142" s="269"/>
      <c r="N142" s="269"/>
      <c r="O142" s="269"/>
      <c r="P142" s="269"/>
      <c r="Q142" s="269"/>
      <c r="R142" s="269"/>
      <c r="S142" s="269"/>
      <c r="T142" s="269"/>
      <c r="U142" s="269"/>
      <c r="V142" s="269"/>
      <c r="W142" s="269"/>
      <c r="X142" s="269"/>
      <c r="Y142" s="269"/>
      <c r="Z142" s="269"/>
    </row>
    <row r="143">
      <c r="A143" s="269" t="str">
        <f>IFERROR(__xludf.DUMMYFUNCTION("""COMPUTED_VALUE"""),"Shield Saint")</f>
        <v>Shield Saint</v>
      </c>
      <c r="B143" s="269" t="str">
        <f>IFERROR(__xludf.DUMMYFUNCTION("""COMPUTED_VALUE"""),"Tier 3")</f>
        <v>Tier 3</v>
      </c>
      <c r="C143" s="269"/>
      <c r="D143" s="269"/>
      <c r="E143" s="269"/>
      <c r="F143" s="269"/>
      <c r="G143" s="269"/>
      <c r="H143" s="269"/>
      <c r="I143" s="269"/>
      <c r="J143" s="269"/>
      <c r="K143" s="269"/>
      <c r="L143" s="269"/>
      <c r="M143" s="269"/>
      <c r="N143" s="269"/>
      <c r="O143" s="269"/>
      <c r="P143" s="269"/>
      <c r="Q143" s="269"/>
      <c r="R143" s="269"/>
      <c r="S143" s="269"/>
      <c r="T143" s="269"/>
      <c r="U143" s="269"/>
      <c r="V143" s="269"/>
      <c r="W143" s="269"/>
      <c r="X143" s="269"/>
      <c r="Y143" s="269"/>
      <c r="Z143" s="269"/>
    </row>
    <row r="144">
      <c r="A144" s="269" t="str">
        <f>IFERROR(__xludf.DUMMYFUNCTION("""COMPUTED_VALUE"""),"Shieldwarden")</f>
        <v>Shieldwarden</v>
      </c>
      <c r="B144" s="269" t="str">
        <f>IFERROR(__xludf.DUMMYFUNCTION("""COMPUTED_VALUE"""),"Tier 2")</f>
        <v>Tier 2</v>
      </c>
      <c r="C144" s="269"/>
      <c r="D144" s="269"/>
      <c r="E144" s="269"/>
      <c r="F144" s="269"/>
      <c r="G144" s="269"/>
      <c r="H144" s="269"/>
      <c r="I144" s="269"/>
      <c r="J144" s="269"/>
      <c r="K144" s="269"/>
      <c r="L144" s="269"/>
      <c r="M144" s="269"/>
      <c r="N144" s="269"/>
      <c r="O144" s="269"/>
      <c r="P144" s="269"/>
      <c r="Q144" s="269"/>
      <c r="R144" s="269"/>
      <c r="S144" s="269"/>
      <c r="T144" s="269"/>
      <c r="U144" s="269"/>
      <c r="V144" s="269"/>
      <c r="W144" s="269"/>
      <c r="X144" s="269"/>
      <c r="Y144" s="269"/>
      <c r="Z144" s="269"/>
    </row>
    <row r="145">
      <c r="A145" s="269" t="str">
        <f>IFERROR(__xludf.DUMMYFUNCTION("""COMPUTED_VALUE"""),"Shinigami Eyes")</f>
        <v>Shinigami Eyes</v>
      </c>
      <c r="B145" s="269" t="str">
        <f>IFERROR(__xludf.DUMMYFUNCTION("""COMPUTED_VALUE"""),"Tier 2")</f>
        <v>Tier 2</v>
      </c>
      <c r="C145" s="269"/>
      <c r="D145" s="269"/>
      <c r="E145" s="269"/>
      <c r="F145" s="269"/>
      <c r="G145" s="269"/>
      <c r="H145" s="269"/>
      <c r="I145" s="269"/>
      <c r="J145" s="269"/>
      <c r="K145" s="269"/>
      <c r="L145" s="269"/>
      <c r="M145" s="269"/>
      <c r="N145" s="269"/>
      <c r="O145" s="269"/>
      <c r="P145" s="269"/>
      <c r="Q145" s="269"/>
      <c r="R145" s="269"/>
      <c r="S145" s="269"/>
      <c r="T145" s="269"/>
      <c r="U145" s="269"/>
      <c r="V145" s="269"/>
      <c r="W145" s="269"/>
      <c r="X145" s="269"/>
      <c r="Y145" s="269"/>
      <c r="Z145" s="269"/>
    </row>
    <row r="146">
      <c r="A146" s="269" t="str">
        <f>IFERROR(__xludf.DUMMYFUNCTION("""COMPUTED_VALUE"""),"Sky Knight")</f>
        <v>Sky Knight</v>
      </c>
      <c r="B146" s="269" t="str">
        <f>IFERROR(__xludf.DUMMYFUNCTION("""COMPUTED_VALUE"""),"Tier 2")</f>
        <v>Tier 2</v>
      </c>
      <c r="C146" s="269"/>
      <c r="D146" s="269"/>
      <c r="E146" s="269"/>
      <c r="F146" s="269"/>
      <c r="G146" s="269"/>
      <c r="H146" s="269"/>
      <c r="I146" s="269"/>
      <c r="J146" s="269"/>
      <c r="K146" s="269"/>
      <c r="L146" s="269"/>
      <c r="M146" s="269"/>
      <c r="N146" s="269"/>
      <c r="O146" s="269"/>
      <c r="P146" s="269"/>
      <c r="Q146" s="269"/>
      <c r="R146" s="269"/>
      <c r="S146" s="269"/>
      <c r="T146" s="269"/>
      <c r="U146" s="269"/>
      <c r="V146" s="269"/>
      <c r="W146" s="269"/>
      <c r="X146" s="269"/>
      <c r="Y146" s="269"/>
      <c r="Z146" s="269"/>
    </row>
    <row r="147">
      <c r="A147" s="269" t="str">
        <f>IFERROR(__xludf.DUMMYFUNCTION("""COMPUTED_VALUE"""),"Sky Talon Style")</f>
        <v>Sky Talon Style</v>
      </c>
      <c r="B147" s="269" t="str">
        <f>IFERROR(__xludf.DUMMYFUNCTION("""COMPUTED_VALUE"""),"Tier 2")</f>
        <v>Tier 2</v>
      </c>
      <c r="C147" s="269"/>
      <c r="D147" s="269"/>
      <c r="E147" s="269"/>
      <c r="F147" s="269"/>
      <c r="G147" s="269"/>
      <c r="H147" s="269"/>
      <c r="I147" s="269"/>
      <c r="J147" s="269"/>
      <c r="K147" s="269"/>
      <c r="L147" s="269"/>
      <c r="M147" s="269"/>
      <c r="N147" s="269"/>
      <c r="O147" s="269"/>
      <c r="P147" s="269"/>
      <c r="Q147" s="269"/>
      <c r="R147" s="269"/>
      <c r="S147" s="269"/>
      <c r="T147" s="269"/>
      <c r="U147" s="269"/>
      <c r="V147" s="269"/>
      <c r="W147" s="269"/>
      <c r="X147" s="269"/>
      <c r="Y147" s="269"/>
      <c r="Z147" s="269"/>
    </row>
    <row r="148">
      <c r="A148" s="269" t="str">
        <f>IFERROR(__xludf.DUMMYFUNCTION("""COMPUTED_VALUE"""),"Sniper")</f>
        <v>Sniper</v>
      </c>
      <c r="B148" s="269" t="str">
        <f>IFERROR(__xludf.DUMMYFUNCTION("""COMPUTED_VALUE"""),"Tier 3")</f>
        <v>Tier 3</v>
      </c>
      <c r="C148" s="269"/>
      <c r="D148" s="269"/>
      <c r="E148" s="269"/>
      <c r="F148" s="269"/>
      <c r="G148" s="269"/>
      <c r="H148" s="269"/>
      <c r="I148" s="269"/>
      <c r="J148" s="269"/>
      <c r="K148" s="269"/>
      <c r="L148" s="269"/>
      <c r="M148" s="269"/>
      <c r="N148" s="269"/>
      <c r="O148" s="269"/>
      <c r="P148" s="269"/>
      <c r="Q148" s="269"/>
      <c r="R148" s="269"/>
      <c r="S148" s="269"/>
      <c r="T148" s="269"/>
      <c r="U148" s="269"/>
      <c r="V148" s="269"/>
      <c r="W148" s="269"/>
      <c r="X148" s="269"/>
      <c r="Y148" s="269"/>
      <c r="Z148" s="269"/>
    </row>
    <row r="149">
      <c r="A149" s="269" t="str">
        <f>IFERROR(__xludf.DUMMYFUNCTION("""COMPUTED_VALUE"""),"Sorcerer")</f>
        <v>Sorcerer</v>
      </c>
      <c r="B149" s="269" t="str">
        <f>IFERROR(__xludf.DUMMYFUNCTION("""COMPUTED_VALUE"""),"Tier 1")</f>
        <v>Tier 1</v>
      </c>
      <c r="C149" s="269"/>
      <c r="D149" s="269"/>
      <c r="E149" s="269"/>
      <c r="F149" s="269"/>
      <c r="G149" s="269"/>
      <c r="H149" s="269"/>
      <c r="I149" s="269"/>
      <c r="J149" s="269"/>
      <c r="K149" s="269"/>
      <c r="L149" s="269"/>
      <c r="M149" s="269"/>
      <c r="N149" s="269"/>
      <c r="O149" s="269"/>
      <c r="P149" s="269"/>
      <c r="Q149" s="269"/>
      <c r="R149" s="269"/>
      <c r="S149" s="269"/>
      <c r="T149" s="269"/>
      <c r="U149" s="269"/>
      <c r="V149" s="269"/>
      <c r="W149" s="269"/>
      <c r="X149" s="269"/>
      <c r="Y149" s="269"/>
      <c r="Z149" s="269"/>
    </row>
    <row r="150">
      <c r="A150" s="269" t="str">
        <f>IFERROR(__xludf.DUMMYFUNCTION("""COMPUTED_VALUE"""),"Spearmaster")</f>
        <v>Spearmaster</v>
      </c>
      <c r="B150" s="269" t="str">
        <f>IFERROR(__xludf.DUMMYFUNCTION("""COMPUTED_VALUE"""),"Tier 3")</f>
        <v>Tier 3</v>
      </c>
      <c r="C150" s="269"/>
      <c r="D150" s="269"/>
      <c r="E150" s="269"/>
      <c r="F150" s="269"/>
      <c r="G150" s="269"/>
      <c r="H150" s="269"/>
      <c r="I150" s="269"/>
      <c r="J150" s="269"/>
      <c r="K150" s="269"/>
      <c r="L150" s="269"/>
      <c r="M150" s="269"/>
      <c r="N150" s="269"/>
      <c r="O150" s="269"/>
      <c r="P150" s="269"/>
      <c r="Q150" s="269"/>
      <c r="R150" s="269"/>
      <c r="S150" s="269"/>
      <c r="T150" s="269"/>
      <c r="U150" s="269"/>
      <c r="V150" s="269"/>
      <c r="W150" s="269"/>
      <c r="X150" s="269"/>
      <c r="Y150" s="269"/>
      <c r="Z150" s="269"/>
    </row>
    <row r="151">
      <c r="A151" s="269" t="str">
        <f>IFERROR(__xludf.DUMMYFUNCTION("""COMPUTED_VALUE"""),"Spell Blademaster")</f>
        <v>Spell Blademaster</v>
      </c>
      <c r="B151" s="269" t="str">
        <f>IFERROR(__xludf.DUMMYFUNCTION("""COMPUTED_VALUE"""),"Tier 3")</f>
        <v>Tier 3</v>
      </c>
      <c r="C151" s="269"/>
      <c r="D151" s="269"/>
      <c r="E151" s="269"/>
      <c r="F151" s="269"/>
      <c r="G151" s="269"/>
      <c r="H151" s="269"/>
      <c r="I151" s="269"/>
      <c r="J151" s="269"/>
      <c r="K151" s="269"/>
      <c r="L151" s="269"/>
      <c r="M151" s="269"/>
      <c r="N151" s="269"/>
      <c r="O151" s="269"/>
      <c r="P151" s="269"/>
      <c r="Q151" s="269"/>
      <c r="R151" s="269"/>
      <c r="S151" s="269"/>
      <c r="T151" s="269"/>
      <c r="U151" s="269"/>
      <c r="V151" s="269"/>
      <c r="W151" s="269"/>
      <c r="X151" s="269"/>
      <c r="Y151" s="269"/>
      <c r="Z151" s="269"/>
    </row>
    <row r="152">
      <c r="A152" s="269" t="str">
        <f>IFERROR(__xludf.DUMMYFUNCTION("""COMPUTED_VALUE"""),"Spellblade")</f>
        <v>Spellblade</v>
      </c>
      <c r="B152" s="269" t="str">
        <f>IFERROR(__xludf.DUMMYFUNCTION("""COMPUTED_VALUE"""),"Tier 2")</f>
        <v>Tier 2</v>
      </c>
      <c r="C152" s="269"/>
      <c r="D152" s="269"/>
      <c r="E152" s="269"/>
      <c r="F152" s="269"/>
      <c r="G152" s="269"/>
      <c r="H152" s="269"/>
      <c r="I152" s="269"/>
      <c r="J152" s="269"/>
      <c r="K152" s="269"/>
      <c r="L152" s="269"/>
      <c r="M152" s="269"/>
      <c r="N152" s="269"/>
      <c r="O152" s="269"/>
      <c r="P152" s="269"/>
      <c r="Q152" s="269"/>
      <c r="R152" s="269"/>
      <c r="S152" s="269"/>
      <c r="T152" s="269"/>
      <c r="U152" s="269"/>
      <c r="V152" s="269"/>
      <c r="W152" s="269"/>
      <c r="X152" s="269"/>
      <c r="Y152" s="269"/>
      <c r="Z152" s="269"/>
    </row>
    <row r="153">
      <c r="A153" s="269" t="str">
        <f>IFERROR(__xludf.DUMMYFUNCTION("""COMPUTED_VALUE"""),"Starcaller")</f>
        <v>Starcaller</v>
      </c>
      <c r="B153" s="269" t="str">
        <f>IFERROR(__xludf.DUMMYFUNCTION("""COMPUTED_VALUE"""),"Tier 2")</f>
        <v>Tier 2</v>
      </c>
      <c r="C153" s="269"/>
      <c r="D153" s="269"/>
      <c r="E153" s="269"/>
      <c r="F153" s="269"/>
      <c r="G153" s="269"/>
      <c r="H153" s="269"/>
      <c r="I153" s="269"/>
      <c r="J153" s="269"/>
      <c r="K153" s="269"/>
      <c r="L153" s="269"/>
      <c r="M153" s="269"/>
      <c r="N153" s="269"/>
      <c r="O153" s="269"/>
      <c r="P153" s="269"/>
      <c r="Q153" s="269"/>
      <c r="R153" s="269"/>
      <c r="S153" s="269"/>
      <c r="T153" s="269"/>
      <c r="U153" s="269"/>
      <c r="V153" s="269"/>
      <c r="W153" s="269"/>
      <c r="X153" s="269"/>
      <c r="Y153" s="269"/>
      <c r="Z153" s="269"/>
    </row>
    <row r="154">
      <c r="A154" s="269" t="str">
        <f>IFERROR(__xludf.DUMMYFUNCTION("""COMPUTED_VALUE"""),"Still Stone Style")</f>
        <v>Still Stone Style</v>
      </c>
      <c r="B154" s="269" t="str">
        <f>IFERROR(__xludf.DUMMYFUNCTION("""COMPUTED_VALUE"""),"Tier 2")</f>
        <v>Tier 2</v>
      </c>
      <c r="C154" s="269"/>
      <c r="D154" s="269"/>
      <c r="E154" s="269"/>
      <c r="F154" s="269"/>
      <c r="G154" s="269"/>
      <c r="H154" s="269"/>
      <c r="I154" s="269"/>
      <c r="J154" s="269"/>
      <c r="K154" s="269"/>
      <c r="L154" s="269"/>
      <c r="M154" s="269"/>
      <c r="N154" s="269"/>
      <c r="O154" s="269"/>
      <c r="P154" s="269"/>
      <c r="Q154" s="269"/>
      <c r="R154" s="269"/>
      <c r="S154" s="269"/>
      <c r="T154" s="269"/>
      <c r="U154" s="269"/>
      <c r="V154" s="269"/>
      <c r="W154" s="269"/>
      <c r="X154" s="269"/>
      <c r="Y154" s="269"/>
      <c r="Z154" s="269"/>
    </row>
    <row r="155">
      <c r="A155" s="269" t="str">
        <f>IFERROR(__xludf.DUMMYFUNCTION("""COMPUTED_VALUE"""),"Strategist")</f>
        <v>Strategist</v>
      </c>
      <c r="B155" s="269" t="str">
        <f>IFERROR(__xludf.DUMMYFUNCTION("""COMPUTED_VALUE"""),"Tier 3")</f>
        <v>Tier 3</v>
      </c>
      <c r="C155" s="269"/>
      <c r="D155" s="269"/>
      <c r="E155" s="269"/>
      <c r="F155" s="269"/>
      <c r="G155" s="269"/>
      <c r="H155" s="269"/>
      <c r="I155" s="269"/>
      <c r="J155" s="269"/>
      <c r="K155" s="269"/>
      <c r="L155" s="269"/>
      <c r="M155" s="269"/>
      <c r="N155" s="269"/>
      <c r="O155" s="269"/>
      <c r="P155" s="269"/>
      <c r="Q155" s="269"/>
      <c r="R155" s="269"/>
      <c r="S155" s="269"/>
      <c r="T155" s="269"/>
      <c r="U155" s="269"/>
      <c r="V155" s="269"/>
      <c r="W155" s="269"/>
      <c r="X155" s="269"/>
      <c r="Y155" s="269"/>
      <c r="Z155" s="269"/>
    </row>
    <row r="156">
      <c r="A156" s="269" t="str">
        <f>IFERROR(__xludf.DUMMYFUNCTION("""COMPUTED_VALUE"""),"Summoner")</f>
        <v>Summoner</v>
      </c>
      <c r="B156" s="269" t="str">
        <f>IFERROR(__xludf.DUMMYFUNCTION("""COMPUTED_VALUE"""),"Tier 2")</f>
        <v>Tier 2</v>
      </c>
      <c r="C156" s="269"/>
      <c r="D156" s="269"/>
      <c r="E156" s="269"/>
      <c r="F156" s="269"/>
      <c r="G156" s="269"/>
      <c r="H156" s="269"/>
      <c r="I156" s="269"/>
      <c r="J156" s="269"/>
      <c r="K156" s="269"/>
      <c r="L156" s="269"/>
      <c r="M156" s="269"/>
      <c r="N156" s="269"/>
      <c r="O156" s="269"/>
      <c r="P156" s="269"/>
      <c r="Q156" s="269"/>
      <c r="R156" s="269"/>
      <c r="S156" s="269"/>
      <c r="T156" s="269"/>
      <c r="U156" s="269"/>
      <c r="V156" s="269"/>
      <c r="W156" s="269"/>
      <c r="X156" s="269"/>
      <c r="Y156" s="269"/>
      <c r="Z156" s="269"/>
    </row>
    <row r="157">
      <c r="A157" s="269" t="str">
        <f>IFERROR(__xludf.DUMMYFUNCTION("""COMPUTED_VALUE"""),"Swashbuckler")</f>
        <v>Swashbuckler</v>
      </c>
      <c r="B157" s="269" t="str">
        <f>IFERROR(__xludf.DUMMYFUNCTION("""COMPUTED_VALUE"""),"Tier 2")</f>
        <v>Tier 2</v>
      </c>
      <c r="C157" s="269"/>
      <c r="D157" s="269"/>
      <c r="E157" s="269"/>
      <c r="F157" s="269"/>
      <c r="G157" s="269"/>
      <c r="H157" s="269"/>
      <c r="I157" s="269"/>
      <c r="J157" s="269"/>
      <c r="K157" s="269"/>
      <c r="L157" s="269"/>
      <c r="M157" s="269"/>
      <c r="N157" s="269"/>
      <c r="O157" s="269"/>
      <c r="P157" s="269"/>
      <c r="Q157" s="269"/>
      <c r="R157" s="269"/>
      <c r="S157" s="269"/>
      <c r="T157" s="269"/>
      <c r="U157" s="269"/>
      <c r="V157" s="269"/>
      <c r="W157" s="269"/>
      <c r="X157" s="269"/>
      <c r="Y157" s="269"/>
      <c r="Z157" s="269"/>
    </row>
    <row r="158">
      <c r="A158" s="269" t="str">
        <f>IFERROR(__xludf.DUMMYFUNCTION("""COMPUTED_VALUE"""),"Sword Paladin")</f>
        <v>Sword Paladin</v>
      </c>
      <c r="B158" s="269" t="str">
        <f>IFERROR(__xludf.DUMMYFUNCTION("""COMPUTED_VALUE"""),"Tier 2")</f>
        <v>Tier 2</v>
      </c>
      <c r="C158" s="269"/>
      <c r="D158" s="269"/>
      <c r="E158" s="269"/>
      <c r="F158" s="269"/>
      <c r="G158" s="269"/>
      <c r="H158" s="269"/>
      <c r="I158" s="269"/>
      <c r="J158" s="269"/>
      <c r="K158" s="269"/>
      <c r="L158" s="269"/>
      <c r="M158" s="269"/>
      <c r="N158" s="269"/>
      <c r="O158" s="269"/>
      <c r="P158" s="269"/>
      <c r="Q158" s="269"/>
      <c r="R158" s="269"/>
      <c r="S158" s="269"/>
      <c r="T158" s="269"/>
      <c r="U158" s="269"/>
      <c r="V158" s="269"/>
      <c r="W158" s="269"/>
      <c r="X158" s="269"/>
      <c r="Y158" s="269"/>
      <c r="Z158" s="269"/>
    </row>
    <row r="159">
      <c r="A159" s="269" t="str">
        <f>IFERROR(__xludf.DUMMYFUNCTION("""COMPUTED_VALUE"""),"Sword Saint")</f>
        <v>Sword Saint</v>
      </c>
      <c r="B159" s="269" t="str">
        <f>IFERROR(__xludf.DUMMYFUNCTION("""COMPUTED_VALUE"""),"Tier 3")</f>
        <v>Tier 3</v>
      </c>
      <c r="C159" s="269"/>
      <c r="D159" s="269"/>
      <c r="E159" s="269"/>
      <c r="F159" s="269"/>
      <c r="G159" s="269"/>
      <c r="H159" s="269"/>
      <c r="I159" s="269"/>
      <c r="J159" s="269"/>
      <c r="K159" s="269"/>
      <c r="L159" s="269"/>
      <c r="M159" s="269"/>
      <c r="N159" s="269"/>
      <c r="O159" s="269"/>
      <c r="P159" s="269"/>
      <c r="Q159" s="269"/>
      <c r="R159" s="269"/>
      <c r="S159" s="269"/>
      <c r="T159" s="269"/>
      <c r="U159" s="269"/>
      <c r="V159" s="269"/>
      <c r="W159" s="269"/>
      <c r="X159" s="269"/>
      <c r="Y159" s="269"/>
      <c r="Z159" s="269"/>
    </row>
    <row r="160">
      <c r="A160" s="269" t="str">
        <f>IFERROR(__xludf.DUMMYFUNCTION("""COMPUTED_VALUE"""),"Tactician")</f>
        <v>Tactician</v>
      </c>
      <c r="B160" s="269" t="str">
        <f>IFERROR(__xludf.DUMMYFUNCTION("""COMPUTED_VALUE"""),"Tier 2")</f>
        <v>Tier 2</v>
      </c>
      <c r="C160" s="269"/>
      <c r="D160" s="269"/>
      <c r="E160" s="269"/>
      <c r="F160" s="269"/>
      <c r="G160" s="269"/>
      <c r="H160" s="269"/>
      <c r="I160" s="269"/>
      <c r="J160" s="269"/>
      <c r="K160" s="269"/>
      <c r="L160" s="269"/>
      <c r="M160" s="269"/>
      <c r="N160" s="269"/>
      <c r="O160" s="269"/>
      <c r="P160" s="269"/>
      <c r="Q160" s="269"/>
      <c r="R160" s="269"/>
      <c r="S160" s="269"/>
      <c r="T160" s="269"/>
      <c r="U160" s="269"/>
      <c r="V160" s="269"/>
      <c r="W160" s="269"/>
      <c r="X160" s="269"/>
      <c r="Y160" s="269"/>
      <c r="Z160" s="269"/>
    </row>
    <row r="161">
      <c r="A161" s="269" t="str">
        <f>IFERROR(__xludf.DUMMYFUNCTION("""COMPUTED_VALUE"""),"Tavern Brawler")</f>
        <v>Tavern Brawler</v>
      </c>
      <c r="B161" s="269" t="str">
        <f>IFERROR(__xludf.DUMMYFUNCTION("""COMPUTED_VALUE"""),"Tier 2")</f>
        <v>Tier 2</v>
      </c>
      <c r="C161" s="269"/>
      <c r="D161" s="269"/>
      <c r="E161" s="269"/>
      <c r="F161" s="269"/>
      <c r="G161" s="269"/>
      <c r="H161" s="269"/>
      <c r="I161" s="269"/>
      <c r="J161" s="269"/>
      <c r="K161" s="269"/>
      <c r="L161" s="269"/>
      <c r="M161" s="269"/>
      <c r="N161" s="269"/>
      <c r="O161" s="269"/>
      <c r="P161" s="269"/>
      <c r="Q161" s="269"/>
      <c r="R161" s="269"/>
      <c r="S161" s="269"/>
      <c r="T161" s="269"/>
      <c r="U161" s="269"/>
      <c r="V161" s="269"/>
      <c r="W161" s="269"/>
      <c r="X161" s="269"/>
      <c r="Y161" s="269"/>
      <c r="Z161" s="269"/>
    </row>
    <row r="162">
      <c r="A162" s="269" t="str">
        <f>IFERROR(__xludf.DUMMYFUNCTION("""COMPUTED_VALUE"""),"Temporal Trickster")</f>
        <v>Temporal Trickster</v>
      </c>
      <c r="B162" s="269" t="str">
        <f>IFERROR(__xludf.DUMMYFUNCTION("""COMPUTED_VALUE"""),"Tier 3")</f>
        <v>Tier 3</v>
      </c>
      <c r="C162" s="269"/>
      <c r="D162" s="269"/>
      <c r="E162" s="269"/>
      <c r="F162" s="269"/>
      <c r="G162" s="269"/>
      <c r="H162" s="269"/>
      <c r="I162" s="269"/>
      <c r="J162" s="269"/>
      <c r="K162" s="269"/>
      <c r="L162" s="269"/>
      <c r="M162" s="269"/>
      <c r="N162" s="269"/>
      <c r="O162" s="269"/>
      <c r="P162" s="269"/>
      <c r="Q162" s="269"/>
      <c r="R162" s="269"/>
      <c r="S162" s="269"/>
      <c r="T162" s="269"/>
      <c r="U162" s="269"/>
      <c r="V162" s="269"/>
      <c r="W162" s="269"/>
      <c r="X162" s="269"/>
      <c r="Y162" s="269"/>
      <c r="Z162" s="269"/>
    </row>
    <row r="163">
      <c r="A163" s="269" t="str">
        <f>IFERROR(__xludf.DUMMYFUNCTION("""COMPUTED_VALUE"""),"Thief")</f>
        <v>Thief</v>
      </c>
      <c r="B163" s="269" t="str">
        <f>IFERROR(__xludf.DUMMYFUNCTION("""COMPUTED_VALUE"""),"Tier 2")</f>
        <v>Tier 2</v>
      </c>
      <c r="C163" s="269"/>
      <c r="D163" s="269"/>
      <c r="E163" s="269"/>
      <c r="F163" s="269"/>
      <c r="G163" s="269"/>
      <c r="H163" s="269"/>
      <c r="I163" s="269"/>
      <c r="J163" s="269"/>
      <c r="K163" s="269"/>
      <c r="L163" s="269"/>
      <c r="M163" s="269"/>
      <c r="N163" s="269"/>
      <c r="O163" s="269"/>
      <c r="P163" s="269"/>
      <c r="Q163" s="269"/>
      <c r="R163" s="269"/>
      <c r="S163" s="269"/>
      <c r="T163" s="269"/>
      <c r="U163" s="269"/>
      <c r="V163" s="269"/>
      <c r="W163" s="269"/>
      <c r="X163" s="269"/>
      <c r="Y163" s="269"/>
      <c r="Z163" s="269"/>
    </row>
    <row r="164">
      <c r="A164" s="269" t="str">
        <f>IFERROR(__xludf.DUMMYFUNCTION("""COMPUTED_VALUE"""),"Timberwright")</f>
        <v>Timberwright</v>
      </c>
      <c r="B164" s="269" t="str">
        <f>IFERROR(__xludf.DUMMYFUNCTION("""COMPUTED_VALUE"""),"Tier 2")</f>
        <v>Tier 2</v>
      </c>
      <c r="C164" s="269"/>
      <c r="D164" s="269"/>
      <c r="E164" s="269"/>
      <c r="F164" s="269"/>
      <c r="G164" s="269"/>
      <c r="H164" s="269"/>
      <c r="I164" s="269"/>
      <c r="J164" s="269"/>
      <c r="K164" s="269"/>
      <c r="L164" s="269"/>
      <c r="M164" s="269"/>
      <c r="N164" s="269"/>
      <c r="O164" s="269"/>
      <c r="P164" s="269"/>
      <c r="Q164" s="269"/>
      <c r="R164" s="269"/>
      <c r="S164" s="269"/>
      <c r="T164" s="269"/>
      <c r="U164" s="269"/>
      <c r="V164" s="269"/>
      <c r="W164" s="269"/>
      <c r="X164" s="269"/>
      <c r="Y164" s="269"/>
      <c r="Z164" s="269"/>
    </row>
    <row r="165">
      <c r="A165" s="269" t="str">
        <f>IFERROR(__xludf.DUMMYFUNCTION("""COMPUTED_VALUE"""),"Time Thief")</f>
        <v>Time Thief</v>
      </c>
      <c r="B165" s="269" t="str">
        <f>IFERROR(__xludf.DUMMYFUNCTION("""COMPUTED_VALUE"""),"Tier 2")</f>
        <v>Tier 2</v>
      </c>
      <c r="C165" s="269"/>
      <c r="D165" s="269"/>
      <c r="E165" s="269"/>
      <c r="F165" s="269"/>
      <c r="G165" s="269"/>
      <c r="H165" s="269"/>
      <c r="I165" s="269"/>
      <c r="J165" s="269"/>
      <c r="K165" s="269"/>
      <c r="L165" s="269"/>
      <c r="M165" s="269"/>
      <c r="N165" s="269"/>
      <c r="O165" s="269"/>
      <c r="P165" s="269"/>
      <c r="Q165" s="269"/>
      <c r="R165" s="269"/>
      <c r="S165" s="269"/>
      <c r="T165" s="269"/>
      <c r="U165" s="269"/>
      <c r="V165" s="269"/>
      <c r="W165" s="269"/>
      <c r="X165" s="269"/>
      <c r="Y165" s="269"/>
      <c r="Z165" s="269"/>
    </row>
    <row r="166">
      <c r="A166" s="269" t="str">
        <f>IFERROR(__xludf.DUMMYFUNCTION("""COMPUTED_VALUE"""),"Transcendent Lightning Style")</f>
        <v>Transcendent Lightning Style</v>
      </c>
      <c r="B166" s="269" t="str">
        <f>IFERROR(__xludf.DUMMYFUNCTION("""COMPUTED_VALUE"""),"Tier 3")</f>
        <v>Tier 3</v>
      </c>
      <c r="C166" s="269"/>
      <c r="D166" s="269"/>
      <c r="E166" s="269"/>
      <c r="F166" s="269"/>
      <c r="G166" s="269"/>
      <c r="H166" s="269"/>
      <c r="I166" s="269"/>
      <c r="J166" s="269"/>
      <c r="K166" s="269"/>
      <c r="L166" s="269"/>
      <c r="M166" s="269"/>
      <c r="N166" s="269"/>
      <c r="O166" s="269"/>
      <c r="P166" s="269"/>
      <c r="Q166" s="269"/>
      <c r="R166" s="269"/>
      <c r="S166" s="269"/>
      <c r="T166" s="269"/>
      <c r="U166" s="269"/>
      <c r="V166" s="269"/>
      <c r="W166" s="269"/>
      <c r="X166" s="269"/>
      <c r="Y166" s="269"/>
      <c r="Z166" s="269"/>
    </row>
    <row r="167">
      <c r="A167" s="269" t="str">
        <f>IFERROR(__xludf.DUMMYFUNCTION("""COMPUTED_VALUE"""),"Transmuter")</f>
        <v>Transmuter</v>
      </c>
      <c r="B167" s="269" t="str">
        <f>IFERROR(__xludf.DUMMYFUNCTION("""COMPUTED_VALUE"""),"Tier 1")</f>
        <v>Tier 1</v>
      </c>
      <c r="C167" s="269"/>
      <c r="D167" s="269"/>
      <c r="E167" s="269"/>
      <c r="F167" s="269"/>
      <c r="G167" s="269"/>
      <c r="H167" s="269"/>
      <c r="I167" s="269"/>
      <c r="J167" s="269"/>
      <c r="K167" s="269"/>
      <c r="L167" s="269"/>
      <c r="M167" s="269"/>
      <c r="N167" s="269"/>
      <c r="O167" s="269"/>
      <c r="P167" s="269"/>
      <c r="Q167" s="269"/>
      <c r="R167" s="269"/>
      <c r="S167" s="269"/>
      <c r="T167" s="269"/>
      <c r="U167" s="269"/>
      <c r="V167" s="269"/>
      <c r="W167" s="269"/>
      <c r="X167" s="269"/>
      <c r="Y167" s="269"/>
      <c r="Z167" s="269"/>
    </row>
    <row r="168">
      <c r="A168" s="269" t="str">
        <f>IFERROR(__xludf.DUMMYFUNCTION("""COMPUTED_VALUE"""),"Trapper")</f>
        <v>Trapper</v>
      </c>
      <c r="B168" s="269" t="str">
        <f>IFERROR(__xludf.DUMMYFUNCTION("""COMPUTED_VALUE"""),"Tier 2")</f>
        <v>Tier 2</v>
      </c>
      <c r="C168" s="269"/>
      <c r="D168" s="269"/>
      <c r="E168" s="269"/>
      <c r="F168" s="269"/>
      <c r="G168" s="269"/>
      <c r="H168" s="269"/>
      <c r="I168" s="269"/>
      <c r="J168" s="269"/>
      <c r="K168" s="269"/>
      <c r="L168" s="269"/>
      <c r="M168" s="269"/>
      <c r="N168" s="269"/>
      <c r="O168" s="269"/>
      <c r="P168" s="269"/>
      <c r="Q168" s="269"/>
      <c r="R168" s="269"/>
      <c r="S168" s="269"/>
      <c r="T168" s="269"/>
      <c r="U168" s="269"/>
      <c r="V168" s="269"/>
      <c r="W168" s="269"/>
      <c r="X168" s="269"/>
      <c r="Y168" s="269"/>
      <c r="Z168" s="269"/>
    </row>
    <row r="169">
      <c r="A169" s="269" t="str">
        <f>IFERROR(__xludf.DUMMYFUNCTION("""COMPUTED_VALUE"""),"Trickster")</f>
        <v>Trickster</v>
      </c>
      <c r="B169" s="269" t="str">
        <f>IFERROR(__xludf.DUMMYFUNCTION("""COMPUTED_VALUE"""),"Tier 3")</f>
        <v>Tier 3</v>
      </c>
      <c r="C169" s="269"/>
      <c r="D169" s="269"/>
      <c r="E169" s="269"/>
      <c r="F169" s="269"/>
      <c r="G169" s="269"/>
      <c r="H169" s="269"/>
      <c r="I169" s="269"/>
      <c r="J169" s="269"/>
      <c r="K169" s="269"/>
      <c r="L169" s="269"/>
      <c r="M169" s="269"/>
      <c r="N169" s="269"/>
      <c r="O169" s="269"/>
      <c r="P169" s="269"/>
      <c r="Q169" s="269"/>
      <c r="R169" s="269"/>
      <c r="S169" s="269"/>
      <c r="T169" s="269"/>
      <c r="U169" s="269"/>
      <c r="V169" s="269"/>
      <c r="W169" s="269"/>
      <c r="X169" s="269"/>
      <c r="Y169" s="269"/>
      <c r="Z169" s="269"/>
    </row>
    <row r="170">
      <c r="A170" s="269" t="str">
        <f>IFERROR(__xludf.DUMMYFUNCTION("""COMPUTED_VALUE"""),"True Shinigami Eyes")</f>
        <v>True Shinigami Eyes</v>
      </c>
      <c r="B170" s="269" t="str">
        <f>IFERROR(__xludf.DUMMYFUNCTION("""COMPUTED_VALUE"""),"Tier 3")</f>
        <v>Tier 3</v>
      </c>
      <c r="C170" s="269"/>
      <c r="D170" s="269"/>
      <c r="E170" s="269"/>
      <c r="F170" s="269"/>
      <c r="G170" s="269"/>
      <c r="H170" s="269"/>
      <c r="I170" s="269"/>
      <c r="J170" s="269"/>
      <c r="K170" s="269"/>
      <c r="L170" s="269"/>
      <c r="M170" s="269"/>
      <c r="N170" s="269"/>
      <c r="O170" s="269"/>
      <c r="P170" s="269"/>
      <c r="Q170" s="269"/>
      <c r="R170" s="269"/>
      <c r="S170" s="269"/>
      <c r="T170" s="269"/>
      <c r="U170" s="269"/>
      <c r="V170" s="269"/>
      <c r="W170" s="269"/>
      <c r="X170" s="269"/>
      <c r="Y170" s="269"/>
      <c r="Z170" s="269"/>
    </row>
    <row r="171">
      <c r="A171" s="269" t="str">
        <f>IFERROR(__xludf.DUMMYFUNCTION("""COMPUTED_VALUE"""),"Vampire")</f>
        <v>Vampire</v>
      </c>
      <c r="B171" s="269" t="str">
        <f>IFERROR(__xludf.DUMMYFUNCTION("""COMPUTED_VALUE"""),"Tier 1")</f>
        <v>Tier 1</v>
      </c>
      <c r="C171" s="269"/>
      <c r="D171" s="269"/>
      <c r="E171" s="269"/>
      <c r="F171" s="269"/>
      <c r="G171" s="269"/>
      <c r="H171" s="269"/>
      <c r="I171" s="269"/>
      <c r="J171" s="269"/>
      <c r="K171" s="269"/>
      <c r="L171" s="269"/>
      <c r="M171" s="269"/>
      <c r="N171" s="269"/>
      <c r="O171" s="269"/>
      <c r="P171" s="269"/>
      <c r="Q171" s="269"/>
      <c r="R171" s="269"/>
      <c r="S171" s="269"/>
      <c r="T171" s="269"/>
      <c r="U171" s="269"/>
      <c r="V171" s="269"/>
      <c r="W171" s="269"/>
      <c r="X171" s="269"/>
      <c r="Y171" s="269"/>
      <c r="Z171" s="269"/>
    </row>
    <row r="172">
      <c r="A172" s="269" t="str">
        <f>IFERROR(__xludf.DUMMYFUNCTION("""COMPUTED_VALUE"""),"Vampire Lord")</f>
        <v>Vampire Lord</v>
      </c>
      <c r="B172" s="269" t="str">
        <f>IFERROR(__xludf.DUMMYFUNCTION("""COMPUTED_VALUE"""),"Tier 2")</f>
        <v>Tier 2</v>
      </c>
      <c r="C172" s="269"/>
      <c r="D172" s="269"/>
      <c r="E172" s="269"/>
      <c r="F172" s="269"/>
      <c r="G172" s="269"/>
      <c r="H172" s="269"/>
      <c r="I172" s="269"/>
      <c r="J172" s="269"/>
      <c r="K172" s="269"/>
      <c r="L172" s="269"/>
      <c r="M172" s="269"/>
      <c r="N172" s="269"/>
      <c r="O172" s="269"/>
      <c r="P172" s="269"/>
      <c r="Q172" s="269"/>
      <c r="R172" s="269"/>
      <c r="S172" s="269"/>
      <c r="T172" s="269"/>
      <c r="U172" s="269"/>
      <c r="V172" s="269"/>
      <c r="W172" s="269"/>
      <c r="X172" s="269"/>
      <c r="Y172" s="269"/>
      <c r="Z172" s="269"/>
    </row>
    <row r="173">
      <c r="A173" s="269" t="str">
        <f>IFERROR(__xludf.DUMMYFUNCTION("""COMPUTED_VALUE"""),"Veilguard")</f>
        <v>Veilguard</v>
      </c>
      <c r="B173" s="269" t="str">
        <f>IFERROR(__xludf.DUMMYFUNCTION("""COMPUTED_VALUE"""),"Tier 3")</f>
        <v>Tier 3</v>
      </c>
      <c r="C173" s="269"/>
      <c r="D173" s="269"/>
      <c r="E173" s="269"/>
      <c r="F173" s="269"/>
      <c r="G173" s="269"/>
      <c r="H173" s="269"/>
      <c r="I173" s="269"/>
      <c r="J173" s="269"/>
      <c r="K173" s="269"/>
      <c r="L173" s="269"/>
      <c r="M173" s="269"/>
      <c r="N173" s="269"/>
      <c r="O173" s="269"/>
      <c r="P173" s="269"/>
      <c r="Q173" s="269"/>
      <c r="R173" s="269"/>
      <c r="S173" s="269"/>
      <c r="T173" s="269"/>
      <c r="U173" s="269"/>
      <c r="V173" s="269"/>
      <c r="W173" s="269"/>
      <c r="X173" s="269"/>
      <c r="Y173" s="269"/>
      <c r="Z173" s="269"/>
    </row>
    <row r="174">
      <c r="A174" s="269" t="str">
        <f>IFERROR(__xludf.DUMMYFUNCTION("""COMPUTED_VALUE"""),"Venomancer")</f>
        <v>Venomancer</v>
      </c>
      <c r="B174" s="269" t="str">
        <f>IFERROR(__xludf.DUMMYFUNCTION("""COMPUTED_VALUE"""),"Tier 2")</f>
        <v>Tier 2</v>
      </c>
      <c r="C174" s="269"/>
      <c r="D174" s="269"/>
      <c r="E174" s="269"/>
      <c r="F174" s="269"/>
      <c r="G174" s="269"/>
      <c r="H174" s="269"/>
      <c r="I174" s="269"/>
      <c r="J174" s="269"/>
      <c r="K174" s="269"/>
      <c r="L174" s="269"/>
      <c r="M174" s="269"/>
      <c r="N174" s="269"/>
      <c r="O174" s="269"/>
      <c r="P174" s="269"/>
      <c r="Q174" s="269"/>
      <c r="R174" s="269"/>
      <c r="S174" s="269"/>
      <c r="T174" s="269"/>
      <c r="U174" s="269"/>
      <c r="V174" s="269"/>
      <c r="W174" s="269"/>
      <c r="X174" s="269"/>
      <c r="Y174" s="269"/>
      <c r="Z174" s="269"/>
    </row>
    <row r="175">
      <c r="A175" s="269" t="str">
        <f>IFERROR(__xludf.DUMMYFUNCTION("""COMPUTED_VALUE"""),"Venomblade")</f>
        <v>Venomblade</v>
      </c>
      <c r="B175" s="269" t="str">
        <f>IFERROR(__xludf.DUMMYFUNCTION("""COMPUTED_VALUE"""),"Tier 2")</f>
        <v>Tier 2</v>
      </c>
      <c r="C175" s="269"/>
      <c r="D175" s="269"/>
      <c r="E175" s="269"/>
      <c r="F175" s="269"/>
      <c r="G175" s="269"/>
      <c r="H175" s="269"/>
      <c r="I175" s="269"/>
      <c r="J175" s="269"/>
      <c r="K175" s="269"/>
      <c r="L175" s="269"/>
      <c r="M175" s="269"/>
      <c r="N175" s="269"/>
      <c r="O175" s="269"/>
      <c r="P175" s="269"/>
      <c r="Q175" s="269"/>
      <c r="R175" s="269"/>
      <c r="S175" s="269"/>
      <c r="T175" s="269"/>
      <c r="U175" s="269"/>
      <c r="V175" s="269"/>
      <c r="W175" s="269"/>
      <c r="X175" s="269"/>
      <c r="Y175" s="269"/>
      <c r="Z175" s="269"/>
    </row>
    <row r="176">
      <c r="A176" s="269" t="str">
        <f>IFERROR(__xludf.DUMMYFUNCTION("""COMPUTED_VALUE"""),"Warding Mage")</f>
        <v>Warding Mage</v>
      </c>
      <c r="B176" s="269" t="str">
        <f>IFERROR(__xludf.DUMMYFUNCTION("""COMPUTED_VALUE"""),"Tier 2")</f>
        <v>Tier 2</v>
      </c>
      <c r="C176" s="269"/>
      <c r="D176" s="269"/>
      <c r="E176" s="269"/>
      <c r="F176" s="269"/>
      <c r="G176" s="269"/>
      <c r="H176" s="269"/>
      <c r="I176" s="269"/>
      <c r="J176" s="269"/>
      <c r="K176" s="269"/>
      <c r="L176" s="269"/>
      <c r="M176" s="269"/>
      <c r="N176" s="269"/>
      <c r="O176" s="269"/>
      <c r="P176" s="269"/>
      <c r="Q176" s="269"/>
      <c r="R176" s="269"/>
      <c r="S176" s="269"/>
      <c r="T176" s="269"/>
      <c r="U176" s="269"/>
      <c r="V176" s="269"/>
      <c r="W176" s="269"/>
      <c r="X176" s="269"/>
      <c r="Y176" s="269"/>
      <c r="Z176" s="269"/>
    </row>
    <row r="177">
      <c r="A177" s="269" t="str">
        <f>IFERROR(__xludf.DUMMYFUNCTION("""COMPUTED_VALUE"""),"Wave Palm Style")</f>
        <v>Wave Palm Style</v>
      </c>
      <c r="B177" s="269" t="str">
        <f>IFERROR(__xludf.DUMMYFUNCTION("""COMPUTED_VALUE"""),"Tier 2")</f>
        <v>Tier 2</v>
      </c>
      <c r="C177" s="269"/>
      <c r="D177" s="269"/>
      <c r="E177" s="269"/>
      <c r="F177" s="269"/>
      <c r="G177" s="269"/>
      <c r="H177" s="269"/>
      <c r="I177" s="269"/>
      <c r="J177" s="269"/>
      <c r="K177" s="269"/>
      <c r="L177" s="269"/>
      <c r="M177" s="269"/>
      <c r="N177" s="269"/>
      <c r="O177" s="269"/>
      <c r="P177" s="269"/>
      <c r="Q177" s="269"/>
      <c r="R177" s="269"/>
      <c r="S177" s="269"/>
      <c r="T177" s="269"/>
      <c r="U177" s="269"/>
      <c r="V177" s="269"/>
      <c r="W177" s="269"/>
      <c r="X177" s="269"/>
      <c r="Y177" s="269"/>
      <c r="Z177" s="269"/>
    </row>
    <row r="178">
      <c r="A178" s="269" t="str">
        <f>IFERROR(__xludf.DUMMYFUNCTION("""COMPUTED_VALUE"""),"Wildheart")</f>
        <v>Wildheart</v>
      </c>
      <c r="B178" s="269" t="str">
        <f>IFERROR(__xludf.DUMMYFUNCTION("""COMPUTED_VALUE"""),"Tier 3")</f>
        <v>Tier 3</v>
      </c>
      <c r="C178" s="269"/>
      <c r="D178" s="269"/>
      <c r="E178" s="269"/>
      <c r="F178" s="269"/>
      <c r="G178" s="269"/>
      <c r="H178" s="269"/>
      <c r="I178" s="269"/>
      <c r="J178" s="269"/>
      <c r="K178" s="269"/>
      <c r="L178" s="269"/>
      <c r="M178" s="269"/>
      <c r="N178" s="269"/>
      <c r="O178" s="269"/>
      <c r="P178" s="269"/>
      <c r="Q178" s="269"/>
      <c r="R178" s="269"/>
      <c r="S178" s="269"/>
      <c r="T178" s="269"/>
      <c r="U178" s="269"/>
      <c r="V178" s="269"/>
      <c r="W178" s="269"/>
      <c r="X178" s="269"/>
      <c r="Y178" s="269"/>
      <c r="Z178" s="269"/>
    </row>
    <row r="179">
      <c r="A179" s="269" t="str">
        <f>IFERROR(__xludf.DUMMYFUNCTION("""COMPUTED_VALUE"""),"Windbringer")</f>
        <v>Windbringer</v>
      </c>
      <c r="B179" s="269" t="str">
        <f>IFERROR(__xludf.DUMMYFUNCTION("""COMPUTED_VALUE"""),"Tier 2")</f>
        <v>Tier 2</v>
      </c>
      <c r="C179" s="269"/>
      <c r="D179" s="269"/>
      <c r="E179" s="269"/>
      <c r="F179" s="269"/>
      <c r="G179" s="269"/>
      <c r="H179" s="269"/>
      <c r="I179" s="269"/>
      <c r="J179" s="269"/>
      <c r="K179" s="269"/>
      <c r="L179" s="269"/>
      <c r="M179" s="269"/>
      <c r="N179" s="269"/>
      <c r="O179" s="269"/>
      <c r="P179" s="269"/>
      <c r="Q179" s="269"/>
      <c r="R179" s="269"/>
      <c r="S179" s="269"/>
      <c r="T179" s="269"/>
      <c r="U179" s="269"/>
      <c r="V179" s="269"/>
      <c r="W179" s="269"/>
      <c r="X179" s="269"/>
      <c r="Y179" s="269"/>
      <c r="Z179" s="269"/>
    </row>
    <row r="180">
      <c r="A180" s="269" t="str">
        <f>IFERROR(__xludf.DUMMYFUNCTION("""COMPUTED_VALUE"""),"Zen Warrior")</f>
        <v>Zen Warrior</v>
      </c>
      <c r="B180" s="269" t="str">
        <f>IFERROR(__xludf.DUMMYFUNCTION("""COMPUTED_VALUE"""),"Tier 3")</f>
        <v>Tier 3</v>
      </c>
      <c r="C180" s="269"/>
      <c r="D180" s="269"/>
      <c r="E180" s="269"/>
      <c r="F180" s="269"/>
      <c r="G180" s="269"/>
      <c r="H180" s="269"/>
      <c r="I180" s="269"/>
      <c r="J180" s="269"/>
      <c r="K180" s="269"/>
      <c r="L180" s="269"/>
      <c r="M180" s="269"/>
      <c r="N180" s="269"/>
      <c r="O180" s="269"/>
      <c r="P180" s="269"/>
      <c r="Q180" s="269"/>
      <c r="R180" s="269"/>
      <c r="S180" s="269"/>
      <c r="T180" s="269"/>
      <c r="U180" s="269"/>
      <c r="V180" s="269"/>
      <c r="W180" s="269"/>
      <c r="X180" s="269"/>
      <c r="Y180" s="269"/>
      <c r="Z180" s="269"/>
    </row>
    <row r="181">
      <c r="A181" s="269" t="str">
        <f>IFERROR(__xludf.DUMMYFUNCTION("""COMPUTED_VALUE"""),"Zephyr Warder")</f>
        <v>Zephyr Warder</v>
      </c>
      <c r="B181" s="269" t="str">
        <f>IFERROR(__xludf.DUMMYFUNCTION("""COMPUTED_VALUE"""),"Tier 2")</f>
        <v>Tier 2</v>
      </c>
      <c r="C181" s="269"/>
      <c r="D181" s="269"/>
      <c r="E181" s="269"/>
      <c r="F181" s="269"/>
      <c r="G181" s="269"/>
      <c r="H181" s="269"/>
      <c r="I181" s="269"/>
      <c r="J181" s="269"/>
      <c r="K181" s="269"/>
      <c r="L181" s="269"/>
      <c r="M181" s="269"/>
      <c r="N181" s="269"/>
      <c r="O181" s="269"/>
      <c r="P181" s="269"/>
      <c r="Q181" s="269"/>
      <c r="R181" s="269"/>
      <c r="S181" s="269"/>
      <c r="T181" s="269"/>
      <c r="U181" s="269"/>
      <c r="V181" s="269"/>
      <c r="W181" s="269"/>
      <c r="X181" s="269"/>
      <c r="Y181" s="269"/>
      <c r="Z181" s="269"/>
    </row>
    <row r="182">
      <c r="A182" s="269"/>
      <c r="B182" s="269"/>
      <c r="C182" s="269"/>
      <c r="D182" s="269"/>
      <c r="E182" s="269"/>
      <c r="F182" s="269"/>
      <c r="G182" s="269"/>
      <c r="H182" s="269"/>
      <c r="I182" s="269"/>
      <c r="J182" s="269"/>
      <c r="K182" s="269"/>
      <c r="L182" s="269"/>
      <c r="M182" s="269"/>
      <c r="N182" s="269"/>
      <c r="O182" s="269"/>
      <c r="P182" s="269"/>
      <c r="Q182" s="269"/>
      <c r="R182" s="269"/>
      <c r="S182" s="269"/>
      <c r="T182" s="269"/>
      <c r="U182" s="269"/>
      <c r="V182" s="269"/>
      <c r="W182" s="269"/>
      <c r="X182" s="269"/>
      <c r="Y182" s="269"/>
      <c r="Z182" s="269"/>
    </row>
    <row r="183">
      <c r="A183" s="269"/>
      <c r="B183" s="269"/>
      <c r="C183" s="269"/>
      <c r="D183" s="269"/>
      <c r="E183" s="269"/>
      <c r="F183" s="269"/>
      <c r="G183" s="269"/>
      <c r="H183" s="269"/>
      <c r="I183" s="269"/>
      <c r="J183" s="269"/>
      <c r="K183" s="269"/>
      <c r="L183" s="269"/>
      <c r="M183" s="269"/>
      <c r="N183" s="269"/>
      <c r="O183" s="269"/>
      <c r="P183" s="269"/>
      <c r="Q183" s="269"/>
      <c r="R183" s="269"/>
      <c r="S183" s="269"/>
      <c r="T183" s="269"/>
      <c r="U183" s="269"/>
      <c r="V183" s="269"/>
      <c r="W183" s="269"/>
      <c r="X183" s="269"/>
      <c r="Y183" s="269"/>
      <c r="Z183" s="269"/>
    </row>
    <row r="184">
      <c r="A184" s="269"/>
      <c r="B184" s="269"/>
      <c r="C184" s="269"/>
      <c r="D184" s="269"/>
      <c r="E184" s="269"/>
      <c r="F184" s="269"/>
      <c r="G184" s="269"/>
      <c r="H184" s="269"/>
      <c r="I184" s="269"/>
      <c r="J184" s="269"/>
      <c r="K184" s="269"/>
      <c r="L184" s="269"/>
      <c r="M184" s="269"/>
      <c r="N184" s="269"/>
      <c r="O184" s="269"/>
      <c r="P184" s="269"/>
      <c r="Q184" s="269"/>
      <c r="R184" s="269"/>
      <c r="S184" s="269"/>
      <c r="T184" s="269"/>
      <c r="U184" s="269"/>
      <c r="V184" s="269"/>
      <c r="W184" s="269"/>
      <c r="X184" s="269"/>
      <c r="Y184" s="269"/>
      <c r="Z184" s="269"/>
    </row>
    <row r="185">
      <c r="A185" s="269"/>
      <c r="B185" s="269"/>
      <c r="C185" s="269"/>
      <c r="D185" s="269"/>
      <c r="E185" s="269"/>
      <c r="F185" s="269"/>
      <c r="G185" s="269"/>
      <c r="H185" s="269"/>
      <c r="I185" s="269"/>
      <c r="J185" s="269"/>
      <c r="K185" s="269"/>
      <c r="L185" s="269"/>
      <c r="M185" s="269"/>
      <c r="N185" s="269"/>
      <c r="O185" s="269"/>
      <c r="P185" s="269"/>
      <c r="Q185" s="269"/>
      <c r="R185" s="269"/>
      <c r="S185" s="269"/>
      <c r="T185" s="269"/>
      <c r="U185" s="269"/>
      <c r="V185" s="269"/>
      <c r="W185" s="269"/>
      <c r="X185" s="269"/>
      <c r="Y185" s="269"/>
      <c r="Z185" s="269"/>
    </row>
    <row r="186">
      <c r="A186" s="269"/>
      <c r="B186" s="269"/>
      <c r="C186" s="269"/>
      <c r="D186" s="269"/>
      <c r="E186" s="269"/>
      <c r="F186" s="269"/>
      <c r="G186" s="269"/>
      <c r="H186" s="269"/>
      <c r="I186" s="269"/>
      <c r="J186" s="269"/>
      <c r="K186" s="269"/>
      <c r="L186" s="269"/>
      <c r="M186" s="269"/>
      <c r="N186" s="269"/>
      <c r="O186" s="269"/>
      <c r="P186" s="269"/>
      <c r="Q186" s="269"/>
      <c r="R186" s="269"/>
      <c r="S186" s="269"/>
      <c r="T186" s="269"/>
      <c r="U186" s="269"/>
      <c r="V186" s="269"/>
      <c r="W186" s="269"/>
      <c r="X186" s="269"/>
      <c r="Y186" s="269"/>
      <c r="Z186" s="269"/>
    </row>
    <row r="187">
      <c r="A187" s="269"/>
      <c r="B187" s="269"/>
      <c r="C187" s="269"/>
      <c r="D187" s="269"/>
      <c r="E187" s="269"/>
      <c r="F187" s="269"/>
      <c r="G187" s="269"/>
      <c r="H187" s="269"/>
      <c r="I187" s="269"/>
      <c r="J187" s="269"/>
      <c r="K187" s="269"/>
      <c r="L187" s="269"/>
      <c r="M187" s="269"/>
      <c r="N187" s="269"/>
      <c r="O187" s="269"/>
      <c r="P187" s="269"/>
      <c r="Q187" s="269"/>
      <c r="R187" s="269"/>
      <c r="S187" s="269"/>
      <c r="T187" s="269"/>
      <c r="U187" s="269"/>
      <c r="V187" s="269"/>
      <c r="W187" s="269"/>
      <c r="X187" s="269"/>
      <c r="Y187" s="269"/>
      <c r="Z187" s="269"/>
    </row>
    <row r="188">
      <c r="A188" s="269"/>
      <c r="B188" s="269"/>
      <c r="C188" s="269"/>
      <c r="D188" s="269"/>
      <c r="E188" s="269"/>
      <c r="F188" s="269"/>
      <c r="G188" s="269"/>
      <c r="H188" s="269"/>
      <c r="I188" s="269"/>
      <c r="J188" s="269"/>
      <c r="K188" s="269"/>
      <c r="L188" s="269"/>
      <c r="M188" s="269"/>
      <c r="N188" s="269"/>
      <c r="O188" s="269"/>
      <c r="P188" s="269"/>
      <c r="Q188" s="269"/>
      <c r="R188" s="269"/>
      <c r="S188" s="269"/>
      <c r="T188" s="269"/>
      <c r="U188" s="269"/>
      <c r="V188" s="269"/>
      <c r="W188" s="269"/>
      <c r="X188" s="269"/>
      <c r="Y188" s="269"/>
      <c r="Z188" s="269"/>
    </row>
    <row r="189">
      <c r="A189" s="269"/>
      <c r="B189" s="269"/>
      <c r="C189" s="269"/>
      <c r="D189" s="269"/>
      <c r="E189" s="269"/>
      <c r="F189" s="269"/>
      <c r="G189" s="269"/>
      <c r="H189" s="269"/>
      <c r="I189" s="269"/>
      <c r="J189" s="269"/>
      <c r="K189" s="269"/>
      <c r="L189" s="269"/>
      <c r="M189" s="269"/>
      <c r="N189" s="269"/>
      <c r="O189" s="269"/>
      <c r="P189" s="269"/>
      <c r="Q189" s="269"/>
      <c r="R189" s="269"/>
      <c r="S189" s="269"/>
      <c r="T189" s="269"/>
      <c r="U189" s="269"/>
      <c r="V189" s="269"/>
      <c r="W189" s="269"/>
      <c r="X189" s="269"/>
      <c r="Y189" s="269"/>
      <c r="Z189" s="269"/>
    </row>
    <row r="190">
      <c r="A190" s="269"/>
      <c r="B190" s="269"/>
      <c r="C190" s="269"/>
      <c r="D190" s="269"/>
      <c r="E190" s="269"/>
      <c r="F190" s="269"/>
      <c r="G190" s="269"/>
      <c r="H190" s="269"/>
      <c r="I190" s="269"/>
      <c r="J190" s="269"/>
      <c r="K190" s="269"/>
      <c r="L190" s="269"/>
      <c r="M190" s="269"/>
      <c r="N190" s="269"/>
      <c r="O190" s="269"/>
      <c r="P190" s="269"/>
      <c r="Q190" s="269"/>
      <c r="R190" s="269"/>
      <c r="S190" s="269"/>
      <c r="T190" s="269"/>
      <c r="U190" s="269"/>
      <c r="V190" s="269"/>
      <c r="W190" s="269"/>
      <c r="X190" s="269"/>
      <c r="Y190" s="269"/>
      <c r="Z190" s="269"/>
    </row>
    <row r="191">
      <c r="A191" s="269"/>
      <c r="B191" s="269"/>
      <c r="C191" s="269"/>
      <c r="D191" s="269"/>
      <c r="E191" s="269"/>
      <c r="F191" s="269"/>
      <c r="G191" s="269"/>
      <c r="H191" s="269"/>
      <c r="I191" s="269"/>
      <c r="J191" s="269"/>
      <c r="K191" s="269"/>
      <c r="L191" s="269"/>
      <c r="M191" s="269"/>
      <c r="N191" s="269"/>
      <c r="O191" s="269"/>
      <c r="P191" s="269"/>
      <c r="Q191" s="269"/>
      <c r="R191" s="269"/>
      <c r="S191" s="269"/>
      <c r="T191" s="269"/>
      <c r="U191" s="269"/>
      <c r="V191" s="269"/>
      <c r="W191" s="269"/>
      <c r="X191" s="269"/>
      <c r="Y191" s="269"/>
      <c r="Z191" s="269"/>
    </row>
    <row r="192">
      <c r="A192" s="269"/>
      <c r="B192" s="269"/>
      <c r="C192" s="269"/>
      <c r="D192" s="269"/>
      <c r="E192" s="269"/>
      <c r="F192" s="269"/>
      <c r="G192" s="269"/>
      <c r="H192" s="269"/>
      <c r="I192" s="269"/>
      <c r="J192" s="269"/>
      <c r="K192" s="269"/>
      <c r="L192" s="269"/>
      <c r="M192" s="269"/>
      <c r="N192" s="269"/>
      <c r="O192" s="269"/>
      <c r="P192" s="269"/>
      <c r="Q192" s="269"/>
      <c r="R192" s="269"/>
      <c r="S192" s="269"/>
      <c r="T192" s="269"/>
      <c r="U192" s="269"/>
      <c r="V192" s="269"/>
      <c r="W192" s="269"/>
      <c r="X192" s="269"/>
      <c r="Y192" s="269"/>
      <c r="Z192" s="269"/>
    </row>
    <row r="193">
      <c r="A193" s="269"/>
      <c r="B193" s="269"/>
      <c r="C193" s="269"/>
      <c r="D193" s="269"/>
      <c r="E193" s="269"/>
      <c r="F193" s="269"/>
      <c r="G193" s="269"/>
      <c r="H193" s="269"/>
      <c r="I193" s="269"/>
      <c r="J193" s="269"/>
      <c r="K193" s="269"/>
      <c r="L193" s="269"/>
      <c r="M193" s="269"/>
      <c r="N193" s="269"/>
      <c r="O193" s="269"/>
      <c r="P193" s="269"/>
      <c r="Q193" s="269"/>
      <c r="R193" s="269"/>
      <c r="S193" s="269"/>
      <c r="T193" s="269"/>
      <c r="U193" s="269"/>
      <c r="V193" s="269"/>
      <c r="W193" s="269"/>
      <c r="X193" s="269"/>
      <c r="Y193" s="269"/>
      <c r="Z193" s="269"/>
    </row>
    <row r="194">
      <c r="A194" s="269"/>
      <c r="B194" s="269"/>
      <c r="C194" s="269"/>
      <c r="D194" s="269"/>
      <c r="E194" s="269"/>
      <c r="F194" s="269"/>
      <c r="G194" s="269"/>
      <c r="H194" s="269"/>
      <c r="I194" s="269"/>
      <c r="J194" s="269"/>
      <c r="K194" s="269"/>
      <c r="L194" s="269"/>
      <c r="M194" s="269"/>
      <c r="N194" s="269"/>
      <c r="O194" s="269"/>
      <c r="P194" s="269"/>
      <c r="Q194" s="269"/>
      <c r="R194" s="269"/>
      <c r="S194" s="269"/>
      <c r="T194" s="269"/>
      <c r="U194" s="269"/>
      <c r="V194" s="269"/>
      <c r="W194" s="269"/>
      <c r="X194" s="269"/>
      <c r="Y194" s="269"/>
      <c r="Z194" s="269"/>
    </row>
    <row r="195">
      <c r="A195" s="269"/>
      <c r="B195" s="269"/>
      <c r="C195" s="269"/>
      <c r="D195" s="269"/>
      <c r="E195" s="269"/>
      <c r="F195" s="269"/>
      <c r="G195" s="269"/>
      <c r="H195" s="269"/>
      <c r="I195" s="269"/>
      <c r="J195" s="269"/>
      <c r="K195" s="269"/>
      <c r="L195" s="269"/>
      <c r="M195" s="269"/>
      <c r="N195" s="269"/>
      <c r="O195" s="269"/>
      <c r="P195" s="269"/>
      <c r="Q195" s="269"/>
      <c r="R195" s="269"/>
      <c r="S195" s="269"/>
      <c r="T195" s="269"/>
      <c r="U195" s="269"/>
      <c r="V195" s="269"/>
      <c r="W195" s="269"/>
      <c r="X195" s="269"/>
      <c r="Y195" s="269"/>
      <c r="Z195" s="269"/>
    </row>
    <row r="196">
      <c r="A196" s="269"/>
      <c r="B196" s="269"/>
      <c r="C196" s="269"/>
      <c r="D196" s="269"/>
      <c r="E196" s="269"/>
      <c r="F196" s="269"/>
      <c r="G196" s="269"/>
      <c r="H196" s="269"/>
      <c r="I196" s="269"/>
      <c r="J196" s="269"/>
      <c r="K196" s="269"/>
      <c r="L196" s="269"/>
      <c r="M196" s="269"/>
      <c r="N196" s="269"/>
      <c r="O196" s="269"/>
      <c r="P196" s="269"/>
      <c r="Q196" s="269"/>
      <c r="R196" s="269"/>
      <c r="S196" s="269"/>
      <c r="T196" s="269"/>
      <c r="U196" s="269"/>
      <c r="V196" s="269"/>
      <c r="W196" s="269"/>
      <c r="X196" s="269"/>
      <c r="Y196" s="269"/>
      <c r="Z196" s="269"/>
    </row>
    <row r="197">
      <c r="A197" s="269"/>
      <c r="B197" s="269"/>
      <c r="C197" s="269"/>
      <c r="D197" s="269"/>
      <c r="E197" s="269"/>
      <c r="F197" s="269"/>
      <c r="G197" s="269"/>
      <c r="H197" s="269"/>
      <c r="I197" s="269"/>
      <c r="J197" s="269"/>
      <c r="K197" s="269"/>
      <c r="L197" s="269"/>
      <c r="M197" s="269"/>
      <c r="N197" s="269"/>
      <c r="O197" s="269"/>
      <c r="P197" s="269"/>
      <c r="Q197" s="269"/>
      <c r="R197" s="269"/>
      <c r="S197" s="269"/>
      <c r="T197" s="269"/>
      <c r="U197" s="269"/>
      <c r="V197" s="269"/>
      <c r="W197" s="269"/>
      <c r="X197" s="269"/>
      <c r="Y197" s="269"/>
      <c r="Z197" s="269"/>
    </row>
    <row r="198">
      <c r="A198" s="269"/>
      <c r="B198" s="269"/>
      <c r="C198" s="269"/>
      <c r="D198" s="269"/>
      <c r="E198" s="269"/>
      <c r="F198" s="269"/>
      <c r="G198" s="269"/>
      <c r="H198" s="269"/>
      <c r="I198" s="269"/>
      <c r="J198" s="269"/>
      <c r="K198" s="269"/>
      <c r="L198" s="269"/>
      <c r="M198" s="269"/>
      <c r="N198" s="269"/>
      <c r="O198" s="269"/>
      <c r="P198" s="269"/>
      <c r="Q198" s="269"/>
      <c r="R198" s="269"/>
      <c r="S198" s="269"/>
      <c r="T198" s="269"/>
      <c r="U198" s="269"/>
      <c r="V198" s="269"/>
      <c r="W198" s="269"/>
      <c r="X198" s="269"/>
      <c r="Y198" s="269"/>
      <c r="Z198" s="269"/>
    </row>
    <row r="199">
      <c r="A199" s="269"/>
      <c r="B199" s="269"/>
      <c r="C199" s="269"/>
      <c r="D199" s="269"/>
      <c r="E199" s="269"/>
      <c r="F199" s="269"/>
      <c r="G199" s="269"/>
      <c r="H199" s="269"/>
      <c r="I199" s="269"/>
      <c r="J199" s="269"/>
      <c r="K199" s="269"/>
      <c r="L199" s="269"/>
      <c r="M199" s="269"/>
      <c r="N199" s="269"/>
      <c r="O199" s="269"/>
      <c r="P199" s="269"/>
      <c r="Q199" s="269"/>
      <c r="R199" s="269"/>
      <c r="S199" s="269"/>
      <c r="T199" s="269"/>
      <c r="U199" s="269"/>
      <c r="V199" s="269"/>
      <c r="W199" s="269"/>
      <c r="X199" s="269"/>
      <c r="Y199" s="269"/>
      <c r="Z199" s="269"/>
    </row>
    <row r="200">
      <c r="A200" s="269"/>
      <c r="B200" s="269"/>
      <c r="C200" s="269"/>
      <c r="D200" s="269"/>
      <c r="E200" s="269"/>
      <c r="F200" s="269"/>
      <c r="G200" s="269"/>
      <c r="H200" s="269"/>
      <c r="I200" s="269"/>
      <c r="J200" s="269"/>
      <c r="K200" s="269"/>
      <c r="L200" s="269"/>
      <c r="M200" s="269"/>
      <c r="N200" s="269"/>
      <c r="O200" s="269"/>
      <c r="P200" s="269"/>
      <c r="Q200" s="269"/>
      <c r="R200" s="269"/>
      <c r="S200" s="269"/>
      <c r="T200" s="269"/>
      <c r="U200" s="269"/>
      <c r="V200" s="269"/>
      <c r="W200" s="269"/>
      <c r="X200" s="269"/>
      <c r="Y200" s="269"/>
      <c r="Z200" s="269"/>
    </row>
    <row r="201">
      <c r="A201" s="269"/>
      <c r="B201" s="269"/>
      <c r="C201" s="269"/>
      <c r="D201" s="269"/>
      <c r="E201" s="269"/>
      <c r="F201" s="269"/>
      <c r="G201" s="269"/>
      <c r="H201" s="269"/>
      <c r="I201" s="269"/>
      <c r="J201" s="269"/>
      <c r="K201" s="269"/>
      <c r="L201" s="269"/>
      <c r="M201" s="269"/>
      <c r="N201" s="269"/>
      <c r="O201" s="269"/>
      <c r="P201" s="269"/>
      <c r="Q201" s="269"/>
      <c r="R201" s="269"/>
      <c r="S201" s="269"/>
      <c r="T201" s="269"/>
      <c r="U201" s="269"/>
      <c r="V201" s="269"/>
      <c r="W201" s="269"/>
      <c r="X201" s="269"/>
      <c r="Y201" s="269"/>
      <c r="Z201" s="269"/>
    </row>
    <row r="202">
      <c r="A202" s="269"/>
      <c r="B202" s="269"/>
      <c r="C202" s="269"/>
      <c r="D202" s="269"/>
      <c r="E202" s="269"/>
      <c r="F202" s="269"/>
      <c r="G202" s="269"/>
      <c r="H202" s="269"/>
      <c r="I202" s="269"/>
      <c r="J202" s="269"/>
      <c r="K202" s="269"/>
      <c r="L202" s="269"/>
      <c r="M202" s="269"/>
      <c r="N202" s="269"/>
      <c r="O202" s="269"/>
      <c r="P202" s="269"/>
      <c r="Q202" s="269"/>
      <c r="R202" s="269"/>
      <c r="S202" s="269"/>
      <c r="T202" s="269"/>
      <c r="U202" s="269"/>
      <c r="V202" s="269"/>
      <c r="W202" s="269"/>
      <c r="X202" s="269"/>
      <c r="Y202" s="269"/>
      <c r="Z202" s="269"/>
    </row>
    <row r="203">
      <c r="A203" s="269"/>
      <c r="B203" s="269"/>
      <c r="C203" s="269"/>
      <c r="D203" s="269"/>
      <c r="E203" s="269"/>
      <c r="F203" s="269"/>
      <c r="G203" s="269"/>
      <c r="H203" s="269"/>
      <c r="I203" s="269"/>
      <c r="J203" s="269"/>
      <c r="K203" s="269"/>
      <c r="L203" s="269"/>
      <c r="M203" s="269"/>
      <c r="N203" s="269"/>
      <c r="O203" s="269"/>
      <c r="P203" s="269"/>
      <c r="Q203" s="269"/>
      <c r="R203" s="269"/>
      <c r="S203" s="269"/>
      <c r="T203" s="269"/>
      <c r="U203" s="269"/>
      <c r="V203" s="269"/>
      <c r="W203" s="269"/>
      <c r="X203" s="269"/>
      <c r="Y203" s="269"/>
      <c r="Z203" s="269"/>
    </row>
    <row r="204">
      <c r="A204" s="269"/>
      <c r="B204" s="269"/>
      <c r="C204" s="269"/>
      <c r="D204" s="269"/>
      <c r="E204" s="269"/>
      <c r="F204" s="269"/>
      <c r="G204" s="269"/>
      <c r="H204" s="269"/>
      <c r="I204" s="269"/>
      <c r="J204" s="269"/>
      <c r="K204" s="269"/>
      <c r="L204" s="269"/>
      <c r="M204" s="269"/>
      <c r="N204" s="269"/>
      <c r="O204" s="269"/>
      <c r="P204" s="269"/>
      <c r="Q204" s="269"/>
      <c r="R204" s="269"/>
      <c r="S204" s="269"/>
      <c r="T204" s="269"/>
      <c r="U204" s="269"/>
      <c r="V204" s="269"/>
      <c r="W204" s="269"/>
      <c r="X204" s="269"/>
      <c r="Y204" s="269"/>
      <c r="Z204" s="269"/>
    </row>
    <row r="205">
      <c r="A205" s="269"/>
      <c r="B205" s="269"/>
      <c r="C205" s="269"/>
      <c r="D205" s="269"/>
      <c r="E205" s="269"/>
      <c r="F205" s="269"/>
      <c r="G205" s="269"/>
      <c r="H205" s="269"/>
      <c r="I205" s="269"/>
      <c r="J205" s="269"/>
      <c r="K205" s="269"/>
      <c r="L205" s="269"/>
      <c r="M205" s="269"/>
      <c r="N205" s="269"/>
      <c r="O205" s="269"/>
      <c r="P205" s="269"/>
      <c r="Q205" s="269"/>
      <c r="R205" s="269"/>
      <c r="S205" s="269"/>
      <c r="T205" s="269"/>
      <c r="U205" s="269"/>
      <c r="V205" s="269"/>
      <c r="W205" s="269"/>
      <c r="X205" s="269"/>
      <c r="Y205" s="269"/>
      <c r="Z205" s="269"/>
    </row>
    <row r="206">
      <c r="A206" s="269"/>
      <c r="B206" s="269"/>
      <c r="C206" s="269"/>
      <c r="D206" s="269"/>
      <c r="E206" s="269"/>
      <c r="F206" s="269"/>
      <c r="G206" s="269"/>
      <c r="H206" s="269"/>
      <c r="I206" s="269"/>
      <c r="J206" s="269"/>
      <c r="K206" s="269"/>
      <c r="L206" s="269"/>
      <c r="M206" s="269"/>
      <c r="N206" s="269"/>
      <c r="O206" s="269"/>
      <c r="P206" s="269"/>
      <c r="Q206" s="269"/>
      <c r="R206" s="269"/>
      <c r="S206" s="269"/>
      <c r="T206" s="269"/>
      <c r="U206" s="269"/>
      <c r="V206" s="269"/>
      <c r="W206" s="269"/>
      <c r="X206" s="269"/>
      <c r="Y206" s="269"/>
      <c r="Z206" s="269"/>
    </row>
    <row r="207">
      <c r="A207" s="269"/>
      <c r="B207" s="269"/>
      <c r="C207" s="269"/>
      <c r="D207" s="269"/>
      <c r="E207" s="269"/>
      <c r="F207" s="269"/>
      <c r="G207" s="269"/>
      <c r="H207" s="269"/>
      <c r="I207" s="269"/>
      <c r="J207" s="269"/>
      <c r="K207" s="269"/>
      <c r="L207" s="269"/>
      <c r="M207" s="269"/>
      <c r="N207" s="269"/>
      <c r="O207" s="269"/>
      <c r="P207" s="269"/>
      <c r="Q207" s="269"/>
      <c r="R207" s="269"/>
      <c r="S207" s="269"/>
      <c r="T207" s="269"/>
      <c r="U207" s="269"/>
      <c r="V207" s="269"/>
      <c r="W207" s="269"/>
      <c r="X207" s="269"/>
      <c r="Y207" s="269"/>
      <c r="Z207" s="269"/>
    </row>
    <row r="208">
      <c r="A208" s="269"/>
      <c r="B208" s="269"/>
      <c r="C208" s="269"/>
      <c r="D208" s="269"/>
      <c r="E208" s="269"/>
      <c r="F208" s="269"/>
      <c r="G208" s="269"/>
      <c r="H208" s="269"/>
      <c r="I208" s="269"/>
      <c r="J208" s="269"/>
      <c r="K208" s="269"/>
      <c r="L208" s="269"/>
      <c r="M208" s="269"/>
      <c r="N208" s="269"/>
      <c r="O208" s="269"/>
      <c r="P208" s="269"/>
      <c r="Q208" s="269"/>
      <c r="R208" s="269"/>
      <c r="S208" s="269"/>
      <c r="T208" s="269"/>
      <c r="U208" s="269"/>
      <c r="V208" s="269"/>
      <c r="W208" s="269"/>
      <c r="X208" s="269"/>
      <c r="Y208" s="269"/>
      <c r="Z208" s="269"/>
    </row>
    <row r="209">
      <c r="A209" s="269"/>
      <c r="B209" s="269"/>
      <c r="C209" s="269"/>
      <c r="D209" s="269"/>
      <c r="E209" s="269"/>
      <c r="F209" s="269"/>
      <c r="G209" s="269"/>
      <c r="H209" s="269"/>
      <c r="I209" s="269"/>
      <c r="J209" s="269"/>
      <c r="K209" s="269"/>
      <c r="L209" s="269"/>
      <c r="M209" s="269"/>
      <c r="N209" s="269"/>
      <c r="O209" s="269"/>
      <c r="P209" s="269"/>
      <c r="Q209" s="269"/>
      <c r="R209" s="269"/>
      <c r="S209" s="269"/>
      <c r="T209" s="269"/>
      <c r="U209" s="269"/>
      <c r="V209" s="269"/>
      <c r="W209" s="269"/>
      <c r="X209" s="269"/>
      <c r="Y209" s="269"/>
      <c r="Z209" s="269"/>
    </row>
    <row r="210">
      <c r="A210" s="269"/>
      <c r="B210" s="269"/>
      <c r="C210" s="269"/>
      <c r="D210" s="269"/>
      <c r="E210" s="269"/>
      <c r="F210" s="269"/>
      <c r="G210" s="269"/>
      <c r="H210" s="269"/>
      <c r="I210" s="269"/>
      <c r="J210" s="269"/>
      <c r="K210" s="269"/>
      <c r="L210" s="269"/>
      <c r="M210" s="269"/>
      <c r="N210" s="269"/>
      <c r="O210" s="269"/>
      <c r="P210" s="269"/>
      <c r="Q210" s="269"/>
      <c r="R210" s="269"/>
      <c r="S210" s="269"/>
      <c r="T210" s="269"/>
      <c r="U210" s="269"/>
      <c r="V210" s="269"/>
      <c r="W210" s="269"/>
      <c r="X210" s="269"/>
      <c r="Y210" s="269"/>
      <c r="Z210" s="269"/>
    </row>
    <row r="211">
      <c r="A211" s="269"/>
      <c r="B211" s="269"/>
      <c r="C211" s="269"/>
      <c r="D211" s="269"/>
      <c r="E211" s="269"/>
      <c r="F211" s="269"/>
      <c r="G211" s="269"/>
      <c r="H211" s="269"/>
      <c r="I211" s="269"/>
      <c r="J211" s="269"/>
      <c r="K211" s="269"/>
      <c r="L211" s="269"/>
      <c r="M211" s="269"/>
      <c r="N211" s="269"/>
      <c r="O211" s="269"/>
      <c r="P211" s="269"/>
      <c r="Q211" s="269"/>
      <c r="R211" s="269"/>
      <c r="S211" s="269"/>
      <c r="T211" s="269"/>
      <c r="U211" s="269"/>
      <c r="V211" s="269"/>
      <c r="W211" s="269"/>
      <c r="X211" s="269"/>
      <c r="Y211" s="269"/>
      <c r="Z211" s="269"/>
    </row>
    <row r="212">
      <c r="A212" s="269"/>
      <c r="B212" s="269"/>
      <c r="C212" s="269"/>
      <c r="D212" s="269"/>
      <c r="E212" s="269"/>
      <c r="F212" s="269"/>
      <c r="G212" s="269"/>
      <c r="H212" s="269"/>
      <c r="I212" s="269"/>
      <c r="J212" s="269"/>
      <c r="K212" s="269"/>
      <c r="L212" s="269"/>
      <c r="M212" s="269"/>
      <c r="N212" s="269"/>
      <c r="O212" s="269"/>
      <c r="P212" s="269"/>
      <c r="Q212" s="269"/>
      <c r="R212" s="269"/>
      <c r="S212" s="269"/>
      <c r="T212" s="269"/>
      <c r="U212" s="269"/>
      <c r="V212" s="269"/>
      <c r="W212" s="269"/>
      <c r="X212" s="269"/>
      <c r="Y212" s="269"/>
      <c r="Z212" s="269"/>
    </row>
    <row r="213">
      <c r="A213" s="269"/>
      <c r="B213" s="269"/>
      <c r="C213" s="269"/>
      <c r="D213" s="269"/>
      <c r="E213" s="269"/>
      <c r="F213" s="269"/>
      <c r="G213" s="269"/>
      <c r="H213" s="269"/>
      <c r="I213" s="269"/>
      <c r="J213" s="269"/>
      <c r="K213" s="269"/>
      <c r="L213" s="269"/>
      <c r="M213" s="269"/>
      <c r="N213" s="269"/>
      <c r="O213" s="269"/>
      <c r="P213" s="269"/>
      <c r="Q213" s="269"/>
      <c r="R213" s="269"/>
      <c r="S213" s="269"/>
      <c r="T213" s="269"/>
      <c r="U213" s="269"/>
      <c r="V213" s="269"/>
      <c r="W213" s="269"/>
      <c r="X213" s="269"/>
      <c r="Y213" s="269"/>
      <c r="Z213" s="269"/>
    </row>
    <row r="214">
      <c r="A214" s="269"/>
      <c r="B214" s="269"/>
      <c r="C214" s="269"/>
      <c r="D214" s="269"/>
      <c r="E214" s="269"/>
      <c r="F214" s="269"/>
      <c r="G214" s="269"/>
      <c r="H214" s="269"/>
      <c r="I214" s="269"/>
      <c r="J214" s="269"/>
      <c r="K214" s="269"/>
      <c r="L214" s="269"/>
      <c r="M214" s="269"/>
      <c r="N214" s="269"/>
      <c r="O214" s="269"/>
      <c r="P214" s="269"/>
      <c r="Q214" s="269"/>
      <c r="R214" s="269"/>
      <c r="S214" s="269"/>
      <c r="T214" s="269"/>
      <c r="U214" s="269"/>
      <c r="V214" s="269"/>
      <c r="W214" s="269"/>
      <c r="X214" s="269"/>
      <c r="Y214" s="269"/>
      <c r="Z214" s="269"/>
    </row>
    <row r="215">
      <c r="A215" s="269"/>
      <c r="B215" s="269"/>
      <c r="C215" s="269"/>
      <c r="D215" s="269"/>
      <c r="E215" s="269"/>
      <c r="F215" s="269"/>
      <c r="G215" s="269"/>
      <c r="H215" s="269"/>
      <c r="I215" s="269"/>
      <c r="J215" s="269"/>
      <c r="K215" s="269"/>
      <c r="L215" s="269"/>
      <c r="M215" s="269"/>
      <c r="N215" s="269"/>
      <c r="O215" s="269"/>
      <c r="P215" s="269"/>
      <c r="Q215" s="269"/>
      <c r="R215" s="269"/>
      <c r="S215" s="269"/>
      <c r="T215" s="269"/>
      <c r="U215" s="269"/>
      <c r="V215" s="269"/>
      <c r="W215" s="269"/>
      <c r="X215" s="269"/>
      <c r="Y215" s="269"/>
      <c r="Z215" s="269"/>
    </row>
    <row r="216">
      <c r="A216" s="269"/>
      <c r="B216" s="269"/>
      <c r="C216" s="269"/>
      <c r="D216" s="269"/>
      <c r="E216" s="269"/>
      <c r="F216" s="269"/>
      <c r="G216" s="269"/>
      <c r="H216" s="269"/>
      <c r="I216" s="269"/>
      <c r="J216" s="269"/>
      <c r="K216" s="269"/>
      <c r="L216" s="269"/>
      <c r="M216" s="269"/>
      <c r="N216" s="269"/>
      <c r="O216" s="269"/>
      <c r="P216" s="269"/>
      <c r="Q216" s="269"/>
      <c r="R216" s="269"/>
      <c r="S216" s="269"/>
      <c r="T216" s="269"/>
      <c r="U216" s="269"/>
      <c r="V216" s="269"/>
      <c r="W216" s="269"/>
      <c r="X216" s="269"/>
      <c r="Y216" s="269"/>
      <c r="Z216" s="269"/>
    </row>
    <row r="217">
      <c r="A217" s="269"/>
      <c r="B217" s="269"/>
      <c r="C217" s="269"/>
      <c r="D217" s="269"/>
      <c r="E217" s="269"/>
      <c r="F217" s="269"/>
      <c r="G217" s="269"/>
      <c r="H217" s="269"/>
      <c r="I217" s="269"/>
      <c r="J217" s="269"/>
      <c r="K217" s="269"/>
      <c r="L217" s="269"/>
      <c r="M217" s="269"/>
      <c r="N217" s="269"/>
      <c r="O217" s="269"/>
      <c r="P217" s="269"/>
      <c r="Q217" s="269"/>
      <c r="R217" s="269"/>
      <c r="S217" s="269"/>
      <c r="T217" s="269"/>
      <c r="U217" s="269"/>
      <c r="V217" s="269"/>
      <c r="W217" s="269"/>
      <c r="X217" s="269"/>
      <c r="Y217" s="269"/>
      <c r="Z217" s="269"/>
    </row>
    <row r="218">
      <c r="A218" s="269"/>
      <c r="B218" s="269"/>
      <c r="C218" s="269"/>
      <c r="D218" s="269"/>
      <c r="E218" s="269"/>
      <c r="F218" s="269"/>
      <c r="G218" s="269"/>
      <c r="H218" s="269"/>
      <c r="I218" s="269"/>
      <c r="J218" s="269"/>
      <c r="K218" s="269"/>
      <c r="L218" s="269"/>
      <c r="M218" s="269"/>
      <c r="N218" s="269"/>
      <c r="O218" s="269"/>
      <c r="P218" s="269"/>
      <c r="Q218" s="269"/>
      <c r="R218" s="269"/>
      <c r="S218" s="269"/>
      <c r="T218" s="269"/>
      <c r="U218" s="269"/>
      <c r="V218" s="269"/>
      <c r="W218" s="269"/>
      <c r="X218" s="269"/>
      <c r="Y218" s="269"/>
      <c r="Z218" s="269"/>
    </row>
    <row r="219">
      <c r="A219" s="269"/>
      <c r="B219" s="269"/>
      <c r="C219" s="269"/>
      <c r="D219" s="269"/>
      <c r="E219" s="269"/>
      <c r="F219" s="269"/>
      <c r="G219" s="269"/>
      <c r="H219" s="269"/>
      <c r="I219" s="269"/>
      <c r="J219" s="269"/>
      <c r="K219" s="269"/>
      <c r="L219" s="269"/>
      <c r="M219" s="269"/>
      <c r="N219" s="269"/>
      <c r="O219" s="269"/>
      <c r="P219" s="269"/>
      <c r="Q219" s="269"/>
      <c r="R219" s="269"/>
      <c r="S219" s="269"/>
      <c r="T219" s="269"/>
      <c r="U219" s="269"/>
      <c r="V219" s="269"/>
      <c r="W219" s="269"/>
      <c r="X219" s="269"/>
      <c r="Y219" s="269"/>
      <c r="Z219" s="269"/>
    </row>
    <row r="220">
      <c r="A220" s="269"/>
      <c r="B220" s="269"/>
      <c r="C220" s="269"/>
      <c r="D220" s="269"/>
      <c r="E220" s="269"/>
      <c r="F220" s="269"/>
      <c r="G220" s="269"/>
      <c r="H220" s="269"/>
      <c r="I220" s="269"/>
      <c r="J220" s="269"/>
      <c r="K220" s="269"/>
      <c r="L220" s="269"/>
      <c r="M220" s="269"/>
      <c r="N220" s="269"/>
      <c r="O220" s="269"/>
      <c r="P220" s="269"/>
      <c r="Q220" s="269"/>
      <c r="R220" s="269"/>
      <c r="S220" s="269"/>
      <c r="T220" s="269"/>
      <c r="U220" s="269"/>
      <c r="V220" s="269"/>
      <c r="W220" s="269"/>
      <c r="X220" s="269"/>
      <c r="Y220" s="269"/>
      <c r="Z220" s="269"/>
    </row>
    <row r="221">
      <c r="A221" s="269"/>
      <c r="B221" s="269"/>
      <c r="C221" s="269"/>
      <c r="D221" s="269"/>
      <c r="E221" s="269"/>
      <c r="F221" s="269"/>
      <c r="G221" s="269"/>
      <c r="H221" s="269"/>
      <c r="I221" s="269"/>
      <c r="J221" s="269"/>
      <c r="K221" s="269"/>
      <c r="L221" s="269"/>
      <c r="M221" s="269"/>
      <c r="N221" s="269"/>
      <c r="O221" s="269"/>
      <c r="P221" s="269"/>
      <c r="Q221" s="269"/>
      <c r="R221" s="269"/>
      <c r="S221" s="269"/>
      <c r="T221" s="269"/>
      <c r="U221" s="269"/>
      <c r="V221" s="269"/>
      <c r="W221" s="269"/>
      <c r="X221" s="269"/>
      <c r="Y221" s="269"/>
      <c r="Z221" s="269"/>
    </row>
    <row r="222">
      <c r="A222" s="269"/>
      <c r="B222" s="269"/>
      <c r="C222" s="269"/>
      <c r="D222" s="269"/>
      <c r="E222" s="269"/>
      <c r="F222" s="269"/>
      <c r="G222" s="269"/>
      <c r="H222" s="269"/>
      <c r="I222" s="269"/>
      <c r="J222" s="269"/>
      <c r="K222" s="269"/>
      <c r="L222" s="269"/>
      <c r="M222" s="269"/>
      <c r="N222" s="269"/>
      <c r="O222" s="269"/>
      <c r="P222" s="269"/>
      <c r="Q222" s="269"/>
      <c r="R222" s="269"/>
      <c r="S222" s="269"/>
      <c r="T222" s="269"/>
      <c r="U222" s="269"/>
      <c r="V222" s="269"/>
      <c r="W222" s="269"/>
      <c r="X222" s="269"/>
      <c r="Y222" s="269"/>
      <c r="Z222" s="269"/>
    </row>
    <row r="223">
      <c r="A223" s="269"/>
      <c r="B223" s="269"/>
      <c r="C223" s="269"/>
      <c r="D223" s="269"/>
      <c r="E223" s="269"/>
      <c r="F223" s="269"/>
      <c r="G223" s="269"/>
      <c r="H223" s="269"/>
      <c r="I223" s="269"/>
      <c r="J223" s="269"/>
      <c r="K223" s="269"/>
      <c r="L223" s="269"/>
      <c r="M223" s="269"/>
      <c r="N223" s="269"/>
      <c r="O223" s="269"/>
      <c r="P223" s="269"/>
      <c r="Q223" s="269"/>
      <c r="R223" s="269"/>
      <c r="S223" s="269"/>
      <c r="T223" s="269"/>
      <c r="U223" s="269"/>
      <c r="V223" s="269"/>
      <c r="W223" s="269"/>
      <c r="X223" s="269"/>
      <c r="Y223" s="269"/>
      <c r="Z223" s="269"/>
    </row>
    <row r="224">
      <c r="A224" s="269"/>
      <c r="B224" s="269"/>
      <c r="C224" s="269"/>
      <c r="D224" s="269"/>
      <c r="E224" s="269"/>
      <c r="F224" s="269"/>
      <c r="G224" s="269"/>
      <c r="H224" s="269"/>
      <c r="I224" s="269"/>
      <c r="J224" s="269"/>
      <c r="K224" s="269"/>
      <c r="L224" s="269"/>
      <c r="M224" s="269"/>
      <c r="N224" s="269"/>
      <c r="O224" s="269"/>
      <c r="P224" s="269"/>
      <c r="Q224" s="269"/>
      <c r="R224" s="269"/>
      <c r="S224" s="269"/>
      <c r="T224" s="269"/>
      <c r="U224" s="269"/>
      <c r="V224" s="269"/>
      <c r="W224" s="269"/>
      <c r="X224" s="269"/>
      <c r="Y224" s="269"/>
      <c r="Z224" s="269"/>
    </row>
    <row r="225">
      <c r="A225" s="269"/>
      <c r="B225" s="269"/>
      <c r="C225" s="269"/>
      <c r="D225" s="269"/>
      <c r="E225" s="269"/>
      <c r="F225" s="269"/>
      <c r="G225" s="269"/>
      <c r="H225" s="269"/>
      <c r="I225" s="269"/>
      <c r="J225" s="269"/>
      <c r="K225" s="269"/>
      <c r="L225" s="269"/>
      <c r="M225" s="269"/>
      <c r="N225" s="269"/>
      <c r="O225" s="269"/>
      <c r="P225" s="269"/>
      <c r="Q225" s="269"/>
      <c r="R225" s="269"/>
      <c r="S225" s="269"/>
      <c r="T225" s="269"/>
      <c r="U225" s="269"/>
      <c r="V225" s="269"/>
      <c r="W225" s="269"/>
      <c r="X225" s="269"/>
      <c r="Y225" s="269"/>
      <c r="Z225" s="269"/>
    </row>
    <row r="226">
      <c r="A226" s="269"/>
      <c r="B226" s="269"/>
      <c r="C226" s="269"/>
      <c r="D226" s="269"/>
      <c r="E226" s="269"/>
      <c r="F226" s="269"/>
      <c r="G226" s="269"/>
      <c r="H226" s="269"/>
      <c r="I226" s="269"/>
      <c r="J226" s="269"/>
      <c r="K226" s="269"/>
      <c r="L226" s="269"/>
      <c r="M226" s="269"/>
      <c r="N226" s="269"/>
      <c r="O226" s="269"/>
      <c r="P226" s="269"/>
      <c r="Q226" s="269"/>
      <c r="R226" s="269"/>
      <c r="S226" s="269"/>
      <c r="T226" s="269"/>
      <c r="U226" s="269"/>
      <c r="V226" s="269"/>
      <c r="W226" s="269"/>
      <c r="X226" s="269"/>
      <c r="Y226" s="269"/>
      <c r="Z226" s="269"/>
    </row>
    <row r="227">
      <c r="A227" s="269"/>
      <c r="B227" s="269"/>
      <c r="C227" s="269"/>
      <c r="D227" s="269"/>
      <c r="E227" s="269"/>
      <c r="F227" s="269"/>
      <c r="G227" s="269"/>
      <c r="H227" s="269"/>
      <c r="I227" s="269"/>
      <c r="J227" s="269"/>
      <c r="K227" s="269"/>
      <c r="L227" s="269"/>
      <c r="M227" s="269"/>
      <c r="N227" s="269"/>
      <c r="O227" s="269"/>
      <c r="P227" s="269"/>
      <c r="Q227" s="269"/>
      <c r="R227" s="269"/>
      <c r="S227" s="269"/>
      <c r="T227" s="269"/>
      <c r="U227" s="269"/>
      <c r="V227" s="269"/>
      <c r="W227" s="269"/>
      <c r="X227" s="269"/>
      <c r="Y227" s="269"/>
      <c r="Z227" s="269"/>
    </row>
    <row r="228">
      <c r="A228" s="269"/>
      <c r="B228" s="269"/>
      <c r="C228" s="269"/>
      <c r="D228" s="269"/>
      <c r="E228" s="269"/>
      <c r="F228" s="269"/>
      <c r="G228" s="269"/>
      <c r="H228" s="269"/>
      <c r="I228" s="269"/>
      <c r="J228" s="269"/>
      <c r="K228" s="269"/>
      <c r="L228" s="269"/>
      <c r="M228" s="269"/>
      <c r="N228" s="269"/>
      <c r="O228" s="269"/>
      <c r="P228" s="269"/>
      <c r="Q228" s="269"/>
      <c r="R228" s="269"/>
      <c r="S228" s="269"/>
      <c r="T228" s="269"/>
      <c r="U228" s="269"/>
      <c r="V228" s="269"/>
      <c r="W228" s="269"/>
      <c r="X228" s="269"/>
      <c r="Y228" s="269"/>
      <c r="Z228" s="269"/>
    </row>
    <row r="229">
      <c r="A229" s="269"/>
      <c r="B229" s="269"/>
      <c r="C229" s="269"/>
      <c r="D229" s="269"/>
      <c r="E229" s="269"/>
      <c r="F229" s="269"/>
      <c r="G229" s="269"/>
      <c r="H229" s="269"/>
      <c r="I229" s="269"/>
      <c r="J229" s="269"/>
      <c r="K229" s="269"/>
      <c r="L229" s="269"/>
      <c r="M229" s="269"/>
      <c r="N229" s="269"/>
      <c r="O229" s="269"/>
      <c r="P229" s="269"/>
      <c r="Q229" s="269"/>
      <c r="R229" s="269"/>
      <c r="S229" s="269"/>
      <c r="T229" s="269"/>
      <c r="U229" s="269"/>
      <c r="V229" s="269"/>
      <c r="W229" s="269"/>
      <c r="X229" s="269"/>
      <c r="Y229" s="269"/>
      <c r="Z229" s="269"/>
    </row>
    <row r="230">
      <c r="A230" s="269"/>
      <c r="B230" s="269"/>
      <c r="C230" s="269"/>
      <c r="D230" s="269"/>
      <c r="E230" s="269"/>
      <c r="F230" s="269"/>
      <c r="G230" s="269"/>
      <c r="H230" s="269"/>
      <c r="I230" s="269"/>
      <c r="J230" s="269"/>
      <c r="K230" s="269"/>
      <c r="L230" s="269"/>
      <c r="M230" s="269"/>
      <c r="N230" s="269"/>
      <c r="O230" s="269"/>
      <c r="P230" s="269"/>
      <c r="Q230" s="269"/>
      <c r="R230" s="269"/>
      <c r="S230" s="269"/>
      <c r="T230" s="269"/>
      <c r="U230" s="269"/>
      <c r="V230" s="269"/>
      <c r="W230" s="269"/>
      <c r="X230" s="269"/>
      <c r="Y230" s="269"/>
      <c r="Z230" s="269"/>
    </row>
    <row r="231">
      <c r="A231" s="269"/>
      <c r="B231" s="269"/>
      <c r="C231" s="269"/>
      <c r="D231" s="269"/>
      <c r="E231" s="269"/>
      <c r="F231" s="269"/>
      <c r="G231" s="269"/>
      <c r="H231" s="269"/>
      <c r="I231" s="269"/>
      <c r="J231" s="269"/>
      <c r="K231" s="269"/>
      <c r="L231" s="269"/>
      <c r="M231" s="269"/>
      <c r="N231" s="269"/>
      <c r="O231" s="269"/>
      <c r="P231" s="269"/>
      <c r="Q231" s="269"/>
      <c r="R231" s="269"/>
      <c r="S231" s="269"/>
      <c r="T231" s="269"/>
      <c r="U231" s="269"/>
      <c r="V231" s="269"/>
      <c r="W231" s="269"/>
      <c r="X231" s="269"/>
      <c r="Y231" s="269"/>
      <c r="Z231" s="269"/>
    </row>
    <row r="232">
      <c r="A232" s="269"/>
      <c r="B232" s="269"/>
      <c r="C232" s="269"/>
      <c r="D232" s="269"/>
      <c r="E232" s="269"/>
      <c r="F232" s="269"/>
      <c r="G232" s="269"/>
      <c r="H232" s="269"/>
      <c r="I232" s="269"/>
      <c r="J232" s="269"/>
      <c r="K232" s="269"/>
      <c r="L232" s="269"/>
      <c r="M232" s="269"/>
      <c r="N232" s="269"/>
      <c r="O232" s="269"/>
      <c r="P232" s="269"/>
      <c r="Q232" s="269"/>
      <c r="R232" s="269"/>
      <c r="S232" s="269"/>
      <c r="T232" s="269"/>
      <c r="U232" s="269"/>
      <c r="V232" s="269"/>
      <c r="W232" s="269"/>
      <c r="X232" s="269"/>
      <c r="Y232" s="269"/>
      <c r="Z232" s="269"/>
    </row>
    <row r="233">
      <c r="A233" s="269"/>
      <c r="B233" s="269"/>
      <c r="C233" s="269"/>
      <c r="D233" s="269"/>
      <c r="E233" s="269"/>
      <c r="F233" s="269"/>
      <c r="G233" s="269"/>
      <c r="H233" s="269"/>
      <c r="I233" s="269"/>
      <c r="J233" s="269"/>
      <c r="K233" s="269"/>
      <c r="L233" s="269"/>
      <c r="M233" s="269"/>
      <c r="N233" s="269"/>
      <c r="O233" s="269"/>
      <c r="P233" s="269"/>
      <c r="Q233" s="269"/>
      <c r="R233" s="269"/>
      <c r="S233" s="269"/>
      <c r="T233" s="269"/>
      <c r="U233" s="269"/>
      <c r="V233" s="269"/>
      <c r="W233" s="269"/>
      <c r="X233" s="269"/>
      <c r="Y233" s="269"/>
      <c r="Z233" s="269"/>
    </row>
    <row r="234">
      <c r="A234" s="269"/>
      <c r="B234" s="269"/>
      <c r="C234" s="269"/>
      <c r="D234" s="269"/>
      <c r="E234" s="269"/>
      <c r="F234" s="269"/>
      <c r="G234" s="269"/>
      <c r="H234" s="269"/>
      <c r="I234" s="269"/>
      <c r="J234" s="269"/>
      <c r="K234" s="269"/>
      <c r="L234" s="269"/>
      <c r="M234" s="269"/>
      <c r="N234" s="269"/>
      <c r="O234" s="269"/>
      <c r="P234" s="269"/>
      <c r="Q234" s="269"/>
      <c r="R234" s="269"/>
      <c r="S234" s="269"/>
      <c r="T234" s="269"/>
      <c r="U234" s="269"/>
      <c r="V234" s="269"/>
      <c r="W234" s="269"/>
      <c r="X234" s="269"/>
      <c r="Y234" s="269"/>
      <c r="Z234" s="269"/>
    </row>
    <row r="235">
      <c r="A235" s="269"/>
      <c r="B235" s="269"/>
      <c r="C235" s="269"/>
      <c r="D235" s="269"/>
      <c r="E235" s="269"/>
      <c r="F235" s="269"/>
      <c r="G235" s="269"/>
      <c r="H235" s="269"/>
      <c r="I235" s="269"/>
      <c r="J235" s="269"/>
      <c r="K235" s="269"/>
      <c r="L235" s="269"/>
      <c r="M235" s="269"/>
      <c r="N235" s="269"/>
      <c r="O235" s="269"/>
      <c r="P235" s="269"/>
      <c r="Q235" s="269"/>
      <c r="R235" s="269"/>
      <c r="S235" s="269"/>
      <c r="T235" s="269"/>
      <c r="U235" s="269"/>
      <c r="V235" s="269"/>
      <c r="W235" s="269"/>
      <c r="X235" s="269"/>
      <c r="Y235" s="269"/>
      <c r="Z235" s="269"/>
    </row>
    <row r="236">
      <c r="A236" s="269"/>
      <c r="B236" s="269"/>
      <c r="C236" s="269"/>
      <c r="D236" s="269"/>
      <c r="E236" s="269"/>
      <c r="F236" s="269"/>
      <c r="G236" s="269"/>
      <c r="H236" s="269"/>
      <c r="I236" s="269"/>
      <c r="J236" s="269"/>
      <c r="K236" s="269"/>
      <c r="L236" s="269"/>
      <c r="M236" s="269"/>
      <c r="N236" s="269"/>
      <c r="O236" s="269"/>
      <c r="P236" s="269"/>
      <c r="Q236" s="269"/>
      <c r="R236" s="269"/>
      <c r="S236" s="269"/>
      <c r="T236" s="269"/>
      <c r="U236" s="269"/>
      <c r="V236" s="269"/>
      <c r="W236" s="269"/>
      <c r="X236" s="269"/>
      <c r="Y236" s="269"/>
      <c r="Z236" s="269"/>
    </row>
    <row r="237">
      <c r="A237" s="269"/>
      <c r="B237" s="269"/>
      <c r="C237" s="269"/>
      <c r="D237" s="269"/>
      <c r="E237" s="269"/>
      <c r="F237" s="269"/>
      <c r="G237" s="269"/>
      <c r="H237" s="269"/>
      <c r="I237" s="269"/>
      <c r="J237" s="269"/>
      <c r="K237" s="269"/>
      <c r="L237" s="269"/>
      <c r="M237" s="269"/>
      <c r="N237" s="269"/>
      <c r="O237" s="269"/>
      <c r="P237" s="269"/>
      <c r="Q237" s="269"/>
      <c r="R237" s="269"/>
      <c r="S237" s="269"/>
      <c r="T237" s="269"/>
      <c r="U237" s="269"/>
      <c r="V237" s="269"/>
      <c r="W237" s="269"/>
      <c r="X237" s="269"/>
      <c r="Y237" s="269"/>
      <c r="Z237" s="269"/>
    </row>
    <row r="238">
      <c r="A238" s="269"/>
      <c r="B238" s="269"/>
      <c r="C238" s="269"/>
      <c r="D238" s="269"/>
      <c r="E238" s="269"/>
      <c r="F238" s="269"/>
      <c r="G238" s="269"/>
      <c r="H238" s="269"/>
      <c r="I238" s="269"/>
      <c r="J238" s="269"/>
      <c r="K238" s="269"/>
      <c r="L238" s="269"/>
      <c r="M238" s="269"/>
      <c r="N238" s="269"/>
      <c r="O238" s="269"/>
      <c r="P238" s="269"/>
      <c r="Q238" s="269"/>
      <c r="R238" s="269"/>
      <c r="S238" s="269"/>
      <c r="T238" s="269"/>
      <c r="U238" s="269"/>
      <c r="V238" s="269"/>
      <c r="W238" s="269"/>
      <c r="X238" s="269"/>
      <c r="Y238" s="269"/>
      <c r="Z238" s="269"/>
    </row>
    <row r="239">
      <c r="A239" s="269"/>
      <c r="B239" s="269"/>
      <c r="C239" s="269"/>
      <c r="D239" s="269"/>
      <c r="E239" s="269"/>
      <c r="F239" s="269"/>
      <c r="G239" s="269"/>
      <c r="H239" s="269"/>
      <c r="I239" s="269"/>
      <c r="J239" s="269"/>
      <c r="K239" s="269"/>
      <c r="L239" s="269"/>
      <c r="M239" s="269"/>
      <c r="N239" s="269"/>
      <c r="O239" s="269"/>
      <c r="P239" s="269"/>
      <c r="Q239" s="269"/>
      <c r="R239" s="269"/>
      <c r="S239" s="269"/>
      <c r="T239" s="269"/>
      <c r="U239" s="269"/>
      <c r="V239" s="269"/>
      <c r="W239" s="269"/>
      <c r="X239" s="269"/>
      <c r="Y239" s="269"/>
      <c r="Z239" s="269"/>
    </row>
    <row r="240">
      <c r="A240" s="269"/>
      <c r="B240" s="269"/>
      <c r="C240" s="269"/>
      <c r="D240" s="269"/>
      <c r="E240" s="269"/>
      <c r="F240" s="269"/>
      <c r="G240" s="269"/>
      <c r="H240" s="269"/>
      <c r="I240" s="269"/>
      <c r="J240" s="269"/>
      <c r="K240" s="269"/>
      <c r="L240" s="269"/>
      <c r="M240" s="269"/>
      <c r="N240" s="269"/>
      <c r="O240" s="269"/>
      <c r="P240" s="269"/>
      <c r="Q240" s="269"/>
      <c r="R240" s="269"/>
      <c r="S240" s="269"/>
      <c r="T240" s="269"/>
      <c r="U240" s="269"/>
      <c r="V240" s="269"/>
      <c r="W240" s="269"/>
      <c r="X240" s="269"/>
      <c r="Y240" s="269"/>
      <c r="Z240" s="269"/>
    </row>
    <row r="241">
      <c r="A241" s="269"/>
      <c r="B241" s="269"/>
      <c r="C241" s="269"/>
      <c r="D241" s="269"/>
      <c r="E241" s="269"/>
      <c r="F241" s="269"/>
      <c r="G241" s="269"/>
      <c r="H241" s="269"/>
      <c r="I241" s="269"/>
      <c r="J241" s="269"/>
      <c r="K241" s="269"/>
      <c r="L241" s="269"/>
      <c r="M241" s="269"/>
      <c r="N241" s="269"/>
      <c r="O241" s="269"/>
      <c r="P241" s="269"/>
      <c r="Q241" s="269"/>
      <c r="R241" s="269"/>
      <c r="S241" s="269"/>
      <c r="T241" s="269"/>
      <c r="U241" s="269"/>
      <c r="V241" s="269"/>
      <c r="W241" s="269"/>
      <c r="X241" s="269"/>
      <c r="Y241" s="269"/>
      <c r="Z241" s="269"/>
    </row>
    <row r="242">
      <c r="A242" s="269"/>
      <c r="B242" s="269"/>
      <c r="C242" s="269"/>
      <c r="D242" s="269"/>
      <c r="E242" s="269"/>
      <c r="F242" s="269"/>
      <c r="G242" s="269"/>
      <c r="H242" s="269"/>
      <c r="I242" s="269"/>
      <c r="J242" s="269"/>
      <c r="K242" s="269"/>
      <c r="L242" s="269"/>
      <c r="M242" s="269"/>
      <c r="N242" s="269"/>
      <c r="O242" s="269"/>
      <c r="P242" s="269"/>
      <c r="Q242" s="269"/>
      <c r="R242" s="269"/>
      <c r="S242" s="269"/>
      <c r="T242" s="269"/>
      <c r="U242" s="269"/>
      <c r="V242" s="269"/>
      <c r="W242" s="269"/>
      <c r="X242" s="269"/>
      <c r="Y242" s="269"/>
      <c r="Z242" s="269"/>
    </row>
    <row r="243">
      <c r="A243" s="269"/>
      <c r="B243" s="269"/>
      <c r="C243" s="269"/>
      <c r="D243" s="269"/>
      <c r="E243" s="269"/>
      <c r="F243" s="269"/>
      <c r="G243" s="269"/>
      <c r="H243" s="269"/>
      <c r="I243" s="269"/>
      <c r="J243" s="269"/>
      <c r="K243" s="269"/>
      <c r="L243" s="269"/>
      <c r="M243" s="269"/>
      <c r="N243" s="269"/>
      <c r="O243" s="269"/>
      <c r="P243" s="269"/>
      <c r="Q243" s="269"/>
      <c r="R243" s="269"/>
      <c r="S243" s="269"/>
      <c r="T243" s="269"/>
      <c r="U243" s="269"/>
      <c r="V243" s="269"/>
      <c r="W243" s="269"/>
      <c r="X243" s="269"/>
      <c r="Y243" s="269"/>
      <c r="Z243" s="269"/>
    </row>
    <row r="244">
      <c r="A244" s="269"/>
      <c r="B244" s="269"/>
      <c r="C244" s="269"/>
      <c r="D244" s="269"/>
      <c r="E244" s="269"/>
      <c r="F244" s="269"/>
      <c r="G244" s="269"/>
      <c r="H244" s="269"/>
      <c r="I244" s="269"/>
      <c r="J244" s="269"/>
      <c r="K244" s="269"/>
      <c r="L244" s="269"/>
      <c r="M244" s="269"/>
      <c r="N244" s="269"/>
      <c r="O244" s="269"/>
      <c r="P244" s="269"/>
      <c r="Q244" s="269"/>
      <c r="R244" s="269"/>
      <c r="S244" s="269"/>
      <c r="T244" s="269"/>
      <c r="U244" s="269"/>
      <c r="V244" s="269"/>
      <c r="W244" s="269"/>
      <c r="X244" s="269"/>
      <c r="Y244" s="269"/>
      <c r="Z244" s="269"/>
    </row>
    <row r="245">
      <c r="A245" s="269"/>
      <c r="B245" s="269"/>
      <c r="C245" s="269"/>
      <c r="D245" s="269"/>
      <c r="E245" s="269"/>
      <c r="F245" s="269"/>
      <c r="G245" s="269"/>
      <c r="H245" s="269"/>
      <c r="I245" s="269"/>
      <c r="J245" s="269"/>
      <c r="K245" s="269"/>
      <c r="L245" s="269"/>
      <c r="M245" s="269"/>
      <c r="N245" s="269"/>
      <c r="O245" s="269"/>
      <c r="P245" s="269"/>
      <c r="Q245" s="269"/>
      <c r="R245" s="269"/>
      <c r="S245" s="269"/>
      <c r="T245" s="269"/>
      <c r="U245" s="269"/>
      <c r="V245" s="269"/>
      <c r="W245" s="269"/>
      <c r="X245" s="269"/>
      <c r="Y245" s="269"/>
      <c r="Z245" s="269"/>
    </row>
    <row r="246">
      <c r="A246" s="269"/>
      <c r="B246" s="269"/>
      <c r="C246" s="269"/>
      <c r="D246" s="269"/>
      <c r="E246" s="269"/>
      <c r="F246" s="269"/>
      <c r="G246" s="269"/>
      <c r="H246" s="269"/>
      <c r="I246" s="269"/>
      <c r="J246" s="269"/>
      <c r="K246" s="269"/>
      <c r="L246" s="269"/>
      <c r="M246" s="269"/>
      <c r="N246" s="269"/>
      <c r="O246" s="269"/>
      <c r="P246" s="269"/>
      <c r="Q246" s="269"/>
      <c r="R246" s="269"/>
      <c r="S246" s="269"/>
      <c r="T246" s="269"/>
      <c r="U246" s="269"/>
      <c r="V246" s="269"/>
      <c r="W246" s="269"/>
      <c r="X246" s="269"/>
      <c r="Y246" s="269"/>
      <c r="Z246" s="269"/>
    </row>
    <row r="247">
      <c r="A247" s="269"/>
      <c r="B247" s="269"/>
      <c r="C247" s="269"/>
      <c r="D247" s="269"/>
      <c r="E247" s="269"/>
      <c r="F247" s="269"/>
      <c r="G247" s="269"/>
      <c r="H247" s="269"/>
      <c r="I247" s="269"/>
      <c r="J247" s="269"/>
      <c r="K247" s="269"/>
      <c r="L247" s="269"/>
      <c r="M247" s="269"/>
      <c r="N247" s="269"/>
      <c r="O247" s="269"/>
      <c r="P247" s="269"/>
      <c r="Q247" s="269"/>
      <c r="R247" s="269"/>
      <c r="S247" s="269"/>
      <c r="T247" s="269"/>
      <c r="U247" s="269"/>
      <c r="V247" s="269"/>
      <c r="W247" s="269"/>
      <c r="X247" s="269"/>
      <c r="Y247" s="269"/>
      <c r="Z247" s="269"/>
    </row>
    <row r="248">
      <c r="A248" s="269"/>
      <c r="B248" s="269"/>
      <c r="C248" s="269"/>
      <c r="D248" s="269"/>
      <c r="E248" s="269"/>
      <c r="F248" s="269"/>
      <c r="G248" s="269"/>
      <c r="H248" s="269"/>
      <c r="I248" s="269"/>
      <c r="J248" s="269"/>
      <c r="K248" s="269"/>
      <c r="L248" s="269"/>
      <c r="M248" s="269"/>
      <c r="N248" s="269"/>
      <c r="O248" s="269"/>
      <c r="P248" s="269"/>
      <c r="Q248" s="269"/>
      <c r="R248" s="269"/>
      <c r="S248" s="269"/>
      <c r="T248" s="269"/>
      <c r="U248" s="269"/>
      <c r="V248" s="269"/>
      <c r="W248" s="269"/>
      <c r="X248" s="269"/>
      <c r="Y248" s="269"/>
      <c r="Z248" s="269"/>
    </row>
    <row r="249">
      <c r="A249" s="269"/>
      <c r="B249" s="269"/>
      <c r="C249" s="269"/>
      <c r="D249" s="269"/>
      <c r="E249" s="269"/>
      <c r="F249" s="269"/>
      <c r="G249" s="269"/>
      <c r="H249" s="269"/>
      <c r="I249" s="269"/>
      <c r="J249" s="269"/>
      <c r="K249" s="269"/>
      <c r="L249" s="269"/>
      <c r="M249" s="269"/>
      <c r="N249" s="269"/>
      <c r="O249" s="269"/>
      <c r="P249" s="269"/>
      <c r="Q249" s="269"/>
      <c r="R249" s="269"/>
      <c r="S249" s="269"/>
      <c r="T249" s="269"/>
      <c r="U249" s="269"/>
      <c r="V249" s="269"/>
      <c r="W249" s="269"/>
      <c r="X249" s="269"/>
      <c r="Y249" s="269"/>
      <c r="Z249" s="269"/>
    </row>
    <row r="250">
      <c r="A250" s="269"/>
      <c r="B250" s="269"/>
      <c r="C250" s="269"/>
      <c r="D250" s="269"/>
      <c r="E250" s="269"/>
      <c r="F250" s="269"/>
      <c r="G250" s="269"/>
      <c r="H250" s="269"/>
      <c r="I250" s="269"/>
      <c r="J250" s="269"/>
      <c r="K250" s="269"/>
      <c r="L250" s="269"/>
      <c r="M250" s="269"/>
      <c r="N250" s="269"/>
      <c r="O250" s="269"/>
      <c r="P250" s="269"/>
      <c r="Q250" s="269"/>
      <c r="R250" s="269"/>
      <c r="S250" s="269"/>
      <c r="T250" s="269"/>
      <c r="U250" s="269"/>
      <c r="V250" s="269"/>
      <c r="W250" s="269"/>
      <c r="X250" s="269"/>
      <c r="Y250" s="269"/>
      <c r="Z250" s="269"/>
    </row>
    <row r="251">
      <c r="A251" s="269"/>
      <c r="B251" s="269"/>
      <c r="C251" s="269"/>
      <c r="D251" s="269"/>
      <c r="E251" s="269"/>
      <c r="F251" s="269"/>
      <c r="G251" s="269"/>
      <c r="H251" s="269"/>
      <c r="I251" s="269"/>
      <c r="J251" s="269"/>
      <c r="K251" s="269"/>
      <c r="L251" s="269"/>
      <c r="M251" s="269"/>
      <c r="N251" s="269"/>
      <c r="O251" s="269"/>
      <c r="P251" s="269"/>
      <c r="Q251" s="269"/>
      <c r="R251" s="269"/>
      <c r="S251" s="269"/>
      <c r="T251" s="269"/>
      <c r="U251" s="269"/>
      <c r="V251" s="269"/>
      <c r="W251" s="269"/>
      <c r="X251" s="269"/>
      <c r="Y251" s="269"/>
      <c r="Z251" s="269"/>
    </row>
    <row r="252">
      <c r="A252" s="269"/>
      <c r="B252" s="269"/>
      <c r="C252" s="269"/>
      <c r="D252" s="269"/>
      <c r="E252" s="269"/>
      <c r="F252" s="269"/>
      <c r="G252" s="269"/>
      <c r="H252" s="269"/>
      <c r="I252" s="269"/>
      <c r="J252" s="269"/>
      <c r="K252" s="269"/>
      <c r="L252" s="269"/>
      <c r="M252" s="269"/>
      <c r="N252" s="269"/>
      <c r="O252" s="269"/>
      <c r="P252" s="269"/>
      <c r="Q252" s="269"/>
      <c r="R252" s="269"/>
      <c r="S252" s="269"/>
      <c r="T252" s="269"/>
      <c r="U252" s="269"/>
      <c r="V252" s="269"/>
      <c r="W252" s="269"/>
      <c r="X252" s="269"/>
      <c r="Y252" s="269"/>
      <c r="Z252" s="269"/>
    </row>
    <row r="253">
      <c r="A253" s="269"/>
      <c r="B253" s="269"/>
      <c r="C253" s="269"/>
      <c r="D253" s="269"/>
      <c r="E253" s="269"/>
      <c r="F253" s="269"/>
      <c r="G253" s="269"/>
      <c r="H253" s="269"/>
      <c r="I253" s="269"/>
      <c r="J253" s="269"/>
      <c r="K253" s="269"/>
      <c r="L253" s="269"/>
      <c r="M253" s="269"/>
      <c r="N253" s="269"/>
      <c r="O253" s="269"/>
      <c r="P253" s="269"/>
      <c r="Q253" s="269"/>
      <c r="R253" s="269"/>
      <c r="S253" s="269"/>
      <c r="T253" s="269"/>
      <c r="U253" s="269"/>
      <c r="V253" s="269"/>
      <c r="W253" s="269"/>
      <c r="X253" s="269"/>
      <c r="Y253" s="269"/>
      <c r="Z253" s="269"/>
    </row>
    <row r="254">
      <c r="A254" s="269"/>
      <c r="B254" s="269"/>
      <c r="C254" s="269"/>
      <c r="D254" s="269"/>
      <c r="E254" s="269"/>
      <c r="F254" s="269"/>
      <c r="G254" s="269"/>
      <c r="H254" s="269"/>
      <c r="I254" s="269"/>
      <c r="J254" s="269"/>
      <c r="K254" s="269"/>
      <c r="L254" s="269"/>
      <c r="M254" s="269"/>
      <c r="N254" s="269"/>
      <c r="O254" s="269"/>
      <c r="P254" s="269"/>
      <c r="Q254" s="269"/>
      <c r="R254" s="269"/>
      <c r="S254" s="269"/>
      <c r="T254" s="269"/>
      <c r="U254" s="269"/>
      <c r="V254" s="269"/>
      <c r="W254" s="269"/>
      <c r="X254" s="269"/>
      <c r="Y254" s="269"/>
      <c r="Z254" s="269"/>
    </row>
    <row r="255">
      <c r="A255" s="269"/>
      <c r="B255" s="269"/>
      <c r="C255" s="269"/>
      <c r="D255" s="269"/>
      <c r="E255" s="269"/>
      <c r="F255" s="269"/>
      <c r="G255" s="269"/>
      <c r="H255" s="269"/>
      <c r="I255" s="269"/>
      <c r="J255" s="269"/>
      <c r="K255" s="269"/>
      <c r="L255" s="269"/>
      <c r="M255" s="269"/>
      <c r="N255" s="269"/>
      <c r="O255" s="269"/>
      <c r="P255" s="269"/>
      <c r="Q255" s="269"/>
      <c r="R255" s="269"/>
      <c r="S255" s="269"/>
      <c r="T255" s="269"/>
      <c r="U255" s="269"/>
      <c r="V255" s="269"/>
      <c r="W255" s="269"/>
      <c r="X255" s="269"/>
      <c r="Y255" s="269"/>
      <c r="Z255" s="269"/>
    </row>
    <row r="256">
      <c r="A256" s="269"/>
      <c r="B256" s="269"/>
      <c r="C256" s="269"/>
      <c r="D256" s="269"/>
      <c r="E256" s="269"/>
      <c r="F256" s="269"/>
      <c r="G256" s="269"/>
      <c r="H256" s="269"/>
      <c r="I256" s="269"/>
      <c r="J256" s="269"/>
      <c r="K256" s="269"/>
      <c r="L256" s="269"/>
      <c r="M256" s="269"/>
      <c r="N256" s="269"/>
      <c r="O256" s="269"/>
      <c r="P256" s="269"/>
      <c r="Q256" s="269"/>
      <c r="R256" s="269"/>
      <c r="S256" s="269"/>
      <c r="T256" s="269"/>
      <c r="U256" s="269"/>
      <c r="V256" s="269"/>
      <c r="W256" s="269"/>
      <c r="X256" s="269"/>
      <c r="Y256" s="269"/>
      <c r="Z256" s="269"/>
    </row>
    <row r="257">
      <c r="A257" s="269"/>
      <c r="B257" s="269"/>
      <c r="C257" s="269"/>
      <c r="D257" s="269"/>
      <c r="E257" s="269"/>
      <c r="F257" s="269"/>
      <c r="G257" s="269"/>
      <c r="H257" s="269"/>
      <c r="I257" s="269"/>
      <c r="J257" s="269"/>
      <c r="K257" s="269"/>
      <c r="L257" s="269"/>
      <c r="M257" s="269"/>
      <c r="N257" s="269"/>
      <c r="O257" s="269"/>
      <c r="P257" s="269"/>
      <c r="Q257" s="269"/>
      <c r="R257" s="269"/>
      <c r="S257" s="269"/>
      <c r="T257" s="269"/>
      <c r="U257" s="269"/>
      <c r="V257" s="269"/>
      <c r="W257" s="269"/>
      <c r="X257" s="269"/>
      <c r="Y257" s="269"/>
      <c r="Z257" s="269"/>
    </row>
    <row r="258">
      <c r="A258" s="269"/>
      <c r="B258" s="269"/>
      <c r="C258" s="269"/>
      <c r="D258" s="269"/>
      <c r="E258" s="269"/>
      <c r="F258" s="269"/>
      <c r="G258" s="269"/>
      <c r="H258" s="269"/>
      <c r="I258" s="269"/>
      <c r="J258" s="269"/>
      <c r="K258" s="269"/>
      <c r="L258" s="269"/>
      <c r="M258" s="269"/>
      <c r="N258" s="269"/>
      <c r="O258" s="269"/>
      <c r="P258" s="269"/>
      <c r="Q258" s="269"/>
      <c r="R258" s="269"/>
      <c r="S258" s="269"/>
      <c r="T258" s="269"/>
      <c r="U258" s="269"/>
      <c r="V258" s="269"/>
      <c r="W258" s="269"/>
      <c r="X258" s="269"/>
      <c r="Y258" s="269"/>
      <c r="Z258" s="269"/>
    </row>
    <row r="259">
      <c r="A259" s="269"/>
      <c r="B259" s="269"/>
      <c r="C259" s="269"/>
      <c r="D259" s="269"/>
      <c r="E259" s="269"/>
      <c r="F259" s="269"/>
      <c r="G259" s="269"/>
      <c r="H259" s="269"/>
      <c r="I259" s="269"/>
      <c r="J259" s="269"/>
      <c r="K259" s="269"/>
      <c r="L259" s="269"/>
      <c r="M259" s="269"/>
      <c r="N259" s="269"/>
      <c r="O259" s="269"/>
      <c r="P259" s="269"/>
      <c r="Q259" s="269"/>
      <c r="R259" s="269"/>
      <c r="S259" s="269"/>
      <c r="T259" s="269"/>
      <c r="U259" s="269"/>
      <c r="V259" s="269"/>
      <c r="W259" s="269"/>
      <c r="X259" s="269"/>
      <c r="Y259" s="269"/>
      <c r="Z259" s="269"/>
    </row>
    <row r="260">
      <c r="A260" s="269"/>
      <c r="B260" s="269"/>
      <c r="C260" s="269"/>
      <c r="D260" s="269"/>
      <c r="E260" s="269"/>
      <c r="F260" s="269"/>
      <c r="G260" s="269"/>
      <c r="H260" s="269"/>
      <c r="I260" s="269"/>
      <c r="J260" s="269"/>
      <c r="K260" s="269"/>
      <c r="L260" s="269"/>
      <c r="M260" s="269"/>
      <c r="N260" s="269"/>
      <c r="O260" s="269"/>
      <c r="P260" s="269"/>
      <c r="Q260" s="269"/>
      <c r="R260" s="269"/>
      <c r="S260" s="269"/>
      <c r="T260" s="269"/>
      <c r="U260" s="269"/>
      <c r="V260" s="269"/>
      <c r="W260" s="269"/>
      <c r="X260" s="269"/>
      <c r="Y260" s="269"/>
      <c r="Z260" s="269"/>
    </row>
    <row r="261">
      <c r="A261" s="269"/>
      <c r="B261" s="269"/>
      <c r="C261" s="269"/>
      <c r="D261" s="269"/>
      <c r="E261" s="269"/>
      <c r="F261" s="269"/>
      <c r="G261" s="269"/>
      <c r="H261" s="269"/>
      <c r="I261" s="269"/>
      <c r="J261" s="269"/>
      <c r="K261" s="269"/>
      <c r="L261" s="269"/>
      <c r="M261" s="269"/>
      <c r="N261" s="269"/>
      <c r="O261" s="269"/>
      <c r="P261" s="269"/>
      <c r="Q261" s="269"/>
      <c r="R261" s="269"/>
      <c r="S261" s="269"/>
      <c r="T261" s="269"/>
      <c r="U261" s="269"/>
      <c r="V261" s="269"/>
      <c r="W261" s="269"/>
      <c r="X261" s="269"/>
      <c r="Y261" s="269"/>
      <c r="Z261" s="269"/>
    </row>
    <row r="262">
      <c r="A262" s="269"/>
      <c r="B262" s="269"/>
      <c r="C262" s="269"/>
      <c r="D262" s="269"/>
      <c r="E262" s="269"/>
      <c r="F262" s="269"/>
      <c r="G262" s="269"/>
      <c r="H262" s="269"/>
      <c r="I262" s="269"/>
      <c r="J262" s="269"/>
      <c r="K262" s="269"/>
      <c r="L262" s="269"/>
      <c r="M262" s="269"/>
      <c r="N262" s="269"/>
      <c r="O262" s="269"/>
      <c r="P262" s="269"/>
      <c r="Q262" s="269"/>
      <c r="R262" s="269"/>
      <c r="S262" s="269"/>
      <c r="T262" s="269"/>
      <c r="U262" s="269"/>
      <c r="V262" s="269"/>
      <c r="W262" s="269"/>
      <c r="X262" s="269"/>
      <c r="Y262" s="269"/>
      <c r="Z262" s="269"/>
    </row>
    <row r="263">
      <c r="A263" s="269"/>
      <c r="B263" s="269"/>
      <c r="C263" s="269"/>
      <c r="D263" s="269"/>
      <c r="E263" s="269"/>
      <c r="F263" s="269"/>
      <c r="G263" s="269"/>
      <c r="H263" s="269"/>
      <c r="I263" s="269"/>
      <c r="J263" s="269"/>
      <c r="K263" s="269"/>
      <c r="L263" s="269"/>
      <c r="M263" s="269"/>
      <c r="N263" s="269"/>
      <c r="O263" s="269"/>
      <c r="P263" s="269"/>
      <c r="Q263" s="269"/>
      <c r="R263" s="269"/>
      <c r="S263" s="269"/>
      <c r="T263" s="269"/>
      <c r="U263" s="269"/>
      <c r="V263" s="269"/>
      <c r="W263" s="269"/>
      <c r="X263" s="269"/>
      <c r="Y263" s="269"/>
      <c r="Z263" s="269"/>
    </row>
    <row r="264">
      <c r="A264" s="269"/>
      <c r="B264" s="269"/>
      <c r="C264" s="269"/>
      <c r="D264" s="269"/>
      <c r="E264" s="269"/>
      <c r="F264" s="269"/>
      <c r="G264" s="269"/>
      <c r="H264" s="269"/>
      <c r="I264" s="269"/>
      <c r="J264" s="269"/>
      <c r="K264" s="269"/>
      <c r="L264" s="269"/>
      <c r="M264" s="269"/>
      <c r="N264" s="269"/>
      <c r="O264" s="269"/>
      <c r="P264" s="269"/>
      <c r="Q264" s="269"/>
      <c r="R264" s="269"/>
      <c r="S264" s="269"/>
      <c r="T264" s="269"/>
      <c r="U264" s="269"/>
      <c r="V264" s="269"/>
      <c r="W264" s="269"/>
      <c r="X264" s="269"/>
      <c r="Y264" s="269"/>
      <c r="Z264" s="269"/>
    </row>
    <row r="265">
      <c r="A265" s="269"/>
      <c r="B265" s="269"/>
      <c r="C265" s="269"/>
      <c r="D265" s="269"/>
      <c r="E265" s="269"/>
      <c r="F265" s="269"/>
      <c r="G265" s="269"/>
      <c r="H265" s="269"/>
      <c r="I265" s="269"/>
      <c r="J265" s="269"/>
      <c r="K265" s="269"/>
      <c r="L265" s="269"/>
      <c r="M265" s="269"/>
      <c r="N265" s="269"/>
      <c r="O265" s="269"/>
      <c r="P265" s="269"/>
      <c r="Q265" s="269"/>
      <c r="R265" s="269"/>
      <c r="S265" s="269"/>
      <c r="T265" s="269"/>
      <c r="U265" s="269"/>
      <c r="V265" s="269"/>
      <c r="W265" s="269"/>
      <c r="X265" s="269"/>
      <c r="Y265" s="269"/>
      <c r="Z265" s="269"/>
    </row>
    <row r="266">
      <c r="A266" s="269"/>
      <c r="B266" s="269"/>
      <c r="C266" s="269"/>
      <c r="D266" s="269"/>
      <c r="E266" s="269"/>
      <c r="F266" s="269"/>
      <c r="G266" s="269"/>
      <c r="H266" s="269"/>
      <c r="I266" s="269"/>
      <c r="J266" s="269"/>
      <c r="K266" s="269"/>
      <c r="L266" s="269"/>
      <c r="M266" s="269"/>
      <c r="N266" s="269"/>
      <c r="O266" s="269"/>
      <c r="P266" s="269"/>
      <c r="Q266" s="269"/>
      <c r="R266" s="269"/>
      <c r="S266" s="269"/>
      <c r="T266" s="269"/>
      <c r="U266" s="269"/>
      <c r="V266" s="269"/>
      <c r="W266" s="269"/>
      <c r="X266" s="269"/>
      <c r="Y266" s="269"/>
      <c r="Z266" s="269"/>
    </row>
    <row r="267">
      <c r="A267" s="269"/>
      <c r="B267" s="269"/>
      <c r="C267" s="269"/>
      <c r="D267" s="269"/>
      <c r="E267" s="269"/>
      <c r="F267" s="269"/>
      <c r="G267" s="269"/>
      <c r="H267" s="269"/>
      <c r="I267" s="269"/>
      <c r="J267" s="269"/>
      <c r="K267" s="269"/>
      <c r="L267" s="269"/>
      <c r="M267" s="269"/>
      <c r="N267" s="269"/>
      <c r="O267" s="269"/>
      <c r="P267" s="269"/>
      <c r="Q267" s="269"/>
      <c r="R267" s="269"/>
      <c r="S267" s="269"/>
      <c r="T267" s="269"/>
      <c r="U267" s="269"/>
      <c r="V267" s="269"/>
      <c r="W267" s="269"/>
      <c r="X267" s="269"/>
      <c r="Y267" s="269"/>
      <c r="Z267" s="269"/>
    </row>
    <row r="268">
      <c r="A268" s="269"/>
      <c r="B268" s="269"/>
      <c r="C268" s="269"/>
      <c r="D268" s="269"/>
      <c r="E268" s="269"/>
      <c r="F268" s="269"/>
      <c r="G268" s="269"/>
      <c r="H268" s="269"/>
      <c r="I268" s="269"/>
      <c r="J268" s="269"/>
      <c r="K268" s="269"/>
      <c r="L268" s="269"/>
      <c r="M268" s="269"/>
      <c r="N268" s="269"/>
      <c r="O268" s="269"/>
      <c r="P268" s="269"/>
      <c r="Q268" s="269"/>
      <c r="R268" s="269"/>
      <c r="S268" s="269"/>
      <c r="T268" s="269"/>
      <c r="U268" s="269"/>
      <c r="V268" s="269"/>
      <c r="W268" s="269"/>
      <c r="X268" s="269"/>
      <c r="Y268" s="269"/>
      <c r="Z268" s="269"/>
    </row>
    <row r="269">
      <c r="A269" s="269"/>
      <c r="B269" s="269"/>
      <c r="C269" s="269"/>
      <c r="D269" s="269"/>
      <c r="E269" s="269"/>
      <c r="F269" s="269"/>
      <c r="G269" s="269"/>
      <c r="H269" s="269"/>
      <c r="I269" s="269"/>
      <c r="J269" s="269"/>
      <c r="K269" s="269"/>
      <c r="L269" s="269"/>
      <c r="M269" s="269"/>
      <c r="N269" s="269"/>
      <c r="O269" s="269"/>
      <c r="P269" s="269"/>
      <c r="Q269" s="269"/>
      <c r="R269" s="269"/>
      <c r="S269" s="269"/>
      <c r="T269" s="269"/>
      <c r="U269" s="269"/>
      <c r="V269" s="269"/>
      <c r="W269" s="269"/>
      <c r="X269" s="269"/>
      <c r="Y269" s="269"/>
      <c r="Z269" s="269"/>
    </row>
    <row r="270">
      <c r="A270" s="269"/>
      <c r="B270" s="269"/>
      <c r="C270" s="269"/>
      <c r="D270" s="269"/>
      <c r="E270" s="269"/>
      <c r="F270" s="269"/>
      <c r="G270" s="269"/>
      <c r="H270" s="269"/>
      <c r="I270" s="269"/>
      <c r="J270" s="269"/>
      <c r="K270" s="269"/>
      <c r="L270" s="269"/>
      <c r="M270" s="269"/>
      <c r="N270" s="269"/>
      <c r="O270" s="269"/>
      <c r="P270" s="269"/>
      <c r="Q270" s="269"/>
      <c r="R270" s="269"/>
      <c r="S270" s="269"/>
      <c r="T270" s="269"/>
      <c r="U270" s="269"/>
      <c r="V270" s="269"/>
      <c r="W270" s="269"/>
      <c r="X270" s="269"/>
      <c r="Y270" s="269"/>
      <c r="Z270" s="269"/>
    </row>
    <row r="271">
      <c r="A271" s="269"/>
      <c r="B271" s="269"/>
      <c r="C271" s="269"/>
      <c r="D271" s="269"/>
      <c r="E271" s="269"/>
      <c r="F271" s="269"/>
      <c r="G271" s="269"/>
      <c r="H271" s="269"/>
      <c r="I271" s="269"/>
      <c r="J271" s="269"/>
      <c r="K271" s="269"/>
      <c r="L271" s="269"/>
      <c r="M271" s="269"/>
      <c r="N271" s="269"/>
      <c r="O271" s="269"/>
      <c r="P271" s="269"/>
      <c r="Q271" s="269"/>
      <c r="R271" s="269"/>
      <c r="S271" s="269"/>
      <c r="T271" s="269"/>
      <c r="U271" s="269"/>
      <c r="V271" s="269"/>
      <c r="W271" s="269"/>
      <c r="X271" s="269"/>
      <c r="Y271" s="269"/>
      <c r="Z271" s="269"/>
    </row>
    <row r="272">
      <c r="A272" s="269"/>
      <c r="B272" s="269"/>
      <c r="C272" s="269"/>
      <c r="D272" s="269"/>
      <c r="E272" s="269"/>
      <c r="F272" s="269"/>
      <c r="G272" s="269"/>
      <c r="H272" s="269"/>
      <c r="I272" s="269"/>
      <c r="J272" s="269"/>
      <c r="K272" s="269"/>
      <c r="L272" s="269"/>
      <c r="M272" s="269"/>
      <c r="N272" s="269"/>
      <c r="O272" s="269"/>
      <c r="P272" s="269"/>
      <c r="Q272" s="269"/>
      <c r="R272" s="269"/>
      <c r="S272" s="269"/>
      <c r="T272" s="269"/>
      <c r="U272" s="269"/>
      <c r="V272" s="269"/>
      <c r="W272" s="269"/>
      <c r="X272" s="269"/>
      <c r="Y272" s="269"/>
      <c r="Z272" s="269"/>
    </row>
    <row r="273">
      <c r="A273" s="269"/>
      <c r="B273" s="269"/>
      <c r="C273" s="269"/>
      <c r="D273" s="269"/>
      <c r="E273" s="269"/>
      <c r="F273" s="269"/>
      <c r="G273" s="269"/>
      <c r="H273" s="269"/>
      <c r="I273" s="269"/>
      <c r="J273" s="269"/>
      <c r="K273" s="269"/>
      <c r="L273" s="269"/>
      <c r="M273" s="269"/>
      <c r="N273" s="269"/>
      <c r="O273" s="269"/>
      <c r="P273" s="269"/>
      <c r="Q273" s="269"/>
      <c r="R273" s="269"/>
      <c r="S273" s="269"/>
      <c r="T273" s="269"/>
      <c r="U273" s="269"/>
      <c r="V273" s="269"/>
      <c r="W273" s="269"/>
      <c r="X273" s="269"/>
      <c r="Y273" s="269"/>
      <c r="Z273" s="269"/>
    </row>
    <row r="274">
      <c r="A274" s="269"/>
      <c r="B274" s="269"/>
      <c r="C274" s="269"/>
      <c r="D274" s="269"/>
      <c r="E274" s="269"/>
      <c r="F274" s="269"/>
      <c r="G274" s="269"/>
      <c r="H274" s="269"/>
      <c r="I274" s="269"/>
      <c r="J274" s="269"/>
      <c r="K274" s="269"/>
      <c r="L274" s="269"/>
      <c r="M274" s="269"/>
      <c r="N274" s="269"/>
      <c r="O274" s="269"/>
      <c r="P274" s="269"/>
      <c r="Q274" s="269"/>
      <c r="R274" s="269"/>
      <c r="S274" s="269"/>
      <c r="T274" s="269"/>
      <c r="U274" s="269"/>
      <c r="V274" s="269"/>
      <c r="W274" s="269"/>
      <c r="X274" s="269"/>
      <c r="Y274" s="269"/>
      <c r="Z274" s="269"/>
    </row>
    <row r="275">
      <c r="A275" s="269"/>
      <c r="B275" s="269"/>
      <c r="C275" s="269"/>
      <c r="D275" s="269"/>
      <c r="E275" s="269"/>
      <c r="F275" s="269"/>
      <c r="G275" s="269"/>
      <c r="H275" s="269"/>
      <c r="I275" s="269"/>
      <c r="J275" s="269"/>
      <c r="K275" s="269"/>
      <c r="L275" s="269"/>
      <c r="M275" s="269"/>
      <c r="N275" s="269"/>
      <c r="O275" s="269"/>
      <c r="P275" s="269"/>
      <c r="Q275" s="269"/>
      <c r="R275" s="269"/>
      <c r="S275" s="269"/>
      <c r="T275" s="269"/>
      <c r="U275" s="269"/>
      <c r="V275" s="269"/>
      <c r="W275" s="269"/>
      <c r="X275" s="269"/>
      <c r="Y275" s="269"/>
      <c r="Z275" s="269"/>
    </row>
    <row r="276">
      <c r="A276" s="269"/>
      <c r="B276" s="269"/>
      <c r="C276" s="269"/>
      <c r="D276" s="269"/>
      <c r="E276" s="269"/>
      <c r="F276" s="269"/>
      <c r="G276" s="269"/>
      <c r="H276" s="269"/>
      <c r="I276" s="269"/>
      <c r="J276" s="269"/>
      <c r="K276" s="269"/>
      <c r="L276" s="269"/>
      <c r="M276" s="269"/>
      <c r="N276" s="269"/>
      <c r="O276" s="269"/>
      <c r="P276" s="269"/>
      <c r="Q276" s="269"/>
      <c r="R276" s="269"/>
      <c r="S276" s="269"/>
      <c r="T276" s="269"/>
      <c r="U276" s="269"/>
      <c r="V276" s="269"/>
      <c r="W276" s="269"/>
      <c r="X276" s="269"/>
      <c r="Y276" s="269"/>
      <c r="Z276" s="269"/>
    </row>
    <row r="277">
      <c r="A277" s="269"/>
      <c r="B277" s="269"/>
      <c r="C277" s="269"/>
      <c r="D277" s="269"/>
      <c r="E277" s="269"/>
      <c r="F277" s="269"/>
      <c r="G277" s="269"/>
      <c r="H277" s="269"/>
      <c r="I277" s="269"/>
      <c r="J277" s="269"/>
      <c r="K277" s="269"/>
      <c r="L277" s="269"/>
      <c r="M277" s="269"/>
      <c r="N277" s="269"/>
      <c r="O277" s="269"/>
      <c r="P277" s="269"/>
      <c r="Q277" s="269"/>
      <c r="R277" s="269"/>
      <c r="S277" s="269"/>
      <c r="T277" s="269"/>
      <c r="U277" s="269"/>
      <c r="V277" s="269"/>
      <c r="W277" s="269"/>
      <c r="X277" s="269"/>
      <c r="Y277" s="269"/>
      <c r="Z277" s="269"/>
    </row>
    <row r="278">
      <c r="A278" s="269"/>
      <c r="B278" s="269"/>
      <c r="C278" s="269"/>
      <c r="D278" s="269"/>
      <c r="E278" s="269"/>
      <c r="F278" s="269"/>
      <c r="G278" s="269"/>
      <c r="H278" s="269"/>
      <c r="I278" s="269"/>
      <c r="J278" s="269"/>
      <c r="K278" s="269"/>
      <c r="L278" s="269"/>
      <c r="M278" s="269"/>
      <c r="N278" s="269"/>
      <c r="O278" s="269"/>
      <c r="P278" s="269"/>
      <c r="Q278" s="269"/>
      <c r="R278" s="269"/>
      <c r="S278" s="269"/>
      <c r="T278" s="269"/>
      <c r="U278" s="269"/>
      <c r="V278" s="269"/>
      <c r="W278" s="269"/>
      <c r="X278" s="269"/>
      <c r="Y278" s="269"/>
      <c r="Z278" s="269"/>
    </row>
    <row r="279">
      <c r="A279" s="269"/>
      <c r="B279" s="269"/>
      <c r="C279" s="269"/>
      <c r="D279" s="269"/>
      <c r="E279" s="269"/>
      <c r="F279" s="269"/>
      <c r="G279" s="269"/>
      <c r="H279" s="269"/>
      <c r="I279" s="269"/>
      <c r="J279" s="269"/>
      <c r="K279" s="269"/>
      <c r="L279" s="269"/>
      <c r="M279" s="269"/>
      <c r="N279" s="269"/>
      <c r="O279" s="269"/>
      <c r="P279" s="269"/>
      <c r="Q279" s="269"/>
      <c r="R279" s="269"/>
      <c r="S279" s="269"/>
      <c r="T279" s="269"/>
      <c r="U279" s="269"/>
      <c r="V279" s="269"/>
      <c r="W279" s="269"/>
      <c r="X279" s="269"/>
      <c r="Y279" s="269"/>
      <c r="Z279" s="269"/>
    </row>
    <row r="280">
      <c r="A280" s="269"/>
      <c r="B280" s="269"/>
      <c r="C280" s="269"/>
      <c r="D280" s="269"/>
      <c r="E280" s="269"/>
      <c r="F280" s="269"/>
      <c r="G280" s="269"/>
      <c r="H280" s="269"/>
      <c r="I280" s="269"/>
      <c r="J280" s="269"/>
      <c r="K280" s="269"/>
      <c r="L280" s="269"/>
      <c r="M280" s="269"/>
      <c r="N280" s="269"/>
      <c r="O280" s="269"/>
      <c r="P280" s="269"/>
      <c r="Q280" s="269"/>
      <c r="R280" s="269"/>
      <c r="S280" s="269"/>
      <c r="T280" s="269"/>
      <c r="U280" s="269"/>
      <c r="V280" s="269"/>
      <c r="W280" s="269"/>
      <c r="X280" s="269"/>
      <c r="Y280" s="269"/>
      <c r="Z280" s="269"/>
    </row>
    <row r="281">
      <c r="A281" s="269"/>
      <c r="B281" s="269"/>
      <c r="C281" s="269"/>
      <c r="D281" s="269"/>
      <c r="E281" s="269"/>
      <c r="F281" s="269"/>
      <c r="G281" s="269"/>
      <c r="H281" s="269"/>
      <c r="I281" s="269"/>
      <c r="J281" s="269"/>
      <c r="K281" s="269"/>
      <c r="L281" s="269"/>
      <c r="M281" s="269"/>
      <c r="N281" s="269"/>
      <c r="O281" s="269"/>
      <c r="P281" s="269"/>
      <c r="Q281" s="269"/>
      <c r="R281" s="269"/>
      <c r="S281" s="269"/>
      <c r="T281" s="269"/>
      <c r="U281" s="269"/>
      <c r="V281" s="269"/>
      <c r="W281" s="269"/>
      <c r="X281" s="269"/>
      <c r="Y281" s="269"/>
      <c r="Z281" s="269"/>
    </row>
    <row r="282">
      <c r="A282" s="269"/>
      <c r="B282" s="269"/>
      <c r="C282" s="269"/>
      <c r="D282" s="269"/>
      <c r="E282" s="269"/>
      <c r="F282" s="269"/>
      <c r="G282" s="269"/>
      <c r="H282" s="269"/>
      <c r="I282" s="269"/>
      <c r="J282" s="269"/>
      <c r="K282" s="269"/>
      <c r="L282" s="269"/>
      <c r="M282" s="269"/>
      <c r="N282" s="269"/>
      <c r="O282" s="269"/>
      <c r="P282" s="269"/>
      <c r="Q282" s="269"/>
      <c r="R282" s="269"/>
      <c r="S282" s="269"/>
      <c r="T282" s="269"/>
      <c r="U282" s="269"/>
      <c r="V282" s="269"/>
      <c r="W282" s="269"/>
      <c r="X282" s="269"/>
      <c r="Y282" s="269"/>
      <c r="Z282" s="269"/>
    </row>
    <row r="283">
      <c r="A283" s="269"/>
      <c r="B283" s="269"/>
      <c r="C283" s="269"/>
      <c r="D283" s="269"/>
      <c r="E283" s="269"/>
      <c r="F283" s="269"/>
      <c r="G283" s="269"/>
      <c r="H283" s="269"/>
      <c r="I283" s="269"/>
      <c r="J283" s="269"/>
      <c r="K283" s="269"/>
      <c r="L283" s="269"/>
      <c r="M283" s="269"/>
      <c r="N283" s="269"/>
      <c r="O283" s="269"/>
      <c r="P283" s="269"/>
      <c r="Q283" s="269"/>
      <c r="R283" s="269"/>
      <c r="S283" s="269"/>
      <c r="T283" s="269"/>
      <c r="U283" s="269"/>
      <c r="V283" s="269"/>
      <c r="W283" s="269"/>
      <c r="X283" s="269"/>
      <c r="Y283" s="269"/>
      <c r="Z283" s="269"/>
    </row>
    <row r="284">
      <c r="A284" s="269"/>
      <c r="B284" s="269"/>
      <c r="C284" s="269"/>
      <c r="D284" s="269"/>
      <c r="E284" s="269"/>
      <c r="F284" s="269"/>
      <c r="G284" s="269"/>
      <c r="H284" s="269"/>
      <c r="I284" s="269"/>
      <c r="J284" s="269"/>
      <c r="K284" s="269"/>
      <c r="L284" s="269"/>
      <c r="M284" s="269"/>
      <c r="N284" s="269"/>
      <c r="O284" s="269"/>
      <c r="P284" s="269"/>
      <c r="Q284" s="269"/>
      <c r="R284" s="269"/>
      <c r="S284" s="269"/>
      <c r="T284" s="269"/>
      <c r="U284" s="269"/>
      <c r="V284" s="269"/>
      <c r="W284" s="269"/>
      <c r="X284" s="269"/>
      <c r="Y284" s="269"/>
      <c r="Z284" s="269"/>
    </row>
    <row r="285">
      <c r="A285" s="269"/>
      <c r="B285" s="269"/>
      <c r="C285" s="269"/>
      <c r="D285" s="269"/>
      <c r="E285" s="269"/>
      <c r="F285" s="269"/>
      <c r="G285" s="269"/>
      <c r="H285" s="269"/>
      <c r="I285" s="269"/>
      <c r="J285" s="269"/>
      <c r="K285" s="269"/>
      <c r="L285" s="269"/>
      <c r="M285" s="269"/>
      <c r="N285" s="269"/>
      <c r="O285" s="269"/>
      <c r="P285" s="269"/>
      <c r="Q285" s="269"/>
      <c r="R285" s="269"/>
      <c r="S285" s="269"/>
      <c r="T285" s="269"/>
      <c r="U285" s="269"/>
      <c r="V285" s="269"/>
      <c r="W285" s="269"/>
      <c r="X285" s="269"/>
      <c r="Y285" s="269"/>
      <c r="Z285" s="269"/>
    </row>
    <row r="286">
      <c r="A286" s="269"/>
      <c r="B286" s="269"/>
      <c r="C286" s="269"/>
      <c r="D286" s="269"/>
      <c r="E286" s="269"/>
      <c r="F286" s="269"/>
      <c r="G286" s="269"/>
      <c r="H286" s="269"/>
      <c r="I286" s="269"/>
      <c r="J286" s="269"/>
      <c r="K286" s="269"/>
      <c r="L286" s="269"/>
      <c r="M286" s="269"/>
      <c r="N286" s="269"/>
      <c r="O286" s="269"/>
      <c r="P286" s="269"/>
      <c r="Q286" s="269"/>
      <c r="R286" s="269"/>
      <c r="S286" s="269"/>
      <c r="T286" s="269"/>
      <c r="U286" s="269"/>
      <c r="V286" s="269"/>
      <c r="W286" s="269"/>
      <c r="X286" s="269"/>
      <c r="Y286" s="269"/>
      <c r="Z286" s="269"/>
    </row>
    <row r="287">
      <c r="A287" s="269"/>
      <c r="B287" s="269"/>
      <c r="C287" s="269"/>
      <c r="D287" s="269"/>
      <c r="E287" s="269"/>
      <c r="F287" s="269"/>
      <c r="G287" s="269"/>
      <c r="H287" s="269"/>
      <c r="I287" s="269"/>
      <c r="J287" s="269"/>
      <c r="K287" s="269"/>
      <c r="L287" s="269"/>
      <c r="M287" s="269"/>
      <c r="N287" s="269"/>
      <c r="O287" s="269"/>
      <c r="P287" s="269"/>
      <c r="Q287" s="269"/>
      <c r="R287" s="269"/>
      <c r="S287" s="269"/>
      <c r="T287" s="269"/>
      <c r="U287" s="269"/>
      <c r="V287" s="269"/>
      <c r="W287" s="269"/>
      <c r="X287" s="269"/>
      <c r="Y287" s="269"/>
      <c r="Z287" s="269"/>
    </row>
    <row r="288">
      <c r="A288" s="269"/>
      <c r="B288" s="269"/>
      <c r="C288" s="269"/>
      <c r="D288" s="269"/>
      <c r="E288" s="269"/>
      <c r="F288" s="269"/>
      <c r="G288" s="269"/>
      <c r="H288" s="269"/>
      <c r="I288" s="269"/>
      <c r="J288" s="269"/>
      <c r="K288" s="269"/>
      <c r="L288" s="269"/>
      <c r="M288" s="269"/>
      <c r="N288" s="269"/>
      <c r="O288" s="269"/>
      <c r="P288" s="269"/>
      <c r="Q288" s="269"/>
      <c r="R288" s="269"/>
      <c r="S288" s="269"/>
      <c r="T288" s="269"/>
      <c r="U288" s="269"/>
      <c r="V288" s="269"/>
      <c r="W288" s="269"/>
      <c r="X288" s="269"/>
      <c r="Y288" s="269"/>
      <c r="Z288" s="269"/>
    </row>
    <row r="289">
      <c r="A289" s="269"/>
      <c r="B289" s="269"/>
      <c r="C289" s="269"/>
      <c r="D289" s="269"/>
      <c r="E289" s="269"/>
      <c r="F289" s="269"/>
      <c r="G289" s="269"/>
      <c r="H289" s="269"/>
      <c r="I289" s="269"/>
      <c r="J289" s="269"/>
      <c r="K289" s="269"/>
      <c r="L289" s="269"/>
      <c r="M289" s="269"/>
      <c r="N289" s="269"/>
      <c r="O289" s="269"/>
      <c r="P289" s="269"/>
      <c r="Q289" s="269"/>
      <c r="R289" s="269"/>
      <c r="S289" s="269"/>
      <c r="T289" s="269"/>
      <c r="U289" s="269"/>
      <c r="V289" s="269"/>
      <c r="W289" s="269"/>
      <c r="X289" s="269"/>
      <c r="Y289" s="269"/>
      <c r="Z289" s="269"/>
    </row>
    <row r="290">
      <c r="A290" s="269"/>
      <c r="B290" s="269"/>
      <c r="C290" s="269"/>
      <c r="D290" s="269"/>
      <c r="E290" s="269"/>
      <c r="F290" s="269"/>
      <c r="G290" s="269"/>
      <c r="H290" s="269"/>
      <c r="I290" s="269"/>
      <c r="J290" s="269"/>
      <c r="K290" s="269"/>
      <c r="L290" s="269"/>
      <c r="M290" s="269"/>
      <c r="N290" s="269"/>
      <c r="O290" s="269"/>
      <c r="P290" s="269"/>
      <c r="Q290" s="269"/>
      <c r="R290" s="269"/>
      <c r="S290" s="269"/>
      <c r="T290" s="269"/>
      <c r="U290" s="269"/>
      <c r="V290" s="269"/>
      <c r="W290" s="269"/>
      <c r="X290" s="269"/>
      <c r="Y290" s="269"/>
      <c r="Z290" s="269"/>
    </row>
    <row r="291">
      <c r="A291" s="269"/>
      <c r="B291" s="269"/>
      <c r="C291" s="269"/>
      <c r="D291" s="269"/>
      <c r="E291" s="269"/>
      <c r="F291" s="269"/>
      <c r="G291" s="269"/>
      <c r="H291" s="269"/>
      <c r="I291" s="269"/>
      <c r="J291" s="269"/>
      <c r="K291" s="269"/>
      <c r="L291" s="269"/>
      <c r="M291" s="269"/>
      <c r="N291" s="269"/>
      <c r="O291" s="269"/>
      <c r="P291" s="269"/>
      <c r="Q291" s="269"/>
      <c r="R291" s="269"/>
      <c r="S291" s="269"/>
      <c r="T291" s="269"/>
      <c r="U291" s="269"/>
      <c r="V291" s="269"/>
      <c r="W291" s="269"/>
      <c r="X291" s="269"/>
      <c r="Y291" s="269"/>
      <c r="Z291" s="269"/>
    </row>
    <row r="292">
      <c r="A292" s="269"/>
      <c r="B292" s="269"/>
      <c r="C292" s="269"/>
      <c r="D292" s="269"/>
      <c r="E292" s="269"/>
      <c r="F292" s="269"/>
      <c r="G292" s="269"/>
      <c r="H292" s="269"/>
      <c r="I292" s="269"/>
      <c r="J292" s="269"/>
      <c r="K292" s="269"/>
      <c r="L292" s="269"/>
      <c r="M292" s="269"/>
      <c r="N292" s="269"/>
      <c r="O292" s="269"/>
      <c r="P292" s="269"/>
      <c r="Q292" s="269"/>
      <c r="R292" s="269"/>
      <c r="S292" s="269"/>
      <c r="T292" s="269"/>
      <c r="U292" s="269"/>
      <c r="V292" s="269"/>
      <c r="W292" s="269"/>
      <c r="X292" s="269"/>
      <c r="Y292" s="269"/>
      <c r="Z292" s="269"/>
    </row>
    <row r="293">
      <c r="A293" s="269"/>
      <c r="B293" s="269"/>
      <c r="C293" s="269"/>
      <c r="D293" s="269"/>
      <c r="E293" s="269"/>
      <c r="F293" s="269"/>
      <c r="G293" s="269"/>
      <c r="H293" s="269"/>
      <c r="I293" s="269"/>
      <c r="J293" s="269"/>
      <c r="K293" s="269"/>
      <c r="L293" s="269"/>
      <c r="M293" s="269"/>
      <c r="N293" s="269"/>
      <c r="O293" s="269"/>
      <c r="P293" s="269"/>
      <c r="Q293" s="269"/>
      <c r="R293" s="269"/>
      <c r="S293" s="269"/>
      <c r="T293" s="269"/>
      <c r="U293" s="269"/>
      <c r="V293" s="269"/>
      <c r="W293" s="269"/>
      <c r="X293" s="269"/>
      <c r="Y293" s="269"/>
      <c r="Z293" s="269"/>
    </row>
    <row r="294">
      <c r="A294" s="269"/>
      <c r="B294" s="269"/>
      <c r="C294" s="269"/>
      <c r="D294" s="269"/>
      <c r="E294" s="269"/>
      <c r="F294" s="269"/>
      <c r="G294" s="269"/>
      <c r="H294" s="269"/>
      <c r="I294" s="269"/>
      <c r="J294" s="269"/>
      <c r="K294" s="269"/>
      <c r="L294" s="269"/>
      <c r="M294" s="269"/>
      <c r="N294" s="269"/>
      <c r="O294" s="269"/>
      <c r="P294" s="269"/>
      <c r="Q294" s="269"/>
      <c r="R294" s="269"/>
      <c r="S294" s="269"/>
      <c r="T294" s="269"/>
      <c r="U294" s="269"/>
      <c r="V294" s="269"/>
      <c r="W294" s="269"/>
      <c r="X294" s="269"/>
      <c r="Y294" s="269"/>
      <c r="Z294" s="269"/>
    </row>
    <row r="295">
      <c r="A295" s="269"/>
      <c r="B295" s="269"/>
      <c r="C295" s="269"/>
      <c r="D295" s="269"/>
      <c r="E295" s="269"/>
      <c r="F295" s="269"/>
      <c r="G295" s="269"/>
      <c r="H295" s="269"/>
      <c r="I295" s="269"/>
      <c r="J295" s="269"/>
      <c r="K295" s="269"/>
      <c r="L295" s="269"/>
      <c r="M295" s="269"/>
      <c r="N295" s="269"/>
      <c r="O295" s="269"/>
      <c r="P295" s="269"/>
      <c r="Q295" s="269"/>
      <c r="R295" s="269"/>
      <c r="S295" s="269"/>
      <c r="T295" s="269"/>
      <c r="U295" s="269"/>
      <c r="V295" s="269"/>
      <c r="W295" s="269"/>
      <c r="X295" s="269"/>
      <c r="Y295" s="269"/>
      <c r="Z295" s="269"/>
    </row>
    <row r="296">
      <c r="A296" s="269"/>
      <c r="B296" s="269"/>
      <c r="C296" s="269"/>
      <c r="D296" s="269"/>
      <c r="E296" s="269"/>
      <c r="F296" s="269"/>
      <c r="G296" s="269"/>
      <c r="H296" s="269"/>
      <c r="I296" s="269"/>
      <c r="J296" s="269"/>
      <c r="K296" s="269"/>
      <c r="L296" s="269"/>
      <c r="M296" s="269"/>
      <c r="N296" s="269"/>
      <c r="O296" s="269"/>
      <c r="P296" s="269"/>
      <c r="Q296" s="269"/>
      <c r="R296" s="269"/>
      <c r="S296" s="269"/>
      <c r="T296" s="269"/>
      <c r="U296" s="269"/>
      <c r="V296" s="269"/>
      <c r="W296" s="269"/>
      <c r="X296" s="269"/>
      <c r="Y296" s="269"/>
      <c r="Z296" s="269"/>
    </row>
    <row r="297">
      <c r="A297" s="269"/>
      <c r="B297" s="269"/>
      <c r="C297" s="269"/>
      <c r="D297" s="269"/>
      <c r="E297" s="269"/>
      <c r="F297" s="269"/>
      <c r="G297" s="269"/>
      <c r="H297" s="269"/>
      <c r="I297" s="269"/>
      <c r="J297" s="269"/>
      <c r="K297" s="269"/>
      <c r="L297" s="269"/>
      <c r="M297" s="269"/>
      <c r="N297" s="269"/>
      <c r="O297" s="269"/>
      <c r="P297" s="269"/>
      <c r="Q297" s="269"/>
      <c r="R297" s="269"/>
      <c r="S297" s="269"/>
      <c r="T297" s="269"/>
      <c r="U297" s="269"/>
      <c r="V297" s="269"/>
      <c r="W297" s="269"/>
      <c r="X297" s="269"/>
      <c r="Y297" s="269"/>
      <c r="Z297" s="269"/>
    </row>
    <row r="298">
      <c r="A298" s="269"/>
      <c r="B298" s="269"/>
      <c r="C298" s="269"/>
      <c r="D298" s="269"/>
      <c r="E298" s="269"/>
      <c r="F298" s="269"/>
      <c r="G298" s="269"/>
      <c r="H298" s="269"/>
      <c r="I298" s="269"/>
      <c r="J298" s="269"/>
      <c r="K298" s="269"/>
      <c r="L298" s="269"/>
      <c r="M298" s="269"/>
      <c r="N298" s="269"/>
      <c r="O298" s="269"/>
      <c r="P298" s="269"/>
      <c r="Q298" s="269"/>
      <c r="R298" s="269"/>
      <c r="S298" s="269"/>
      <c r="T298" s="269"/>
      <c r="U298" s="269"/>
      <c r="V298" s="269"/>
      <c r="W298" s="269"/>
      <c r="X298" s="269"/>
      <c r="Y298" s="269"/>
      <c r="Z298" s="269"/>
    </row>
    <row r="299">
      <c r="A299" s="269"/>
      <c r="B299" s="269"/>
      <c r="C299" s="269"/>
      <c r="D299" s="269"/>
      <c r="E299" s="269"/>
      <c r="F299" s="269"/>
      <c r="G299" s="269"/>
      <c r="H299" s="269"/>
      <c r="I299" s="269"/>
      <c r="J299" s="269"/>
      <c r="K299" s="269"/>
      <c r="L299" s="269"/>
      <c r="M299" s="269"/>
      <c r="N299" s="269"/>
      <c r="O299" s="269"/>
      <c r="P299" s="269"/>
      <c r="Q299" s="269"/>
      <c r="R299" s="269"/>
      <c r="S299" s="269"/>
      <c r="T299" s="269"/>
      <c r="U299" s="269"/>
      <c r="V299" s="269"/>
      <c r="W299" s="269"/>
      <c r="X299" s="269"/>
      <c r="Y299" s="269"/>
      <c r="Z299" s="269"/>
    </row>
    <row r="300">
      <c r="A300" s="269"/>
      <c r="B300" s="269"/>
      <c r="C300" s="269"/>
      <c r="D300" s="269"/>
      <c r="E300" s="269"/>
      <c r="F300" s="269"/>
      <c r="G300" s="269"/>
      <c r="H300" s="269"/>
      <c r="I300" s="269"/>
      <c r="J300" s="269"/>
      <c r="K300" s="269"/>
      <c r="L300" s="269"/>
      <c r="M300" s="269"/>
      <c r="N300" s="269"/>
      <c r="O300" s="269"/>
      <c r="P300" s="269"/>
      <c r="Q300" s="269"/>
      <c r="R300" s="269"/>
      <c r="S300" s="269"/>
      <c r="T300" s="269"/>
      <c r="U300" s="269"/>
      <c r="V300" s="269"/>
      <c r="W300" s="269"/>
      <c r="X300" s="269"/>
      <c r="Y300" s="269"/>
      <c r="Z300" s="269"/>
    </row>
    <row r="301">
      <c r="A301" s="269"/>
      <c r="B301" s="269"/>
      <c r="C301" s="269"/>
      <c r="D301" s="269"/>
      <c r="E301" s="269"/>
      <c r="F301" s="269"/>
      <c r="G301" s="269"/>
      <c r="H301" s="269"/>
      <c r="I301" s="269"/>
      <c r="J301" s="269"/>
      <c r="K301" s="269"/>
      <c r="L301" s="269"/>
      <c r="M301" s="269"/>
      <c r="N301" s="269"/>
      <c r="O301" s="269"/>
      <c r="P301" s="269"/>
      <c r="Q301" s="269"/>
      <c r="R301" s="269"/>
      <c r="S301" s="269"/>
      <c r="T301" s="269"/>
      <c r="U301" s="269"/>
      <c r="V301" s="269"/>
      <c r="W301" s="269"/>
      <c r="X301" s="269"/>
      <c r="Y301" s="269"/>
      <c r="Z301" s="269"/>
    </row>
    <row r="302">
      <c r="A302" s="269"/>
      <c r="B302" s="269"/>
      <c r="C302" s="269"/>
      <c r="D302" s="269"/>
      <c r="E302" s="269"/>
      <c r="F302" s="269"/>
      <c r="G302" s="269"/>
      <c r="H302" s="269"/>
      <c r="I302" s="269"/>
      <c r="J302" s="269"/>
      <c r="K302" s="269"/>
      <c r="L302" s="269"/>
      <c r="M302" s="269"/>
      <c r="N302" s="269"/>
      <c r="O302" s="269"/>
      <c r="P302" s="269"/>
      <c r="Q302" s="269"/>
      <c r="R302" s="269"/>
      <c r="S302" s="269"/>
      <c r="T302" s="269"/>
      <c r="U302" s="269"/>
      <c r="V302" s="269"/>
      <c r="W302" s="269"/>
      <c r="X302" s="269"/>
      <c r="Y302" s="269"/>
      <c r="Z302" s="269"/>
    </row>
    <row r="303">
      <c r="A303" s="269"/>
      <c r="B303" s="269"/>
      <c r="C303" s="269"/>
      <c r="D303" s="269"/>
      <c r="E303" s="269"/>
      <c r="F303" s="269"/>
      <c r="G303" s="269"/>
      <c r="H303" s="269"/>
      <c r="I303" s="269"/>
      <c r="J303" s="269"/>
      <c r="K303" s="269"/>
      <c r="L303" s="269"/>
      <c r="M303" s="269"/>
      <c r="N303" s="269"/>
      <c r="O303" s="269"/>
      <c r="P303" s="269"/>
      <c r="Q303" s="269"/>
      <c r="R303" s="269"/>
      <c r="S303" s="269"/>
      <c r="T303" s="269"/>
      <c r="U303" s="269"/>
      <c r="V303" s="269"/>
      <c r="W303" s="269"/>
      <c r="X303" s="269"/>
      <c r="Y303" s="269"/>
      <c r="Z303" s="269"/>
    </row>
    <row r="304">
      <c r="A304" s="269"/>
      <c r="B304" s="269"/>
      <c r="C304" s="269"/>
      <c r="D304" s="269"/>
      <c r="E304" s="269"/>
      <c r="F304" s="269"/>
      <c r="G304" s="269"/>
      <c r="H304" s="269"/>
      <c r="I304" s="269"/>
      <c r="J304" s="269"/>
      <c r="K304" s="269"/>
      <c r="L304" s="269"/>
      <c r="M304" s="269"/>
      <c r="N304" s="269"/>
      <c r="O304" s="269"/>
      <c r="P304" s="269"/>
      <c r="Q304" s="269"/>
      <c r="R304" s="269"/>
      <c r="S304" s="269"/>
      <c r="T304" s="269"/>
      <c r="U304" s="269"/>
      <c r="V304" s="269"/>
      <c r="W304" s="269"/>
      <c r="X304" s="269"/>
      <c r="Y304" s="269"/>
      <c r="Z304" s="269"/>
    </row>
    <row r="305">
      <c r="A305" s="269"/>
      <c r="B305" s="269"/>
      <c r="C305" s="269"/>
      <c r="D305" s="269"/>
      <c r="E305" s="269"/>
      <c r="F305" s="269"/>
      <c r="G305" s="269"/>
      <c r="H305" s="269"/>
      <c r="I305" s="269"/>
      <c r="J305" s="269"/>
      <c r="K305" s="269"/>
      <c r="L305" s="269"/>
      <c r="M305" s="269"/>
      <c r="N305" s="269"/>
      <c r="O305" s="269"/>
      <c r="P305" s="269"/>
      <c r="Q305" s="269"/>
      <c r="R305" s="269"/>
      <c r="S305" s="269"/>
      <c r="T305" s="269"/>
      <c r="U305" s="269"/>
      <c r="V305" s="269"/>
      <c r="W305" s="269"/>
      <c r="X305" s="269"/>
      <c r="Y305" s="269"/>
      <c r="Z305" s="269"/>
    </row>
    <row r="306">
      <c r="A306" s="269"/>
      <c r="B306" s="269"/>
      <c r="C306" s="269"/>
      <c r="D306" s="269"/>
      <c r="E306" s="269"/>
      <c r="F306" s="269"/>
      <c r="G306" s="269"/>
      <c r="H306" s="269"/>
      <c r="I306" s="269"/>
      <c r="J306" s="269"/>
      <c r="K306" s="269"/>
      <c r="L306" s="269"/>
      <c r="M306" s="269"/>
      <c r="N306" s="269"/>
      <c r="O306" s="269"/>
      <c r="P306" s="269"/>
      <c r="Q306" s="269"/>
      <c r="R306" s="269"/>
      <c r="S306" s="269"/>
      <c r="T306" s="269"/>
      <c r="U306" s="269"/>
      <c r="V306" s="269"/>
      <c r="W306" s="269"/>
      <c r="X306" s="269"/>
      <c r="Y306" s="269"/>
      <c r="Z306" s="269"/>
    </row>
    <row r="307">
      <c r="A307" s="269"/>
      <c r="B307" s="269"/>
      <c r="C307" s="269"/>
      <c r="D307" s="269"/>
      <c r="E307" s="269"/>
      <c r="F307" s="269"/>
      <c r="G307" s="269"/>
      <c r="H307" s="269"/>
      <c r="I307" s="269"/>
      <c r="J307" s="269"/>
      <c r="K307" s="269"/>
      <c r="L307" s="269"/>
      <c r="M307" s="269"/>
      <c r="N307" s="269"/>
      <c r="O307" s="269"/>
      <c r="P307" s="269"/>
      <c r="Q307" s="269"/>
      <c r="R307" s="269"/>
      <c r="S307" s="269"/>
      <c r="T307" s="269"/>
      <c r="U307" s="269"/>
      <c r="V307" s="269"/>
      <c r="W307" s="269"/>
      <c r="X307" s="269"/>
      <c r="Y307" s="269"/>
      <c r="Z307" s="269"/>
    </row>
    <row r="308">
      <c r="A308" s="269"/>
      <c r="B308" s="269"/>
      <c r="C308" s="269"/>
      <c r="D308" s="269"/>
      <c r="E308" s="269"/>
      <c r="F308" s="269"/>
      <c r="G308" s="269"/>
      <c r="H308" s="269"/>
      <c r="I308" s="269"/>
      <c r="J308" s="269"/>
      <c r="K308" s="269"/>
      <c r="L308" s="269"/>
      <c r="M308" s="269"/>
      <c r="N308" s="269"/>
      <c r="O308" s="269"/>
      <c r="P308" s="269"/>
      <c r="Q308" s="269"/>
      <c r="R308" s="269"/>
      <c r="S308" s="269"/>
      <c r="T308" s="269"/>
      <c r="U308" s="269"/>
      <c r="V308" s="269"/>
      <c r="W308" s="269"/>
      <c r="X308" s="269"/>
      <c r="Y308" s="269"/>
      <c r="Z308" s="269"/>
    </row>
    <row r="309">
      <c r="A309" s="269"/>
      <c r="B309" s="269"/>
      <c r="C309" s="269"/>
      <c r="D309" s="269"/>
      <c r="E309" s="269"/>
      <c r="F309" s="269"/>
      <c r="G309" s="269"/>
      <c r="H309" s="269"/>
      <c r="I309" s="269"/>
      <c r="J309" s="269"/>
      <c r="K309" s="269"/>
      <c r="L309" s="269"/>
      <c r="M309" s="269"/>
      <c r="N309" s="269"/>
      <c r="O309" s="269"/>
      <c r="P309" s="269"/>
      <c r="Q309" s="269"/>
      <c r="R309" s="269"/>
      <c r="S309" s="269"/>
      <c r="T309" s="269"/>
      <c r="U309" s="269"/>
      <c r="V309" s="269"/>
      <c r="W309" s="269"/>
      <c r="X309" s="269"/>
      <c r="Y309" s="269"/>
      <c r="Z309" s="269"/>
    </row>
    <row r="310">
      <c r="A310" s="269"/>
      <c r="B310" s="269"/>
      <c r="C310" s="269"/>
      <c r="D310" s="269"/>
      <c r="E310" s="269"/>
      <c r="F310" s="269"/>
      <c r="G310" s="269"/>
      <c r="H310" s="269"/>
      <c r="I310" s="269"/>
      <c r="J310" s="269"/>
      <c r="K310" s="269"/>
      <c r="L310" s="269"/>
      <c r="M310" s="269"/>
      <c r="N310" s="269"/>
      <c r="O310" s="269"/>
      <c r="P310" s="269"/>
      <c r="Q310" s="269"/>
      <c r="R310" s="269"/>
      <c r="S310" s="269"/>
      <c r="T310" s="269"/>
      <c r="U310" s="269"/>
      <c r="V310" s="269"/>
      <c r="W310" s="269"/>
      <c r="X310" s="269"/>
      <c r="Y310" s="269"/>
      <c r="Z310" s="269"/>
    </row>
    <row r="311">
      <c r="A311" s="269"/>
      <c r="B311" s="269"/>
      <c r="C311" s="269"/>
      <c r="D311" s="269"/>
      <c r="E311" s="269"/>
      <c r="F311" s="269"/>
      <c r="G311" s="269"/>
      <c r="H311" s="269"/>
      <c r="I311" s="269"/>
      <c r="J311" s="269"/>
      <c r="K311" s="269"/>
      <c r="L311" s="269"/>
      <c r="M311" s="269"/>
      <c r="N311" s="269"/>
      <c r="O311" s="269"/>
      <c r="P311" s="269"/>
      <c r="Q311" s="269"/>
      <c r="R311" s="269"/>
      <c r="S311" s="269"/>
      <c r="T311" s="269"/>
      <c r="U311" s="269"/>
      <c r="V311" s="269"/>
      <c r="W311" s="269"/>
      <c r="X311" s="269"/>
      <c r="Y311" s="269"/>
      <c r="Z311" s="269"/>
    </row>
    <row r="312">
      <c r="A312" s="269"/>
      <c r="B312" s="269"/>
      <c r="C312" s="269"/>
      <c r="D312" s="269"/>
      <c r="E312" s="269"/>
      <c r="F312" s="269"/>
      <c r="G312" s="269"/>
      <c r="H312" s="269"/>
      <c r="I312" s="269"/>
      <c r="J312" s="269"/>
      <c r="K312" s="269"/>
      <c r="L312" s="269"/>
      <c r="M312" s="269"/>
      <c r="N312" s="269"/>
      <c r="O312" s="269"/>
      <c r="P312" s="269"/>
      <c r="Q312" s="269"/>
      <c r="R312" s="269"/>
      <c r="S312" s="269"/>
      <c r="T312" s="269"/>
      <c r="U312" s="269"/>
      <c r="V312" s="269"/>
      <c r="W312" s="269"/>
      <c r="X312" s="269"/>
      <c r="Y312" s="269"/>
      <c r="Z312" s="269"/>
    </row>
    <row r="313">
      <c r="A313" s="269"/>
      <c r="B313" s="269"/>
      <c r="C313" s="269"/>
      <c r="D313" s="269"/>
      <c r="E313" s="269"/>
      <c r="F313" s="269"/>
      <c r="G313" s="269"/>
      <c r="H313" s="269"/>
      <c r="I313" s="269"/>
      <c r="J313" s="269"/>
      <c r="K313" s="269"/>
      <c r="L313" s="269"/>
      <c r="M313" s="269"/>
      <c r="N313" s="269"/>
      <c r="O313" s="269"/>
      <c r="P313" s="269"/>
      <c r="Q313" s="269"/>
      <c r="R313" s="269"/>
      <c r="S313" s="269"/>
      <c r="T313" s="269"/>
      <c r="U313" s="269"/>
      <c r="V313" s="269"/>
      <c r="W313" s="269"/>
      <c r="X313" s="269"/>
      <c r="Y313" s="269"/>
      <c r="Z313" s="269"/>
    </row>
    <row r="314">
      <c r="A314" s="269"/>
      <c r="B314" s="269"/>
      <c r="C314" s="269"/>
      <c r="D314" s="269"/>
      <c r="E314" s="269"/>
      <c r="F314" s="269"/>
      <c r="G314" s="269"/>
      <c r="H314" s="269"/>
      <c r="I314" s="269"/>
      <c r="J314" s="269"/>
      <c r="K314" s="269"/>
      <c r="L314" s="269"/>
      <c r="M314" s="269"/>
      <c r="N314" s="269"/>
      <c r="O314" s="269"/>
      <c r="P314" s="269"/>
      <c r="Q314" s="269"/>
      <c r="R314" s="269"/>
      <c r="S314" s="269"/>
      <c r="T314" s="269"/>
      <c r="U314" s="269"/>
      <c r="V314" s="269"/>
      <c r="W314" s="269"/>
      <c r="X314" s="269"/>
      <c r="Y314" s="269"/>
      <c r="Z314" s="269"/>
    </row>
    <row r="315">
      <c r="A315" s="269"/>
      <c r="B315" s="269"/>
      <c r="C315" s="269"/>
      <c r="D315" s="269"/>
      <c r="E315" s="269"/>
      <c r="F315" s="269"/>
      <c r="G315" s="269"/>
      <c r="H315" s="269"/>
      <c r="I315" s="269"/>
      <c r="J315" s="269"/>
      <c r="K315" s="269"/>
      <c r="L315" s="269"/>
      <c r="M315" s="269"/>
      <c r="N315" s="269"/>
      <c r="O315" s="269"/>
      <c r="P315" s="269"/>
      <c r="Q315" s="269"/>
      <c r="R315" s="269"/>
      <c r="S315" s="269"/>
      <c r="T315" s="269"/>
      <c r="U315" s="269"/>
      <c r="V315" s="269"/>
      <c r="W315" s="269"/>
      <c r="X315" s="269"/>
      <c r="Y315" s="269"/>
      <c r="Z315" s="269"/>
    </row>
    <row r="316">
      <c r="A316" s="269"/>
      <c r="B316" s="269"/>
      <c r="C316" s="269"/>
      <c r="D316" s="269"/>
      <c r="E316" s="269"/>
      <c r="F316" s="269"/>
      <c r="G316" s="269"/>
      <c r="H316" s="269"/>
      <c r="I316" s="269"/>
      <c r="J316" s="269"/>
      <c r="K316" s="269"/>
      <c r="L316" s="269"/>
      <c r="M316" s="269"/>
      <c r="N316" s="269"/>
      <c r="O316" s="269"/>
      <c r="P316" s="269"/>
      <c r="Q316" s="269"/>
      <c r="R316" s="269"/>
      <c r="S316" s="269"/>
      <c r="T316" s="269"/>
      <c r="U316" s="269"/>
      <c r="V316" s="269"/>
      <c r="W316" s="269"/>
      <c r="X316" s="269"/>
      <c r="Y316" s="269"/>
      <c r="Z316" s="269"/>
    </row>
    <row r="317">
      <c r="A317" s="269"/>
      <c r="B317" s="269"/>
      <c r="C317" s="269"/>
      <c r="D317" s="269"/>
      <c r="E317" s="269"/>
      <c r="F317" s="269"/>
      <c r="G317" s="269"/>
      <c r="H317" s="269"/>
      <c r="I317" s="269"/>
      <c r="J317" s="269"/>
      <c r="K317" s="269"/>
      <c r="L317" s="269"/>
      <c r="M317" s="269"/>
      <c r="N317" s="269"/>
      <c r="O317" s="269"/>
      <c r="P317" s="269"/>
      <c r="Q317" s="269"/>
      <c r="R317" s="269"/>
      <c r="S317" s="269"/>
      <c r="T317" s="269"/>
      <c r="U317" s="269"/>
      <c r="V317" s="269"/>
      <c r="W317" s="269"/>
      <c r="X317" s="269"/>
      <c r="Y317" s="269"/>
      <c r="Z317" s="269"/>
    </row>
    <row r="318">
      <c r="A318" s="269"/>
      <c r="B318" s="269"/>
      <c r="C318" s="269"/>
      <c r="D318" s="269"/>
      <c r="E318" s="269"/>
      <c r="F318" s="269"/>
      <c r="G318" s="269"/>
      <c r="H318" s="269"/>
      <c r="I318" s="269"/>
      <c r="J318" s="269"/>
      <c r="K318" s="269"/>
      <c r="L318" s="269"/>
      <c r="M318" s="269"/>
      <c r="N318" s="269"/>
      <c r="O318" s="269"/>
      <c r="P318" s="269"/>
      <c r="Q318" s="269"/>
      <c r="R318" s="269"/>
      <c r="S318" s="269"/>
      <c r="T318" s="269"/>
      <c r="U318" s="269"/>
      <c r="V318" s="269"/>
      <c r="W318" s="269"/>
      <c r="X318" s="269"/>
      <c r="Y318" s="269"/>
      <c r="Z318" s="269"/>
    </row>
    <row r="319">
      <c r="A319" s="269"/>
      <c r="B319" s="269"/>
      <c r="C319" s="269"/>
      <c r="D319" s="269"/>
      <c r="E319" s="269"/>
      <c r="F319" s="269"/>
      <c r="G319" s="269"/>
      <c r="H319" s="269"/>
      <c r="I319" s="269"/>
      <c r="J319" s="269"/>
      <c r="K319" s="269"/>
      <c r="L319" s="269"/>
      <c r="M319" s="269"/>
      <c r="N319" s="269"/>
      <c r="O319" s="269"/>
      <c r="P319" s="269"/>
      <c r="Q319" s="269"/>
      <c r="R319" s="269"/>
      <c r="S319" s="269"/>
      <c r="T319" s="269"/>
      <c r="U319" s="269"/>
      <c r="V319" s="269"/>
      <c r="W319" s="269"/>
      <c r="X319" s="269"/>
      <c r="Y319" s="269"/>
      <c r="Z319" s="269"/>
    </row>
    <row r="320">
      <c r="A320" s="269"/>
      <c r="B320" s="269"/>
      <c r="C320" s="269"/>
      <c r="D320" s="269"/>
      <c r="E320" s="269"/>
      <c r="F320" s="269"/>
      <c r="G320" s="269"/>
      <c r="H320" s="269"/>
      <c r="I320" s="269"/>
      <c r="J320" s="269"/>
      <c r="K320" s="269"/>
      <c r="L320" s="269"/>
      <c r="M320" s="269"/>
      <c r="N320" s="269"/>
      <c r="O320" s="269"/>
      <c r="P320" s="269"/>
      <c r="Q320" s="269"/>
      <c r="R320" s="269"/>
      <c r="S320" s="269"/>
      <c r="T320" s="269"/>
      <c r="U320" s="269"/>
      <c r="V320" s="269"/>
      <c r="W320" s="269"/>
      <c r="X320" s="269"/>
      <c r="Y320" s="269"/>
      <c r="Z320" s="269"/>
    </row>
    <row r="321">
      <c r="A321" s="269"/>
      <c r="B321" s="269"/>
      <c r="C321" s="269"/>
      <c r="D321" s="269"/>
      <c r="E321" s="269"/>
      <c r="F321" s="269"/>
      <c r="G321" s="269"/>
      <c r="H321" s="269"/>
      <c r="I321" s="269"/>
      <c r="J321" s="269"/>
      <c r="K321" s="269"/>
      <c r="L321" s="269"/>
      <c r="M321" s="269"/>
      <c r="N321" s="269"/>
      <c r="O321" s="269"/>
      <c r="P321" s="269"/>
      <c r="Q321" s="269"/>
      <c r="R321" s="269"/>
      <c r="S321" s="269"/>
      <c r="T321" s="269"/>
      <c r="U321" s="269"/>
      <c r="V321" s="269"/>
      <c r="W321" s="269"/>
      <c r="X321" s="269"/>
      <c r="Y321" s="269"/>
      <c r="Z321" s="269"/>
    </row>
    <row r="322">
      <c r="A322" s="269"/>
      <c r="B322" s="269"/>
      <c r="C322" s="269"/>
      <c r="D322" s="269"/>
      <c r="E322" s="269"/>
      <c r="F322" s="269"/>
      <c r="G322" s="269"/>
      <c r="H322" s="269"/>
      <c r="I322" s="269"/>
      <c r="J322" s="269"/>
      <c r="K322" s="269"/>
      <c r="L322" s="269"/>
      <c r="M322" s="269"/>
      <c r="N322" s="269"/>
      <c r="O322" s="269"/>
      <c r="P322" s="269"/>
      <c r="Q322" s="269"/>
      <c r="R322" s="269"/>
      <c r="S322" s="269"/>
      <c r="T322" s="269"/>
      <c r="U322" s="269"/>
      <c r="V322" s="269"/>
      <c r="W322" s="269"/>
      <c r="X322" s="269"/>
      <c r="Y322" s="269"/>
      <c r="Z322" s="269"/>
    </row>
    <row r="323">
      <c r="A323" s="269"/>
      <c r="B323" s="269"/>
      <c r="C323" s="269"/>
      <c r="D323" s="269"/>
      <c r="E323" s="269"/>
      <c r="F323" s="269"/>
      <c r="G323" s="269"/>
      <c r="H323" s="269"/>
      <c r="I323" s="269"/>
      <c r="J323" s="269"/>
      <c r="K323" s="269"/>
      <c r="L323" s="269"/>
      <c r="M323" s="269"/>
      <c r="N323" s="269"/>
      <c r="O323" s="269"/>
      <c r="P323" s="269"/>
      <c r="Q323" s="269"/>
      <c r="R323" s="269"/>
      <c r="S323" s="269"/>
      <c r="T323" s="269"/>
      <c r="U323" s="269"/>
      <c r="V323" s="269"/>
      <c r="W323" s="269"/>
      <c r="X323" s="269"/>
      <c r="Y323" s="269"/>
      <c r="Z323" s="269"/>
    </row>
    <row r="324">
      <c r="A324" s="269"/>
      <c r="B324" s="269"/>
      <c r="C324" s="269"/>
      <c r="D324" s="269"/>
      <c r="E324" s="269"/>
      <c r="F324" s="269"/>
      <c r="G324" s="269"/>
      <c r="H324" s="269"/>
      <c r="I324" s="269"/>
      <c r="J324" s="269"/>
      <c r="K324" s="269"/>
      <c r="L324" s="269"/>
      <c r="M324" s="269"/>
      <c r="N324" s="269"/>
      <c r="O324" s="269"/>
      <c r="P324" s="269"/>
      <c r="Q324" s="269"/>
      <c r="R324" s="269"/>
      <c r="S324" s="269"/>
      <c r="T324" s="269"/>
      <c r="U324" s="269"/>
      <c r="V324" s="269"/>
      <c r="W324" s="269"/>
      <c r="X324" s="269"/>
      <c r="Y324" s="269"/>
      <c r="Z324" s="269"/>
    </row>
    <row r="325">
      <c r="A325" s="269"/>
      <c r="B325" s="269"/>
      <c r="C325" s="269"/>
      <c r="D325" s="269"/>
      <c r="E325" s="269"/>
      <c r="F325" s="269"/>
      <c r="G325" s="269"/>
      <c r="H325" s="269"/>
      <c r="I325" s="269"/>
      <c r="J325" s="269"/>
      <c r="K325" s="269"/>
      <c r="L325" s="269"/>
      <c r="M325" s="269"/>
      <c r="N325" s="269"/>
      <c r="O325" s="269"/>
      <c r="P325" s="269"/>
      <c r="Q325" s="269"/>
      <c r="R325" s="269"/>
      <c r="S325" s="269"/>
      <c r="T325" s="269"/>
      <c r="U325" s="269"/>
      <c r="V325" s="269"/>
      <c r="W325" s="269"/>
      <c r="X325" s="269"/>
      <c r="Y325" s="269"/>
      <c r="Z325" s="269"/>
    </row>
    <row r="326">
      <c r="A326" s="269"/>
      <c r="B326" s="269"/>
      <c r="C326" s="269"/>
      <c r="D326" s="269"/>
      <c r="E326" s="269"/>
      <c r="F326" s="269"/>
      <c r="G326" s="269"/>
      <c r="H326" s="269"/>
      <c r="I326" s="269"/>
      <c r="J326" s="269"/>
      <c r="K326" s="269"/>
      <c r="L326" s="269"/>
      <c r="M326" s="269"/>
      <c r="N326" s="269"/>
      <c r="O326" s="269"/>
      <c r="P326" s="269"/>
      <c r="Q326" s="269"/>
      <c r="R326" s="269"/>
      <c r="S326" s="269"/>
      <c r="T326" s="269"/>
      <c r="U326" s="269"/>
      <c r="V326" s="269"/>
      <c r="W326" s="269"/>
      <c r="X326" s="269"/>
      <c r="Y326" s="269"/>
      <c r="Z326" s="269"/>
    </row>
    <row r="327">
      <c r="A327" s="269"/>
      <c r="B327" s="269"/>
      <c r="C327" s="269"/>
      <c r="D327" s="269"/>
      <c r="E327" s="269"/>
      <c r="F327" s="269"/>
      <c r="G327" s="269"/>
      <c r="H327" s="269"/>
      <c r="I327" s="269"/>
      <c r="J327" s="269"/>
      <c r="K327" s="269"/>
      <c r="L327" s="269"/>
      <c r="M327" s="269"/>
      <c r="N327" s="269"/>
      <c r="O327" s="269"/>
      <c r="P327" s="269"/>
      <c r="Q327" s="269"/>
      <c r="R327" s="269"/>
      <c r="S327" s="269"/>
      <c r="T327" s="269"/>
      <c r="U327" s="269"/>
      <c r="V327" s="269"/>
      <c r="W327" s="269"/>
      <c r="X327" s="269"/>
      <c r="Y327" s="269"/>
      <c r="Z327" s="269"/>
    </row>
    <row r="328">
      <c r="A328" s="269"/>
      <c r="B328" s="269"/>
      <c r="C328" s="269"/>
      <c r="D328" s="269"/>
      <c r="E328" s="269"/>
      <c r="F328" s="269"/>
      <c r="G328" s="269"/>
      <c r="H328" s="269"/>
      <c r="I328" s="269"/>
      <c r="J328" s="269"/>
      <c r="K328" s="269"/>
      <c r="L328" s="269"/>
      <c r="M328" s="269"/>
      <c r="N328" s="269"/>
      <c r="O328" s="269"/>
      <c r="P328" s="269"/>
      <c r="Q328" s="269"/>
      <c r="R328" s="269"/>
      <c r="S328" s="269"/>
      <c r="T328" s="269"/>
      <c r="U328" s="269"/>
      <c r="V328" s="269"/>
      <c r="W328" s="269"/>
      <c r="X328" s="269"/>
      <c r="Y328" s="269"/>
      <c r="Z328" s="269"/>
    </row>
    <row r="329">
      <c r="A329" s="269"/>
      <c r="B329" s="269"/>
      <c r="C329" s="269"/>
      <c r="D329" s="269"/>
      <c r="E329" s="269"/>
      <c r="F329" s="269"/>
      <c r="G329" s="269"/>
      <c r="H329" s="269"/>
      <c r="I329" s="269"/>
      <c r="J329" s="269"/>
      <c r="K329" s="269"/>
      <c r="L329" s="269"/>
      <c r="M329" s="269"/>
      <c r="N329" s="269"/>
      <c r="O329" s="269"/>
      <c r="P329" s="269"/>
      <c r="Q329" s="269"/>
      <c r="R329" s="269"/>
      <c r="S329" s="269"/>
      <c r="T329" s="269"/>
      <c r="U329" s="269"/>
      <c r="V329" s="269"/>
      <c r="W329" s="269"/>
      <c r="X329" s="269"/>
      <c r="Y329" s="269"/>
      <c r="Z329" s="269"/>
    </row>
    <row r="330">
      <c r="A330" s="269"/>
      <c r="B330" s="269"/>
      <c r="C330" s="269"/>
      <c r="D330" s="269"/>
      <c r="E330" s="269"/>
      <c r="F330" s="269"/>
      <c r="G330" s="269"/>
      <c r="H330" s="269"/>
      <c r="I330" s="269"/>
      <c r="J330" s="269"/>
      <c r="K330" s="269"/>
      <c r="L330" s="269"/>
      <c r="M330" s="269"/>
      <c r="N330" s="269"/>
      <c r="O330" s="269"/>
      <c r="P330" s="269"/>
      <c r="Q330" s="269"/>
      <c r="R330" s="269"/>
      <c r="S330" s="269"/>
      <c r="T330" s="269"/>
      <c r="U330" s="269"/>
      <c r="V330" s="269"/>
      <c r="W330" s="269"/>
      <c r="X330" s="269"/>
      <c r="Y330" s="269"/>
      <c r="Z330" s="269"/>
    </row>
    <row r="331">
      <c r="A331" s="269"/>
      <c r="B331" s="269"/>
      <c r="C331" s="269"/>
      <c r="D331" s="269"/>
      <c r="E331" s="269"/>
      <c r="F331" s="269"/>
      <c r="G331" s="269"/>
      <c r="H331" s="269"/>
      <c r="I331" s="269"/>
      <c r="J331" s="269"/>
      <c r="K331" s="269"/>
      <c r="L331" s="269"/>
      <c r="M331" s="269"/>
      <c r="N331" s="269"/>
      <c r="O331" s="269"/>
      <c r="P331" s="269"/>
      <c r="Q331" s="269"/>
      <c r="R331" s="269"/>
      <c r="S331" s="269"/>
      <c r="T331" s="269"/>
      <c r="U331" s="269"/>
      <c r="V331" s="269"/>
      <c r="W331" s="269"/>
      <c r="X331" s="269"/>
      <c r="Y331" s="269"/>
      <c r="Z331" s="269"/>
    </row>
    <row r="332">
      <c r="A332" s="269"/>
      <c r="B332" s="269"/>
      <c r="C332" s="269"/>
      <c r="D332" s="269"/>
      <c r="E332" s="269"/>
      <c r="F332" s="269"/>
      <c r="G332" s="269"/>
      <c r="H332" s="269"/>
      <c r="I332" s="269"/>
      <c r="J332" s="269"/>
      <c r="K332" s="269"/>
      <c r="L332" s="269"/>
      <c r="M332" s="269"/>
      <c r="N332" s="269"/>
      <c r="O332" s="269"/>
      <c r="P332" s="269"/>
      <c r="Q332" s="269"/>
      <c r="R332" s="269"/>
      <c r="S332" s="269"/>
      <c r="T332" s="269"/>
      <c r="U332" s="269"/>
      <c r="V332" s="269"/>
      <c r="W332" s="269"/>
      <c r="X332" s="269"/>
      <c r="Y332" s="269"/>
      <c r="Z332" s="269"/>
    </row>
    <row r="333">
      <c r="A333" s="269"/>
      <c r="B333" s="269"/>
      <c r="C333" s="269"/>
      <c r="D333" s="269"/>
      <c r="E333" s="269"/>
      <c r="F333" s="269"/>
      <c r="G333" s="269"/>
      <c r="H333" s="269"/>
      <c r="I333" s="269"/>
      <c r="J333" s="269"/>
      <c r="K333" s="269"/>
      <c r="L333" s="269"/>
      <c r="M333" s="269"/>
      <c r="N333" s="269"/>
      <c r="O333" s="269"/>
      <c r="P333" s="269"/>
      <c r="Q333" s="269"/>
      <c r="R333" s="269"/>
      <c r="S333" s="269"/>
      <c r="T333" s="269"/>
      <c r="U333" s="269"/>
      <c r="V333" s="269"/>
      <c r="W333" s="269"/>
      <c r="X333" s="269"/>
      <c r="Y333" s="269"/>
      <c r="Z333" s="269"/>
    </row>
    <row r="334">
      <c r="A334" s="269"/>
      <c r="B334" s="269"/>
      <c r="C334" s="269"/>
      <c r="D334" s="269"/>
      <c r="E334" s="269"/>
      <c r="F334" s="269"/>
      <c r="G334" s="269"/>
      <c r="H334" s="269"/>
      <c r="I334" s="269"/>
      <c r="J334" s="269"/>
      <c r="K334" s="269"/>
      <c r="L334" s="269"/>
      <c r="M334" s="269"/>
      <c r="N334" s="269"/>
      <c r="O334" s="269"/>
      <c r="P334" s="269"/>
      <c r="Q334" s="269"/>
      <c r="R334" s="269"/>
      <c r="S334" s="269"/>
      <c r="T334" s="269"/>
      <c r="U334" s="269"/>
      <c r="V334" s="269"/>
      <c r="W334" s="269"/>
      <c r="X334" s="269"/>
      <c r="Y334" s="269"/>
      <c r="Z334" s="269"/>
    </row>
    <row r="335">
      <c r="A335" s="269"/>
      <c r="B335" s="269"/>
      <c r="C335" s="269"/>
      <c r="D335" s="269"/>
      <c r="E335" s="269"/>
      <c r="F335" s="269"/>
      <c r="G335" s="269"/>
      <c r="H335" s="269"/>
      <c r="I335" s="269"/>
      <c r="J335" s="269"/>
      <c r="K335" s="269"/>
      <c r="L335" s="269"/>
      <c r="M335" s="269"/>
      <c r="N335" s="269"/>
      <c r="O335" s="269"/>
      <c r="P335" s="269"/>
      <c r="Q335" s="269"/>
      <c r="R335" s="269"/>
      <c r="S335" s="269"/>
      <c r="T335" s="269"/>
      <c r="U335" s="269"/>
      <c r="V335" s="269"/>
      <c r="W335" s="269"/>
      <c r="X335" s="269"/>
      <c r="Y335" s="269"/>
      <c r="Z335" s="269"/>
    </row>
    <row r="336">
      <c r="A336" s="269"/>
      <c r="B336" s="269"/>
      <c r="C336" s="269"/>
      <c r="D336" s="269"/>
      <c r="E336" s="269"/>
      <c r="F336" s="269"/>
      <c r="G336" s="269"/>
      <c r="H336" s="269"/>
      <c r="I336" s="269"/>
      <c r="J336" s="269"/>
      <c r="K336" s="269"/>
      <c r="L336" s="269"/>
      <c r="M336" s="269"/>
      <c r="N336" s="269"/>
      <c r="O336" s="269"/>
      <c r="P336" s="269"/>
      <c r="Q336" s="269"/>
      <c r="R336" s="269"/>
      <c r="S336" s="269"/>
      <c r="T336" s="269"/>
      <c r="U336" s="269"/>
      <c r="V336" s="269"/>
      <c r="W336" s="269"/>
      <c r="X336" s="269"/>
      <c r="Y336" s="269"/>
      <c r="Z336" s="269"/>
    </row>
    <row r="337">
      <c r="A337" s="269"/>
      <c r="B337" s="269"/>
      <c r="C337" s="269"/>
      <c r="D337" s="269"/>
      <c r="E337" s="269"/>
      <c r="F337" s="269"/>
      <c r="G337" s="269"/>
      <c r="H337" s="269"/>
      <c r="I337" s="269"/>
      <c r="J337" s="269"/>
      <c r="K337" s="269"/>
      <c r="L337" s="269"/>
      <c r="M337" s="269"/>
      <c r="N337" s="269"/>
      <c r="O337" s="269"/>
      <c r="P337" s="269"/>
      <c r="Q337" s="269"/>
      <c r="R337" s="269"/>
      <c r="S337" s="269"/>
      <c r="T337" s="269"/>
      <c r="U337" s="269"/>
      <c r="V337" s="269"/>
      <c r="W337" s="269"/>
      <c r="X337" s="269"/>
      <c r="Y337" s="269"/>
      <c r="Z337" s="269"/>
    </row>
    <row r="338">
      <c r="A338" s="269"/>
      <c r="B338" s="269"/>
      <c r="C338" s="269"/>
      <c r="D338" s="269"/>
      <c r="E338" s="269"/>
      <c r="F338" s="269"/>
      <c r="G338" s="269"/>
      <c r="H338" s="269"/>
      <c r="I338" s="269"/>
      <c r="J338" s="269"/>
      <c r="K338" s="269"/>
      <c r="L338" s="269"/>
      <c r="M338" s="269"/>
      <c r="N338" s="269"/>
      <c r="O338" s="269"/>
      <c r="P338" s="269"/>
      <c r="Q338" s="269"/>
      <c r="R338" s="269"/>
      <c r="S338" s="269"/>
      <c r="T338" s="269"/>
      <c r="U338" s="269"/>
      <c r="V338" s="269"/>
      <c r="W338" s="269"/>
      <c r="X338" s="269"/>
      <c r="Y338" s="269"/>
      <c r="Z338" s="269"/>
    </row>
    <row r="339">
      <c r="A339" s="269"/>
      <c r="B339" s="269"/>
      <c r="C339" s="269"/>
      <c r="D339" s="269"/>
      <c r="E339" s="269"/>
      <c r="F339" s="269"/>
      <c r="G339" s="269"/>
      <c r="H339" s="269"/>
      <c r="I339" s="269"/>
      <c r="J339" s="269"/>
      <c r="K339" s="269"/>
      <c r="L339" s="269"/>
      <c r="M339" s="269"/>
      <c r="N339" s="269"/>
      <c r="O339" s="269"/>
      <c r="P339" s="269"/>
      <c r="Q339" s="269"/>
      <c r="R339" s="269"/>
      <c r="S339" s="269"/>
      <c r="T339" s="269"/>
      <c r="U339" s="269"/>
      <c r="V339" s="269"/>
      <c r="W339" s="269"/>
      <c r="X339" s="269"/>
      <c r="Y339" s="269"/>
      <c r="Z339" s="269"/>
    </row>
    <row r="340">
      <c r="A340" s="269"/>
      <c r="B340" s="269"/>
      <c r="C340" s="269"/>
      <c r="D340" s="269"/>
      <c r="E340" s="269"/>
      <c r="F340" s="269"/>
      <c r="G340" s="269"/>
      <c r="H340" s="269"/>
      <c r="I340" s="269"/>
      <c r="J340" s="269"/>
      <c r="K340" s="269"/>
      <c r="L340" s="269"/>
      <c r="M340" s="269"/>
      <c r="N340" s="269"/>
      <c r="O340" s="269"/>
      <c r="P340" s="269"/>
      <c r="Q340" s="269"/>
      <c r="R340" s="269"/>
      <c r="S340" s="269"/>
      <c r="T340" s="269"/>
      <c r="U340" s="269"/>
      <c r="V340" s="269"/>
      <c r="W340" s="269"/>
      <c r="X340" s="269"/>
      <c r="Y340" s="269"/>
      <c r="Z340" s="269"/>
    </row>
    <row r="341">
      <c r="A341" s="269"/>
      <c r="B341" s="269"/>
      <c r="C341" s="269"/>
      <c r="D341" s="269"/>
      <c r="E341" s="269"/>
      <c r="F341" s="269"/>
      <c r="G341" s="269"/>
      <c r="H341" s="269"/>
      <c r="I341" s="269"/>
      <c r="J341" s="269"/>
      <c r="K341" s="269"/>
      <c r="L341" s="269"/>
      <c r="M341" s="269"/>
      <c r="N341" s="269"/>
      <c r="O341" s="269"/>
      <c r="P341" s="269"/>
      <c r="Q341" s="269"/>
      <c r="R341" s="269"/>
      <c r="S341" s="269"/>
      <c r="T341" s="269"/>
      <c r="U341" s="269"/>
      <c r="V341" s="269"/>
      <c r="W341" s="269"/>
      <c r="X341" s="269"/>
      <c r="Y341" s="269"/>
      <c r="Z341" s="269"/>
    </row>
    <row r="342">
      <c r="A342" s="269"/>
      <c r="B342" s="269"/>
      <c r="C342" s="269"/>
      <c r="D342" s="269"/>
      <c r="E342" s="269"/>
      <c r="F342" s="269"/>
      <c r="G342" s="269"/>
      <c r="H342" s="269"/>
      <c r="I342" s="269"/>
      <c r="J342" s="269"/>
      <c r="K342" s="269"/>
      <c r="L342" s="269"/>
      <c r="M342" s="269"/>
      <c r="N342" s="269"/>
      <c r="O342" s="269"/>
      <c r="P342" s="269"/>
      <c r="Q342" s="269"/>
      <c r="R342" s="269"/>
      <c r="S342" s="269"/>
      <c r="T342" s="269"/>
      <c r="U342" s="269"/>
      <c r="V342" s="269"/>
      <c r="W342" s="269"/>
      <c r="X342" s="269"/>
      <c r="Y342" s="269"/>
      <c r="Z342" s="269"/>
    </row>
    <row r="343">
      <c r="A343" s="269"/>
      <c r="B343" s="269"/>
      <c r="C343" s="269"/>
      <c r="D343" s="269"/>
      <c r="E343" s="269"/>
      <c r="F343" s="269"/>
      <c r="G343" s="269"/>
      <c r="H343" s="269"/>
      <c r="I343" s="269"/>
      <c r="J343" s="269"/>
      <c r="K343" s="269"/>
      <c r="L343" s="269"/>
      <c r="M343" s="269"/>
      <c r="N343" s="269"/>
      <c r="O343" s="269"/>
      <c r="P343" s="269"/>
      <c r="Q343" s="269"/>
      <c r="R343" s="269"/>
      <c r="S343" s="269"/>
      <c r="T343" s="269"/>
      <c r="U343" s="269"/>
      <c r="V343" s="269"/>
      <c r="W343" s="269"/>
      <c r="X343" s="269"/>
      <c r="Y343" s="269"/>
      <c r="Z343" s="269"/>
    </row>
    <row r="344">
      <c r="A344" s="269"/>
      <c r="B344" s="269"/>
      <c r="C344" s="269"/>
      <c r="D344" s="269"/>
      <c r="E344" s="269"/>
      <c r="F344" s="269"/>
      <c r="G344" s="269"/>
      <c r="H344" s="269"/>
      <c r="I344" s="269"/>
      <c r="J344" s="269"/>
      <c r="K344" s="269"/>
      <c r="L344" s="269"/>
      <c r="M344" s="269"/>
      <c r="N344" s="269"/>
      <c r="O344" s="269"/>
      <c r="P344" s="269"/>
      <c r="Q344" s="269"/>
      <c r="R344" s="269"/>
      <c r="S344" s="269"/>
      <c r="T344" s="269"/>
      <c r="U344" s="269"/>
      <c r="V344" s="269"/>
      <c r="W344" s="269"/>
      <c r="X344" s="269"/>
      <c r="Y344" s="269"/>
      <c r="Z344" s="269"/>
    </row>
    <row r="345">
      <c r="A345" s="269"/>
      <c r="B345" s="269"/>
      <c r="C345" s="269"/>
      <c r="D345" s="269"/>
      <c r="E345" s="269"/>
      <c r="F345" s="269"/>
      <c r="G345" s="269"/>
      <c r="H345" s="269"/>
      <c r="I345" s="269"/>
      <c r="J345" s="269"/>
      <c r="K345" s="269"/>
      <c r="L345" s="269"/>
      <c r="M345" s="269"/>
      <c r="N345" s="269"/>
      <c r="O345" s="269"/>
      <c r="P345" s="269"/>
      <c r="Q345" s="269"/>
      <c r="R345" s="269"/>
      <c r="S345" s="269"/>
      <c r="T345" s="269"/>
      <c r="U345" s="269"/>
      <c r="V345" s="269"/>
      <c r="W345" s="269"/>
      <c r="X345" s="269"/>
      <c r="Y345" s="269"/>
      <c r="Z345" s="269"/>
    </row>
    <row r="346">
      <c r="A346" s="269"/>
      <c r="B346" s="269"/>
      <c r="C346" s="269"/>
      <c r="D346" s="269"/>
      <c r="E346" s="269"/>
      <c r="F346" s="269"/>
      <c r="G346" s="269"/>
      <c r="H346" s="269"/>
      <c r="I346" s="269"/>
      <c r="J346" s="269"/>
      <c r="K346" s="269"/>
      <c r="L346" s="269"/>
      <c r="M346" s="269"/>
      <c r="N346" s="269"/>
      <c r="O346" s="269"/>
      <c r="P346" s="269"/>
      <c r="Q346" s="269"/>
      <c r="R346" s="269"/>
      <c r="S346" s="269"/>
      <c r="T346" s="269"/>
      <c r="U346" s="269"/>
      <c r="V346" s="269"/>
      <c r="W346" s="269"/>
      <c r="X346" s="269"/>
      <c r="Y346" s="269"/>
      <c r="Z346" s="269"/>
    </row>
    <row r="347">
      <c r="A347" s="269"/>
      <c r="B347" s="269"/>
      <c r="C347" s="269"/>
      <c r="D347" s="269"/>
      <c r="E347" s="269"/>
      <c r="F347" s="269"/>
      <c r="G347" s="269"/>
      <c r="H347" s="269"/>
      <c r="I347" s="269"/>
      <c r="J347" s="269"/>
      <c r="K347" s="269"/>
      <c r="L347" s="269"/>
      <c r="M347" s="269"/>
      <c r="N347" s="269"/>
      <c r="O347" s="269"/>
      <c r="P347" s="269"/>
      <c r="Q347" s="269"/>
      <c r="R347" s="269"/>
      <c r="S347" s="269"/>
      <c r="T347" s="269"/>
      <c r="U347" s="269"/>
      <c r="V347" s="269"/>
      <c r="W347" s="269"/>
      <c r="X347" s="269"/>
      <c r="Y347" s="269"/>
      <c r="Z347" s="269"/>
    </row>
    <row r="348">
      <c r="A348" s="269"/>
      <c r="B348" s="269"/>
      <c r="C348" s="269"/>
      <c r="D348" s="269"/>
      <c r="E348" s="269"/>
      <c r="F348" s="269"/>
      <c r="G348" s="269"/>
      <c r="H348" s="269"/>
      <c r="I348" s="269"/>
      <c r="J348" s="269"/>
      <c r="K348" s="269"/>
      <c r="L348" s="269"/>
      <c r="M348" s="269"/>
      <c r="N348" s="269"/>
      <c r="O348" s="269"/>
      <c r="P348" s="269"/>
      <c r="Q348" s="269"/>
      <c r="R348" s="269"/>
      <c r="S348" s="269"/>
      <c r="T348" s="269"/>
      <c r="U348" s="269"/>
      <c r="V348" s="269"/>
      <c r="W348" s="269"/>
      <c r="X348" s="269"/>
      <c r="Y348" s="269"/>
      <c r="Z348" s="269"/>
    </row>
    <row r="349">
      <c r="A349" s="269"/>
      <c r="B349" s="269"/>
      <c r="C349" s="269"/>
      <c r="D349" s="269"/>
      <c r="E349" s="269"/>
      <c r="F349" s="269"/>
      <c r="G349" s="269"/>
      <c r="H349" s="269"/>
      <c r="I349" s="269"/>
      <c r="J349" s="269"/>
      <c r="K349" s="269"/>
      <c r="L349" s="269"/>
      <c r="M349" s="269"/>
      <c r="N349" s="269"/>
      <c r="O349" s="269"/>
      <c r="P349" s="269"/>
      <c r="Q349" s="269"/>
      <c r="R349" s="269"/>
      <c r="S349" s="269"/>
      <c r="T349" s="269"/>
      <c r="U349" s="269"/>
      <c r="V349" s="269"/>
      <c r="W349" s="269"/>
      <c r="X349" s="269"/>
      <c r="Y349" s="269"/>
      <c r="Z349" s="269"/>
    </row>
    <row r="350">
      <c r="A350" s="269"/>
      <c r="B350" s="269"/>
      <c r="C350" s="269"/>
      <c r="D350" s="269"/>
      <c r="E350" s="269"/>
      <c r="F350" s="269"/>
      <c r="G350" s="269"/>
      <c r="H350" s="269"/>
      <c r="I350" s="269"/>
      <c r="J350" s="269"/>
      <c r="K350" s="269"/>
      <c r="L350" s="269"/>
      <c r="M350" s="269"/>
      <c r="N350" s="269"/>
      <c r="O350" s="269"/>
      <c r="P350" s="269"/>
      <c r="Q350" s="269"/>
      <c r="R350" s="269"/>
      <c r="S350" s="269"/>
      <c r="T350" s="269"/>
      <c r="U350" s="269"/>
      <c r="V350" s="269"/>
      <c r="W350" s="269"/>
      <c r="X350" s="269"/>
      <c r="Y350" s="269"/>
      <c r="Z350" s="269"/>
    </row>
    <row r="351">
      <c r="A351" s="269"/>
      <c r="B351" s="269"/>
      <c r="C351" s="269"/>
      <c r="D351" s="269"/>
      <c r="E351" s="269"/>
      <c r="F351" s="269"/>
      <c r="G351" s="269"/>
      <c r="H351" s="269"/>
      <c r="I351" s="269"/>
      <c r="J351" s="269"/>
      <c r="K351" s="269"/>
      <c r="L351" s="269"/>
      <c r="M351" s="269"/>
      <c r="N351" s="269"/>
      <c r="O351" s="269"/>
      <c r="P351" s="269"/>
      <c r="Q351" s="269"/>
      <c r="R351" s="269"/>
      <c r="S351" s="269"/>
      <c r="T351" s="269"/>
      <c r="U351" s="269"/>
      <c r="V351" s="269"/>
      <c r="W351" s="269"/>
      <c r="X351" s="269"/>
      <c r="Y351" s="269"/>
      <c r="Z351" s="269"/>
    </row>
    <row r="352">
      <c r="A352" s="269"/>
      <c r="B352" s="269"/>
      <c r="C352" s="269"/>
      <c r="D352" s="269"/>
      <c r="E352" s="269"/>
      <c r="F352" s="269"/>
      <c r="G352" s="269"/>
      <c r="H352" s="269"/>
      <c r="I352" s="269"/>
      <c r="J352" s="269"/>
      <c r="K352" s="269"/>
      <c r="L352" s="269"/>
      <c r="M352" s="269"/>
      <c r="N352" s="269"/>
      <c r="O352" s="269"/>
      <c r="P352" s="269"/>
      <c r="Q352" s="269"/>
      <c r="R352" s="269"/>
      <c r="S352" s="269"/>
      <c r="T352" s="269"/>
      <c r="U352" s="269"/>
      <c r="V352" s="269"/>
      <c r="W352" s="269"/>
      <c r="X352" s="269"/>
      <c r="Y352" s="269"/>
      <c r="Z352" s="269"/>
    </row>
    <row r="353">
      <c r="A353" s="269"/>
      <c r="B353" s="269"/>
      <c r="C353" s="269"/>
      <c r="D353" s="269"/>
      <c r="E353" s="269"/>
      <c r="F353" s="269"/>
      <c r="G353" s="269"/>
      <c r="H353" s="269"/>
      <c r="I353" s="269"/>
      <c r="J353" s="269"/>
      <c r="K353" s="269"/>
      <c r="L353" s="269"/>
      <c r="M353" s="269"/>
      <c r="N353" s="269"/>
      <c r="O353" s="269"/>
      <c r="P353" s="269"/>
      <c r="Q353" s="269"/>
      <c r="R353" s="269"/>
      <c r="S353" s="269"/>
      <c r="T353" s="269"/>
      <c r="U353" s="269"/>
      <c r="V353" s="269"/>
      <c r="W353" s="269"/>
      <c r="X353" s="269"/>
      <c r="Y353" s="269"/>
      <c r="Z353" s="269"/>
    </row>
    <row r="354">
      <c r="A354" s="269"/>
      <c r="B354" s="269"/>
      <c r="C354" s="269"/>
      <c r="D354" s="269"/>
      <c r="E354" s="269"/>
      <c r="F354" s="269"/>
      <c r="G354" s="269"/>
      <c r="H354" s="269"/>
      <c r="I354" s="269"/>
      <c r="J354" s="269"/>
      <c r="K354" s="269"/>
      <c r="L354" s="269"/>
      <c r="M354" s="269"/>
      <c r="N354" s="269"/>
      <c r="O354" s="269"/>
      <c r="P354" s="269"/>
      <c r="Q354" s="269"/>
      <c r="R354" s="269"/>
      <c r="S354" s="269"/>
      <c r="T354" s="269"/>
      <c r="U354" s="269"/>
      <c r="V354" s="269"/>
      <c r="W354" s="269"/>
      <c r="X354" s="269"/>
      <c r="Y354" s="269"/>
      <c r="Z354" s="269"/>
    </row>
    <row r="355">
      <c r="A355" s="269"/>
      <c r="B355" s="269"/>
      <c r="C355" s="269"/>
      <c r="D355" s="269"/>
      <c r="E355" s="269"/>
      <c r="F355" s="269"/>
      <c r="G355" s="269"/>
      <c r="H355" s="269"/>
      <c r="I355" s="269"/>
      <c r="J355" s="269"/>
      <c r="K355" s="269"/>
      <c r="L355" s="269"/>
      <c r="M355" s="269"/>
      <c r="N355" s="269"/>
      <c r="O355" s="269"/>
      <c r="P355" s="269"/>
      <c r="Q355" s="269"/>
      <c r="R355" s="269"/>
      <c r="S355" s="269"/>
      <c r="T355" s="269"/>
      <c r="U355" s="269"/>
      <c r="V355" s="269"/>
      <c r="W355" s="269"/>
      <c r="X355" s="269"/>
      <c r="Y355" s="269"/>
      <c r="Z355" s="269"/>
    </row>
    <row r="356">
      <c r="A356" s="269"/>
      <c r="B356" s="269"/>
      <c r="C356" s="269"/>
      <c r="D356" s="269"/>
      <c r="E356" s="269"/>
      <c r="F356" s="269"/>
      <c r="G356" s="269"/>
      <c r="H356" s="269"/>
      <c r="I356" s="269"/>
      <c r="J356" s="269"/>
      <c r="K356" s="269"/>
      <c r="L356" s="269"/>
      <c r="M356" s="269"/>
      <c r="N356" s="269"/>
      <c r="O356" s="269"/>
      <c r="P356" s="269"/>
      <c r="Q356" s="269"/>
      <c r="R356" s="269"/>
      <c r="S356" s="269"/>
      <c r="T356" s="269"/>
      <c r="U356" s="269"/>
      <c r="V356" s="269"/>
      <c r="W356" s="269"/>
      <c r="X356" s="269"/>
      <c r="Y356" s="269"/>
      <c r="Z356" s="269"/>
    </row>
    <row r="357">
      <c r="A357" s="269"/>
      <c r="B357" s="269"/>
      <c r="C357" s="269"/>
      <c r="D357" s="269"/>
      <c r="E357" s="269"/>
      <c r="F357" s="269"/>
      <c r="G357" s="269"/>
      <c r="H357" s="269"/>
      <c r="I357" s="269"/>
      <c r="J357" s="269"/>
      <c r="K357" s="269"/>
      <c r="L357" s="269"/>
      <c r="M357" s="269"/>
      <c r="N357" s="269"/>
      <c r="O357" s="269"/>
      <c r="P357" s="269"/>
      <c r="Q357" s="269"/>
      <c r="R357" s="269"/>
      <c r="S357" s="269"/>
      <c r="T357" s="269"/>
      <c r="U357" s="269"/>
      <c r="V357" s="269"/>
      <c r="W357" s="269"/>
      <c r="X357" s="269"/>
      <c r="Y357" s="269"/>
      <c r="Z357" s="269"/>
    </row>
    <row r="358">
      <c r="A358" s="269"/>
      <c r="B358" s="269"/>
      <c r="C358" s="269"/>
      <c r="D358" s="269"/>
      <c r="E358" s="269"/>
      <c r="F358" s="269"/>
      <c r="G358" s="269"/>
      <c r="H358" s="269"/>
      <c r="I358" s="269"/>
      <c r="J358" s="269"/>
      <c r="K358" s="269"/>
      <c r="L358" s="269"/>
      <c r="M358" s="269"/>
      <c r="N358" s="269"/>
      <c r="O358" s="269"/>
      <c r="P358" s="269"/>
      <c r="Q358" s="269"/>
      <c r="R358" s="269"/>
      <c r="S358" s="269"/>
      <c r="T358" s="269"/>
      <c r="U358" s="269"/>
      <c r="V358" s="269"/>
      <c r="W358" s="269"/>
      <c r="X358" s="269"/>
      <c r="Y358" s="269"/>
      <c r="Z358" s="269"/>
    </row>
    <row r="359">
      <c r="A359" s="269"/>
      <c r="B359" s="269"/>
      <c r="C359" s="269"/>
      <c r="D359" s="269"/>
      <c r="E359" s="269"/>
      <c r="F359" s="269"/>
      <c r="G359" s="269"/>
      <c r="H359" s="269"/>
      <c r="I359" s="269"/>
      <c r="J359" s="269"/>
      <c r="K359" s="269"/>
      <c r="L359" s="269"/>
      <c r="M359" s="269"/>
      <c r="N359" s="269"/>
      <c r="O359" s="269"/>
      <c r="P359" s="269"/>
      <c r="Q359" s="269"/>
      <c r="R359" s="269"/>
      <c r="S359" s="269"/>
      <c r="T359" s="269"/>
      <c r="U359" s="269"/>
      <c r="V359" s="269"/>
      <c r="W359" s="269"/>
      <c r="X359" s="269"/>
      <c r="Y359" s="269"/>
      <c r="Z359" s="269"/>
    </row>
    <row r="360">
      <c r="A360" s="269"/>
      <c r="B360" s="269"/>
      <c r="C360" s="269"/>
      <c r="D360" s="269"/>
      <c r="E360" s="269"/>
      <c r="F360" s="269"/>
      <c r="G360" s="269"/>
      <c r="H360" s="269"/>
      <c r="I360" s="269"/>
      <c r="J360" s="269"/>
      <c r="K360" s="269"/>
      <c r="L360" s="269"/>
      <c r="M360" s="269"/>
      <c r="N360" s="269"/>
      <c r="O360" s="269"/>
      <c r="P360" s="269"/>
      <c r="Q360" s="269"/>
      <c r="R360" s="269"/>
      <c r="S360" s="269"/>
      <c r="T360" s="269"/>
      <c r="U360" s="269"/>
      <c r="V360" s="269"/>
      <c r="W360" s="269"/>
      <c r="X360" s="269"/>
      <c r="Y360" s="269"/>
      <c r="Z360" s="269"/>
    </row>
    <row r="361">
      <c r="A361" s="269"/>
      <c r="B361" s="269"/>
      <c r="C361" s="269"/>
      <c r="D361" s="269"/>
      <c r="E361" s="269"/>
      <c r="F361" s="269"/>
      <c r="G361" s="269"/>
      <c r="H361" s="269"/>
      <c r="I361" s="269"/>
      <c r="J361" s="269"/>
      <c r="K361" s="269"/>
      <c r="L361" s="269"/>
      <c r="M361" s="269"/>
      <c r="N361" s="269"/>
      <c r="O361" s="269"/>
      <c r="P361" s="269"/>
      <c r="Q361" s="269"/>
      <c r="R361" s="269"/>
      <c r="S361" s="269"/>
      <c r="T361" s="269"/>
      <c r="U361" s="269"/>
      <c r="V361" s="269"/>
      <c r="W361" s="269"/>
      <c r="X361" s="269"/>
      <c r="Y361" s="269"/>
      <c r="Z361" s="269"/>
    </row>
    <row r="362">
      <c r="A362" s="269"/>
      <c r="B362" s="269"/>
      <c r="C362" s="269"/>
      <c r="D362" s="269"/>
      <c r="E362" s="269"/>
      <c r="F362" s="269"/>
      <c r="G362" s="269"/>
      <c r="H362" s="269"/>
      <c r="I362" s="269"/>
      <c r="J362" s="269"/>
      <c r="K362" s="269"/>
      <c r="L362" s="269"/>
      <c r="M362" s="269"/>
      <c r="N362" s="269"/>
      <c r="O362" s="269"/>
      <c r="P362" s="269"/>
      <c r="Q362" s="269"/>
      <c r="R362" s="269"/>
      <c r="S362" s="269"/>
      <c r="T362" s="269"/>
      <c r="U362" s="269"/>
      <c r="V362" s="269"/>
      <c r="W362" s="269"/>
      <c r="X362" s="269"/>
      <c r="Y362" s="269"/>
      <c r="Z362" s="269"/>
    </row>
    <row r="363">
      <c r="A363" s="269"/>
      <c r="B363" s="269"/>
      <c r="C363" s="269"/>
      <c r="D363" s="269"/>
      <c r="E363" s="269"/>
      <c r="F363" s="269"/>
      <c r="G363" s="269"/>
      <c r="H363" s="269"/>
      <c r="I363" s="269"/>
      <c r="J363" s="269"/>
      <c r="K363" s="269"/>
      <c r="L363" s="269"/>
      <c r="M363" s="269"/>
      <c r="N363" s="269"/>
      <c r="O363" s="269"/>
      <c r="P363" s="269"/>
      <c r="Q363" s="269"/>
      <c r="R363" s="269"/>
      <c r="S363" s="269"/>
      <c r="T363" s="269"/>
      <c r="U363" s="269"/>
      <c r="V363" s="269"/>
      <c r="W363" s="269"/>
      <c r="X363" s="269"/>
      <c r="Y363" s="269"/>
      <c r="Z363" s="269"/>
    </row>
    <row r="364">
      <c r="A364" s="269"/>
      <c r="B364" s="269"/>
      <c r="C364" s="269"/>
      <c r="D364" s="269"/>
      <c r="E364" s="269"/>
      <c r="F364" s="269"/>
      <c r="G364" s="269"/>
      <c r="H364" s="269"/>
      <c r="I364" s="269"/>
      <c r="J364" s="269"/>
      <c r="K364" s="269"/>
      <c r="L364" s="269"/>
      <c r="M364" s="269"/>
      <c r="N364" s="269"/>
      <c r="O364" s="269"/>
      <c r="P364" s="269"/>
      <c r="Q364" s="269"/>
      <c r="R364" s="269"/>
      <c r="S364" s="269"/>
      <c r="T364" s="269"/>
      <c r="U364" s="269"/>
      <c r="V364" s="269"/>
      <c r="W364" s="269"/>
      <c r="X364" s="269"/>
      <c r="Y364" s="269"/>
      <c r="Z364" s="269"/>
    </row>
    <row r="365">
      <c r="A365" s="269"/>
      <c r="B365" s="269"/>
      <c r="C365" s="269"/>
      <c r="D365" s="269"/>
      <c r="E365" s="269"/>
      <c r="F365" s="269"/>
      <c r="G365" s="269"/>
      <c r="H365" s="269"/>
      <c r="I365" s="269"/>
      <c r="J365" s="269"/>
      <c r="K365" s="269"/>
      <c r="L365" s="269"/>
      <c r="M365" s="269"/>
      <c r="N365" s="269"/>
      <c r="O365" s="269"/>
      <c r="P365" s="269"/>
      <c r="Q365" s="269"/>
      <c r="R365" s="269"/>
      <c r="S365" s="269"/>
      <c r="T365" s="269"/>
      <c r="U365" s="269"/>
      <c r="V365" s="269"/>
      <c r="W365" s="269"/>
      <c r="X365" s="269"/>
      <c r="Y365" s="269"/>
      <c r="Z365" s="269"/>
    </row>
    <row r="366">
      <c r="A366" s="269"/>
      <c r="B366" s="269"/>
      <c r="C366" s="269"/>
      <c r="D366" s="269"/>
      <c r="E366" s="269"/>
      <c r="F366" s="269"/>
      <c r="G366" s="269"/>
      <c r="H366" s="269"/>
      <c r="I366" s="269"/>
      <c r="J366" s="269"/>
      <c r="K366" s="269"/>
      <c r="L366" s="269"/>
      <c r="M366" s="269"/>
      <c r="N366" s="269"/>
      <c r="O366" s="269"/>
      <c r="P366" s="269"/>
      <c r="Q366" s="269"/>
      <c r="R366" s="269"/>
      <c r="S366" s="269"/>
      <c r="T366" s="269"/>
      <c r="U366" s="269"/>
      <c r="V366" s="269"/>
      <c r="W366" s="269"/>
      <c r="X366" s="269"/>
      <c r="Y366" s="269"/>
      <c r="Z366" s="269"/>
    </row>
    <row r="367">
      <c r="A367" s="269"/>
      <c r="B367" s="269"/>
      <c r="C367" s="269"/>
      <c r="D367" s="269"/>
      <c r="E367" s="269"/>
      <c r="F367" s="269"/>
      <c r="G367" s="269"/>
      <c r="H367" s="269"/>
      <c r="I367" s="269"/>
      <c r="J367" s="269"/>
      <c r="K367" s="269"/>
      <c r="L367" s="269"/>
      <c r="M367" s="269"/>
      <c r="N367" s="269"/>
      <c r="O367" s="269"/>
      <c r="P367" s="269"/>
      <c r="Q367" s="269"/>
      <c r="R367" s="269"/>
      <c r="S367" s="269"/>
      <c r="T367" s="269"/>
      <c r="U367" s="269"/>
      <c r="V367" s="269"/>
      <c r="W367" s="269"/>
      <c r="X367" s="269"/>
      <c r="Y367" s="269"/>
      <c r="Z367" s="269"/>
    </row>
    <row r="368">
      <c r="A368" s="269"/>
      <c r="B368" s="269"/>
      <c r="C368" s="269"/>
      <c r="D368" s="269"/>
      <c r="E368" s="269"/>
      <c r="F368" s="269"/>
      <c r="G368" s="269"/>
      <c r="H368" s="269"/>
      <c r="I368" s="269"/>
      <c r="J368" s="269"/>
      <c r="K368" s="269"/>
      <c r="L368" s="269"/>
      <c r="M368" s="269"/>
      <c r="N368" s="269"/>
      <c r="O368" s="269"/>
      <c r="P368" s="269"/>
      <c r="Q368" s="269"/>
      <c r="R368" s="269"/>
      <c r="S368" s="269"/>
      <c r="T368" s="269"/>
      <c r="U368" s="269"/>
      <c r="V368" s="269"/>
      <c r="W368" s="269"/>
      <c r="X368" s="269"/>
      <c r="Y368" s="269"/>
      <c r="Z368" s="269"/>
    </row>
    <row r="369">
      <c r="A369" s="269"/>
      <c r="B369" s="269"/>
      <c r="C369" s="269"/>
      <c r="D369" s="269"/>
      <c r="E369" s="269"/>
      <c r="F369" s="269"/>
      <c r="G369" s="269"/>
      <c r="H369" s="269"/>
      <c r="I369" s="269"/>
      <c r="J369" s="269"/>
      <c r="K369" s="269"/>
      <c r="L369" s="269"/>
      <c r="M369" s="269"/>
      <c r="N369" s="269"/>
      <c r="O369" s="269"/>
      <c r="P369" s="269"/>
      <c r="Q369" s="269"/>
      <c r="R369" s="269"/>
      <c r="S369" s="269"/>
      <c r="T369" s="269"/>
      <c r="U369" s="269"/>
      <c r="V369" s="269"/>
      <c r="W369" s="269"/>
      <c r="X369" s="269"/>
      <c r="Y369" s="269"/>
      <c r="Z369" s="269"/>
    </row>
    <row r="370">
      <c r="A370" s="269"/>
      <c r="B370" s="269"/>
      <c r="C370" s="269"/>
      <c r="D370" s="269"/>
      <c r="E370" s="269"/>
      <c r="F370" s="269"/>
      <c r="G370" s="269"/>
      <c r="H370" s="269"/>
      <c r="I370" s="269"/>
      <c r="J370" s="269"/>
      <c r="K370" s="269"/>
      <c r="L370" s="269"/>
      <c r="M370" s="269"/>
      <c r="N370" s="269"/>
      <c r="O370" s="269"/>
      <c r="P370" s="269"/>
      <c r="Q370" s="269"/>
      <c r="R370" s="269"/>
      <c r="S370" s="269"/>
      <c r="T370" s="269"/>
      <c r="U370" s="269"/>
      <c r="V370" s="269"/>
      <c r="W370" s="269"/>
      <c r="X370" s="269"/>
      <c r="Y370" s="269"/>
      <c r="Z370" s="269"/>
    </row>
    <row r="371">
      <c r="A371" s="269"/>
      <c r="B371" s="269"/>
      <c r="C371" s="269"/>
      <c r="D371" s="269"/>
      <c r="E371" s="269"/>
      <c r="F371" s="269"/>
      <c r="G371" s="269"/>
      <c r="H371" s="269"/>
      <c r="I371" s="269"/>
      <c r="J371" s="269"/>
      <c r="K371" s="269"/>
      <c r="L371" s="269"/>
      <c r="M371" s="269"/>
      <c r="N371" s="269"/>
      <c r="O371" s="269"/>
      <c r="P371" s="269"/>
      <c r="Q371" s="269"/>
      <c r="R371" s="269"/>
      <c r="S371" s="269"/>
      <c r="T371" s="269"/>
      <c r="U371" s="269"/>
      <c r="V371" s="269"/>
      <c r="W371" s="269"/>
      <c r="X371" s="269"/>
      <c r="Y371" s="269"/>
      <c r="Z371" s="269"/>
    </row>
    <row r="372">
      <c r="A372" s="269"/>
      <c r="B372" s="269"/>
      <c r="C372" s="269"/>
      <c r="D372" s="269"/>
      <c r="E372" s="269"/>
      <c r="F372" s="269"/>
      <c r="G372" s="269"/>
      <c r="H372" s="269"/>
      <c r="I372" s="269"/>
      <c r="J372" s="269"/>
      <c r="K372" s="269"/>
      <c r="L372" s="269"/>
      <c r="M372" s="269"/>
      <c r="N372" s="269"/>
      <c r="O372" s="269"/>
      <c r="P372" s="269"/>
      <c r="Q372" s="269"/>
      <c r="R372" s="269"/>
      <c r="S372" s="269"/>
      <c r="T372" s="269"/>
      <c r="U372" s="269"/>
      <c r="V372" s="269"/>
      <c r="W372" s="269"/>
      <c r="X372" s="269"/>
      <c r="Y372" s="269"/>
      <c r="Z372" s="269"/>
    </row>
    <row r="373">
      <c r="A373" s="269"/>
      <c r="B373" s="269"/>
      <c r="C373" s="269"/>
      <c r="D373" s="269"/>
      <c r="E373" s="269"/>
      <c r="F373" s="269"/>
      <c r="G373" s="269"/>
      <c r="H373" s="269"/>
      <c r="I373" s="269"/>
      <c r="J373" s="269"/>
      <c r="K373" s="269"/>
      <c r="L373" s="269"/>
      <c r="M373" s="269"/>
      <c r="N373" s="269"/>
      <c r="O373" s="269"/>
      <c r="P373" s="269"/>
      <c r="Q373" s="269"/>
      <c r="R373" s="269"/>
      <c r="S373" s="269"/>
      <c r="T373" s="269"/>
      <c r="U373" s="269"/>
      <c r="V373" s="269"/>
      <c r="W373" s="269"/>
      <c r="X373" s="269"/>
      <c r="Y373" s="269"/>
      <c r="Z373" s="269"/>
    </row>
    <row r="374">
      <c r="A374" s="269"/>
      <c r="B374" s="269"/>
      <c r="C374" s="269"/>
      <c r="D374" s="269"/>
      <c r="E374" s="269"/>
      <c r="F374" s="269"/>
      <c r="G374" s="269"/>
      <c r="H374" s="269"/>
      <c r="I374" s="269"/>
      <c r="J374" s="269"/>
      <c r="K374" s="269"/>
      <c r="L374" s="269"/>
      <c r="M374" s="269"/>
      <c r="N374" s="269"/>
      <c r="O374" s="269"/>
      <c r="P374" s="269"/>
      <c r="Q374" s="269"/>
      <c r="R374" s="269"/>
      <c r="S374" s="269"/>
      <c r="T374" s="269"/>
      <c r="U374" s="269"/>
      <c r="V374" s="269"/>
      <c r="W374" s="269"/>
      <c r="X374" s="269"/>
      <c r="Y374" s="269"/>
      <c r="Z374" s="269"/>
    </row>
    <row r="375">
      <c r="A375" s="269"/>
      <c r="B375" s="269"/>
      <c r="C375" s="269"/>
      <c r="D375" s="269"/>
      <c r="E375" s="269"/>
      <c r="F375" s="269"/>
      <c r="G375" s="269"/>
      <c r="H375" s="269"/>
      <c r="I375" s="269"/>
      <c r="J375" s="269"/>
      <c r="K375" s="269"/>
      <c r="L375" s="269"/>
      <c r="M375" s="269"/>
      <c r="N375" s="269"/>
      <c r="O375" s="269"/>
      <c r="P375" s="269"/>
      <c r="Q375" s="269"/>
      <c r="R375" s="269"/>
      <c r="S375" s="269"/>
      <c r="T375" s="269"/>
      <c r="U375" s="269"/>
      <c r="V375" s="269"/>
      <c r="W375" s="269"/>
      <c r="X375" s="269"/>
      <c r="Y375" s="269"/>
      <c r="Z375" s="269"/>
    </row>
    <row r="376">
      <c r="A376" s="269"/>
      <c r="B376" s="269"/>
      <c r="C376" s="269"/>
      <c r="D376" s="269"/>
      <c r="E376" s="269"/>
      <c r="F376" s="269"/>
      <c r="G376" s="269"/>
      <c r="H376" s="269"/>
      <c r="I376" s="269"/>
      <c r="J376" s="269"/>
      <c r="K376" s="269"/>
      <c r="L376" s="269"/>
      <c r="M376" s="269"/>
      <c r="N376" s="269"/>
      <c r="O376" s="269"/>
      <c r="P376" s="269"/>
      <c r="Q376" s="269"/>
      <c r="R376" s="269"/>
      <c r="S376" s="269"/>
      <c r="T376" s="269"/>
      <c r="U376" s="269"/>
      <c r="V376" s="269"/>
      <c r="W376" s="269"/>
      <c r="X376" s="269"/>
      <c r="Y376" s="269"/>
      <c r="Z376" s="269"/>
    </row>
    <row r="377">
      <c r="A377" s="269"/>
      <c r="B377" s="269"/>
      <c r="C377" s="269"/>
      <c r="D377" s="269"/>
      <c r="E377" s="269"/>
      <c r="F377" s="269"/>
      <c r="G377" s="269"/>
      <c r="H377" s="269"/>
      <c r="I377" s="269"/>
      <c r="J377" s="269"/>
      <c r="K377" s="269"/>
      <c r="L377" s="269"/>
      <c r="M377" s="269"/>
      <c r="N377" s="269"/>
      <c r="O377" s="269"/>
      <c r="P377" s="269"/>
      <c r="Q377" s="269"/>
      <c r="R377" s="269"/>
      <c r="S377" s="269"/>
      <c r="T377" s="269"/>
      <c r="U377" s="269"/>
      <c r="V377" s="269"/>
      <c r="W377" s="269"/>
      <c r="X377" s="269"/>
      <c r="Y377" s="269"/>
      <c r="Z377" s="269"/>
    </row>
    <row r="378">
      <c r="A378" s="269"/>
      <c r="B378" s="269"/>
      <c r="C378" s="269"/>
      <c r="D378" s="269"/>
      <c r="E378" s="269"/>
      <c r="F378" s="269"/>
      <c r="G378" s="269"/>
      <c r="H378" s="269"/>
      <c r="I378" s="269"/>
      <c r="J378" s="269"/>
      <c r="K378" s="269"/>
      <c r="L378" s="269"/>
      <c r="M378" s="269"/>
      <c r="N378" s="269"/>
      <c r="O378" s="269"/>
      <c r="P378" s="269"/>
      <c r="Q378" s="269"/>
      <c r="R378" s="269"/>
      <c r="S378" s="269"/>
      <c r="T378" s="269"/>
      <c r="U378" s="269"/>
      <c r="V378" s="269"/>
      <c r="W378" s="269"/>
      <c r="X378" s="269"/>
      <c r="Y378" s="269"/>
      <c r="Z378" s="269"/>
    </row>
    <row r="379">
      <c r="A379" s="269"/>
      <c r="B379" s="269"/>
      <c r="C379" s="269"/>
      <c r="D379" s="269"/>
      <c r="E379" s="269"/>
      <c r="F379" s="269"/>
      <c r="G379" s="269"/>
      <c r="H379" s="269"/>
      <c r="I379" s="269"/>
      <c r="J379" s="269"/>
      <c r="K379" s="269"/>
      <c r="L379" s="269"/>
      <c r="M379" s="269"/>
      <c r="N379" s="269"/>
      <c r="O379" s="269"/>
      <c r="P379" s="269"/>
      <c r="Q379" s="269"/>
      <c r="R379" s="269"/>
      <c r="S379" s="269"/>
      <c r="T379" s="269"/>
      <c r="U379" s="269"/>
      <c r="V379" s="269"/>
      <c r="W379" s="269"/>
      <c r="X379" s="269"/>
      <c r="Y379" s="269"/>
      <c r="Z379" s="269"/>
    </row>
    <row r="380">
      <c r="A380" s="269"/>
      <c r="B380" s="269"/>
      <c r="C380" s="269"/>
      <c r="D380" s="269"/>
      <c r="E380" s="269"/>
      <c r="F380" s="269"/>
      <c r="G380" s="269"/>
      <c r="H380" s="269"/>
      <c r="I380" s="269"/>
      <c r="J380" s="269"/>
      <c r="K380" s="269"/>
      <c r="L380" s="269"/>
      <c r="M380" s="269"/>
      <c r="N380" s="269"/>
      <c r="O380" s="269"/>
      <c r="P380" s="269"/>
      <c r="Q380" s="269"/>
      <c r="R380" s="269"/>
      <c r="S380" s="269"/>
      <c r="T380" s="269"/>
      <c r="U380" s="269"/>
      <c r="V380" s="269"/>
      <c r="W380" s="269"/>
      <c r="X380" s="269"/>
      <c r="Y380" s="269"/>
      <c r="Z380" s="269"/>
    </row>
    <row r="381">
      <c r="A381" s="269"/>
      <c r="B381" s="269"/>
      <c r="C381" s="269"/>
      <c r="D381" s="269"/>
      <c r="E381" s="269"/>
      <c r="F381" s="269"/>
      <c r="G381" s="269"/>
      <c r="H381" s="269"/>
      <c r="I381" s="269"/>
      <c r="J381" s="269"/>
      <c r="K381" s="269"/>
      <c r="L381" s="269"/>
      <c r="M381" s="269"/>
      <c r="N381" s="269"/>
      <c r="O381" s="269"/>
      <c r="P381" s="269"/>
      <c r="Q381" s="269"/>
      <c r="R381" s="269"/>
      <c r="S381" s="269"/>
      <c r="T381" s="269"/>
      <c r="U381" s="269"/>
      <c r="V381" s="269"/>
      <c r="W381" s="269"/>
      <c r="X381" s="269"/>
      <c r="Y381" s="269"/>
      <c r="Z381" s="269"/>
    </row>
    <row r="382">
      <c r="A382" s="269"/>
      <c r="B382" s="269"/>
      <c r="C382" s="269"/>
      <c r="D382" s="269"/>
      <c r="E382" s="269"/>
      <c r="F382" s="269"/>
      <c r="G382" s="269"/>
      <c r="H382" s="269"/>
      <c r="I382" s="269"/>
      <c r="J382" s="269"/>
      <c r="K382" s="269"/>
      <c r="L382" s="269"/>
      <c r="M382" s="269"/>
      <c r="N382" s="269"/>
      <c r="O382" s="269"/>
      <c r="P382" s="269"/>
      <c r="Q382" s="269"/>
      <c r="R382" s="269"/>
      <c r="S382" s="269"/>
      <c r="T382" s="269"/>
      <c r="U382" s="269"/>
      <c r="V382" s="269"/>
      <c r="W382" s="269"/>
      <c r="X382" s="269"/>
      <c r="Y382" s="269"/>
      <c r="Z382" s="269"/>
    </row>
    <row r="383">
      <c r="A383" s="269"/>
      <c r="B383" s="269"/>
      <c r="C383" s="269"/>
      <c r="D383" s="269"/>
      <c r="E383" s="269"/>
      <c r="F383" s="269"/>
      <c r="G383" s="269"/>
      <c r="H383" s="269"/>
      <c r="I383" s="269"/>
      <c r="J383" s="269"/>
      <c r="K383" s="269"/>
      <c r="L383" s="269"/>
      <c r="M383" s="269"/>
      <c r="N383" s="269"/>
      <c r="O383" s="269"/>
      <c r="P383" s="269"/>
      <c r="Q383" s="269"/>
      <c r="R383" s="269"/>
      <c r="S383" s="269"/>
      <c r="T383" s="269"/>
      <c r="U383" s="269"/>
      <c r="V383" s="269"/>
      <c r="W383" s="269"/>
      <c r="X383" s="269"/>
      <c r="Y383" s="269"/>
      <c r="Z383" s="269"/>
    </row>
    <row r="384">
      <c r="A384" s="269"/>
      <c r="B384" s="269"/>
      <c r="C384" s="269"/>
      <c r="D384" s="269"/>
      <c r="E384" s="269"/>
      <c r="F384" s="269"/>
      <c r="G384" s="269"/>
      <c r="H384" s="269"/>
      <c r="I384" s="269"/>
      <c r="J384" s="269"/>
      <c r="K384" s="269"/>
      <c r="L384" s="269"/>
      <c r="M384" s="269"/>
      <c r="N384" s="269"/>
      <c r="O384" s="269"/>
      <c r="P384" s="269"/>
      <c r="Q384" s="269"/>
      <c r="R384" s="269"/>
      <c r="S384" s="269"/>
      <c r="T384" s="269"/>
      <c r="U384" s="269"/>
      <c r="V384" s="269"/>
      <c r="W384" s="269"/>
      <c r="X384" s="269"/>
      <c r="Y384" s="269"/>
      <c r="Z384" s="269"/>
    </row>
    <row r="385">
      <c r="A385" s="269"/>
      <c r="B385" s="269"/>
      <c r="C385" s="269"/>
      <c r="D385" s="269"/>
      <c r="E385" s="269"/>
      <c r="F385" s="269"/>
      <c r="G385" s="269"/>
      <c r="H385" s="269"/>
      <c r="I385" s="269"/>
      <c r="J385" s="269"/>
      <c r="K385" s="269"/>
      <c r="L385" s="269"/>
      <c r="M385" s="269"/>
      <c r="N385" s="269"/>
      <c r="O385" s="269"/>
      <c r="P385" s="269"/>
      <c r="Q385" s="269"/>
      <c r="R385" s="269"/>
      <c r="S385" s="269"/>
      <c r="T385" s="269"/>
      <c r="U385" s="269"/>
      <c r="V385" s="269"/>
      <c r="W385" s="269"/>
      <c r="X385" s="269"/>
      <c r="Y385" s="269"/>
      <c r="Z385" s="269"/>
    </row>
    <row r="386">
      <c r="A386" s="269"/>
      <c r="B386" s="269"/>
      <c r="C386" s="269"/>
      <c r="D386" s="269"/>
      <c r="E386" s="269"/>
      <c r="F386" s="269"/>
      <c r="G386" s="269"/>
      <c r="H386" s="269"/>
      <c r="I386" s="269"/>
      <c r="J386" s="269"/>
      <c r="K386" s="269"/>
      <c r="L386" s="269"/>
      <c r="M386" s="269"/>
      <c r="N386" s="269"/>
      <c r="O386" s="269"/>
      <c r="P386" s="269"/>
      <c r="Q386" s="269"/>
      <c r="R386" s="269"/>
      <c r="S386" s="269"/>
      <c r="T386" s="269"/>
      <c r="U386" s="269"/>
      <c r="V386" s="269"/>
      <c r="W386" s="269"/>
      <c r="X386" s="269"/>
      <c r="Y386" s="269"/>
      <c r="Z386" s="269"/>
    </row>
    <row r="387">
      <c r="A387" s="269"/>
      <c r="B387" s="269"/>
      <c r="C387" s="269"/>
      <c r="D387" s="269"/>
      <c r="E387" s="269"/>
      <c r="F387" s="269"/>
      <c r="G387" s="269"/>
      <c r="H387" s="269"/>
      <c r="I387" s="269"/>
      <c r="J387" s="269"/>
      <c r="K387" s="269"/>
      <c r="L387" s="269"/>
      <c r="M387" s="269"/>
      <c r="N387" s="269"/>
      <c r="O387" s="269"/>
      <c r="P387" s="269"/>
      <c r="Q387" s="269"/>
      <c r="R387" s="269"/>
      <c r="S387" s="269"/>
      <c r="T387" s="269"/>
      <c r="U387" s="269"/>
      <c r="V387" s="269"/>
      <c r="W387" s="269"/>
      <c r="X387" s="269"/>
      <c r="Y387" s="269"/>
      <c r="Z387" s="269"/>
    </row>
    <row r="388">
      <c r="A388" s="269"/>
      <c r="B388" s="269"/>
      <c r="C388" s="269"/>
      <c r="D388" s="269"/>
      <c r="E388" s="269"/>
      <c r="F388" s="269"/>
      <c r="G388" s="269"/>
      <c r="H388" s="269"/>
      <c r="I388" s="269"/>
      <c r="J388" s="269"/>
      <c r="K388" s="269"/>
      <c r="L388" s="269"/>
      <c r="M388" s="269"/>
      <c r="N388" s="269"/>
      <c r="O388" s="269"/>
      <c r="P388" s="269"/>
      <c r="Q388" s="269"/>
      <c r="R388" s="269"/>
      <c r="S388" s="269"/>
      <c r="T388" s="269"/>
      <c r="U388" s="269"/>
      <c r="V388" s="269"/>
      <c r="W388" s="269"/>
      <c r="X388" s="269"/>
      <c r="Y388" s="269"/>
      <c r="Z388" s="269"/>
    </row>
    <row r="389">
      <c r="A389" s="269"/>
      <c r="B389" s="269"/>
      <c r="C389" s="269"/>
      <c r="D389" s="269"/>
      <c r="E389" s="269"/>
      <c r="F389" s="269"/>
      <c r="G389" s="269"/>
      <c r="H389" s="269"/>
      <c r="I389" s="269"/>
      <c r="J389" s="269"/>
      <c r="K389" s="269"/>
      <c r="L389" s="269"/>
      <c r="M389" s="269"/>
      <c r="N389" s="269"/>
      <c r="O389" s="269"/>
      <c r="P389" s="269"/>
      <c r="Q389" s="269"/>
      <c r="R389" s="269"/>
      <c r="S389" s="269"/>
      <c r="T389" s="269"/>
      <c r="U389" s="269"/>
      <c r="V389" s="269"/>
      <c r="W389" s="269"/>
      <c r="X389" s="269"/>
      <c r="Y389" s="269"/>
      <c r="Z389" s="269"/>
    </row>
    <row r="390">
      <c r="A390" s="269"/>
      <c r="B390" s="269"/>
      <c r="C390" s="269"/>
      <c r="D390" s="269"/>
      <c r="E390" s="269"/>
      <c r="F390" s="269"/>
      <c r="G390" s="269"/>
      <c r="H390" s="269"/>
      <c r="I390" s="269"/>
      <c r="J390" s="269"/>
      <c r="K390" s="269"/>
      <c r="L390" s="269"/>
      <c r="M390" s="269"/>
      <c r="N390" s="269"/>
      <c r="O390" s="269"/>
      <c r="P390" s="269"/>
      <c r="Q390" s="269"/>
      <c r="R390" s="269"/>
      <c r="S390" s="269"/>
      <c r="T390" s="269"/>
      <c r="U390" s="269"/>
      <c r="V390" s="269"/>
      <c r="W390" s="269"/>
      <c r="X390" s="269"/>
      <c r="Y390" s="269"/>
      <c r="Z390" s="269"/>
    </row>
    <row r="391">
      <c r="A391" s="269"/>
      <c r="B391" s="269"/>
      <c r="C391" s="269"/>
      <c r="D391" s="269"/>
      <c r="E391" s="269"/>
      <c r="F391" s="269"/>
      <c r="G391" s="269"/>
      <c r="H391" s="269"/>
      <c r="I391" s="269"/>
      <c r="J391" s="269"/>
      <c r="K391" s="269"/>
      <c r="L391" s="269"/>
      <c r="M391" s="269"/>
      <c r="N391" s="269"/>
      <c r="O391" s="269"/>
      <c r="P391" s="269"/>
      <c r="Q391" s="269"/>
      <c r="R391" s="269"/>
      <c r="S391" s="269"/>
      <c r="T391" s="269"/>
      <c r="U391" s="269"/>
      <c r="V391" s="269"/>
      <c r="W391" s="269"/>
      <c r="X391" s="269"/>
      <c r="Y391" s="269"/>
      <c r="Z391" s="269"/>
    </row>
    <row r="392">
      <c r="A392" s="269"/>
      <c r="B392" s="269"/>
      <c r="C392" s="269"/>
      <c r="D392" s="269"/>
      <c r="E392" s="269"/>
      <c r="F392" s="269"/>
      <c r="G392" s="269"/>
      <c r="H392" s="269"/>
      <c r="I392" s="269"/>
      <c r="J392" s="269"/>
      <c r="K392" s="269"/>
      <c r="L392" s="269"/>
      <c r="M392" s="269"/>
      <c r="N392" s="269"/>
      <c r="O392" s="269"/>
      <c r="P392" s="269"/>
      <c r="Q392" s="269"/>
      <c r="R392" s="269"/>
      <c r="S392" s="269"/>
      <c r="T392" s="269"/>
      <c r="U392" s="269"/>
      <c r="V392" s="269"/>
      <c r="W392" s="269"/>
      <c r="X392" s="269"/>
      <c r="Y392" s="269"/>
      <c r="Z392" s="269"/>
    </row>
    <row r="393">
      <c r="A393" s="269"/>
      <c r="B393" s="269"/>
      <c r="C393" s="269"/>
      <c r="D393" s="269"/>
      <c r="E393" s="269"/>
      <c r="F393" s="269"/>
      <c r="G393" s="269"/>
      <c r="H393" s="269"/>
      <c r="I393" s="269"/>
      <c r="J393" s="269"/>
      <c r="K393" s="269"/>
      <c r="L393" s="269"/>
      <c r="M393" s="269"/>
      <c r="N393" s="269"/>
      <c r="O393" s="269"/>
      <c r="P393" s="269"/>
      <c r="Q393" s="269"/>
      <c r="R393" s="269"/>
      <c r="S393" s="269"/>
      <c r="T393" s="269"/>
      <c r="U393" s="269"/>
      <c r="V393" s="269"/>
      <c r="W393" s="269"/>
      <c r="X393" s="269"/>
      <c r="Y393" s="269"/>
      <c r="Z393" s="269"/>
    </row>
    <row r="394">
      <c r="A394" s="269"/>
      <c r="B394" s="269"/>
      <c r="C394" s="269"/>
      <c r="D394" s="269"/>
      <c r="E394" s="269"/>
      <c r="F394" s="269"/>
      <c r="G394" s="269"/>
      <c r="H394" s="269"/>
      <c r="I394" s="269"/>
      <c r="J394" s="269"/>
      <c r="K394" s="269"/>
      <c r="L394" s="269"/>
      <c r="M394" s="269"/>
      <c r="N394" s="269"/>
      <c r="O394" s="269"/>
      <c r="P394" s="269"/>
      <c r="Q394" s="269"/>
      <c r="R394" s="269"/>
      <c r="S394" s="269"/>
      <c r="T394" s="269"/>
      <c r="U394" s="269"/>
      <c r="V394" s="269"/>
      <c r="W394" s="269"/>
      <c r="X394" s="269"/>
      <c r="Y394" s="269"/>
      <c r="Z394" s="269"/>
    </row>
    <row r="395">
      <c r="A395" s="269"/>
      <c r="B395" s="269"/>
      <c r="C395" s="269"/>
      <c r="D395" s="269"/>
      <c r="E395" s="269"/>
      <c r="F395" s="269"/>
      <c r="G395" s="269"/>
      <c r="H395" s="269"/>
      <c r="I395" s="269"/>
      <c r="J395" s="269"/>
      <c r="K395" s="269"/>
      <c r="L395" s="269"/>
      <c r="M395" s="269"/>
      <c r="N395" s="269"/>
      <c r="O395" s="269"/>
      <c r="P395" s="269"/>
      <c r="Q395" s="269"/>
      <c r="R395" s="269"/>
      <c r="S395" s="269"/>
      <c r="T395" s="269"/>
      <c r="U395" s="269"/>
      <c r="V395" s="269"/>
      <c r="W395" s="269"/>
      <c r="X395" s="269"/>
      <c r="Y395" s="269"/>
      <c r="Z395" s="269"/>
    </row>
    <row r="396">
      <c r="A396" s="269"/>
      <c r="B396" s="269"/>
      <c r="C396" s="269"/>
      <c r="D396" s="269"/>
      <c r="E396" s="269"/>
      <c r="F396" s="269"/>
      <c r="G396" s="269"/>
      <c r="H396" s="269"/>
      <c r="I396" s="269"/>
      <c r="J396" s="269"/>
      <c r="K396" s="269"/>
      <c r="L396" s="269"/>
      <c r="M396" s="269"/>
      <c r="N396" s="269"/>
      <c r="O396" s="269"/>
      <c r="P396" s="269"/>
      <c r="Q396" s="269"/>
      <c r="R396" s="269"/>
      <c r="S396" s="269"/>
      <c r="T396" s="269"/>
      <c r="U396" s="269"/>
      <c r="V396" s="269"/>
      <c r="W396" s="269"/>
      <c r="X396" s="269"/>
      <c r="Y396" s="269"/>
      <c r="Z396" s="269"/>
    </row>
    <row r="397">
      <c r="A397" s="269"/>
      <c r="B397" s="269"/>
      <c r="C397" s="269"/>
      <c r="D397" s="269"/>
      <c r="E397" s="269"/>
      <c r="F397" s="269"/>
      <c r="G397" s="269"/>
      <c r="H397" s="269"/>
      <c r="I397" s="269"/>
      <c r="J397" s="269"/>
      <c r="K397" s="269"/>
      <c r="L397" s="269"/>
      <c r="M397" s="269"/>
      <c r="N397" s="269"/>
      <c r="O397" s="269"/>
      <c r="P397" s="269"/>
      <c r="Q397" s="269"/>
      <c r="R397" s="269"/>
      <c r="S397" s="269"/>
      <c r="T397" s="269"/>
      <c r="U397" s="269"/>
      <c r="V397" s="269"/>
      <c r="W397" s="269"/>
      <c r="X397" s="269"/>
      <c r="Y397" s="269"/>
      <c r="Z397" s="269"/>
    </row>
    <row r="398">
      <c r="A398" s="269"/>
      <c r="B398" s="269"/>
      <c r="C398" s="269"/>
      <c r="D398" s="269"/>
      <c r="E398" s="269"/>
      <c r="F398" s="269"/>
      <c r="G398" s="269"/>
      <c r="H398" s="269"/>
      <c r="I398" s="269"/>
      <c r="J398" s="269"/>
      <c r="K398" s="269"/>
      <c r="L398" s="269"/>
      <c r="M398" s="269"/>
      <c r="N398" s="269"/>
      <c r="O398" s="269"/>
      <c r="P398" s="269"/>
      <c r="Q398" s="269"/>
      <c r="R398" s="269"/>
      <c r="S398" s="269"/>
      <c r="T398" s="269"/>
      <c r="U398" s="269"/>
      <c r="V398" s="269"/>
      <c r="W398" s="269"/>
      <c r="X398" s="269"/>
      <c r="Y398" s="269"/>
      <c r="Z398" s="269"/>
    </row>
    <row r="399">
      <c r="A399" s="269"/>
      <c r="B399" s="269"/>
      <c r="C399" s="269"/>
      <c r="D399" s="269"/>
      <c r="E399" s="269"/>
      <c r="F399" s="269"/>
      <c r="G399" s="269"/>
      <c r="H399" s="269"/>
      <c r="I399" s="269"/>
      <c r="J399" s="269"/>
      <c r="K399" s="269"/>
      <c r="L399" s="269"/>
      <c r="M399" s="269"/>
      <c r="N399" s="269"/>
      <c r="O399" s="269"/>
      <c r="P399" s="269"/>
      <c r="Q399" s="269"/>
      <c r="R399" s="269"/>
      <c r="S399" s="269"/>
      <c r="T399" s="269"/>
      <c r="U399" s="269"/>
      <c r="V399" s="269"/>
      <c r="W399" s="269"/>
      <c r="X399" s="269"/>
      <c r="Y399" s="269"/>
      <c r="Z399" s="269"/>
    </row>
    <row r="400">
      <c r="A400" s="269"/>
      <c r="B400" s="269"/>
      <c r="C400" s="269"/>
      <c r="D400" s="269"/>
      <c r="E400" s="269"/>
      <c r="F400" s="269"/>
      <c r="G400" s="269"/>
      <c r="H400" s="269"/>
      <c r="I400" s="269"/>
      <c r="J400" s="269"/>
      <c r="K400" s="269"/>
      <c r="L400" s="269"/>
      <c r="M400" s="269"/>
      <c r="N400" s="269"/>
      <c r="O400" s="269"/>
      <c r="P400" s="269"/>
      <c r="Q400" s="269"/>
      <c r="R400" s="269"/>
      <c r="S400" s="269"/>
      <c r="T400" s="269"/>
      <c r="U400" s="269"/>
      <c r="V400" s="269"/>
      <c r="W400" s="269"/>
      <c r="X400" s="269"/>
      <c r="Y400" s="269"/>
      <c r="Z400" s="269"/>
    </row>
    <row r="401">
      <c r="A401" s="269"/>
      <c r="B401" s="269"/>
      <c r="C401" s="269"/>
      <c r="D401" s="269"/>
      <c r="E401" s="269"/>
      <c r="F401" s="269"/>
      <c r="G401" s="269"/>
      <c r="H401" s="269"/>
      <c r="I401" s="269"/>
      <c r="J401" s="269"/>
      <c r="K401" s="269"/>
      <c r="L401" s="269"/>
      <c r="M401" s="269"/>
      <c r="N401" s="269"/>
      <c r="O401" s="269"/>
      <c r="P401" s="269"/>
      <c r="Q401" s="269"/>
      <c r="R401" s="269"/>
      <c r="S401" s="269"/>
      <c r="T401" s="269"/>
      <c r="U401" s="269"/>
      <c r="V401" s="269"/>
      <c r="W401" s="269"/>
      <c r="X401" s="269"/>
      <c r="Y401" s="269"/>
      <c r="Z401" s="269"/>
    </row>
    <row r="402">
      <c r="A402" s="269"/>
      <c r="B402" s="269"/>
      <c r="C402" s="269"/>
      <c r="D402" s="269"/>
      <c r="E402" s="269"/>
      <c r="F402" s="269"/>
      <c r="G402" s="269"/>
      <c r="H402" s="269"/>
      <c r="I402" s="269"/>
      <c r="J402" s="269"/>
      <c r="K402" s="269"/>
      <c r="L402" s="269"/>
      <c r="M402" s="269"/>
      <c r="N402" s="269"/>
      <c r="O402" s="269"/>
      <c r="P402" s="269"/>
      <c r="Q402" s="269"/>
      <c r="R402" s="269"/>
      <c r="S402" s="269"/>
      <c r="T402" s="269"/>
      <c r="U402" s="269"/>
      <c r="V402" s="269"/>
      <c r="W402" s="269"/>
      <c r="X402" s="269"/>
      <c r="Y402" s="269"/>
      <c r="Z402" s="269"/>
    </row>
    <row r="403">
      <c r="A403" s="269"/>
      <c r="B403" s="269"/>
      <c r="C403" s="269"/>
      <c r="D403" s="269"/>
      <c r="E403" s="269"/>
      <c r="F403" s="269"/>
      <c r="G403" s="269"/>
      <c r="H403" s="269"/>
      <c r="I403" s="269"/>
      <c r="J403" s="269"/>
      <c r="K403" s="269"/>
      <c r="L403" s="269"/>
      <c r="M403" s="269"/>
      <c r="N403" s="269"/>
      <c r="O403" s="269"/>
      <c r="P403" s="269"/>
      <c r="Q403" s="269"/>
      <c r="R403" s="269"/>
      <c r="S403" s="269"/>
      <c r="T403" s="269"/>
      <c r="U403" s="269"/>
      <c r="V403" s="269"/>
      <c r="W403" s="269"/>
      <c r="X403" s="269"/>
      <c r="Y403" s="269"/>
      <c r="Z403" s="269"/>
    </row>
    <row r="404">
      <c r="A404" s="269"/>
      <c r="B404" s="269"/>
      <c r="C404" s="269"/>
      <c r="D404" s="269"/>
      <c r="E404" s="269"/>
      <c r="F404" s="269"/>
      <c r="G404" s="269"/>
      <c r="H404" s="269"/>
      <c r="I404" s="269"/>
      <c r="J404" s="269"/>
      <c r="K404" s="269"/>
      <c r="L404" s="269"/>
      <c r="M404" s="269"/>
      <c r="N404" s="269"/>
      <c r="O404" s="269"/>
      <c r="P404" s="269"/>
      <c r="Q404" s="269"/>
      <c r="R404" s="269"/>
      <c r="S404" s="269"/>
      <c r="T404" s="269"/>
      <c r="U404" s="269"/>
      <c r="V404" s="269"/>
      <c r="W404" s="269"/>
      <c r="X404" s="269"/>
      <c r="Y404" s="269"/>
      <c r="Z404" s="269"/>
    </row>
    <row r="405">
      <c r="A405" s="269"/>
      <c r="B405" s="269"/>
      <c r="C405" s="269"/>
      <c r="D405" s="269"/>
      <c r="E405" s="269"/>
      <c r="F405" s="269"/>
      <c r="G405" s="269"/>
      <c r="H405" s="269"/>
      <c r="I405" s="269"/>
      <c r="J405" s="269"/>
      <c r="K405" s="269"/>
      <c r="L405" s="269"/>
      <c r="M405" s="269"/>
      <c r="N405" s="269"/>
      <c r="O405" s="269"/>
      <c r="P405" s="269"/>
      <c r="Q405" s="269"/>
      <c r="R405" s="269"/>
      <c r="S405" s="269"/>
      <c r="T405" s="269"/>
      <c r="U405" s="269"/>
      <c r="V405" s="269"/>
      <c r="W405" s="269"/>
      <c r="X405" s="269"/>
      <c r="Y405" s="269"/>
      <c r="Z405" s="269"/>
    </row>
    <row r="406">
      <c r="A406" s="269"/>
      <c r="B406" s="269"/>
      <c r="C406" s="269"/>
      <c r="D406" s="269"/>
      <c r="E406" s="269"/>
      <c r="F406" s="269"/>
      <c r="G406" s="269"/>
      <c r="H406" s="269"/>
      <c r="I406" s="269"/>
      <c r="J406" s="269"/>
      <c r="K406" s="269"/>
      <c r="L406" s="269"/>
      <c r="M406" s="269"/>
      <c r="N406" s="269"/>
      <c r="O406" s="269"/>
      <c r="P406" s="269"/>
      <c r="Q406" s="269"/>
      <c r="R406" s="269"/>
      <c r="S406" s="269"/>
      <c r="T406" s="269"/>
      <c r="U406" s="269"/>
      <c r="V406" s="269"/>
      <c r="W406" s="269"/>
      <c r="X406" s="269"/>
      <c r="Y406" s="269"/>
      <c r="Z406" s="269"/>
    </row>
    <row r="407">
      <c r="A407" s="269"/>
      <c r="B407" s="269"/>
      <c r="C407" s="269"/>
      <c r="D407" s="269"/>
      <c r="E407" s="269"/>
      <c r="F407" s="269"/>
      <c r="G407" s="269"/>
      <c r="H407" s="269"/>
      <c r="I407" s="269"/>
      <c r="J407" s="269"/>
      <c r="K407" s="269"/>
      <c r="L407" s="269"/>
      <c r="M407" s="269"/>
      <c r="N407" s="269"/>
      <c r="O407" s="269"/>
      <c r="P407" s="269"/>
      <c r="Q407" s="269"/>
      <c r="R407" s="269"/>
      <c r="S407" s="269"/>
      <c r="T407" s="269"/>
      <c r="U407" s="269"/>
      <c r="V407" s="269"/>
      <c r="W407" s="269"/>
      <c r="X407" s="269"/>
      <c r="Y407" s="269"/>
      <c r="Z407" s="269"/>
    </row>
    <row r="408">
      <c r="A408" s="269"/>
      <c r="B408" s="269"/>
      <c r="C408" s="269"/>
      <c r="D408" s="269"/>
      <c r="E408" s="269"/>
      <c r="F408" s="269"/>
      <c r="G408" s="269"/>
      <c r="H408" s="269"/>
      <c r="I408" s="269"/>
      <c r="J408" s="269"/>
      <c r="K408" s="269"/>
      <c r="L408" s="269"/>
      <c r="M408" s="269"/>
      <c r="N408" s="269"/>
      <c r="O408" s="269"/>
      <c r="P408" s="269"/>
      <c r="Q408" s="269"/>
      <c r="R408" s="269"/>
      <c r="S408" s="269"/>
      <c r="T408" s="269"/>
      <c r="U408" s="269"/>
      <c r="V408" s="269"/>
      <c r="W408" s="269"/>
      <c r="X408" s="269"/>
      <c r="Y408" s="269"/>
      <c r="Z408" s="269"/>
    </row>
    <row r="409">
      <c r="A409" s="269"/>
      <c r="B409" s="269"/>
      <c r="C409" s="269"/>
      <c r="D409" s="269"/>
      <c r="E409" s="269"/>
      <c r="F409" s="269"/>
      <c r="G409" s="269"/>
      <c r="H409" s="269"/>
      <c r="I409" s="269"/>
      <c r="J409" s="269"/>
      <c r="K409" s="269"/>
      <c r="L409" s="269"/>
      <c r="M409" s="269"/>
      <c r="N409" s="269"/>
      <c r="O409" s="269"/>
      <c r="P409" s="269"/>
      <c r="Q409" s="269"/>
      <c r="R409" s="269"/>
      <c r="S409" s="269"/>
      <c r="T409" s="269"/>
      <c r="U409" s="269"/>
      <c r="V409" s="269"/>
      <c r="W409" s="269"/>
      <c r="X409" s="269"/>
      <c r="Y409" s="269"/>
      <c r="Z409" s="269"/>
    </row>
    <row r="410">
      <c r="A410" s="269"/>
      <c r="B410" s="269"/>
      <c r="C410" s="269"/>
      <c r="D410" s="269"/>
      <c r="E410" s="269"/>
      <c r="F410" s="269"/>
      <c r="G410" s="269"/>
      <c r="H410" s="269"/>
      <c r="I410" s="269"/>
      <c r="J410" s="269"/>
      <c r="K410" s="269"/>
      <c r="L410" s="269"/>
      <c r="M410" s="269"/>
      <c r="N410" s="269"/>
      <c r="O410" s="269"/>
      <c r="P410" s="269"/>
      <c r="Q410" s="269"/>
      <c r="R410" s="269"/>
      <c r="S410" s="269"/>
      <c r="T410" s="269"/>
      <c r="U410" s="269"/>
      <c r="V410" s="269"/>
      <c r="W410" s="269"/>
      <c r="X410" s="269"/>
      <c r="Y410" s="269"/>
      <c r="Z410" s="269"/>
    </row>
    <row r="411">
      <c r="A411" s="269"/>
      <c r="B411" s="269"/>
      <c r="C411" s="269"/>
      <c r="D411" s="269"/>
      <c r="E411" s="269"/>
      <c r="F411" s="269"/>
      <c r="G411" s="269"/>
      <c r="H411" s="269"/>
      <c r="I411" s="269"/>
      <c r="J411" s="269"/>
      <c r="K411" s="269"/>
      <c r="L411" s="269"/>
      <c r="M411" s="269"/>
      <c r="N411" s="269"/>
      <c r="O411" s="269"/>
      <c r="P411" s="269"/>
      <c r="Q411" s="269"/>
      <c r="R411" s="269"/>
      <c r="S411" s="269"/>
      <c r="T411" s="269"/>
      <c r="U411" s="269"/>
      <c r="V411" s="269"/>
      <c r="W411" s="269"/>
      <c r="X411" s="269"/>
      <c r="Y411" s="269"/>
      <c r="Z411" s="269"/>
    </row>
    <row r="412">
      <c r="A412" s="269"/>
      <c r="B412" s="269"/>
      <c r="C412" s="269"/>
      <c r="D412" s="269"/>
      <c r="E412" s="269"/>
      <c r="F412" s="269"/>
      <c r="G412" s="269"/>
      <c r="H412" s="269"/>
      <c r="I412" s="269"/>
      <c r="J412" s="269"/>
      <c r="K412" s="269"/>
      <c r="L412" s="269"/>
      <c r="M412" s="269"/>
      <c r="N412" s="269"/>
      <c r="O412" s="269"/>
      <c r="P412" s="269"/>
      <c r="Q412" s="269"/>
      <c r="R412" s="269"/>
      <c r="S412" s="269"/>
      <c r="T412" s="269"/>
      <c r="U412" s="269"/>
      <c r="V412" s="269"/>
      <c r="W412" s="269"/>
      <c r="X412" s="269"/>
      <c r="Y412" s="269"/>
      <c r="Z412" s="269"/>
    </row>
    <row r="413">
      <c r="A413" s="269"/>
      <c r="B413" s="269"/>
      <c r="C413" s="269"/>
      <c r="D413" s="269"/>
      <c r="E413" s="269"/>
      <c r="F413" s="269"/>
      <c r="G413" s="269"/>
      <c r="H413" s="269"/>
      <c r="I413" s="269"/>
      <c r="J413" s="269"/>
      <c r="K413" s="269"/>
      <c r="L413" s="269"/>
      <c r="M413" s="269"/>
      <c r="N413" s="269"/>
      <c r="O413" s="269"/>
      <c r="P413" s="269"/>
      <c r="Q413" s="269"/>
      <c r="R413" s="269"/>
      <c r="S413" s="269"/>
      <c r="T413" s="269"/>
      <c r="U413" s="269"/>
      <c r="V413" s="269"/>
      <c r="W413" s="269"/>
      <c r="X413" s="269"/>
      <c r="Y413" s="269"/>
      <c r="Z413" s="269"/>
    </row>
    <row r="414">
      <c r="A414" s="269"/>
      <c r="B414" s="269"/>
      <c r="C414" s="269"/>
      <c r="D414" s="269"/>
      <c r="E414" s="269"/>
      <c r="F414" s="269"/>
      <c r="G414" s="269"/>
      <c r="H414" s="269"/>
      <c r="I414" s="269"/>
      <c r="J414" s="269"/>
      <c r="K414" s="269"/>
      <c r="L414" s="269"/>
      <c r="M414" s="269"/>
      <c r="N414" s="269"/>
      <c r="O414" s="269"/>
      <c r="P414" s="269"/>
      <c r="Q414" s="269"/>
      <c r="R414" s="269"/>
      <c r="S414" s="269"/>
      <c r="T414" s="269"/>
      <c r="U414" s="269"/>
      <c r="V414" s="269"/>
      <c r="W414" s="269"/>
      <c r="X414" s="269"/>
      <c r="Y414" s="269"/>
      <c r="Z414" s="269"/>
    </row>
    <row r="415">
      <c r="A415" s="269"/>
      <c r="B415" s="269"/>
      <c r="C415" s="269"/>
      <c r="D415" s="269"/>
      <c r="E415" s="269"/>
      <c r="F415" s="269"/>
      <c r="G415" s="269"/>
      <c r="H415" s="269"/>
      <c r="I415" s="269"/>
      <c r="J415" s="269"/>
      <c r="K415" s="269"/>
      <c r="L415" s="269"/>
      <c r="M415" s="269"/>
      <c r="N415" s="269"/>
      <c r="O415" s="269"/>
      <c r="P415" s="269"/>
      <c r="Q415" s="269"/>
      <c r="R415" s="269"/>
      <c r="S415" s="269"/>
      <c r="T415" s="269"/>
      <c r="U415" s="269"/>
      <c r="V415" s="269"/>
      <c r="W415" s="269"/>
      <c r="X415" s="269"/>
      <c r="Y415" s="269"/>
      <c r="Z415" s="269"/>
    </row>
    <row r="416">
      <c r="A416" s="269"/>
      <c r="B416" s="269"/>
      <c r="C416" s="269"/>
      <c r="D416" s="269"/>
      <c r="E416" s="269"/>
      <c r="F416" s="269"/>
      <c r="G416" s="269"/>
      <c r="H416" s="269"/>
      <c r="I416" s="269"/>
      <c r="J416" s="269"/>
      <c r="K416" s="269"/>
      <c r="L416" s="269"/>
      <c r="M416" s="269"/>
      <c r="N416" s="269"/>
      <c r="O416" s="269"/>
      <c r="P416" s="269"/>
      <c r="Q416" s="269"/>
      <c r="R416" s="269"/>
      <c r="S416" s="269"/>
      <c r="T416" s="269"/>
      <c r="U416" s="269"/>
      <c r="V416" s="269"/>
      <c r="W416" s="269"/>
      <c r="X416" s="269"/>
      <c r="Y416" s="269"/>
      <c r="Z416" s="269"/>
    </row>
    <row r="417">
      <c r="A417" s="269"/>
      <c r="B417" s="269"/>
      <c r="C417" s="269"/>
      <c r="D417" s="269"/>
      <c r="E417" s="269"/>
      <c r="F417" s="269"/>
      <c r="G417" s="269"/>
      <c r="H417" s="269"/>
      <c r="I417" s="269"/>
      <c r="J417" s="269"/>
      <c r="K417" s="269"/>
      <c r="L417" s="269"/>
      <c r="M417" s="269"/>
      <c r="N417" s="269"/>
      <c r="O417" s="269"/>
      <c r="P417" s="269"/>
      <c r="Q417" s="269"/>
      <c r="R417" s="269"/>
      <c r="S417" s="269"/>
      <c r="T417" s="269"/>
      <c r="U417" s="269"/>
      <c r="V417" s="269"/>
      <c r="W417" s="269"/>
      <c r="X417" s="269"/>
      <c r="Y417" s="269"/>
      <c r="Z417" s="269"/>
    </row>
    <row r="418">
      <c r="A418" s="269"/>
      <c r="B418" s="269"/>
      <c r="C418" s="269"/>
      <c r="D418" s="269"/>
      <c r="E418" s="269"/>
      <c r="F418" s="269"/>
      <c r="G418" s="269"/>
      <c r="H418" s="269"/>
      <c r="I418" s="269"/>
      <c r="J418" s="269"/>
      <c r="K418" s="269"/>
      <c r="L418" s="269"/>
      <c r="M418" s="269"/>
      <c r="N418" s="269"/>
      <c r="O418" s="269"/>
      <c r="P418" s="269"/>
      <c r="Q418" s="269"/>
      <c r="R418" s="269"/>
      <c r="S418" s="269"/>
      <c r="T418" s="269"/>
      <c r="U418" s="269"/>
      <c r="V418" s="269"/>
      <c r="W418" s="269"/>
      <c r="X418" s="269"/>
      <c r="Y418" s="269"/>
      <c r="Z418" s="269"/>
    </row>
    <row r="419">
      <c r="A419" s="269"/>
      <c r="B419" s="269"/>
      <c r="C419" s="269"/>
      <c r="D419" s="269"/>
      <c r="E419" s="269"/>
      <c r="F419" s="269"/>
      <c r="G419" s="269"/>
      <c r="H419" s="269"/>
      <c r="I419" s="269"/>
      <c r="J419" s="269"/>
      <c r="K419" s="269"/>
      <c r="L419" s="269"/>
      <c r="M419" s="269"/>
      <c r="N419" s="269"/>
      <c r="O419" s="269"/>
      <c r="P419" s="269"/>
      <c r="Q419" s="269"/>
      <c r="R419" s="269"/>
      <c r="S419" s="269"/>
      <c r="T419" s="269"/>
      <c r="U419" s="269"/>
      <c r="V419" s="269"/>
      <c r="W419" s="269"/>
      <c r="X419" s="269"/>
      <c r="Y419" s="269"/>
      <c r="Z419" s="269"/>
    </row>
    <row r="420">
      <c r="A420" s="269"/>
      <c r="B420" s="269"/>
      <c r="C420" s="269"/>
      <c r="D420" s="269"/>
      <c r="E420" s="269"/>
      <c r="F420" s="269"/>
      <c r="G420" s="269"/>
      <c r="H420" s="269"/>
      <c r="I420" s="269"/>
      <c r="J420" s="269"/>
      <c r="K420" s="269"/>
      <c r="L420" s="269"/>
      <c r="M420" s="269"/>
      <c r="N420" s="269"/>
      <c r="O420" s="269"/>
      <c r="P420" s="269"/>
      <c r="Q420" s="269"/>
      <c r="R420" s="269"/>
      <c r="S420" s="269"/>
      <c r="T420" s="269"/>
      <c r="U420" s="269"/>
      <c r="V420" s="269"/>
      <c r="W420" s="269"/>
      <c r="X420" s="269"/>
      <c r="Y420" s="269"/>
      <c r="Z420" s="269"/>
    </row>
    <row r="421">
      <c r="A421" s="269"/>
      <c r="B421" s="269"/>
      <c r="C421" s="269"/>
      <c r="D421" s="269"/>
      <c r="E421" s="269"/>
      <c r="F421" s="269"/>
      <c r="G421" s="269"/>
      <c r="H421" s="269"/>
      <c r="I421" s="269"/>
      <c r="J421" s="269"/>
      <c r="K421" s="269"/>
      <c r="L421" s="269"/>
      <c r="M421" s="269"/>
      <c r="N421" s="269"/>
      <c r="O421" s="269"/>
      <c r="P421" s="269"/>
      <c r="Q421" s="269"/>
      <c r="R421" s="269"/>
      <c r="S421" s="269"/>
      <c r="T421" s="269"/>
      <c r="U421" s="269"/>
      <c r="V421" s="269"/>
      <c r="W421" s="269"/>
      <c r="X421" s="269"/>
      <c r="Y421" s="269"/>
      <c r="Z421" s="269"/>
    </row>
    <row r="422">
      <c r="A422" s="269"/>
      <c r="B422" s="269"/>
      <c r="C422" s="269"/>
      <c r="D422" s="269"/>
      <c r="E422" s="269"/>
      <c r="F422" s="269"/>
      <c r="G422" s="269"/>
      <c r="H422" s="269"/>
      <c r="I422" s="269"/>
      <c r="J422" s="269"/>
      <c r="K422" s="269"/>
      <c r="L422" s="269"/>
      <c r="M422" s="269"/>
      <c r="N422" s="269"/>
      <c r="O422" s="269"/>
      <c r="P422" s="269"/>
      <c r="Q422" s="269"/>
      <c r="R422" s="269"/>
      <c r="S422" s="269"/>
      <c r="T422" s="269"/>
      <c r="U422" s="269"/>
      <c r="V422" s="269"/>
      <c r="W422" s="269"/>
      <c r="X422" s="269"/>
      <c r="Y422" s="269"/>
      <c r="Z422" s="269"/>
    </row>
    <row r="423">
      <c r="A423" s="269"/>
      <c r="B423" s="269"/>
      <c r="C423" s="269"/>
      <c r="D423" s="269"/>
      <c r="E423" s="269"/>
      <c r="F423" s="269"/>
      <c r="G423" s="269"/>
      <c r="H423" s="269"/>
      <c r="I423" s="269"/>
      <c r="J423" s="269"/>
      <c r="K423" s="269"/>
      <c r="L423" s="269"/>
      <c r="M423" s="269"/>
      <c r="N423" s="269"/>
      <c r="O423" s="269"/>
      <c r="P423" s="269"/>
      <c r="Q423" s="269"/>
      <c r="R423" s="269"/>
      <c r="S423" s="269"/>
      <c r="T423" s="269"/>
      <c r="U423" s="269"/>
      <c r="V423" s="269"/>
      <c r="W423" s="269"/>
      <c r="X423" s="269"/>
      <c r="Y423" s="269"/>
      <c r="Z423" s="269"/>
    </row>
    <row r="424">
      <c r="A424" s="269"/>
      <c r="B424" s="269"/>
      <c r="C424" s="269"/>
      <c r="D424" s="269"/>
      <c r="E424" s="269"/>
      <c r="F424" s="269"/>
      <c r="G424" s="269"/>
      <c r="H424" s="269"/>
      <c r="I424" s="269"/>
      <c r="J424" s="269"/>
      <c r="K424" s="269"/>
      <c r="L424" s="269"/>
      <c r="M424" s="269"/>
      <c r="N424" s="269"/>
      <c r="O424" s="269"/>
      <c r="P424" s="269"/>
      <c r="Q424" s="269"/>
      <c r="R424" s="269"/>
      <c r="S424" s="269"/>
      <c r="T424" s="269"/>
      <c r="U424" s="269"/>
      <c r="V424" s="269"/>
      <c r="W424" s="269"/>
      <c r="X424" s="269"/>
      <c r="Y424" s="269"/>
      <c r="Z424" s="269"/>
    </row>
    <row r="425">
      <c r="A425" s="269"/>
      <c r="B425" s="269"/>
      <c r="C425" s="269"/>
      <c r="D425" s="269"/>
      <c r="E425" s="269"/>
      <c r="F425" s="269"/>
      <c r="G425" s="269"/>
      <c r="H425" s="269"/>
      <c r="I425" s="269"/>
      <c r="J425" s="269"/>
      <c r="K425" s="269"/>
      <c r="L425" s="269"/>
      <c r="M425" s="269"/>
      <c r="N425" s="269"/>
      <c r="O425" s="269"/>
      <c r="P425" s="269"/>
      <c r="Q425" s="269"/>
      <c r="R425" s="269"/>
      <c r="S425" s="269"/>
      <c r="T425" s="269"/>
      <c r="U425" s="269"/>
      <c r="V425" s="269"/>
      <c r="W425" s="269"/>
      <c r="X425" s="269"/>
      <c r="Y425" s="269"/>
      <c r="Z425" s="269"/>
    </row>
    <row r="426">
      <c r="A426" s="269"/>
      <c r="B426" s="269"/>
      <c r="C426" s="269"/>
      <c r="D426" s="269"/>
      <c r="E426" s="269"/>
      <c r="F426" s="269"/>
      <c r="G426" s="269"/>
      <c r="H426" s="269"/>
      <c r="I426" s="269"/>
      <c r="J426" s="269"/>
      <c r="K426" s="269"/>
      <c r="L426" s="269"/>
      <c r="M426" s="269"/>
      <c r="N426" s="269"/>
      <c r="O426" s="269"/>
      <c r="P426" s="269"/>
      <c r="Q426" s="269"/>
      <c r="R426" s="269"/>
      <c r="S426" s="269"/>
      <c r="T426" s="269"/>
      <c r="U426" s="269"/>
      <c r="V426" s="269"/>
      <c r="W426" s="269"/>
      <c r="X426" s="269"/>
      <c r="Y426" s="269"/>
      <c r="Z426" s="269"/>
    </row>
    <row r="427">
      <c r="A427" s="269"/>
      <c r="B427" s="269"/>
      <c r="C427" s="269"/>
      <c r="D427" s="269"/>
      <c r="E427" s="269"/>
      <c r="F427" s="269"/>
      <c r="G427" s="269"/>
      <c r="H427" s="269"/>
      <c r="I427" s="269"/>
      <c r="J427" s="269"/>
      <c r="K427" s="269"/>
      <c r="L427" s="269"/>
      <c r="M427" s="269"/>
      <c r="N427" s="269"/>
      <c r="O427" s="269"/>
      <c r="P427" s="269"/>
      <c r="Q427" s="269"/>
      <c r="R427" s="269"/>
      <c r="S427" s="269"/>
      <c r="T427" s="269"/>
      <c r="U427" s="269"/>
      <c r="V427" s="269"/>
      <c r="W427" s="269"/>
      <c r="X427" s="269"/>
      <c r="Y427" s="269"/>
      <c r="Z427" s="269"/>
    </row>
    <row r="428">
      <c r="A428" s="269"/>
      <c r="B428" s="269"/>
      <c r="C428" s="269"/>
      <c r="D428" s="269"/>
      <c r="E428" s="269"/>
      <c r="F428" s="269"/>
      <c r="G428" s="269"/>
      <c r="H428" s="269"/>
      <c r="I428" s="269"/>
      <c r="J428" s="269"/>
      <c r="K428" s="269"/>
      <c r="L428" s="269"/>
      <c r="M428" s="269"/>
      <c r="N428" s="269"/>
      <c r="O428" s="269"/>
      <c r="P428" s="269"/>
      <c r="Q428" s="269"/>
      <c r="R428" s="269"/>
      <c r="S428" s="269"/>
      <c r="T428" s="269"/>
      <c r="U428" s="269"/>
      <c r="V428" s="269"/>
      <c r="W428" s="269"/>
      <c r="X428" s="269"/>
      <c r="Y428" s="269"/>
      <c r="Z428" s="269"/>
    </row>
    <row r="429">
      <c r="A429" s="269"/>
      <c r="B429" s="269"/>
      <c r="C429" s="269"/>
      <c r="D429" s="269"/>
      <c r="E429" s="269"/>
      <c r="F429" s="269"/>
      <c r="G429" s="269"/>
      <c r="H429" s="269"/>
      <c r="I429" s="269"/>
      <c r="J429" s="269"/>
      <c r="K429" s="269"/>
      <c r="L429" s="269"/>
      <c r="M429" s="269"/>
      <c r="N429" s="269"/>
      <c r="O429" s="269"/>
      <c r="P429" s="269"/>
      <c r="Q429" s="269"/>
      <c r="R429" s="269"/>
      <c r="S429" s="269"/>
      <c r="T429" s="269"/>
      <c r="U429" s="269"/>
      <c r="V429" s="269"/>
      <c r="W429" s="269"/>
      <c r="X429" s="269"/>
      <c r="Y429" s="269"/>
      <c r="Z429" s="269"/>
    </row>
    <row r="430">
      <c r="A430" s="269"/>
      <c r="B430" s="269"/>
      <c r="C430" s="269"/>
      <c r="D430" s="269"/>
      <c r="E430" s="269"/>
      <c r="F430" s="269"/>
      <c r="G430" s="269"/>
      <c r="H430" s="269"/>
      <c r="I430" s="269"/>
      <c r="J430" s="269"/>
      <c r="K430" s="269"/>
      <c r="L430" s="269"/>
      <c r="M430" s="269"/>
      <c r="N430" s="269"/>
      <c r="O430" s="269"/>
      <c r="P430" s="269"/>
      <c r="Q430" s="269"/>
      <c r="R430" s="269"/>
      <c r="S430" s="269"/>
      <c r="T430" s="269"/>
      <c r="U430" s="269"/>
      <c r="V430" s="269"/>
      <c r="W430" s="269"/>
      <c r="X430" s="269"/>
      <c r="Y430" s="269"/>
      <c r="Z430" s="269"/>
    </row>
    <row r="431">
      <c r="A431" s="269"/>
      <c r="B431" s="269"/>
      <c r="C431" s="269"/>
      <c r="D431" s="269"/>
      <c r="E431" s="269"/>
      <c r="F431" s="269"/>
      <c r="G431" s="269"/>
      <c r="H431" s="269"/>
      <c r="I431" s="269"/>
      <c r="J431" s="269"/>
      <c r="K431" s="269"/>
      <c r="L431" s="269"/>
      <c r="M431" s="269"/>
      <c r="N431" s="269"/>
      <c r="O431" s="269"/>
      <c r="P431" s="269"/>
      <c r="Q431" s="269"/>
      <c r="R431" s="269"/>
      <c r="S431" s="269"/>
      <c r="T431" s="269"/>
      <c r="U431" s="269"/>
      <c r="V431" s="269"/>
      <c r="W431" s="269"/>
      <c r="X431" s="269"/>
      <c r="Y431" s="269"/>
      <c r="Z431" s="269"/>
    </row>
    <row r="432">
      <c r="A432" s="269"/>
      <c r="B432" s="269"/>
      <c r="C432" s="269"/>
      <c r="D432" s="269"/>
      <c r="E432" s="269"/>
      <c r="F432" s="269"/>
      <c r="G432" s="269"/>
      <c r="H432" s="269"/>
      <c r="I432" s="269"/>
      <c r="J432" s="269"/>
      <c r="K432" s="269"/>
      <c r="L432" s="269"/>
      <c r="M432" s="269"/>
      <c r="N432" s="269"/>
      <c r="O432" s="269"/>
      <c r="P432" s="269"/>
      <c r="Q432" s="269"/>
      <c r="R432" s="269"/>
      <c r="S432" s="269"/>
      <c r="T432" s="269"/>
      <c r="U432" s="269"/>
      <c r="V432" s="269"/>
      <c r="W432" s="269"/>
      <c r="X432" s="269"/>
      <c r="Y432" s="269"/>
      <c r="Z432" s="269"/>
    </row>
    <row r="433">
      <c r="A433" s="269"/>
      <c r="B433" s="269"/>
      <c r="C433" s="269"/>
      <c r="D433" s="269"/>
      <c r="E433" s="269"/>
      <c r="F433" s="269"/>
      <c r="G433" s="269"/>
      <c r="H433" s="269"/>
      <c r="I433" s="269"/>
      <c r="J433" s="269"/>
      <c r="K433" s="269"/>
      <c r="L433" s="269"/>
      <c r="M433" s="269"/>
      <c r="N433" s="269"/>
      <c r="O433" s="269"/>
      <c r="P433" s="269"/>
      <c r="Q433" s="269"/>
      <c r="R433" s="269"/>
      <c r="S433" s="269"/>
      <c r="T433" s="269"/>
      <c r="U433" s="269"/>
      <c r="V433" s="269"/>
      <c r="W433" s="269"/>
      <c r="X433" s="269"/>
      <c r="Y433" s="269"/>
      <c r="Z433" s="269"/>
    </row>
    <row r="434">
      <c r="A434" s="269"/>
      <c r="B434" s="269"/>
      <c r="C434" s="269"/>
      <c r="D434" s="269"/>
      <c r="E434" s="269"/>
      <c r="F434" s="269"/>
      <c r="G434" s="269"/>
      <c r="H434" s="269"/>
      <c r="I434" s="269"/>
      <c r="J434" s="269"/>
      <c r="K434" s="269"/>
      <c r="L434" s="269"/>
      <c r="M434" s="269"/>
      <c r="N434" s="269"/>
      <c r="O434" s="269"/>
      <c r="P434" s="269"/>
      <c r="Q434" s="269"/>
      <c r="R434" s="269"/>
      <c r="S434" s="269"/>
      <c r="T434" s="269"/>
      <c r="U434" s="269"/>
      <c r="V434" s="269"/>
      <c r="W434" s="269"/>
      <c r="X434" s="269"/>
      <c r="Y434" s="269"/>
      <c r="Z434" s="269"/>
    </row>
    <row r="435">
      <c r="A435" s="269"/>
      <c r="B435" s="269"/>
      <c r="C435" s="269"/>
      <c r="D435" s="269"/>
      <c r="E435" s="269"/>
      <c r="F435" s="269"/>
      <c r="G435" s="269"/>
      <c r="H435" s="269"/>
      <c r="I435" s="269"/>
      <c r="J435" s="269"/>
      <c r="K435" s="269"/>
      <c r="L435" s="269"/>
      <c r="M435" s="269"/>
      <c r="N435" s="269"/>
      <c r="O435" s="269"/>
      <c r="P435" s="269"/>
      <c r="Q435" s="269"/>
      <c r="R435" s="269"/>
      <c r="S435" s="269"/>
      <c r="T435" s="269"/>
      <c r="U435" s="269"/>
      <c r="V435" s="269"/>
      <c r="W435" s="269"/>
      <c r="X435" s="269"/>
      <c r="Y435" s="269"/>
      <c r="Z435" s="269"/>
    </row>
    <row r="436">
      <c r="A436" s="269"/>
      <c r="B436" s="269"/>
      <c r="C436" s="269"/>
      <c r="D436" s="269"/>
      <c r="E436" s="269"/>
      <c r="F436" s="269"/>
      <c r="G436" s="269"/>
      <c r="H436" s="269"/>
      <c r="I436" s="269"/>
      <c r="J436" s="269"/>
      <c r="K436" s="269"/>
      <c r="L436" s="269"/>
      <c r="M436" s="269"/>
      <c r="N436" s="269"/>
      <c r="O436" s="269"/>
      <c r="P436" s="269"/>
      <c r="Q436" s="269"/>
      <c r="R436" s="269"/>
      <c r="S436" s="269"/>
      <c r="T436" s="269"/>
      <c r="U436" s="269"/>
      <c r="V436" s="269"/>
      <c r="W436" s="269"/>
      <c r="X436" s="269"/>
      <c r="Y436" s="269"/>
      <c r="Z436" s="269"/>
    </row>
    <row r="437">
      <c r="A437" s="269"/>
      <c r="B437" s="269"/>
      <c r="C437" s="269"/>
      <c r="D437" s="269"/>
      <c r="E437" s="269"/>
      <c r="F437" s="269"/>
      <c r="G437" s="269"/>
      <c r="H437" s="269"/>
      <c r="I437" s="269"/>
      <c r="J437" s="269"/>
      <c r="K437" s="269"/>
      <c r="L437" s="269"/>
      <c r="M437" s="269"/>
      <c r="N437" s="269"/>
      <c r="O437" s="269"/>
      <c r="P437" s="269"/>
      <c r="Q437" s="269"/>
      <c r="R437" s="269"/>
      <c r="S437" s="269"/>
      <c r="T437" s="269"/>
      <c r="U437" s="269"/>
      <c r="V437" s="269"/>
      <c r="W437" s="269"/>
      <c r="X437" s="269"/>
      <c r="Y437" s="269"/>
      <c r="Z437" s="269"/>
    </row>
    <row r="438">
      <c r="A438" s="269"/>
      <c r="B438" s="269"/>
      <c r="C438" s="269"/>
      <c r="D438" s="269"/>
      <c r="E438" s="269"/>
      <c r="F438" s="269"/>
      <c r="G438" s="269"/>
      <c r="H438" s="269"/>
      <c r="I438" s="269"/>
      <c r="J438" s="269"/>
      <c r="K438" s="269"/>
      <c r="L438" s="269"/>
      <c r="M438" s="269"/>
      <c r="N438" s="269"/>
      <c r="O438" s="269"/>
      <c r="P438" s="269"/>
      <c r="Q438" s="269"/>
      <c r="R438" s="269"/>
      <c r="S438" s="269"/>
      <c r="T438" s="269"/>
      <c r="U438" s="269"/>
      <c r="V438" s="269"/>
      <c r="W438" s="269"/>
      <c r="X438" s="269"/>
      <c r="Y438" s="269"/>
      <c r="Z438" s="269"/>
    </row>
    <row r="439">
      <c r="A439" s="269"/>
      <c r="B439" s="269"/>
      <c r="C439" s="269"/>
      <c r="D439" s="269"/>
      <c r="E439" s="269"/>
      <c r="F439" s="269"/>
      <c r="G439" s="269"/>
      <c r="H439" s="269"/>
      <c r="I439" s="269"/>
      <c r="J439" s="269"/>
      <c r="K439" s="269"/>
      <c r="L439" s="269"/>
      <c r="M439" s="269"/>
      <c r="N439" s="269"/>
      <c r="O439" s="269"/>
      <c r="P439" s="269"/>
      <c r="Q439" s="269"/>
      <c r="R439" s="269"/>
      <c r="S439" s="269"/>
      <c r="T439" s="269"/>
      <c r="U439" s="269"/>
      <c r="V439" s="269"/>
      <c r="W439" s="269"/>
      <c r="X439" s="269"/>
      <c r="Y439" s="269"/>
      <c r="Z439" s="269"/>
    </row>
    <row r="440">
      <c r="A440" s="269"/>
      <c r="B440" s="269"/>
      <c r="C440" s="269"/>
      <c r="D440" s="269"/>
      <c r="E440" s="269"/>
      <c r="F440" s="269"/>
      <c r="G440" s="269"/>
      <c r="H440" s="269"/>
      <c r="I440" s="269"/>
      <c r="J440" s="269"/>
      <c r="K440" s="269"/>
      <c r="L440" s="269"/>
      <c r="M440" s="269"/>
      <c r="N440" s="269"/>
      <c r="O440" s="269"/>
      <c r="P440" s="269"/>
      <c r="Q440" s="269"/>
      <c r="R440" s="269"/>
      <c r="S440" s="269"/>
      <c r="T440" s="269"/>
      <c r="U440" s="269"/>
      <c r="V440" s="269"/>
      <c r="W440" s="269"/>
      <c r="X440" s="269"/>
      <c r="Y440" s="269"/>
      <c r="Z440" s="269"/>
    </row>
    <row r="441">
      <c r="A441" s="269"/>
      <c r="B441" s="269"/>
      <c r="C441" s="269"/>
      <c r="D441" s="269"/>
      <c r="E441" s="269"/>
      <c r="F441" s="269"/>
      <c r="G441" s="269"/>
      <c r="H441" s="269"/>
      <c r="I441" s="269"/>
      <c r="J441" s="269"/>
      <c r="K441" s="269"/>
      <c r="L441" s="269"/>
      <c r="M441" s="269"/>
      <c r="N441" s="269"/>
      <c r="O441" s="269"/>
      <c r="P441" s="269"/>
      <c r="Q441" s="269"/>
      <c r="R441" s="269"/>
      <c r="S441" s="269"/>
      <c r="T441" s="269"/>
      <c r="U441" s="269"/>
      <c r="V441" s="269"/>
      <c r="W441" s="269"/>
      <c r="X441" s="269"/>
      <c r="Y441" s="269"/>
      <c r="Z441" s="269"/>
    </row>
    <row r="442">
      <c r="A442" s="269"/>
      <c r="B442" s="269"/>
      <c r="C442" s="269"/>
      <c r="D442" s="269"/>
      <c r="E442" s="269"/>
      <c r="F442" s="269"/>
      <c r="G442" s="269"/>
      <c r="H442" s="269"/>
      <c r="I442" s="269"/>
      <c r="J442" s="269"/>
      <c r="K442" s="269"/>
      <c r="L442" s="269"/>
      <c r="M442" s="269"/>
      <c r="N442" s="269"/>
      <c r="O442" s="269"/>
      <c r="P442" s="269"/>
      <c r="Q442" s="269"/>
      <c r="R442" s="269"/>
      <c r="S442" s="269"/>
      <c r="T442" s="269"/>
      <c r="U442" s="269"/>
      <c r="V442" s="269"/>
      <c r="W442" s="269"/>
      <c r="X442" s="269"/>
      <c r="Y442" s="269"/>
      <c r="Z442" s="269"/>
    </row>
    <row r="443">
      <c r="A443" s="269"/>
      <c r="B443" s="269"/>
      <c r="C443" s="269"/>
      <c r="D443" s="269"/>
      <c r="E443" s="269"/>
      <c r="F443" s="269"/>
      <c r="G443" s="269"/>
      <c r="H443" s="269"/>
      <c r="I443" s="269"/>
      <c r="J443" s="269"/>
      <c r="K443" s="269"/>
      <c r="L443" s="269"/>
      <c r="M443" s="269"/>
      <c r="N443" s="269"/>
      <c r="O443" s="269"/>
      <c r="P443" s="269"/>
      <c r="Q443" s="269"/>
      <c r="R443" s="269"/>
      <c r="S443" s="269"/>
      <c r="T443" s="269"/>
      <c r="U443" s="269"/>
      <c r="V443" s="269"/>
      <c r="W443" s="269"/>
      <c r="X443" s="269"/>
      <c r="Y443" s="269"/>
      <c r="Z443" s="269"/>
    </row>
    <row r="444">
      <c r="A444" s="269"/>
      <c r="B444" s="269"/>
      <c r="C444" s="269"/>
      <c r="D444" s="269"/>
      <c r="E444" s="269"/>
      <c r="F444" s="269"/>
      <c r="G444" s="269"/>
      <c r="H444" s="269"/>
      <c r="I444" s="269"/>
      <c r="J444" s="269"/>
      <c r="K444" s="269"/>
      <c r="L444" s="269"/>
      <c r="M444" s="269"/>
      <c r="N444" s="269"/>
      <c r="O444" s="269"/>
      <c r="P444" s="269"/>
      <c r="Q444" s="269"/>
      <c r="R444" s="269"/>
      <c r="S444" s="269"/>
      <c r="T444" s="269"/>
      <c r="U444" s="269"/>
      <c r="V444" s="269"/>
      <c r="W444" s="269"/>
      <c r="X444" s="269"/>
      <c r="Y444" s="269"/>
      <c r="Z444" s="269"/>
    </row>
    <row r="445">
      <c r="A445" s="269"/>
      <c r="B445" s="269"/>
      <c r="C445" s="269"/>
      <c r="D445" s="269"/>
      <c r="E445" s="269"/>
      <c r="F445" s="269"/>
      <c r="G445" s="269"/>
      <c r="H445" s="269"/>
      <c r="I445" s="269"/>
      <c r="J445" s="269"/>
      <c r="K445" s="269"/>
      <c r="L445" s="269"/>
      <c r="M445" s="269"/>
      <c r="N445" s="269"/>
      <c r="O445" s="269"/>
      <c r="P445" s="269"/>
      <c r="Q445" s="269"/>
      <c r="R445" s="269"/>
      <c r="S445" s="269"/>
      <c r="T445" s="269"/>
      <c r="U445" s="269"/>
      <c r="V445" s="269"/>
      <c r="W445" s="269"/>
      <c r="X445" s="269"/>
      <c r="Y445" s="269"/>
      <c r="Z445" s="269"/>
    </row>
    <row r="446">
      <c r="A446" s="269"/>
      <c r="B446" s="269"/>
      <c r="C446" s="269"/>
      <c r="D446" s="269"/>
      <c r="E446" s="269"/>
      <c r="F446" s="269"/>
      <c r="G446" s="269"/>
      <c r="H446" s="269"/>
      <c r="I446" s="269"/>
      <c r="J446" s="269"/>
      <c r="K446" s="269"/>
      <c r="L446" s="269"/>
      <c r="M446" s="269"/>
      <c r="N446" s="269"/>
      <c r="O446" s="269"/>
      <c r="P446" s="269"/>
      <c r="Q446" s="269"/>
      <c r="R446" s="269"/>
      <c r="S446" s="269"/>
      <c r="T446" s="269"/>
      <c r="U446" s="269"/>
      <c r="V446" s="269"/>
      <c r="W446" s="269"/>
      <c r="X446" s="269"/>
      <c r="Y446" s="269"/>
      <c r="Z446" s="269"/>
    </row>
    <row r="447">
      <c r="A447" s="269"/>
      <c r="B447" s="269"/>
      <c r="C447" s="269"/>
      <c r="D447" s="269"/>
      <c r="E447" s="269"/>
      <c r="F447" s="269"/>
      <c r="G447" s="269"/>
      <c r="H447" s="269"/>
      <c r="I447" s="269"/>
      <c r="J447" s="269"/>
      <c r="K447" s="269"/>
      <c r="L447" s="269"/>
      <c r="M447" s="269"/>
      <c r="N447" s="269"/>
      <c r="O447" s="269"/>
      <c r="P447" s="269"/>
      <c r="Q447" s="269"/>
      <c r="R447" s="269"/>
      <c r="S447" s="269"/>
      <c r="T447" s="269"/>
      <c r="U447" s="269"/>
      <c r="V447" s="269"/>
      <c r="W447" s="269"/>
      <c r="X447" s="269"/>
      <c r="Y447" s="269"/>
      <c r="Z447" s="269"/>
    </row>
    <row r="448">
      <c r="A448" s="269"/>
      <c r="B448" s="269"/>
      <c r="C448" s="269"/>
      <c r="D448" s="269"/>
      <c r="E448" s="269"/>
      <c r="F448" s="269"/>
      <c r="G448" s="269"/>
      <c r="H448" s="269"/>
      <c r="I448" s="269"/>
      <c r="J448" s="269"/>
      <c r="K448" s="269"/>
      <c r="L448" s="269"/>
      <c r="M448" s="269"/>
      <c r="N448" s="269"/>
      <c r="O448" s="269"/>
      <c r="P448" s="269"/>
      <c r="Q448" s="269"/>
      <c r="R448" s="269"/>
      <c r="S448" s="269"/>
      <c r="T448" s="269"/>
      <c r="U448" s="269"/>
      <c r="V448" s="269"/>
      <c r="W448" s="269"/>
      <c r="X448" s="269"/>
      <c r="Y448" s="269"/>
      <c r="Z448" s="269"/>
    </row>
    <row r="449">
      <c r="A449" s="269"/>
      <c r="B449" s="269"/>
      <c r="C449" s="269"/>
      <c r="D449" s="269"/>
      <c r="E449" s="269"/>
      <c r="F449" s="269"/>
      <c r="G449" s="269"/>
      <c r="H449" s="269"/>
      <c r="I449" s="269"/>
      <c r="J449" s="269"/>
      <c r="K449" s="269"/>
      <c r="L449" s="269"/>
      <c r="M449" s="269"/>
      <c r="N449" s="269"/>
      <c r="O449" s="269"/>
      <c r="P449" s="269"/>
      <c r="Q449" s="269"/>
      <c r="R449" s="269"/>
      <c r="S449" s="269"/>
      <c r="T449" s="269"/>
      <c r="U449" s="269"/>
      <c r="V449" s="269"/>
      <c r="W449" s="269"/>
      <c r="X449" s="269"/>
      <c r="Y449" s="269"/>
      <c r="Z449" s="269"/>
    </row>
    <row r="450">
      <c r="A450" s="269"/>
      <c r="B450" s="269"/>
      <c r="C450" s="269"/>
      <c r="D450" s="269"/>
      <c r="E450" s="269"/>
      <c r="F450" s="269"/>
      <c r="G450" s="269"/>
      <c r="H450" s="269"/>
      <c r="I450" s="269"/>
      <c r="J450" s="269"/>
      <c r="K450" s="269"/>
      <c r="L450" s="269"/>
      <c r="M450" s="269"/>
      <c r="N450" s="269"/>
      <c r="O450" s="269"/>
      <c r="P450" s="269"/>
      <c r="Q450" s="269"/>
      <c r="R450" s="269"/>
      <c r="S450" s="269"/>
      <c r="T450" s="269"/>
      <c r="U450" s="269"/>
      <c r="V450" s="269"/>
      <c r="W450" s="269"/>
      <c r="X450" s="269"/>
      <c r="Y450" s="269"/>
      <c r="Z450" s="269"/>
    </row>
    <row r="451">
      <c r="A451" s="269"/>
      <c r="B451" s="269"/>
      <c r="C451" s="269"/>
      <c r="D451" s="269"/>
      <c r="E451" s="269"/>
      <c r="F451" s="269"/>
      <c r="G451" s="269"/>
      <c r="H451" s="269"/>
      <c r="I451" s="269"/>
      <c r="J451" s="269"/>
      <c r="K451" s="269"/>
      <c r="L451" s="269"/>
      <c r="M451" s="269"/>
      <c r="N451" s="269"/>
      <c r="O451" s="269"/>
      <c r="P451" s="269"/>
      <c r="Q451" s="269"/>
      <c r="R451" s="269"/>
      <c r="S451" s="269"/>
      <c r="T451" s="269"/>
      <c r="U451" s="269"/>
      <c r="V451" s="269"/>
      <c r="W451" s="269"/>
      <c r="X451" s="269"/>
      <c r="Y451" s="269"/>
      <c r="Z451" s="269"/>
    </row>
    <row r="452">
      <c r="A452" s="269"/>
      <c r="B452" s="269"/>
      <c r="C452" s="269"/>
      <c r="D452" s="269"/>
      <c r="E452" s="269"/>
      <c r="F452" s="269"/>
      <c r="G452" s="269"/>
      <c r="H452" s="269"/>
      <c r="I452" s="269"/>
      <c r="J452" s="269"/>
      <c r="K452" s="269"/>
      <c r="L452" s="269"/>
      <c r="M452" s="269"/>
      <c r="N452" s="269"/>
      <c r="O452" s="269"/>
      <c r="P452" s="269"/>
      <c r="Q452" s="269"/>
      <c r="R452" s="269"/>
      <c r="S452" s="269"/>
      <c r="T452" s="269"/>
      <c r="U452" s="269"/>
      <c r="V452" s="269"/>
      <c r="W452" s="269"/>
      <c r="X452" s="269"/>
      <c r="Y452" s="269"/>
      <c r="Z452" s="269"/>
    </row>
    <row r="453">
      <c r="A453" s="269"/>
      <c r="B453" s="269"/>
      <c r="C453" s="269"/>
      <c r="D453" s="269"/>
      <c r="E453" s="269"/>
      <c r="F453" s="269"/>
      <c r="G453" s="269"/>
      <c r="H453" s="269"/>
      <c r="I453" s="269"/>
      <c r="J453" s="269"/>
      <c r="K453" s="269"/>
      <c r="L453" s="269"/>
      <c r="M453" s="269"/>
      <c r="N453" s="269"/>
      <c r="O453" s="269"/>
      <c r="P453" s="269"/>
      <c r="Q453" s="269"/>
      <c r="R453" s="269"/>
      <c r="S453" s="269"/>
      <c r="T453" s="269"/>
      <c r="U453" s="269"/>
      <c r="V453" s="269"/>
      <c r="W453" s="269"/>
      <c r="X453" s="269"/>
      <c r="Y453" s="269"/>
      <c r="Z453" s="269"/>
    </row>
    <row r="454">
      <c r="A454" s="269"/>
      <c r="B454" s="269"/>
      <c r="C454" s="269"/>
      <c r="D454" s="269"/>
      <c r="E454" s="269"/>
      <c r="F454" s="269"/>
      <c r="G454" s="269"/>
      <c r="H454" s="269"/>
      <c r="I454" s="269"/>
      <c r="J454" s="269"/>
      <c r="K454" s="269"/>
      <c r="L454" s="269"/>
      <c r="M454" s="269"/>
      <c r="N454" s="269"/>
      <c r="O454" s="269"/>
      <c r="P454" s="269"/>
      <c r="Q454" s="269"/>
      <c r="R454" s="269"/>
      <c r="S454" s="269"/>
      <c r="T454" s="269"/>
      <c r="U454" s="269"/>
      <c r="V454" s="269"/>
      <c r="W454" s="269"/>
      <c r="X454" s="269"/>
      <c r="Y454" s="269"/>
      <c r="Z454" s="269"/>
    </row>
    <row r="455">
      <c r="A455" s="269"/>
      <c r="B455" s="269"/>
      <c r="C455" s="269"/>
      <c r="D455" s="269"/>
      <c r="E455" s="269"/>
      <c r="F455" s="269"/>
      <c r="G455" s="269"/>
      <c r="H455" s="269"/>
      <c r="I455" s="269"/>
      <c r="J455" s="269"/>
      <c r="K455" s="269"/>
      <c r="L455" s="269"/>
      <c r="M455" s="269"/>
      <c r="N455" s="269"/>
      <c r="O455" s="269"/>
      <c r="P455" s="269"/>
      <c r="Q455" s="269"/>
      <c r="R455" s="269"/>
      <c r="S455" s="269"/>
      <c r="T455" s="269"/>
      <c r="U455" s="269"/>
      <c r="V455" s="269"/>
      <c r="W455" s="269"/>
      <c r="X455" s="269"/>
      <c r="Y455" s="269"/>
      <c r="Z455" s="269"/>
    </row>
    <row r="456">
      <c r="A456" s="269"/>
      <c r="B456" s="269"/>
      <c r="C456" s="269"/>
      <c r="D456" s="269"/>
      <c r="E456" s="269"/>
      <c r="F456" s="269"/>
      <c r="G456" s="269"/>
      <c r="H456" s="269"/>
      <c r="I456" s="269"/>
      <c r="J456" s="269"/>
      <c r="K456" s="269"/>
      <c r="L456" s="269"/>
      <c r="M456" s="269"/>
      <c r="N456" s="269"/>
      <c r="O456" s="269"/>
      <c r="P456" s="269"/>
      <c r="Q456" s="269"/>
      <c r="R456" s="269"/>
      <c r="S456" s="269"/>
      <c r="T456" s="269"/>
      <c r="U456" s="269"/>
      <c r="V456" s="269"/>
      <c r="W456" s="269"/>
      <c r="X456" s="269"/>
      <c r="Y456" s="269"/>
      <c r="Z456" s="269"/>
    </row>
    <row r="457">
      <c r="A457" s="269"/>
      <c r="B457" s="269"/>
      <c r="C457" s="269"/>
      <c r="D457" s="269"/>
      <c r="E457" s="269"/>
      <c r="F457" s="269"/>
      <c r="G457" s="269"/>
      <c r="H457" s="269"/>
      <c r="I457" s="269"/>
      <c r="J457" s="269"/>
      <c r="K457" s="269"/>
      <c r="L457" s="269"/>
      <c r="M457" s="269"/>
      <c r="N457" s="269"/>
      <c r="O457" s="269"/>
      <c r="P457" s="269"/>
      <c r="Q457" s="269"/>
      <c r="R457" s="269"/>
      <c r="S457" s="269"/>
      <c r="T457" s="269"/>
      <c r="U457" s="269"/>
      <c r="V457" s="269"/>
      <c r="W457" s="269"/>
      <c r="X457" s="269"/>
      <c r="Y457" s="269"/>
      <c r="Z457" s="269"/>
    </row>
    <row r="458">
      <c r="A458" s="269"/>
      <c r="B458" s="269"/>
      <c r="C458" s="269"/>
      <c r="D458" s="269"/>
      <c r="E458" s="269"/>
      <c r="F458" s="269"/>
      <c r="G458" s="269"/>
      <c r="H458" s="269"/>
      <c r="I458" s="269"/>
      <c r="J458" s="269"/>
      <c r="K458" s="269"/>
      <c r="L458" s="269"/>
      <c r="M458" s="269"/>
      <c r="N458" s="269"/>
      <c r="O458" s="269"/>
      <c r="P458" s="269"/>
      <c r="Q458" s="269"/>
      <c r="R458" s="269"/>
      <c r="S458" s="269"/>
      <c r="T458" s="269"/>
      <c r="U458" s="269"/>
      <c r="V458" s="269"/>
      <c r="W458" s="269"/>
      <c r="X458" s="269"/>
      <c r="Y458" s="269"/>
      <c r="Z458" s="269"/>
    </row>
    <row r="459">
      <c r="A459" s="269"/>
      <c r="B459" s="269"/>
      <c r="C459" s="269"/>
      <c r="D459" s="269"/>
      <c r="E459" s="269"/>
      <c r="F459" s="269"/>
      <c r="G459" s="269"/>
      <c r="H459" s="269"/>
      <c r="I459" s="269"/>
      <c r="J459" s="269"/>
      <c r="K459" s="269"/>
      <c r="L459" s="269"/>
      <c r="M459" s="269"/>
      <c r="N459" s="269"/>
      <c r="O459" s="269"/>
      <c r="P459" s="269"/>
      <c r="Q459" s="269"/>
      <c r="R459" s="269"/>
      <c r="S459" s="269"/>
      <c r="T459" s="269"/>
      <c r="U459" s="269"/>
      <c r="V459" s="269"/>
      <c r="W459" s="269"/>
      <c r="X459" s="269"/>
      <c r="Y459" s="269"/>
      <c r="Z459" s="269"/>
    </row>
    <row r="460">
      <c r="A460" s="269"/>
      <c r="B460" s="269"/>
      <c r="C460" s="269"/>
      <c r="D460" s="269"/>
      <c r="E460" s="269"/>
      <c r="F460" s="269"/>
      <c r="G460" s="269"/>
      <c r="H460" s="269"/>
      <c r="I460" s="269"/>
      <c r="J460" s="269"/>
      <c r="K460" s="269"/>
      <c r="L460" s="269"/>
      <c r="M460" s="269"/>
      <c r="N460" s="269"/>
      <c r="O460" s="269"/>
      <c r="P460" s="269"/>
      <c r="Q460" s="269"/>
      <c r="R460" s="269"/>
      <c r="S460" s="269"/>
      <c r="T460" s="269"/>
      <c r="U460" s="269"/>
      <c r="V460" s="269"/>
      <c r="W460" s="269"/>
      <c r="X460" s="269"/>
      <c r="Y460" s="269"/>
      <c r="Z460" s="269"/>
    </row>
    <row r="461">
      <c r="A461" s="269"/>
      <c r="B461" s="269"/>
      <c r="C461" s="269"/>
      <c r="D461" s="269"/>
      <c r="E461" s="269"/>
      <c r="F461" s="269"/>
      <c r="G461" s="269"/>
      <c r="H461" s="269"/>
      <c r="I461" s="269"/>
      <c r="J461" s="269"/>
      <c r="K461" s="269"/>
      <c r="L461" s="269"/>
      <c r="M461" s="269"/>
      <c r="N461" s="269"/>
      <c r="O461" s="269"/>
      <c r="P461" s="269"/>
      <c r="Q461" s="269"/>
      <c r="R461" s="269"/>
      <c r="S461" s="269"/>
      <c r="T461" s="269"/>
      <c r="U461" s="269"/>
      <c r="V461" s="269"/>
      <c r="W461" s="269"/>
      <c r="X461" s="269"/>
      <c r="Y461" s="269"/>
      <c r="Z461" s="269"/>
    </row>
    <row r="462">
      <c r="A462" s="269"/>
      <c r="B462" s="269"/>
      <c r="C462" s="269"/>
      <c r="D462" s="269"/>
      <c r="E462" s="269"/>
      <c r="F462" s="269"/>
      <c r="G462" s="269"/>
      <c r="H462" s="269"/>
      <c r="I462" s="269"/>
      <c r="J462" s="269"/>
      <c r="K462" s="269"/>
      <c r="L462" s="269"/>
      <c r="M462" s="269"/>
      <c r="N462" s="269"/>
      <c r="O462" s="269"/>
      <c r="P462" s="269"/>
      <c r="Q462" s="269"/>
      <c r="R462" s="269"/>
      <c r="S462" s="269"/>
      <c r="T462" s="269"/>
      <c r="U462" s="269"/>
      <c r="V462" s="269"/>
      <c r="W462" s="269"/>
      <c r="X462" s="269"/>
      <c r="Y462" s="269"/>
      <c r="Z462" s="269"/>
    </row>
    <row r="463">
      <c r="A463" s="269"/>
      <c r="B463" s="269"/>
      <c r="C463" s="269"/>
      <c r="D463" s="269"/>
      <c r="E463" s="269"/>
      <c r="F463" s="269"/>
      <c r="G463" s="269"/>
      <c r="H463" s="269"/>
      <c r="I463" s="269"/>
      <c r="J463" s="269"/>
      <c r="K463" s="269"/>
      <c r="L463" s="269"/>
      <c r="M463" s="269"/>
      <c r="N463" s="269"/>
      <c r="O463" s="269"/>
      <c r="P463" s="269"/>
      <c r="Q463" s="269"/>
      <c r="R463" s="269"/>
      <c r="S463" s="269"/>
      <c r="T463" s="269"/>
      <c r="U463" s="269"/>
      <c r="V463" s="269"/>
      <c r="W463" s="269"/>
      <c r="X463" s="269"/>
      <c r="Y463" s="269"/>
      <c r="Z463" s="269"/>
    </row>
    <row r="464">
      <c r="A464" s="269"/>
      <c r="B464" s="269"/>
      <c r="C464" s="269"/>
      <c r="D464" s="269"/>
      <c r="E464" s="269"/>
      <c r="F464" s="269"/>
      <c r="G464" s="269"/>
      <c r="H464" s="269"/>
      <c r="I464" s="269"/>
      <c r="J464" s="269"/>
      <c r="K464" s="269"/>
      <c r="L464" s="269"/>
      <c r="M464" s="269"/>
      <c r="N464" s="269"/>
      <c r="O464" s="269"/>
      <c r="P464" s="269"/>
      <c r="Q464" s="269"/>
      <c r="R464" s="269"/>
      <c r="S464" s="269"/>
      <c r="T464" s="269"/>
      <c r="U464" s="269"/>
      <c r="V464" s="269"/>
      <c r="W464" s="269"/>
      <c r="X464" s="269"/>
      <c r="Y464" s="269"/>
      <c r="Z464" s="269"/>
    </row>
    <row r="465">
      <c r="A465" s="269"/>
      <c r="B465" s="269"/>
      <c r="C465" s="269"/>
      <c r="D465" s="269"/>
      <c r="E465" s="269"/>
      <c r="F465" s="269"/>
      <c r="G465" s="269"/>
      <c r="H465" s="269"/>
      <c r="I465" s="269"/>
      <c r="J465" s="269"/>
      <c r="K465" s="269"/>
      <c r="L465" s="269"/>
      <c r="M465" s="269"/>
      <c r="N465" s="269"/>
      <c r="O465" s="269"/>
      <c r="P465" s="269"/>
      <c r="Q465" s="269"/>
      <c r="R465" s="269"/>
      <c r="S465" s="269"/>
      <c r="T465" s="269"/>
      <c r="U465" s="269"/>
      <c r="V465" s="269"/>
      <c r="W465" s="269"/>
      <c r="X465" s="269"/>
      <c r="Y465" s="269"/>
      <c r="Z465" s="269"/>
    </row>
    <row r="466">
      <c r="A466" s="269"/>
      <c r="B466" s="269"/>
      <c r="C466" s="269"/>
      <c r="D466" s="269"/>
      <c r="E466" s="269"/>
      <c r="F466" s="269"/>
      <c r="G466" s="269"/>
      <c r="H466" s="269"/>
      <c r="I466" s="269"/>
      <c r="J466" s="269"/>
      <c r="K466" s="269"/>
      <c r="L466" s="269"/>
      <c r="M466" s="269"/>
      <c r="N466" s="269"/>
      <c r="O466" s="269"/>
      <c r="P466" s="269"/>
      <c r="Q466" s="269"/>
      <c r="R466" s="269"/>
      <c r="S466" s="269"/>
      <c r="T466" s="269"/>
      <c r="U466" s="269"/>
      <c r="V466" s="269"/>
      <c r="W466" s="269"/>
      <c r="X466" s="269"/>
      <c r="Y466" s="269"/>
      <c r="Z466" s="269"/>
    </row>
    <row r="467">
      <c r="A467" s="269"/>
      <c r="B467" s="269"/>
      <c r="C467" s="269"/>
      <c r="D467" s="269"/>
      <c r="E467" s="269"/>
      <c r="F467" s="269"/>
      <c r="G467" s="269"/>
      <c r="H467" s="269"/>
      <c r="I467" s="269"/>
      <c r="J467" s="269"/>
      <c r="K467" s="269"/>
      <c r="L467" s="269"/>
      <c r="M467" s="269"/>
      <c r="N467" s="269"/>
      <c r="O467" s="269"/>
      <c r="P467" s="269"/>
      <c r="Q467" s="269"/>
      <c r="R467" s="269"/>
      <c r="S467" s="269"/>
      <c r="T467" s="269"/>
      <c r="U467" s="269"/>
      <c r="V467" s="269"/>
      <c r="W467" s="269"/>
      <c r="X467" s="269"/>
      <c r="Y467" s="269"/>
      <c r="Z467" s="269"/>
    </row>
    <row r="468">
      <c r="A468" s="269"/>
      <c r="B468" s="269"/>
      <c r="C468" s="269"/>
      <c r="D468" s="269"/>
      <c r="E468" s="269"/>
      <c r="F468" s="269"/>
      <c r="G468" s="269"/>
      <c r="H468" s="269"/>
      <c r="I468" s="269"/>
      <c r="J468" s="269"/>
      <c r="K468" s="269"/>
      <c r="L468" s="269"/>
      <c r="M468" s="269"/>
      <c r="N468" s="269"/>
      <c r="O468" s="269"/>
      <c r="P468" s="269"/>
      <c r="Q468" s="269"/>
      <c r="R468" s="269"/>
      <c r="S468" s="269"/>
      <c r="T468" s="269"/>
      <c r="U468" s="269"/>
      <c r="V468" s="269"/>
      <c r="W468" s="269"/>
      <c r="X468" s="269"/>
      <c r="Y468" s="269"/>
      <c r="Z468" s="269"/>
    </row>
    <row r="469">
      <c r="A469" s="269"/>
      <c r="B469" s="269"/>
      <c r="C469" s="269"/>
      <c r="D469" s="269"/>
      <c r="E469" s="269"/>
      <c r="F469" s="269"/>
      <c r="G469" s="269"/>
      <c r="H469" s="269"/>
      <c r="I469" s="269"/>
      <c r="J469" s="269"/>
      <c r="K469" s="269"/>
      <c r="L469" s="269"/>
      <c r="M469" s="269"/>
      <c r="N469" s="269"/>
      <c r="O469" s="269"/>
      <c r="P469" s="269"/>
      <c r="Q469" s="269"/>
      <c r="R469" s="269"/>
      <c r="S469" s="269"/>
      <c r="T469" s="269"/>
      <c r="U469" s="269"/>
      <c r="V469" s="269"/>
      <c r="W469" s="269"/>
      <c r="X469" s="269"/>
      <c r="Y469" s="269"/>
      <c r="Z469" s="269"/>
    </row>
    <row r="470">
      <c r="A470" s="269"/>
      <c r="B470" s="269"/>
      <c r="C470" s="269"/>
      <c r="D470" s="269"/>
      <c r="E470" s="269"/>
      <c r="F470" s="269"/>
      <c r="G470" s="269"/>
      <c r="H470" s="269"/>
      <c r="I470" s="269"/>
      <c r="J470" s="269"/>
      <c r="K470" s="269"/>
      <c r="L470" s="269"/>
      <c r="M470" s="269"/>
      <c r="N470" s="269"/>
      <c r="O470" s="269"/>
      <c r="P470" s="269"/>
      <c r="Q470" s="269"/>
      <c r="R470" s="269"/>
      <c r="S470" s="269"/>
      <c r="T470" s="269"/>
      <c r="U470" s="269"/>
      <c r="V470" s="269"/>
      <c r="W470" s="269"/>
      <c r="X470" s="269"/>
      <c r="Y470" s="269"/>
      <c r="Z470" s="269"/>
    </row>
    <row r="471">
      <c r="A471" s="269"/>
      <c r="B471" s="269"/>
      <c r="C471" s="269"/>
      <c r="D471" s="269"/>
      <c r="E471" s="269"/>
      <c r="F471" s="269"/>
      <c r="G471" s="269"/>
      <c r="H471" s="269"/>
      <c r="I471" s="269"/>
      <c r="J471" s="269"/>
      <c r="K471" s="269"/>
      <c r="L471" s="269"/>
      <c r="M471" s="269"/>
      <c r="N471" s="269"/>
      <c r="O471" s="269"/>
      <c r="P471" s="269"/>
      <c r="Q471" s="269"/>
      <c r="R471" s="269"/>
      <c r="S471" s="269"/>
      <c r="T471" s="269"/>
      <c r="U471" s="269"/>
      <c r="V471" s="269"/>
      <c r="W471" s="269"/>
      <c r="X471" s="269"/>
      <c r="Y471" s="269"/>
      <c r="Z471" s="269"/>
    </row>
    <row r="472">
      <c r="A472" s="269"/>
      <c r="B472" s="269"/>
      <c r="C472" s="269"/>
      <c r="D472" s="269"/>
      <c r="E472" s="269"/>
      <c r="F472" s="269"/>
      <c r="G472" s="269"/>
      <c r="H472" s="269"/>
      <c r="I472" s="269"/>
      <c r="J472" s="269"/>
      <c r="K472" s="269"/>
      <c r="L472" s="269"/>
      <c r="M472" s="269"/>
      <c r="N472" s="269"/>
      <c r="O472" s="269"/>
      <c r="P472" s="269"/>
      <c r="Q472" s="269"/>
      <c r="R472" s="269"/>
      <c r="S472" s="269"/>
      <c r="T472" s="269"/>
      <c r="U472" s="269"/>
      <c r="V472" s="269"/>
      <c r="W472" s="269"/>
      <c r="X472" s="269"/>
      <c r="Y472" s="269"/>
      <c r="Z472" s="269"/>
    </row>
    <row r="473">
      <c r="A473" s="269"/>
      <c r="B473" s="269"/>
      <c r="C473" s="269"/>
      <c r="D473" s="269"/>
      <c r="E473" s="269"/>
      <c r="F473" s="269"/>
      <c r="G473" s="269"/>
      <c r="H473" s="269"/>
      <c r="I473" s="269"/>
      <c r="J473" s="269"/>
      <c r="K473" s="269"/>
      <c r="L473" s="269"/>
      <c r="M473" s="269"/>
      <c r="N473" s="269"/>
      <c r="O473" s="269"/>
      <c r="P473" s="269"/>
      <c r="Q473" s="269"/>
      <c r="R473" s="269"/>
      <c r="S473" s="269"/>
      <c r="T473" s="269"/>
      <c r="U473" s="269"/>
      <c r="V473" s="269"/>
      <c r="W473" s="269"/>
      <c r="X473" s="269"/>
      <c r="Y473" s="269"/>
      <c r="Z473" s="269"/>
    </row>
    <row r="474">
      <c r="A474" s="269"/>
      <c r="B474" s="269"/>
      <c r="C474" s="269"/>
      <c r="D474" s="269"/>
      <c r="E474" s="269"/>
      <c r="F474" s="269"/>
      <c r="G474" s="269"/>
      <c r="H474" s="269"/>
      <c r="I474" s="269"/>
      <c r="J474" s="269"/>
      <c r="K474" s="269"/>
      <c r="L474" s="269"/>
      <c r="M474" s="269"/>
      <c r="N474" s="269"/>
      <c r="O474" s="269"/>
      <c r="P474" s="269"/>
      <c r="Q474" s="269"/>
      <c r="R474" s="269"/>
      <c r="S474" s="269"/>
      <c r="T474" s="269"/>
      <c r="U474" s="269"/>
      <c r="V474" s="269"/>
      <c r="W474" s="269"/>
      <c r="X474" s="269"/>
      <c r="Y474" s="269"/>
      <c r="Z474" s="269"/>
    </row>
    <row r="475">
      <c r="A475" s="269"/>
      <c r="B475" s="269"/>
      <c r="C475" s="269"/>
      <c r="D475" s="269"/>
      <c r="E475" s="269"/>
      <c r="F475" s="269"/>
      <c r="G475" s="269"/>
      <c r="H475" s="269"/>
      <c r="I475" s="269"/>
      <c r="J475" s="269"/>
      <c r="K475" s="269"/>
      <c r="L475" s="269"/>
      <c r="M475" s="269"/>
      <c r="N475" s="269"/>
      <c r="O475" s="269"/>
      <c r="P475" s="269"/>
      <c r="Q475" s="269"/>
      <c r="R475" s="269"/>
      <c r="S475" s="269"/>
      <c r="T475" s="269"/>
      <c r="U475" s="269"/>
      <c r="V475" s="269"/>
      <c r="W475" s="269"/>
      <c r="X475" s="269"/>
      <c r="Y475" s="269"/>
      <c r="Z475" s="269"/>
    </row>
    <row r="476">
      <c r="A476" s="269"/>
      <c r="B476" s="269"/>
      <c r="C476" s="269"/>
      <c r="D476" s="269"/>
      <c r="E476" s="269"/>
      <c r="F476" s="269"/>
      <c r="G476" s="269"/>
      <c r="H476" s="269"/>
      <c r="I476" s="269"/>
      <c r="J476" s="269"/>
      <c r="K476" s="269"/>
      <c r="L476" s="269"/>
      <c r="M476" s="269"/>
      <c r="N476" s="269"/>
      <c r="O476" s="269"/>
      <c r="P476" s="269"/>
      <c r="Q476" s="269"/>
      <c r="R476" s="269"/>
      <c r="S476" s="269"/>
      <c r="T476" s="269"/>
      <c r="U476" s="269"/>
      <c r="V476" s="269"/>
      <c r="W476" s="269"/>
      <c r="X476" s="269"/>
      <c r="Y476" s="269"/>
      <c r="Z476" s="269"/>
    </row>
    <row r="477">
      <c r="A477" s="269"/>
      <c r="B477" s="269"/>
      <c r="C477" s="269"/>
      <c r="D477" s="269"/>
      <c r="E477" s="269"/>
      <c r="F477" s="269"/>
      <c r="G477" s="269"/>
      <c r="H477" s="269"/>
      <c r="I477" s="269"/>
      <c r="J477" s="269"/>
      <c r="K477" s="269"/>
      <c r="L477" s="269"/>
      <c r="M477" s="269"/>
      <c r="N477" s="269"/>
      <c r="O477" s="269"/>
      <c r="P477" s="269"/>
      <c r="Q477" s="269"/>
      <c r="R477" s="269"/>
      <c r="S477" s="269"/>
      <c r="T477" s="269"/>
      <c r="U477" s="269"/>
      <c r="V477" s="269"/>
      <c r="W477" s="269"/>
      <c r="X477" s="269"/>
      <c r="Y477" s="269"/>
      <c r="Z477" s="269"/>
    </row>
    <row r="478">
      <c r="A478" s="269"/>
      <c r="B478" s="269"/>
      <c r="C478" s="269"/>
      <c r="D478" s="269"/>
      <c r="E478" s="269"/>
      <c r="F478" s="269"/>
      <c r="G478" s="269"/>
      <c r="H478" s="269"/>
      <c r="I478" s="269"/>
      <c r="J478" s="269"/>
      <c r="K478" s="269"/>
      <c r="L478" s="269"/>
      <c r="M478" s="269"/>
      <c r="N478" s="269"/>
      <c r="O478" s="269"/>
      <c r="P478" s="269"/>
      <c r="Q478" s="269"/>
      <c r="R478" s="269"/>
      <c r="S478" s="269"/>
      <c r="T478" s="269"/>
      <c r="U478" s="269"/>
      <c r="V478" s="269"/>
      <c r="W478" s="269"/>
      <c r="X478" s="269"/>
      <c r="Y478" s="269"/>
      <c r="Z478" s="269"/>
    </row>
    <row r="479">
      <c r="A479" s="269"/>
      <c r="B479" s="269"/>
      <c r="C479" s="269"/>
      <c r="D479" s="269"/>
      <c r="E479" s="269"/>
      <c r="F479" s="269"/>
      <c r="G479" s="269"/>
      <c r="H479" s="269"/>
      <c r="I479" s="269"/>
      <c r="J479" s="269"/>
      <c r="K479" s="269"/>
      <c r="L479" s="269"/>
      <c r="M479" s="269"/>
      <c r="N479" s="269"/>
      <c r="O479" s="269"/>
      <c r="P479" s="269"/>
      <c r="Q479" s="269"/>
      <c r="R479" s="269"/>
      <c r="S479" s="269"/>
      <c r="T479" s="269"/>
      <c r="U479" s="269"/>
      <c r="V479" s="269"/>
      <c r="W479" s="269"/>
      <c r="X479" s="269"/>
      <c r="Y479" s="269"/>
      <c r="Z479" s="269"/>
    </row>
    <row r="480">
      <c r="A480" s="269"/>
      <c r="B480" s="269"/>
      <c r="C480" s="269"/>
      <c r="D480" s="269"/>
      <c r="E480" s="269"/>
      <c r="F480" s="269"/>
      <c r="G480" s="269"/>
      <c r="H480" s="269"/>
      <c r="I480" s="269"/>
      <c r="J480" s="269"/>
      <c r="K480" s="269"/>
      <c r="L480" s="269"/>
      <c r="M480" s="269"/>
      <c r="N480" s="269"/>
      <c r="O480" s="269"/>
      <c r="P480" s="269"/>
      <c r="Q480" s="269"/>
      <c r="R480" s="269"/>
      <c r="S480" s="269"/>
      <c r="T480" s="269"/>
      <c r="U480" s="269"/>
      <c r="V480" s="269"/>
      <c r="W480" s="269"/>
      <c r="X480" s="269"/>
      <c r="Y480" s="269"/>
      <c r="Z480" s="269"/>
    </row>
    <row r="481">
      <c r="A481" s="269"/>
      <c r="B481" s="269"/>
      <c r="C481" s="269"/>
      <c r="D481" s="269"/>
      <c r="E481" s="269"/>
      <c r="F481" s="269"/>
      <c r="G481" s="269"/>
      <c r="H481" s="269"/>
      <c r="I481" s="269"/>
      <c r="J481" s="269"/>
      <c r="K481" s="269"/>
      <c r="L481" s="269"/>
      <c r="M481" s="269"/>
      <c r="N481" s="269"/>
      <c r="O481" s="269"/>
      <c r="P481" s="269"/>
      <c r="Q481" s="269"/>
      <c r="R481" s="269"/>
      <c r="S481" s="269"/>
      <c r="T481" s="269"/>
      <c r="U481" s="269"/>
      <c r="V481" s="269"/>
      <c r="W481" s="269"/>
      <c r="X481" s="269"/>
      <c r="Y481" s="269"/>
      <c r="Z481" s="269"/>
    </row>
    <row r="482">
      <c r="A482" s="269"/>
      <c r="B482" s="269"/>
      <c r="C482" s="269"/>
      <c r="D482" s="269"/>
      <c r="E482" s="269"/>
      <c r="F482" s="269"/>
      <c r="G482" s="269"/>
      <c r="H482" s="269"/>
      <c r="I482" s="269"/>
      <c r="J482" s="269"/>
      <c r="K482" s="269"/>
      <c r="L482" s="269"/>
      <c r="M482" s="269"/>
      <c r="N482" s="269"/>
      <c r="O482" s="269"/>
      <c r="P482" s="269"/>
      <c r="Q482" s="269"/>
      <c r="R482" s="269"/>
      <c r="S482" s="269"/>
      <c r="T482" s="269"/>
      <c r="U482" s="269"/>
      <c r="V482" s="269"/>
      <c r="W482" s="269"/>
      <c r="X482" s="269"/>
      <c r="Y482" s="269"/>
      <c r="Z482" s="269"/>
    </row>
    <row r="483">
      <c r="A483" s="269"/>
      <c r="B483" s="269"/>
      <c r="C483" s="269"/>
      <c r="D483" s="269"/>
      <c r="E483" s="269"/>
      <c r="F483" s="269"/>
      <c r="G483" s="269"/>
      <c r="H483" s="269"/>
      <c r="I483" s="269"/>
      <c r="J483" s="269"/>
      <c r="K483" s="269"/>
      <c r="L483" s="269"/>
      <c r="M483" s="269"/>
      <c r="N483" s="269"/>
      <c r="O483" s="269"/>
      <c r="P483" s="269"/>
      <c r="Q483" s="269"/>
      <c r="R483" s="269"/>
      <c r="S483" s="269"/>
      <c r="T483" s="269"/>
      <c r="U483" s="269"/>
      <c r="V483" s="269"/>
      <c r="W483" s="269"/>
      <c r="X483" s="269"/>
      <c r="Y483" s="269"/>
      <c r="Z483" s="269"/>
    </row>
    <row r="484">
      <c r="A484" s="269"/>
      <c r="B484" s="269"/>
      <c r="C484" s="269"/>
      <c r="D484" s="269"/>
      <c r="E484" s="269"/>
      <c r="F484" s="269"/>
      <c r="G484" s="269"/>
      <c r="H484" s="269"/>
      <c r="I484" s="269"/>
      <c r="J484" s="269"/>
      <c r="K484" s="269"/>
      <c r="L484" s="269"/>
      <c r="M484" s="269"/>
      <c r="N484" s="269"/>
      <c r="O484" s="269"/>
      <c r="P484" s="269"/>
      <c r="Q484" s="269"/>
      <c r="R484" s="269"/>
      <c r="S484" s="269"/>
      <c r="T484" s="269"/>
      <c r="U484" s="269"/>
      <c r="V484" s="269"/>
      <c r="W484" s="269"/>
      <c r="X484" s="269"/>
      <c r="Y484" s="269"/>
      <c r="Z484" s="269"/>
    </row>
    <row r="485">
      <c r="A485" s="269"/>
      <c r="B485" s="269"/>
      <c r="C485" s="269"/>
      <c r="D485" s="269"/>
      <c r="E485" s="269"/>
      <c r="F485" s="269"/>
      <c r="G485" s="269"/>
      <c r="H485" s="269"/>
      <c r="I485" s="269"/>
      <c r="J485" s="269"/>
      <c r="K485" s="269"/>
      <c r="L485" s="269"/>
      <c r="M485" s="269"/>
      <c r="N485" s="269"/>
      <c r="O485" s="269"/>
      <c r="P485" s="269"/>
      <c r="Q485" s="269"/>
      <c r="R485" s="269"/>
      <c r="S485" s="269"/>
      <c r="T485" s="269"/>
      <c r="U485" s="269"/>
      <c r="V485" s="269"/>
      <c r="W485" s="269"/>
      <c r="X485" s="269"/>
      <c r="Y485" s="269"/>
      <c r="Z485" s="269"/>
    </row>
    <row r="486">
      <c r="A486" s="269"/>
      <c r="B486" s="269"/>
      <c r="C486" s="269"/>
      <c r="D486" s="269"/>
      <c r="E486" s="269"/>
      <c r="F486" s="269"/>
      <c r="G486" s="269"/>
      <c r="H486" s="269"/>
      <c r="I486" s="269"/>
      <c r="J486" s="269"/>
      <c r="K486" s="269"/>
      <c r="L486" s="269"/>
      <c r="M486" s="269"/>
      <c r="N486" s="269"/>
      <c r="O486" s="269"/>
      <c r="P486" s="269"/>
      <c r="Q486" s="269"/>
      <c r="R486" s="269"/>
      <c r="S486" s="269"/>
      <c r="T486" s="269"/>
      <c r="U486" s="269"/>
      <c r="V486" s="269"/>
      <c r="W486" s="269"/>
      <c r="X486" s="269"/>
      <c r="Y486" s="269"/>
      <c r="Z486" s="269"/>
    </row>
    <row r="487">
      <c r="A487" s="269"/>
      <c r="B487" s="269"/>
      <c r="C487" s="269"/>
      <c r="D487" s="269"/>
      <c r="E487" s="269"/>
      <c r="F487" s="269"/>
      <c r="G487" s="269"/>
      <c r="H487" s="269"/>
      <c r="I487" s="269"/>
      <c r="J487" s="269"/>
      <c r="K487" s="269"/>
      <c r="L487" s="269"/>
      <c r="M487" s="269"/>
      <c r="N487" s="269"/>
      <c r="O487" s="269"/>
      <c r="P487" s="269"/>
      <c r="Q487" s="269"/>
      <c r="R487" s="269"/>
      <c r="S487" s="269"/>
      <c r="T487" s="269"/>
      <c r="U487" s="269"/>
      <c r="V487" s="269"/>
      <c r="W487" s="269"/>
      <c r="X487" s="269"/>
      <c r="Y487" s="269"/>
      <c r="Z487" s="269"/>
    </row>
    <row r="488">
      <c r="A488" s="269"/>
      <c r="B488" s="269"/>
      <c r="C488" s="269"/>
      <c r="D488" s="269"/>
      <c r="E488" s="269"/>
      <c r="F488" s="269"/>
      <c r="G488" s="269"/>
      <c r="H488" s="269"/>
      <c r="I488" s="269"/>
      <c r="J488" s="269"/>
      <c r="K488" s="269"/>
      <c r="L488" s="269"/>
      <c r="M488" s="269"/>
      <c r="N488" s="269"/>
      <c r="O488" s="269"/>
      <c r="P488" s="269"/>
      <c r="Q488" s="269"/>
      <c r="R488" s="269"/>
      <c r="S488" s="269"/>
      <c r="T488" s="269"/>
      <c r="U488" s="269"/>
      <c r="V488" s="269"/>
      <c r="W488" s="269"/>
      <c r="X488" s="269"/>
      <c r="Y488" s="269"/>
      <c r="Z488" s="269"/>
    </row>
    <row r="489">
      <c r="A489" s="269"/>
      <c r="B489" s="269"/>
      <c r="C489" s="269"/>
      <c r="D489" s="269"/>
      <c r="E489" s="269"/>
      <c r="F489" s="269"/>
      <c r="G489" s="269"/>
      <c r="H489" s="269"/>
      <c r="I489" s="269"/>
      <c r="J489" s="269"/>
      <c r="K489" s="269"/>
      <c r="L489" s="269"/>
      <c r="M489" s="269"/>
      <c r="N489" s="269"/>
      <c r="O489" s="269"/>
      <c r="P489" s="269"/>
      <c r="Q489" s="269"/>
      <c r="R489" s="269"/>
      <c r="S489" s="269"/>
      <c r="T489" s="269"/>
      <c r="U489" s="269"/>
      <c r="V489" s="269"/>
      <c r="W489" s="269"/>
      <c r="X489" s="269"/>
      <c r="Y489" s="269"/>
      <c r="Z489" s="269"/>
    </row>
    <row r="490">
      <c r="A490" s="269"/>
      <c r="B490" s="269"/>
      <c r="C490" s="269"/>
      <c r="D490" s="269"/>
      <c r="E490" s="269"/>
      <c r="F490" s="269"/>
      <c r="G490" s="269"/>
      <c r="H490" s="269"/>
      <c r="I490" s="269"/>
      <c r="J490" s="269"/>
      <c r="K490" s="269"/>
      <c r="L490" s="269"/>
      <c r="M490" s="269"/>
      <c r="N490" s="269"/>
      <c r="O490" s="269"/>
      <c r="P490" s="269"/>
      <c r="Q490" s="269"/>
      <c r="R490" s="269"/>
      <c r="S490" s="269"/>
      <c r="T490" s="269"/>
      <c r="U490" s="269"/>
      <c r="V490" s="269"/>
      <c r="W490" s="269"/>
      <c r="X490" s="269"/>
      <c r="Y490" s="269"/>
      <c r="Z490" s="269"/>
    </row>
    <row r="491">
      <c r="A491" s="269"/>
      <c r="B491" s="269"/>
      <c r="C491" s="269"/>
      <c r="D491" s="269"/>
      <c r="E491" s="269"/>
      <c r="F491" s="269"/>
      <c r="G491" s="269"/>
      <c r="H491" s="269"/>
      <c r="I491" s="269"/>
      <c r="J491" s="269"/>
      <c r="K491" s="269"/>
      <c r="L491" s="269"/>
      <c r="M491" s="269"/>
      <c r="N491" s="269"/>
      <c r="O491" s="269"/>
      <c r="P491" s="269"/>
      <c r="Q491" s="269"/>
      <c r="R491" s="269"/>
      <c r="S491" s="269"/>
      <c r="T491" s="269"/>
      <c r="U491" s="269"/>
      <c r="V491" s="269"/>
      <c r="W491" s="269"/>
      <c r="X491" s="269"/>
      <c r="Y491" s="269"/>
      <c r="Z491" s="269"/>
    </row>
    <row r="492">
      <c r="A492" s="269"/>
      <c r="B492" s="269"/>
      <c r="C492" s="269"/>
      <c r="D492" s="269"/>
      <c r="E492" s="269"/>
      <c r="F492" s="269"/>
      <c r="G492" s="269"/>
      <c r="H492" s="269"/>
      <c r="I492" s="269"/>
      <c r="J492" s="269"/>
      <c r="K492" s="269"/>
      <c r="L492" s="269"/>
      <c r="M492" s="269"/>
      <c r="N492" s="269"/>
      <c r="O492" s="269"/>
      <c r="P492" s="269"/>
      <c r="Q492" s="269"/>
      <c r="R492" s="269"/>
      <c r="S492" s="269"/>
      <c r="T492" s="269"/>
      <c r="U492" s="269"/>
      <c r="V492" s="269"/>
      <c r="W492" s="269"/>
      <c r="X492" s="269"/>
      <c r="Y492" s="269"/>
      <c r="Z492" s="269"/>
    </row>
    <row r="493">
      <c r="A493" s="269"/>
      <c r="B493" s="269"/>
      <c r="C493" s="269"/>
      <c r="D493" s="269"/>
      <c r="E493" s="269"/>
      <c r="F493" s="269"/>
      <c r="G493" s="269"/>
      <c r="H493" s="269"/>
      <c r="I493" s="269"/>
      <c r="J493" s="269"/>
      <c r="K493" s="269"/>
      <c r="L493" s="269"/>
      <c r="M493" s="269"/>
      <c r="N493" s="269"/>
      <c r="O493" s="269"/>
      <c r="P493" s="269"/>
      <c r="Q493" s="269"/>
      <c r="R493" s="269"/>
      <c r="S493" s="269"/>
      <c r="T493" s="269"/>
      <c r="U493" s="269"/>
      <c r="V493" s="269"/>
      <c r="W493" s="269"/>
      <c r="X493" s="269"/>
      <c r="Y493" s="269"/>
      <c r="Z493" s="269"/>
    </row>
    <row r="494">
      <c r="A494" s="269"/>
      <c r="B494" s="269"/>
      <c r="C494" s="269"/>
      <c r="D494" s="269"/>
      <c r="E494" s="269"/>
      <c r="F494" s="269"/>
      <c r="G494" s="269"/>
      <c r="H494" s="269"/>
      <c r="I494" s="269"/>
      <c r="J494" s="269"/>
      <c r="K494" s="269"/>
      <c r="L494" s="269"/>
      <c r="M494" s="269"/>
      <c r="N494" s="269"/>
      <c r="O494" s="269"/>
      <c r="P494" s="269"/>
      <c r="Q494" s="269"/>
      <c r="R494" s="269"/>
      <c r="S494" s="269"/>
      <c r="T494" s="269"/>
      <c r="U494" s="269"/>
      <c r="V494" s="269"/>
      <c r="W494" s="269"/>
      <c r="X494" s="269"/>
      <c r="Y494" s="269"/>
      <c r="Z494" s="269"/>
    </row>
    <row r="495">
      <c r="A495" s="269"/>
      <c r="B495" s="269"/>
      <c r="C495" s="269"/>
      <c r="D495" s="269"/>
      <c r="E495" s="269"/>
      <c r="F495" s="269"/>
      <c r="G495" s="269"/>
      <c r="H495" s="269"/>
      <c r="I495" s="269"/>
      <c r="J495" s="269"/>
      <c r="K495" s="269"/>
      <c r="L495" s="269"/>
      <c r="M495" s="269"/>
      <c r="N495" s="269"/>
      <c r="O495" s="269"/>
      <c r="P495" s="269"/>
      <c r="Q495" s="269"/>
      <c r="R495" s="269"/>
      <c r="S495" s="269"/>
      <c r="T495" s="269"/>
      <c r="U495" s="269"/>
      <c r="V495" s="269"/>
      <c r="W495" s="269"/>
      <c r="X495" s="269"/>
      <c r="Y495" s="269"/>
      <c r="Z495" s="269"/>
    </row>
    <row r="496">
      <c r="A496" s="269"/>
      <c r="B496" s="269"/>
      <c r="C496" s="269"/>
      <c r="D496" s="269"/>
      <c r="E496" s="269"/>
      <c r="F496" s="269"/>
      <c r="G496" s="269"/>
      <c r="H496" s="269"/>
      <c r="I496" s="269"/>
      <c r="J496" s="269"/>
      <c r="K496" s="269"/>
      <c r="L496" s="269"/>
      <c r="M496" s="269"/>
      <c r="N496" s="269"/>
      <c r="O496" s="269"/>
      <c r="P496" s="269"/>
      <c r="Q496" s="269"/>
      <c r="R496" s="269"/>
      <c r="S496" s="269"/>
      <c r="T496" s="269"/>
      <c r="U496" s="269"/>
      <c r="V496" s="269"/>
      <c r="W496" s="269"/>
      <c r="X496" s="269"/>
      <c r="Y496" s="269"/>
      <c r="Z496" s="269"/>
    </row>
    <row r="497">
      <c r="A497" s="269"/>
      <c r="B497" s="269"/>
      <c r="C497" s="269"/>
      <c r="D497" s="269"/>
      <c r="E497" s="269"/>
      <c r="F497" s="269"/>
      <c r="G497" s="269"/>
      <c r="H497" s="269"/>
      <c r="I497" s="269"/>
      <c r="J497" s="269"/>
      <c r="K497" s="269"/>
      <c r="L497" s="269"/>
      <c r="M497" s="269"/>
      <c r="N497" s="269"/>
      <c r="O497" s="269"/>
      <c r="P497" s="269"/>
      <c r="Q497" s="269"/>
      <c r="R497" s="269"/>
      <c r="S497" s="269"/>
      <c r="T497" s="269"/>
      <c r="U497" s="269"/>
      <c r="V497" s="269"/>
      <c r="W497" s="269"/>
      <c r="X497" s="269"/>
      <c r="Y497" s="269"/>
      <c r="Z497" s="269"/>
    </row>
    <row r="498">
      <c r="A498" s="269"/>
      <c r="B498" s="269"/>
      <c r="C498" s="269"/>
      <c r="D498" s="269"/>
      <c r="E498" s="269"/>
      <c r="F498" s="269"/>
      <c r="G498" s="269"/>
      <c r="H498" s="269"/>
      <c r="I498" s="269"/>
      <c r="J498" s="269"/>
      <c r="K498" s="269"/>
      <c r="L498" s="269"/>
      <c r="M498" s="269"/>
      <c r="N498" s="269"/>
      <c r="O498" s="269"/>
      <c r="P498" s="269"/>
      <c r="Q498" s="269"/>
      <c r="R498" s="269"/>
      <c r="S498" s="269"/>
      <c r="T498" s="269"/>
      <c r="U498" s="269"/>
      <c r="V498" s="269"/>
      <c r="W498" s="269"/>
      <c r="X498" s="269"/>
      <c r="Y498" s="269"/>
      <c r="Z498" s="269"/>
    </row>
    <row r="499">
      <c r="A499" s="269"/>
      <c r="B499" s="269"/>
      <c r="C499" s="269"/>
      <c r="D499" s="269"/>
      <c r="E499" s="269"/>
      <c r="F499" s="269"/>
      <c r="G499" s="269"/>
      <c r="H499" s="269"/>
      <c r="I499" s="269"/>
      <c r="J499" s="269"/>
      <c r="K499" s="269"/>
      <c r="L499" s="269"/>
      <c r="M499" s="269"/>
      <c r="N499" s="269"/>
      <c r="O499" s="269"/>
      <c r="P499" s="269"/>
      <c r="Q499" s="269"/>
      <c r="R499" s="269"/>
      <c r="S499" s="269"/>
      <c r="T499" s="269"/>
      <c r="U499" s="269"/>
      <c r="V499" s="269"/>
      <c r="W499" s="269"/>
      <c r="X499" s="269"/>
      <c r="Y499" s="269"/>
      <c r="Z499" s="269"/>
    </row>
    <row r="500">
      <c r="A500" s="269"/>
      <c r="B500" s="269"/>
      <c r="C500" s="269"/>
      <c r="D500" s="269"/>
      <c r="E500" s="269"/>
      <c r="F500" s="269"/>
      <c r="G500" s="269"/>
      <c r="H500" s="269"/>
      <c r="I500" s="269"/>
      <c r="J500" s="269"/>
      <c r="K500" s="269"/>
      <c r="L500" s="269"/>
      <c r="M500" s="269"/>
      <c r="N500" s="269"/>
      <c r="O500" s="269"/>
      <c r="P500" s="269"/>
      <c r="Q500" s="269"/>
      <c r="R500" s="269"/>
      <c r="S500" s="269"/>
      <c r="T500" s="269"/>
      <c r="U500" s="269"/>
      <c r="V500" s="269"/>
      <c r="W500" s="269"/>
      <c r="X500" s="269"/>
      <c r="Y500" s="269"/>
      <c r="Z500" s="269"/>
    </row>
    <row r="501">
      <c r="A501" s="269"/>
      <c r="B501" s="269"/>
      <c r="C501" s="269"/>
      <c r="D501" s="269"/>
      <c r="E501" s="269"/>
      <c r="F501" s="269"/>
      <c r="G501" s="269"/>
      <c r="H501" s="269"/>
      <c r="I501" s="269"/>
      <c r="J501" s="269"/>
      <c r="K501" s="269"/>
      <c r="L501" s="269"/>
      <c r="M501" s="269"/>
      <c r="N501" s="269"/>
      <c r="O501" s="269"/>
      <c r="P501" s="269"/>
      <c r="Q501" s="269"/>
      <c r="R501" s="269"/>
      <c r="S501" s="269"/>
      <c r="T501" s="269"/>
      <c r="U501" s="269"/>
      <c r="V501" s="269"/>
      <c r="W501" s="269"/>
      <c r="X501" s="269"/>
      <c r="Y501" s="269"/>
      <c r="Z501" s="269"/>
    </row>
    <row r="502">
      <c r="A502" s="269"/>
      <c r="B502" s="269"/>
      <c r="C502" s="269"/>
      <c r="D502" s="269"/>
      <c r="E502" s="269"/>
      <c r="F502" s="269"/>
      <c r="G502" s="269"/>
      <c r="H502" s="269"/>
      <c r="I502" s="269"/>
      <c r="J502" s="269"/>
      <c r="K502" s="269"/>
      <c r="L502" s="269"/>
      <c r="M502" s="269"/>
      <c r="N502" s="269"/>
      <c r="O502" s="269"/>
      <c r="P502" s="269"/>
      <c r="Q502" s="269"/>
      <c r="R502" s="269"/>
      <c r="S502" s="269"/>
      <c r="T502" s="269"/>
      <c r="U502" s="269"/>
      <c r="V502" s="269"/>
      <c r="W502" s="269"/>
      <c r="X502" s="269"/>
      <c r="Y502" s="269"/>
      <c r="Z502" s="269"/>
    </row>
    <row r="503">
      <c r="A503" s="269"/>
      <c r="B503" s="269"/>
      <c r="C503" s="269"/>
      <c r="D503" s="269"/>
      <c r="E503" s="269"/>
      <c r="F503" s="269"/>
      <c r="G503" s="269"/>
      <c r="H503" s="269"/>
      <c r="I503" s="269"/>
      <c r="J503" s="269"/>
      <c r="K503" s="269"/>
      <c r="L503" s="269"/>
      <c r="M503" s="269"/>
      <c r="N503" s="269"/>
      <c r="O503" s="269"/>
      <c r="P503" s="269"/>
      <c r="Q503" s="269"/>
      <c r="R503" s="269"/>
      <c r="S503" s="269"/>
      <c r="T503" s="269"/>
      <c r="U503" s="269"/>
      <c r="V503" s="269"/>
      <c r="W503" s="269"/>
      <c r="X503" s="269"/>
      <c r="Y503" s="269"/>
      <c r="Z503" s="269"/>
    </row>
    <row r="504">
      <c r="A504" s="269"/>
      <c r="B504" s="269"/>
      <c r="C504" s="269"/>
      <c r="D504" s="269"/>
      <c r="E504" s="269"/>
      <c r="F504" s="269"/>
      <c r="G504" s="269"/>
      <c r="H504" s="269"/>
      <c r="I504" s="269"/>
      <c r="J504" s="269"/>
      <c r="K504" s="269"/>
      <c r="L504" s="269"/>
      <c r="M504" s="269"/>
      <c r="N504" s="269"/>
      <c r="O504" s="269"/>
      <c r="P504" s="269"/>
      <c r="Q504" s="269"/>
      <c r="R504" s="269"/>
      <c r="S504" s="269"/>
      <c r="T504" s="269"/>
      <c r="U504" s="269"/>
      <c r="V504" s="269"/>
      <c r="W504" s="269"/>
      <c r="X504" s="269"/>
      <c r="Y504" s="269"/>
      <c r="Z504" s="269"/>
    </row>
    <row r="505">
      <c r="A505" s="269"/>
      <c r="B505" s="269"/>
      <c r="C505" s="269"/>
      <c r="D505" s="269"/>
      <c r="E505" s="269"/>
      <c r="F505" s="269"/>
      <c r="G505" s="269"/>
      <c r="H505" s="269"/>
      <c r="I505" s="269"/>
      <c r="J505" s="269"/>
      <c r="K505" s="269"/>
      <c r="L505" s="269"/>
      <c r="M505" s="269"/>
      <c r="N505" s="269"/>
      <c r="O505" s="269"/>
      <c r="P505" s="269"/>
      <c r="Q505" s="269"/>
      <c r="R505" s="269"/>
      <c r="S505" s="269"/>
      <c r="T505" s="269"/>
      <c r="U505" s="269"/>
      <c r="V505" s="269"/>
      <c r="W505" s="269"/>
      <c r="X505" s="269"/>
      <c r="Y505" s="269"/>
      <c r="Z505" s="269"/>
    </row>
    <row r="506">
      <c r="A506" s="269"/>
      <c r="B506" s="269"/>
      <c r="C506" s="269"/>
      <c r="D506" s="269"/>
      <c r="E506" s="269"/>
      <c r="F506" s="269"/>
      <c r="G506" s="269"/>
      <c r="H506" s="269"/>
      <c r="I506" s="269"/>
      <c r="J506" s="269"/>
      <c r="K506" s="269"/>
      <c r="L506" s="269"/>
      <c r="M506" s="269"/>
      <c r="N506" s="269"/>
      <c r="O506" s="269"/>
      <c r="P506" s="269"/>
      <c r="Q506" s="269"/>
      <c r="R506" s="269"/>
      <c r="S506" s="269"/>
      <c r="T506" s="269"/>
      <c r="U506" s="269"/>
      <c r="V506" s="269"/>
      <c r="W506" s="269"/>
      <c r="X506" s="269"/>
      <c r="Y506" s="269"/>
      <c r="Z506" s="269"/>
    </row>
    <row r="507">
      <c r="A507" s="269"/>
      <c r="B507" s="269"/>
      <c r="C507" s="269"/>
      <c r="D507" s="269"/>
      <c r="E507" s="269"/>
      <c r="F507" s="269"/>
      <c r="G507" s="269"/>
      <c r="H507" s="269"/>
      <c r="I507" s="269"/>
      <c r="J507" s="269"/>
      <c r="K507" s="269"/>
      <c r="L507" s="269"/>
      <c r="M507" s="269"/>
      <c r="N507" s="269"/>
      <c r="O507" s="269"/>
      <c r="P507" s="269"/>
      <c r="Q507" s="269"/>
      <c r="R507" s="269"/>
      <c r="S507" s="269"/>
      <c r="T507" s="269"/>
      <c r="U507" s="269"/>
      <c r="V507" s="269"/>
      <c r="W507" s="269"/>
      <c r="X507" s="269"/>
      <c r="Y507" s="269"/>
      <c r="Z507" s="269"/>
    </row>
    <row r="508">
      <c r="A508" s="269"/>
      <c r="B508" s="269"/>
      <c r="C508" s="269"/>
      <c r="D508" s="269"/>
      <c r="E508" s="269"/>
      <c r="F508" s="269"/>
      <c r="G508" s="269"/>
      <c r="H508" s="269"/>
      <c r="I508" s="269"/>
      <c r="J508" s="269"/>
      <c r="K508" s="269"/>
      <c r="L508" s="269"/>
      <c r="M508" s="269"/>
      <c r="N508" s="269"/>
      <c r="O508" s="269"/>
      <c r="P508" s="269"/>
      <c r="Q508" s="269"/>
      <c r="R508" s="269"/>
      <c r="S508" s="269"/>
      <c r="T508" s="269"/>
      <c r="U508" s="269"/>
      <c r="V508" s="269"/>
      <c r="W508" s="269"/>
      <c r="X508" s="269"/>
      <c r="Y508" s="269"/>
      <c r="Z508" s="269"/>
    </row>
    <row r="509">
      <c r="A509" s="269"/>
      <c r="B509" s="269"/>
      <c r="C509" s="269"/>
      <c r="D509" s="269"/>
      <c r="E509" s="269"/>
      <c r="F509" s="269"/>
      <c r="G509" s="269"/>
      <c r="H509" s="269"/>
      <c r="I509" s="269"/>
      <c r="J509" s="269"/>
      <c r="K509" s="269"/>
      <c r="L509" s="269"/>
      <c r="M509" s="269"/>
      <c r="N509" s="269"/>
      <c r="O509" s="269"/>
      <c r="P509" s="269"/>
      <c r="Q509" s="269"/>
      <c r="R509" s="269"/>
      <c r="S509" s="269"/>
      <c r="T509" s="269"/>
      <c r="U509" s="269"/>
      <c r="V509" s="269"/>
      <c r="W509" s="269"/>
      <c r="X509" s="269"/>
      <c r="Y509" s="269"/>
      <c r="Z509" s="269"/>
    </row>
    <row r="510">
      <c r="A510" s="269"/>
      <c r="B510" s="269"/>
      <c r="C510" s="269"/>
      <c r="D510" s="269"/>
      <c r="E510" s="269"/>
      <c r="F510" s="269"/>
      <c r="G510" s="269"/>
      <c r="H510" s="269"/>
      <c r="I510" s="269"/>
      <c r="J510" s="269"/>
      <c r="K510" s="269"/>
      <c r="L510" s="269"/>
      <c r="M510" s="269"/>
      <c r="N510" s="269"/>
      <c r="O510" s="269"/>
      <c r="P510" s="269"/>
      <c r="Q510" s="269"/>
      <c r="R510" s="269"/>
      <c r="S510" s="269"/>
      <c r="T510" s="269"/>
      <c r="U510" s="269"/>
      <c r="V510" s="269"/>
      <c r="W510" s="269"/>
      <c r="X510" s="269"/>
      <c r="Y510" s="269"/>
      <c r="Z510" s="269"/>
    </row>
    <row r="511">
      <c r="A511" s="269"/>
      <c r="B511" s="269"/>
      <c r="C511" s="269"/>
      <c r="D511" s="269"/>
      <c r="E511" s="269"/>
      <c r="F511" s="269"/>
      <c r="G511" s="269"/>
      <c r="H511" s="269"/>
      <c r="I511" s="269"/>
      <c r="J511" s="269"/>
      <c r="K511" s="269"/>
      <c r="L511" s="269"/>
      <c r="M511" s="269"/>
      <c r="N511" s="269"/>
      <c r="O511" s="269"/>
      <c r="P511" s="269"/>
      <c r="Q511" s="269"/>
      <c r="R511" s="269"/>
      <c r="S511" s="269"/>
      <c r="T511" s="269"/>
      <c r="U511" s="269"/>
      <c r="V511" s="269"/>
      <c r="W511" s="269"/>
      <c r="X511" s="269"/>
      <c r="Y511" s="269"/>
      <c r="Z511" s="269"/>
    </row>
    <row r="512">
      <c r="A512" s="269"/>
      <c r="B512" s="269"/>
      <c r="C512" s="269"/>
      <c r="D512" s="269"/>
      <c r="E512" s="269"/>
      <c r="F512" s="269"/>
      <c r="G512" s="269"/>
      <c r="H512" s="269"/>
      <c r="I512" s="269"/>
      <c r="J512" s="269"/>
      <c r="K512" s="269"/>
      <c r="L512" s="269"/>
      <c r="M512" s="269"/>
      <c r="N512" s="269"/>
      <c r="O512" s="269"/>
      <c r="P512" s="269"/>
      <c r="Q512" s="269"/>
      <c r="R512" s="269"/>
      <c r="S512" s="269"/>
      <c r="T512" s="269"/>
      <c r="U512" s="269"/>
      <c r="V512" s="269"/>
      <c r="W512" s="269"/>
      <c r="X512" s="269"/>
      <c r="Y512" s="269"/>
      <c r="Z512" s="269"/>
    </row>
    <row r="513">
      <c r="A513" s="269"/>
      <c r="B513" s="269"/>
      <c r="C513" s="269"/>
      <c r="D513" s="269"/>
      <c r="E513" s="269"/>
      <c r="F513" s="269"/>
      <c r="G513" s="269"/>
      <c r="H513" s="269"/>
      <c r="I513" s="269"/>
      <c r="J513" s="269"/>
      <c r="K513" s="269"/>
      <c r="L513" s="269"/>
      <c r="M513" s="269"/>
      <c r="N513" s="269"/>
      <c r="O513" s="269"/>
      <c r="P513" s="269"/>
      <c r="Q513" s="269"/>
      <c r="R513" s="269"/>
      <c r="S513" s="269"/>
      <c r="T513" s="269"/>
      <c r="U513" s="269"/>
      <c r="V513" s="269"/>
      <c r="W513" s="269"/>
      <c r="X513" s="269"/>
      <c r="Y513" s="269"/>
      <c r="Z513" s="269"/>
    </row>
    <row r="514">
      <c r="A514" s="269"/>
      <c r="B514" s="269"/>
      <c r="C514" s="269"/>
      <c r="D514" s="269"/>
      <c r="E514" s="269"/>
      <c r="F514" s="269"/>
      <c r="G514" s="269"/>
      <c r="H514" s="269"/>
      <c r="I514" s="269"/>
      <c r="J514" s="269"/>
      <c r="K514" s="269"/>
      <c r="L514" s="269"/>
      <c r="M514" s="269"/>
      <c r="N514" s="269"/>
      <c r="O514" s="269"/>
      <c r="P514" s="269"/>
      <c r="Q514" s="269"/>
      <c r="R514" s="269"/>
      <c r="S514" s="269"/>
      <c r="T514" s="269"/>
      <c r="U514" s="269"/>
      <c r="V514" s="269"/>
      <c r="W514" s="269"/>
      <c r="X514" s="269"/>
      <c r="Y514" s="269"/>
      <c r="Z514" s="269"/>
    </row>
    <row r="515">
      <c r="A515" s="269"/>
      <c r="B515" s="269"/>
      <c r="C515" s="269"/>
      <c r="D515" s="269"/>
      <c r="E515" s="269"/>
      <c r="F515" s="269"/>
      <c r="G515" s="269"/>
      <c r="H515" s="269"/>
      <c r="I515" s="269"/>
      <c r="J515" s="269"/>
      <c r="K515" s="269"/>
      <c r="L515" s="269"/>
      <c r="M515" s="269"/>
      <c r="N515" s="269"/>
      <c r="O515" s="269"/>
      <c r="P515" s="269"/>
      <c r="Q515" s="269"/>
      <c r="R515" s="269"/>
      <c r="S515" s="269"/>
      <c r="T515" s="269"/>
      <c r="U515" s="269"/>
      <c r="V515" s="269"/>
      <c r="W515" s="269"/>
      <c r="X515" s="269"/>
      <c r="Y515" s="269"/>
      <c r="Z515" s="269"/>
    </row>
    <row r="516">
      <c r="A516" s="269"/>
      <c r="B516" s="269"/>
      <c r="C516" s="269"/>
      <c r="D516" s="269"/>
      <c r="E516" s="269"/>
      <c r="F516" s="269"/>
      <c r="G516" s="269"/>
      <c r="H516" s="269"/>
      <c r="I516" s="269"/>
      <c r="J516" s="269"/>
      <c r="K516" s="269"/>
      <c r="L516" s="269"/>
      <c r="M516" s="269"/>
      <c r="N516" s="269"/>
      <c r="O516" s="269"/>
      <c r="P516" s="269"/>
      <c r="Q516" s="269"/>
      <c r="R516" s="269"/>
      <c r="S516" s="269"/>
      <c r="T516" s="269"/>
      <c r="U516" s="269"/>
      <c r="V516" s="269"/>
      <c r="W516" s="269"/>
      <c r="X516" s="269"/>
      <c r="Y516" s="269"/>
      <c r="Z516" s="269"/>
    </row>
    <row r="517">
      <c r="A517" s="269"/>
      <c r="B517" s="269"/>
      <c r="C517" s="269"/>
      <c r="D517" s="269"/>
      <c r="E517" s="269"/>
      <c r="F517" s="269"/>
      <c r="G517" s="269"/>
      <c r="H517" s="269"/>
      <c r="I517" s="269"/>
      <c r="J517" s="269"/>
      <c r="K517" s="269"/>
      <c r="L517" s="269"/>
      <c r="M517" s="269"/>
      <c r="N517" s="269"/>
      <c r="O517" s="269"/>
      <c r="P517" s="269"/>
      <c r="Q517" s="269"/>
      <c r="R517" s="269"/>
      <c r="S517" s="269"/>
      <c r="T517" s="269"/>
      <c r="U517" s="269"/>
      <c r="V517" s="269"/>
      <c r="W517" s="269"/>
      <c r="X517" s="269"/>
      <c r="Y517" s="269"/>
      <c r="Z517" s="269"/>
    </row>
    <row r="518">
      <c r="A518" s="269"/>
      <c r="B518" s="269"/>
      <c r="C518" s="269"/>
      <c r="D518" s="269"/>
      <c r="E518" s="269"/>
      <c r="F518" s="269"/>
      <c r="G518" s="269"/>
      <c r="H518" s="269"/>
      <c r="I518" s="269"/>
      <c r="J518" s="269"/>
      <c r="K518" s="269"/>
      <c r="L518" s="269"/>
      <c r="M518" s="269"/>
      <c r="N518" s="269"/>
      <c r="O518" s="269"/>
      <c r="P518" s="269"/>
      <c r="Q518" s="269"/>
      <c r="R518" s="269"/>
      <c r="S518" s="269"/>
      <c r="T518" s="269"/>
      <c r="U518" s="269"/>
      <c r="V518" s="269"/>
      <c r="W518" s="269"/>
      <c r="X518" s="269"/>
      <c r="Y518" s="269"/>
      <c r="Z518" s="269"/>
    </row>
    <row r="519">
      <c r="A519" s="269"/>
      <c r="B519" s="269"/>
      <c r="C519" s="269"/>
      <c r="D519" s="269"/>
      <c r="E519" s="269"/>
      <c r="F519" s="269"/>
      <c r="G519" s="269"/>
      <c r="H519" s="269"/>
      <c r="I519" s="269"/>
      <c r="J519" s="269"/>
      <c r="K519" s="269"/>
      <c r="L519" s="269"/>
      <c r="M519" s="269"/>
      <c r="N519" s="269"/>
      <c r="O519" s="269"/>
      <c r="P519" s="269"/>
      <c r="Q519" s="269"/>
      <c r="R519" s="269"/>
      <c r="S519" s="269"/>
      <c r="T519" s="269"/>
      <c r="U519" s="269"/>
      <c r="V519" s="269"/>
      <c r="W519" s="269"/>
      <c r="X519" s="269"/>
      <c r="Y519" s="269"/>
      <c r="Z519" s="269"/>
    </row>
    <row r="520">
      <c r="A520" s="269"/>
      <c r="B520" s="269"/>
      <c r="C520" s="269"/>
      <c r="D520" s="269"/>
      <c r="E520" s="269"/>
      <c r="F520" s="269"/>
      <c r="G520" s="269"/>
      <c r="H520" s="269"/>
      <c r="I520" s="269"/>
      <c r="J520" s="269"/>
      <c r="K520" s="269"/>
      <c r="L520" s="269"/>
      <c r="M520" s="269"/>
      <c r="N520" s="269"/>
      <c r="O520" s="269"/>
      <c r="P520" s="269"/>
      <c r="Q520" s="269"/>
      <c r="R520" s="269"/>
      <c r="S520" s="269"/>
      <c r="T520" s="269"/>
      <c r="U520" s="269"/>
      <c r="V520" s="269"/>
      <c r="W520" s="269"/>
      <c r="X520" s="269"/>
      <c r="Y520" s="269"/>
      <c r="Z520" s="269"/>
    </row>
    <row r="521">
      <c r="A521" s="269"/>
      <c r="B521" s="269"/>
      <c r="C521" s="269"/>
      <c r="D521" s="269"/>
      <c r="E521" s="269"/>
      <c r="F521" s="269"/>
      <c r="G521" s="269"/>
      <c r="H521" s="269"/>
      <c r="I521" s="269"/>
      <c r="J521" s="269"/>
      <c r="K521" s="269"/>
      <c r="L521" s="269"/>
      <c r="M521" s="269"/>
      <c r="N521" s="269"/>
      <c r="O521" s="269"/>
      <c r="P521" s="269"/>
      <c r="Q521" s="269"/>
      <c r="R521" s="269"/>
      <c r="S521" s="269"/>
      <c r="T521" s="269"/>
      <c r="U521" s="269"/>
      <c r="V521" s="269"/>
      <c r="W521" s="269"/>
      <c r="X521" s="269"/>
      <c r="Y521" s="269"/>
      <c r="Z521" s="269"/>
    </row>
    <row r="522">
      <c r="A522" s="269"/>
      <c r="B522" s="269"/>
      <c r="C522" s="269"/>
      <c r="D522" s="269"/>
      <c r="E522" s="269"/>
      <c r="F522" s="269"/>
      <c r="G522" s="269"/>
      <c r="H522" s="269"/>
      <c r="I522" s="269"/>
      <c r="J522" s="269"/>
      <c r="K522" s="269"/>
      <c r="L522" s="269"/>
      <c r="M522" s="269"/>
      <c r="N522" s="269"/>
      <c r="O522" s="269"/>
      <c r="P522" s="269"/>
      <c r="Q522" s="269"/>
      <c r="R522" s="269"/>
      <c r="S522" s="269"/>
      <c r="T522" s="269"/>
      <c r="U522" s="269"/>
      <c r="V522" s="269"/>
      <c r="W522" s="269"/>
      <c r="X522" s="269"/>
      <c r="Y522" s="269"/>
      <c r="Z522" s="269"/>
    </row>
    <row r="523">
      <c r="A523" s="269"/>
      <c r="B523" s="269"/>
      <c r="C523" s="269"/>
      <c r="D523" s="269"/>
      <c r="E523" s="269"/>
      <c r="F523" s="269"/>
      <c r="G523" s="269"/>
      <c r="H523" s="269"/>
      <c r="I523" s="269"/>
      <c r="J523" s="269"/>
      <c r="K523" s="269"/>
      <c r="L523" s="269"/>
      <c r="M523" s="269"/>
      <c r="N523" s="269"/>
      <c r="O523" s="269"/>
      <c r="P523" s="269"/>
      <c r="Q523" s="269"/>
      <c r="R523" s="269"/>
      <c r="S523" s="269"/>
      <c r="T523" s="269"/>
      <c r="U523" s="269"/>
      <c r="V523" s="269"/>
      <c r="W523" s="269"/>
      <c r="X523" s="269"/>
      <c r="Y523" s="269"/>
      <c r="Z523" s="269"/>
    </row>
    <row r="524">
      <c r="A524" s="269"/>
      <c r="B524" s="269"/>
      <c r="C524" s="269"/>
      <c r="D524" s="269"/>
      <c r="E524" s="269"/>
      <c r="F524" s="269"/>
      <c r="G524" s="269"/>
      <c r="H524" s="269"/>
      <c r="I524" s="269"/>
      <c r="J524" s="269"/>
      <c r="K524" s="269"/>
      <c r="L524" s="269"/>
      <c r="M524" s="269"/>
      <c r="N524" s="269"/>
      <c r="O524" s="269"/>
      <c r="P524" s="269"/>
      <c r="Q524" s="269"/>
      <c r="R524" s="269"/>
      <c r="S524" s="269"/>
      <c r="T524" s="269"/>
      <c r="U524" s="269"/>
      <c r="V524" s="269"/>
      <c r="W524" s="269"/>
      <c r="X524" s="269"/>
      <c r="Y524" s="269"/>
      <c r="Z524" s="269"/>
    </row>
    <row r="525">
      <c r="A525" s="269"/>
      <c r="B525" s="269"/>
      <c r="C525" s="269"/>
      <c r="D525" s="269"/>
      <c r="E525" s="269"/>
      <c r="F525" s="269"/>
      <c r="G525" s="269"/>
      <c r="H525" s="269"/>
      <c r="I525" s="269"/>
      <c r="J525" s="269"/>
      <c r="K525" s="269"/>
      <c r="L525" s="269"/>
      <c r="M525" s="269"/>
      <c r="N525" s="269"/>
      <c r="O525" s="269"/>
      <c r="P525" s="269"/>
      <c r="Q525" s="269"/>
      <c r="R525" s="269"/>
      <c r="S525" s="269"/>
      <c r="T525" s="269"/>
      <c r="U525" s="269"/>
      <c r="V525" s="269"/>
      <c r="W525" s="269"/>
      <c r="X525" s="269"/>
      <c r="Y525" s="269"/>
      <c r="Z525" s="269"/>
    </row>
    <row r="526">
      <c r="A526" s="269"/>
      <c r="B526" s="269"/>
      <c r="C526" s="269"/>
      <c r="D526" s="269"/>
      <c r="E526" s="269"/>
      <c r="F526" s="269"/>
      <c r="G526" s="269"/>
      <c r="H526" s="269"/>
      <c r="I526" s="269"/>
      <c r="J526" s="269"/>
      <c r="K526" s="269"/>
      <c r="L526" s="269"/>
      <c r="M526" s="269"/>
      <c r="N526" s="269"/>
      <c r="O526" s="269"/>
      <c r="P526" s="269"/>
      <c r="Q526" s="269"/>
      <c r="R526" s="269"/>
      <c r="S526" s="269"/>
      <c r="T526" s="269"/>
      <c r="U526" s="269"/>
      <c r="V526" s="269"/>
      <c r="W526" s="269"/>
      <c r="X526" s="269"/>
      <c r="Y526" s="269"/>
      <c r="Z526" s="269"/>
    </row>
    <row r="527">
      <c r="A527" s="269"/>
      <c r="B527" s="269"/>
      <c r="C527" s="269"/>
      <c r="D527" s="269"/>
      <c r="E527" s="269"/>
      <c r="F527" s="269"/>
      <c r="G527" s="269"/>
      <c r="H527" s="269"/>
      <c r="I527" s="269"/>
      <c r="J527" s="269"/>
      <c r="K527" s="269"/>
      <c r="L527" s="269"/>
      <c r="M527" s="269"/>
      <c r="N527" s="269"/>
      <c r="O527" s="269"/>
      <c r="P527" s="269"/>
      <c r="Q527" s="269"/>
      <c r="R527" s="269"/>
      <c r="S527" s="269"/>
      <c r="T527" s="269"/>
      <c r="U527" s="269"/>
      <c r="V527" s="269"/>
      <c r="W527" s="269"/>
      <c r="X527" s="269"/>
      <c r="Y527" s="269"/>
      <c r="Z527" s="269"/>
    </row>
    <row r="528">
      <c r="A528" s="269"/>
      <c r="B528" s="269"/>
      <c r="C528" s="269"/>
      <c r="D528" s="269"/>
      <c r="E528" s="269"/>
      <c r="F528" s="269"/>
      <c r="G528" s="269"/>
      <c r="H528" s="269"/>
      <c r="I528" s="269"/>
      <c r="J528" s="269"/>
      <c r="K528" s="269"/>
      <c r="L528" s="269"/>
      <c r="M528" s="269"/>
      <c r="N528" s="269"/>
      <c r="O528" s="269"/>
      <c r="P528" s="269"/>
      <c r="Q528" s="269"/>
      <c r="R528" s="269"/>
      <c r="S528" s="269"/>
      <c r="T528" s="269"/>
      <c r="U528" s="269"/>
      <c r="V528" s="269"/>
      <c r="W528" s="269"/>
      <c r="X528" s="269"/>
      <c r="Y528" s="269"/>
      <c r="Z528" s="269"/>
    </row>
    <row r="529">
      <c r="A529" s="269"/>
      <c r="B529" s="269"/>
      <c r="C529" s="269"/>
      <c r="D529" s="269"/>
      <c r="E529" s="269"/>
      <c r="F529" s="269"/>
      <c r="G529" s="269"/>
      <c r="H529" s="269"/>
      <c r="I529" s="269"/>
      <c r="J529" s="269"/>
      <c r="K529" s="269"/>
      <c r="L529" s="269"/>
      <c r="M529" s="269"/>
      <c r="N529" s="269"/>
      <c r="O529" s="269"/>
      <c r="P529" s="269"/>
      <c r="Q529" s="269"/>
      <c r="R529" s="269"/>
      <c r="S529" s="269"/>
      <c r="T529" s="269"/>
      <c r="U529" s="269"/>
      <c r="V529" s="269"/>
      <c r="W529" s="269"/>
      <c r="X529" s="269"/>
      <c r="Y529" s="269"/>
      <c r="Z529" s="269"/>
    </row>
    <row r="530">
      <c r="A530" s="269"/>
      <c r="B530" s="269"/>
      <c r="C530" s="269"/>
      <c r="D530" s="269"/>
      <c r="E530" s="269"/>
      <c r="F530" s="269"/>
      <c r="G530" s="269"/>
      <c r="H530" s="269"/>
      <c r="I530" s="269"/>
      <c r="J530" s="269"/>
      <c r="K530" s="269"/>
      <c r="L530" s="269"/>
      <c r="M530" s="269"/>
      <c r="N530" s="269"/>
      <c r="O530" s="269"/>
      <c r="P530" s="269"/>
      <c r="Q530" s="269"/>
      <c r="R530" s="269"/>
      <c r="S530" s="269"/>
      <c r="T530" s="269"/>
      <c r="U530" s="269"/>
      <c r="V530" s="269"/>
      <c r="W530" s="269"/>
      <c r="X530" s="269"/>
      <c r="Y530" s="269"/>
      <c r="Z530" s="269"/>
    </row>
    <row r="531">
      <c r="A531" s="269"/>
      <c r="B531" s="269"/>
      <c r="C531" s="269"/>
      <c r="D531" s="269"/>
      <c r="E531" s="269"/>
      <c r="F531" s="269"/>
      <c r="G531" s="269"/>
      <c r="H531" s="269"/>
      <c r="I531" s="269"/>
      <c r="J531" s="269"/>
      <c r="K531" s="269"/>
      <c r="L531" s="269"/>
      <c r="M531" s="269"/>
      <c r="N531" s="269"/>
      <c r="O531" s="269"/>
      <c r="P531" s="269"/>
      <c r="Q531" s="269"/>
      <c r="R531" s="269"/>
      <c r="S531" s="269"/>
      <c r="T531" s="269"/>
      <c r="U531" s="269"/>
      <c r="V531" s="269"/>
      <c r="W531" s="269"/>
      <c r="X531" s="269"/>
      <c r="Y531" s="269"/>
      <c r="Z531" s="269"/>
    </row>
    <row r="532">
      <c r="A532" s="269"/>
      <c r="B532" s="269"/>
      <c r="C532" s="269"/>
      <c r="D532" s="269"/>
      <c r="E532" s="269"/>
      <c r="F532" s="269"/>
      <c r="G532" s="269"/>
      <c r="H532" s="269"/>
      <c r="I532" s="269"/>
      <c r="J532" s="269"/>
      <c r="K532" s="269"/>
      <c r="L532" s="269"/>
      <c r="M532" s="269"/>
      <c r="N532" s="269"/>
      <c r="O532" s="269"/>
      <c r="P532" s="269"/>
      <c r="Q532" s="269"/>
      <c r="R532" s="269"/>
      <c r="S532" s="269"/>
      <c r="T532" s="269"/>
      <c r="U532" s="269"/>
      <c r="V532" s="269"/>
      <c r="W532" s="269"/>
      <c r="X532" s="269"/>
      <c r="Y532" s="269"/>
      <c r="Z532" s="269"/>
    </row>
    <row r="533">
      <c r="A533" s="269"/>
      <c r="B533" s="269"/>
      <c r="C533" s="269"/>
      <c r="D533" s="269"/>
      <c r="E533" s="269"/>
      <c r="F533" s="269"/>
      <c r="G533" s="269"/>
      <c r="H533" s="269"/>
      <c r="I533" s="269"/>
      <c r="J533" s="269"/>
      <c r="K533" s="269"/>
      <c r="L533" s="269"/>
      <c r="M533" s="269"/>
      <c r="N533" s="269"/>
      <c r="O533" s="269"/>
      <c r="P533" s="269"/>
      <c r="Q533" s="269"/>
      <c r="R533" s="269"/>
      <c r="S533" s="269"/>
      <c r="T533" s="269"/>
      <c r="U533" s="269"/>
      <c r="V533" s="269"/>
      <c r="W533" s="269"/>
      <c r="X533" s="269"/>
      <c r="Y533" s="269"/>
      <c r="Z533" s="269"/>
    </row>
    <row r="534">
      <c r="A534" s="269"/>
      <c r="B534" s="269"/>
      <c r="C534" s="269"/>
      <c r="D534" s="269"/>
      <c r="E534" s="269"/>
      <c r="F534" s="269"/>
      <c r="G534" s="269"/>
      <c r="H534" s="269"/>
      <c r="I534" s="269"/>
      <c r="J534" s="269"/>
      <c r="K534" s="269"/>
      <c r="L534" s="269"/>
      <c r="M534" s="269"/>
      <c r="N534" s="269"/>
      <c r="O534" s="269"/>
      <c r="P534" s="269"/>
      <c r="Q534" s="269"/>
      <c r="R534" s="269"/>
      <c r="S534" s="269"/>
      <c r="T534" s="269"/>
      <c r="U534" s="269"/>
      <c r="V534" s="269"/>
      <c r="W534" s="269"/>
      <c r="X534" s="269"/>
      <c r="Y534" s="269"/>
      <c r="Z534" s="269"/>
    </row>
    <row r="535">
      <c r="A535" s="269"/>
      <c r="B535" s="269"/>
      <c r="C535" s="269"/>
      <c r="D535" s="269"/>
      <c r="E535" s="269"/>
      <c r="F535" s="269"/>
      <c r="G535" s="269"/>
      <c r="H535" s="269"/>
      <c r="I535" s="269"/>
      <c r="J535" s="269"/>
      <c r="K535" s="269"/>
      <c r="L535" s="269"/>
      <c r="M535" s="269"/>
      <c r="N535" s="269"/>
      <c r="O535" s="269"/>
      <c r="P535" s="269"/>
      <c r="Q535" s="269"/>
      <c r="R535" s="269"/>
      <c r="S535" s="269"/>
      <c r="T535" s="269"/>
      <c r="U535" s="269"/>
      <c r="V535" s="269"/>
      <c r="W535" s="269"/>
      <c r="X535" s="269"/>
      <c r="Y535" s="269"/>
      <c r="Z535" s="269"/>
    </row>
    <row r="536">
      <c r="A536" s="269"/>
      <c r="B536" s="269"/>
      <c r="C536" s="269"/>
      <c r="D536" s="269"/>
      <c r="E536" s="269"/>
      <c r="F536" s="269"/>
      <c r="G536" s="269"/>
      <c r="H536" s="269"/>
      <c r="I536" s="269"/>
      <c r="J536" s="269"/>
      <c r="K536" s="269"/>
      <c r="L536" s="269"/>
      <c r="M536" s="269"/>
      <c r="N536" s="269"/>
      <c r="O536" s="269"/>
      <c r="P536" s="269"/>
      <c r="Q536" s="269"/>
      <c r="R536" s="269"/>
      <c r="S536" s="269"/>
      <c r="T536" s="269"/>
      <c r="U536" s="269"/>
      <c r="V536" s="269"/>
      <c r="W536" s="269"/>
      <c r="X536" s="269"/>
      <c r="Y536" s="269"/>
      <c r="Z536" s="269"/>
    </row>
    <row r="537">
      <c r="A537" s="269"/>
      <c r="B537" s="269"/>
      <c r="C537" s="269"/>
      <c r="D537" s="269"/>
      <c r="E537" s="269"/>
      <c r="F537" s="269"/>
      <c r="G537" s="269"/>
      <c r="H537" s="269"/>
      <c r="I537" s="269"/>
      <c r="J537" s="269"/>
      <c r="K537" s="269"/>
      <c r="L537" s="269"/>
      <c r="M537" s="269"/>
      <c r="N537" s="269"/>
      <c r="O537" s="269"/>
      <c r="P537" s="269"/>
      <c r="Q537" s="269"/>
      <c r="R537" s="269"/>
      <c r="S537" s="269"/>
      <c r="T537" s="269"/>
      <c r="U537" s="269"/>
      <c r="V537" s="269"/>
      <c r="W537" s="269"/>
      <c r="X537" s="269"/>
      <c r="Y537" s="269"/>
      <c r="Z537" s="269"/>
    </row>
    <row r="538">
      <c r="A538" s="269"/>
      <c r="B538" s="269"/>
      <c r="C538" s="269"/>
      <c r="D538" s="269"/>
      <c r="E538" s="269"/>
      <c r="F538" s="269"/>
      <c r="G538" s="269"/>
      <c r="H538" s="269"/>
      <c r="I538" s="269"/>
      <c r="J538" s="269"/>
      <c r="K538" s="269"/>
      <c r="L538" s="269"/>
      <c r="M538" s="269"/>
      <c r="N538" s="269"/>
      <c r="O538" s="269"/>
      <c r="P538" s="269"/>
      <c r="Q538" s="269"/>
      <c r="R538" s="269"/>
      <c r="S538" s="269"/>
      <c r="T538" s="269"/>
      <c r="U538" s="269"/>
      <c r="V538" s="269"/>
      <c r="W538" s="269"/>
      <c r="X538" s="269"/>
      <c r="Y538" s="269"/>
      <c r="Z538" s="269"/>
    </row>
    <row r="539">
      <c r="A539" s="269"/>
      <c r="B539" s="269"/>
      <c r="C539" s="269"/>
      <c r="D539" s="269"/>
      <c r="E539" s="269"/>
      <c r="F539" s="269"/>
      <c r="G539" s="269"/>
      <c r="H539" s="269"/>
      <c r="I539" s="269"/>
      <c r="J539" s="269"/>
      <c r="K539" s="269"/>
      <c r="L539" s="269"/>
      <c r="M539" s="269"/>
      <c r="N539" s="269"/>
      <c r="O539" s="269"/>
      <c r="P539" s="269"/>
      <c r="Q539" s="269"/>
      <c r="R539" s="269"/>
      <c r="S539" s="269"/>
      <c r="T539" s="269"/>
      <c r="U539" s="269"/>
      <c r="V539" s="269"/>
      <c r="W539" s="269"/>
      <c r="X539" s="269"/>
      <c r="Y539" s="269"/>
      <c r="Z539" s="269"/>
    </row>
    <row r="540">
      <c r="A540" s="269"/>
      <c r="B540" s="269"/>
      <c r="C540" s="269"/>
      <c r="D540" s="269"/>
      <c r="E540" s="269"/>
      <c r="F540" s="269"/>
      <c r="G540" s="269"/>
      <c r="H540" s="269"/>
      <c r="I540" s="269"/>
      <c r="J540" s="269"/>
      <c r="K540" s="269"/>
      <c r="L540" s="269"/>
      <c r="M540" s="269"/>
      <c r="N540" s="269"/>
      <c r="O540" s="269"/>
      <c r="P540" s="269"/>
      <c r="Q540" s="269"/>
      <c r="R540" s="269"/>
      <c r="S540" s="269"/>
      <c r="T540" s="269"/>
      <c r="U540" s="269"/>
      <c r="V540" s="269"/>
      <c r="W540" s="269"/>
      <c r="X540" s="269"/>
      <c r="Y540" s="269"/>
      <c r="Z540" s="269"/>
    </row>
    <row r="541">
      <c r="A541" s="269"/>
      <c r="B541" s="269"/>
      <c r="C541" s="269"/>
      <c r="D541" s="269"/>
      <c r="E541" s="269"/>
      <c r="F541" s="269"/>
      <c r="G541" s="269"/>
      <c r="H541" s="269"/>
      <c r="I541" s="269"/>
      <c r="J541" s="269"/>
      <c r="K541" s="269"/>
      <c r="L541" s="269"/>
      <c r="M541" s="269"/>
      <c r="N541" s="269"/>
      <c r="O541" s="269"/>
      <c r="P541" s="269"/>
      <c r="Q541" s="269"/>
      <c r="R541" s="269"/>
      <c r="S541" s="269"/>
      <c r="T541" s="269"/>
      <c r="U541" s="269"/>
      <c r="V541" s="269"/>
      <c r="W541" s="269"/>
      <c r="X541" s="269"/>
      <c r="Y541" s="269"/>
      <c r="Z541" s="269"/>
    </row>
    <row r="542">
      <c r="A542" s="269"/>
      <c r="B542" s="269"/>
      <c r="C542" s="269"/>
      <c r="D542" s="269"/>
      <c r="E542" s="269"/>
      <c r="F542" s="269"/>
      <c r="G542" s="269"/>
      <c r="H542" s="269"/>
      <c r="I542" s="269"/>
      <c r="J542" s="269"/>
      <c r="K542" s="269"/>
      <c r="L542" s="269"/>
      <c r="M542" s="269"/>
      <c r="N542" s="269"/>
      <c r="O542" s="269"/>
      <c r="P542" s="269"/>
      <c r="Q542" s="269"/>
      <c r="R542" s="269"/>
      <c r="S542" s="269"/>
      <c r="T542" s="269"/>
      <c r="U542" s="269"/>
      <c r="V542" s="269"/>
      <c r="W542" s="269"/>
      <c r="X542" s="269"/>
      <c r="Y542" s="269"/>
      <c r="Z542" s="269"/>
    </row>
    <row r="543">
      <c r="A543" s="269"/>
      <c r="B543" s="269"/>
      <c r="C543" s="269"/>
      <c r="D543" s="269"/>
      <c r="E543" s="269"/>
      <c r="F543" s="269"/>
      <c r="G543" s="269"/>
      <c r="H543" s="269"/>
      <c r="I543" s="269"/>
      <c r="J543" s="269"/>
      <c r="K543" s="269"/>
      <c r="L543" s="269"/>
      <c r="M543" s="269"/>
      <c r="N543" s="269"/>
      <c r="O543" s="269"/>
      <c r="P543" s="269"/>
      <c r="Q543" s="269"/>
      <c r="R543" s="269"/>
      <c r="S543" s="269"/>
      <c r="T543" s="269"/>
      <c r="U543" s="269"/>
      <c r="V543" s="269"/>
      <c r="W543" s="269"/>
      <c r="X543" s="269"/>
      <c r="Y543" s="269"/>
      <c r="Z543" s="269"/>
    </row>
    <row r="544">
      <c r="A544" s="269"/>
      <c r="B544" s="269"/>
      <c r="C544" s="269"/>
      <c r="D544" s="269"/>
      <c r="E544" s="269"/>
      <c r="F544" s="269"/>
      <c r="G544" s="269"/>
      <c r="H544" s="269"/>
      <c r="I544" s="269"/>
      <c r="J544" s="269"/>
      <c r="K544" s="269"/>
      <c r="L544" s="269"/>
      <c r="M544" s="269"/>
      <c r="N544" s="269"/>
      <c r="O544" s="269"/>
      <c r="P544" s="269"/>
      <c r="Q544" s="269"/>
      <c r="R544" s="269"/>
      <c r="S544" s="269"/>
      <c r="T544" s="269"/>
      <c r="U544" s="269"/>
      <c r="V544" s="269"/>
      <c r="W544" s="269"/>
      <c r="X544" s="269"/>
      <c r="Y544" s="269"/>
      <c r="Z544" s="269"/>
    </row>
    <row r="545">
      <c r="A545" s="269"/>
      <c r="B545" s="269"/>
      <c r="C545" s="269"/>
      <c r="D545" s="269"/>
      <c r="E545" s="269"/>
      <c r="F545" s="269"/>
      <c r="G545" s="269"/>
      <c r="H545" s="269"/>
      <c r="I545" s="269"/>
      <c r="J545" s="269"/>
      <c r="K545" s="269"/>
      <c r="L545" s="269"/>
      <c r="M545" s="269"/>
      <c r="N545" s="269"/>
      <c r="O545" s="269"/>
      <c r="P545" s="269"/>
      <c r="Q545" s="269"/>
      <c r="R545" s="269"/>
      <c r="S545" s="269"/>
      <c r="T545" s="269"/>
      <c r="U545" s="269"/>
      <c r="V545" s="269"/>
      <c r="W545" s="269"/>
      <c r="X545" s="269"/>
      <c r="Y545" s="269"/>
      <c r="Z545" s="269"/>
    </row>
    <row r="546">
      <c r="A546" s="269"/>
      <c r="B546" s="269"/>
      <c r="C546" s="269"/>
      <c r="D546" s="269"/>
      <c r="E546" s="269"/>
      <c r="F546" s="269"/>
      <c r="G546" s="269"/>
      <c r="H546" s="269"/>
      <c r="I546" s="269"/>
      <c r="J546" s="269"/>
      <c r="K546" s="269"/>
      <c r="L546" s="269"/>
      <c r="M546" s="269"/>
      <c r="N546" s="269"/>
      <c r="O546" s="269"/>
      <c r="P546" s="269"/>
      <c r="Q546" s="269"/>
      <c r="R546" s="269"/>
      <c r="S546" s="269"/>
      <c r="T546" s="269"/>
      <c r="U546" s="269"/>
      <c r="V546" s="269"/>
      <c r="W546" s="269"/>
      <c r="X546" s="269"/>
      <c r="Y546" s="269"/>
      <c r="Z546" s="269"/>
    </row>
    <row r="547">
      <c r="A547" s="269"/>
      <c r="B547" s="269"/>
      <c r="C547" s="269"/>
      <c r="D547" s="269"/>
      <c r="E547" s="269"/>
      <c r="F547" s="269"/>
      <c r="G547" s="269"/>
      <c r="H547" s="269"/>
      <c r="I547" s="269"/>
      <c r="J547" s="269"/>
      <c r="K547" s="269"/>
      <c r="L547" s="269"/>
      <c r="M547" s="269"/>
      <c r="N547" s="269"/>
      <c r="O547" s="269"/>
      <c r="P547" s="269"/>
      <c r="Q547" s="269"/>
      <c r="R547" s="269"/>
      <c r="S547" s="269"/>
      <c r="T547" s="269"/>
      <c r="U547" s="269"/>
      <c r="V547" s="269"/>
      <c r="W547" s="269"/>
      <c r="X547" s="269"/>
      <c r="Y547" s="269"/>
      <c r="Z547" s="269"/>
    </row>
    <row r="548">
      <c r="A548" s="269"/>
      <c r="B548" s="269"/>
      <c r="C548" s="269"/>
      <c r="D548" s="269"/>
      <c r="E548" s="269"/>
      <c r="F548" s="269"/>
      <c r="G548" s="269"/>
      <c r="H548" s="269"/>
      <c r="I548" s="269"/>
      <c r="J548" s="269"/>
      <c r="K548" s="269"/>
      <c r="L548" s="269"/>
      <c r="M548" s="269"/>
      <c r="N548" s="269"/>
      <c r="O548" s="269"/>
      <c r="P548" s="269"/>
      <c r="Q548" s="269"/>
      <c r="R548" s="269"/>
      <c r="S548" s="269"/>
      <c r="T548" s="269"/>
      <c r="U548" s="269"/>
      <c r="V548" s="269"/>
      <c r="W548" s="269"/>
      <c r="X548" s="269"/>
      <c r="Y548" s="269"/>
      <c r="Z548" s="269"/>
    </row>
    <row r="549">
      <c r="A549" s="269"/>
      <c r="B549" s="269"/>
      <c r="C549" s="269"/>
      <c r="D549" s="269"/>
      <c r="E549" s="269"/>
      <c r="F549" s="269"/>
      <c r="G549" s="269"/>
      <c r="H549" s="269"/>
      <c r="I549" s="269"/>
      <c r="J549" s="269"/>
      <c r="K549" s="269"/>
      <c r="L549" s="269"/>
      <c r="M549" s="269"/>
      <c r="N549" s="269"/>
      <c r="O549" s="269"/>
      <c r="P549" s="269"/>
      <c r="Q549" s="269"/>
      <c r="R549" s="269"/>
      <c r="S549" s="269"/>
      <c r="T549" s="269"/>
      <c r="U549" s="269"/>
      <c r="V549" s="269"/>
      <c r="W549" s="269"/>
      <c r="X549" s="269"/>
      <c r="Y549" s="269"/>
      <c r="Z549" s="269"/>
    </row>
    <row r="550">
      <c r="A550" s="269"/>
      <c r="B550" s="269"/>
      <c r="C550" s="269"/>
      <c r="D550" s="269"/>
      <c r="E550" s="269"/>
      <c r="F550" s="269"/>
      <c r="G550" s="269"/>
      <c r="H550" s="269"/>
      <c r="I550" s="269"/>
      <c r="J550" s="269"/>
      <c r="K550" s="269"/>
      <c r="L550" s="269"/>
      <c r="M550" s="269"/>
      <c r="N550" s="269"/>
      <c r="O550" s="269"/>
      <c r="P550" s="269"/>
      <c r="Q550" s="269"/>
      <c r="R550" s="269"/>
      <c r="S550" s="269"/>
      <c r="T550" s="269"/>
      <c r="U550" s="269"/>
      <c r="V550" s="269"/>
      <c r="W550" s="269"/>
      <c r="X550" s="269"/>
      <c r="Y550" s="269"/>
      <c r="Z550" s="269"/>
    </row>
    <row r="551">
      <c r="A551" s="269"/>
      <c r="B551" s="269"/>
      <c r="C551" s="269"/>
      <c r="D551" s="269"/>
      <c r="E551" s="269"/>
      <c r="F551" s="269"/>
      <c r="G551" s="269"/>
      <c r="H551" s="269"/>
      <c r="I551" s="269"/>
      <c r="J551" s="269"/>
      <c r="K551" s="269"/>
      <c r="L551" s="269"/>
      <c r="M551" s="269"/>
      <c r="N551" s="269"/>
      <c r="O551" s="269"/>
      <c r="P551" s="269"/>
      <c r="Q551" s="269"/>
      <c r="R551" s="269"/>
      <c r="S551" s="269"/>
      <c r="T551" s="269"/>
      <c r="U551" s="269"/>
      <c r="V551" s="269"/>
      <c r="W551" s="269"/>
      <c r="X551" s="269"/>
      <c r="Y551" s="269"/>
      <c r="Z551" s="269"/>
    </row>
    <row r="552">
      <c r="A552" s="269"/>
      <c r="B552" s="269"/>
      <c r="C552" s="269"/>
      <c r="D552" s="269"/>
      <c r="E552" s="269"/>
      <c r="F552" s="269"/>
      <c r="G552" s="269"/>
      <c r="H552" s="269"/>
      <c r="I552" s="269"/>
      <c r="J552" s="269"/>
      <c r="K552" s="269"/>
      <c r="L552" s="269"/>
      <c r="M552" s="269"/>
      <c r="N552" s="269"/>
      <c r="O552" s="269"/>
      <c r="P552" s="269"/>
      <c r="Q552" s="269"/>
      <c r="R552" s="269"/>
      <c r="S552" s="269"/>
      <c r="T552" s="269"/>
      <c r="U552" s="269"/>
      <c r="V552" s="269"/>
      <c r="W552" s="269"/>
      <c r="X552" s="269"/>
      <c r="Y552" s="269"/>
      <c r="Z552" s="269"/>
    </row>
    <row r="553">
      <c r="A553" s="269"/>
      <c r="B553" s="269"/>
      <c r="C553" s="269"/>
      <c r="D553" s="269"/>
      <c r="E553" s="269"/>
      <c r="F553" s="269"/>
      <c r="G553" s="269"/>
      <c r="H553" s="269"/>
      <c r="I553" s="269"/>
      <c r="J553" s="269"/>
      <c r="K553" s="269"/>
      <c r="L553" s="269"/>
      <c r="M553" s="269"/>
      <c r="N553" s="269"/>
      <c r="O553" s="269"/>
      <c r="P553" s="269"/>
      <c r="Q553" s="269"/>
      <c r="R553" s="269"/>
      <c r="S553" s="269"/>
      <c r="T553" s="269"/>
      <c r="U553" s="269"/>
      <c r="V553" s="269"/>
      <c r="W553" s="269"/>
      <c r="X553" s="269"/>
      <c r="Y553" s="269"/>
      <c r="Z553" s="269"/>
    </row>
    <row r="554">
      <c r="A554" s="269"/>
      <c r="B554" s="269"/>
      <c r="C554" s="269"/>
      <c r="D554" s="269"/>
      <c r="E554" s="269"/>
      <c r="F554" s="269"/>
      <c r="G554" s="269"/>
      <c r="H554" s="269"/>
      <c r="I554" s="269"/>
      <c r="J554" s="269"/>
      <c r="K554" s="269"/>
      <c r="L554" s="269"/>
      <c r="M554" s="269"/>
      <c r="N554" s="269"/>
      <c r="O554" s="269"/>
      <c r="P554" s="269"/>
      <c r="Q554" s="269"/>
      <c r="R554" s="269"/>
      <c r="S554" s="269"/>
      <c r="T554" s="269"/>
      <c r="U554" s="269"/>
      <c r="V554" s="269"/>
      <c r="W554" s="269"/>
      <c r="X554" s="269"/>
      <c r="Y554" s="269"/>
      <c r="Z554" s="269"/>
    </row>
    <row r="555">
      <c r="A555" s="269"/>
      <c r="B555" s="269"/>
      <c r="C555" s="269"/>
      <c r="D555" s="269"/>
      <c r="E555" s="269"/>
      <c r="F555" s="269"/>
      <c r="G555" s="269"/>
      <c r="H555" s="269"/>
      <c r="I555" s="269"/>
      <c r="J555" s="269"/>
      <c r="K555" s="269"/>
      <c r="L555" s="269"/>
      <c r="M555" s="269"/>
      <c r="N555" s="269"/>
      <c r="O555" s="269"/>
      <c r="P555" s="269"/>
      <c r="Q555" s="269"/>
      <c r="R555" s="269"/>
      <c r="S555" s="269"/>
      <c r="T555" s="269"/>
      <c r="U555" s="269"/>
      <c r="V555" s="269"/>
      <c r="W555" s="269"/>
      <c r="X555" s="269"/>
      <c r="Y555" s="269"/>
      <c r="Z555" s="269"/>
    </row>
    <row r="556">
      <c r="A556" s="269"/>
      <c r="B556" s="269"/>
      <c r="C556" s="269"/>
      <c r="D556" s="269"/>
      <c r="E556" s="269"/>
      <c r="F556" s="269"/>
      <c r="G556" s="269"/>
      <c r="H556" s="269"/>
      <c r="I556" s="269"/>
      <c r="J556" s="269"/>
      <c r="K556" s="269"/>
      <c r="L556" s="269"/>
      <c r="M556" s="269"/>
      <c r="N556" s="269"/>
      <c r="O556" s="269"/>
      <c r="P556" s="269"/>
      <c r="Q556" s="269"/>
      <c r="R556" s="269"/>
      <c r="S556" s="269"/>
      <c r="T556" s="269"/>
      <c r="U556" s="269"/>
      <c r="V556" s="269"/>
      <c r="W556" s="269"/>
      <c r="X556" s="269"/>
      <c r="Y556" s="269"/>
      <c r="Z556" s="269"/>
    </row>
    <row r="557">
      <c r="A557" s="269"/>
      <c r="B557" s="269"/>
      <c r="C557" s="269"/>
      <c r="D557" s="269"/>
      <c r="E557" s="269"/>
      <c r="F557" s="269"/>
      <c r="G557" s="269"/>
      <c r="H557" s="269"/>
      <c r="I557" s="269"/>
      <c r="J557" s="269"/>
      <c r="K557" s="269"/>
      <c r="L557" s="269"/>
      <c r="M557" s="269"/>
      <c r="N557" s="269"/>
      <c r="O557" s="269"/>
      <c r="P557" s="269"/>
      <c r="Q557" s="269"/>
      <c r="R557" s="269"/>
      <c r="S557" s="269"/>
      <c r="T557" s="269"/>
      <c r="U557" s="269"/>
      <c r="V557" s="269"/>
      <c r="W557" s="269"/>
      <c r="X557" s="269"/>
      <c r="Y557" s="269"/>
      <c r="Z557" s="269"/>
    </row>
    <row r="558">
      <c r="A558" s="269"/>
      <c r="B558" s="269"/>
      <c r="C558" s="269"/>
      <c r="D558" s="269"/>
      <c r="E558" s="269"/>
      <c r="F558" s="269"/>
      <c r="G558" s="269"/>
      <c r="H558" s="269"/>
      <c r="I558" s="269"/>
      <c r="J558" s="269"/>
      <c r="K558" s="269"/>
      <c r="L558" s="269"/>
      <c r="M558" s="269"/>
      <c r="N558" s="269"/>
      <c r="O558" s="269"/>
      <c r="P558" s="269"/>
      <c r="Q558" s="269"/>
      <c r="R558" s="269"/>
      <c r="S558" s="269"/>
      <c r="T558" s="269"/>
      <c r="U558" s="269"/>
      <c r="V558" s="269"/>
      <c r="W558" s="269"/>
      <c r="X558" s="269"/>
      <c r="Y558" s="269"/>
      <c r="Z558" s="269"/>
    </row>
    <row r="559">
      <c r="A559" s="269"/>
      <c r="B559" s="269"/>
      <c r="C559" s="269"/>
      <c r="D559" s="269"/>
      <c r="E559" s="269"/>
      <c r="F559" s="269"/>
      <c r="G559" s="269"/>
      <c r="H559" s="269"/>
      <c r="I559" s="269"/>
      <c r="J559" s="269"/>
      <c r="K559" s="269"/>
      <c r="L559" s="269"/>
      <c r="M559" s="269"/>
      <c r="N559" s="269"/>
      <c r="O559" s="269"/>
      <c r="P559" s="269"/>
      <c r="Q559" s="269"/>
      <c r="R559" s="269"/>
      <c r="S559" s="269"/>
      <c r="T559" s="269"/>
      <c r="U559" s="269"/>
      <c r="V559" s="269"/>
      <c r="W559" s="269"/>
      <c r="X559" s="269"/>
      <c r="Y559" s="269"/>
      <c r="Z559" s="269"/>
    </row>
    <row r="560">
      <c r="A560" s="269"/>
      <c r="B560" s="269"/>
      <c r="C560" s="269"/>
      <c r="D560" s="269"/>
      <c r="E560" s="269"/>
      <c r="F560" s="269"/>
      <c r="G560" s="269"/>
      <c r="H560" s="269"/>
      <c r="I560" s="269"/>
      <c r="J560" s="269"/>
      <c r="K560" s="269"/>
      <c r="L560" s="269"/>
      <c r="M560" s="269"/>
      <c r="N560" s="269"/>
      <c r="O560" s="269"/>
      <c r="P560" s="269"/>
      <c r="Q560" s="269"/>
      <c r="R560" s="269"/>
      <c r="S560" s="269"/>
      <c r="T560" s="269"/>
      <c r="U560" s="269"/>
      <c r="V560" s="269"/>
      <c r="W560" s="269"/>
      <c r="X560" s="269"/>
      <c r="Y560" s="269"/>
      <c r="Z560" s="269"/>
    </row>
    <row r="561">
      <c r="A561" s="269"/>
      <c r="B561" s="269"/>
      <c r="C561" s="269"/>
      <c r="D561" s="269"/>
      <c r="E561" s="269"/>
      <c r="F561" s="269"/>
      <c r="G561" s="269"/>
      <c r="H561" s="269"/>
      <c r="I561" s="269"/>
      <c r="J561" s="269"/>
      <c r="K561" s="269"/>
      <c r="L561" s="269"/>
      <c r="M561" s="269"/>
      <c r="N561" s="269"/>
      <c r="O561" s="269"/>
      <c r="P561" s="269"/>
      <c r="Q561" s="269"/>
      <c r="R561" s="269"/>
      <c r="S561" s="269"/>
      <c r="T561" s="269"/>
      <c r="U561" s="269"/>
      <c r="V561" s="269"/>
      <c r="W561" s="269"/>
      <c r="X561" s="269"/>
      <c r="Y561" s="269"/>
      <c r="Z561" s="269"/>
    </row>
    <row r="562">
      <c r="A562" s="269"/>
      <c r="B562" s="269"/>
      <c r="C562" s="269"/>
      <c r="D562" s="269"/>
      <c r="E562" s="269"/>
      <c r="F562" s="269"/>
      <c r="G562" s="269"/>
      <c r="H562" s="269"/>
      <c r="I562" s="269"/>
      <c r="J562" s="269"/>
      <c r="K562" s="269"/>
      <c r="L562" s="269"/>
      <c r="M562" s="269"/>
      <c r="N562" s="269"/>
      <c r="O562" s="269"/>
      <c r="P562" s="269"/>
      <c r="Q562" s="269"/>
      <c r="R562" s="269"/>
      <c r="S562" s="269"/>
      <c r="T562" s="269"/>
      <c r="U562" s="269"/>
      <c r="V562" s="269"/>
      <c r="W562" s="269"/>
      <c r="X562" s="269"/>
      <c r="Y562" s="269"/>
      <c r="Z562" s="269"/>
    </row>
    <row r="563">
      <c r="A563" s="269"/>
      <c r="B563" s="269"/>
      <c r="C563" s="269"/>
      <c r="D563" s="269"/>
      <c r="E563" s="269"/>
      <c r="F563" s="269"/>
      <c r="G563" s="269"/>
      <c r="H563" s="269"/>
      <c r="I563" s="269"/>
      <c r="J563" s="269"/>
      <c r="K563" s="269"/>
      <c r="L563" s="269"/>
      <c r="M563" s="269"/>
      <c r="N563" s="269"/>
      <c r="O563" s="269"/>
      <c r="P563" s="269"/>
      <c r="Q563" s="269"/>
      <c r="R563" s="269"/>
      <c r="S563" s="269"/>
      <c r="T563" s="269"/>
      <c r="U563" s="269"/>
      <c r="V563" s="269"/>
      <c r="W563" s="269"/>
      <c r="X563" s="269"/>
      <c r="Y563" s="269"/>
      <c r="Z563" s="269"/>
    </row>
    <row r="564">
      <c r="A564" s="269"/>
      <c r="B564" s="269"/>
      <c r="C564" s="269"/>
      <c r="D564" s="269"/>
      <c r="E564" s="269"/>
      <c r="F564" s="269"/>
      <c r="G564" s="269"/>
      <c r="H564" s="269"/>
      <c r="I564" s="269"/>
      <c r="J564" s="269"/>
      <c r="K564" s="269"/>
      <c r="L564" s="269"/>
      <c r="M564" s="269"/>
      <c r="N564" s="269"/>
      <c r="O564" s="269"/>
      <c r="P564" s="269"/>
      <c r="Q564" s="269"/>
      <c r="R564" s="269"/>
      <c r="S564" s="269"/>
      <c r="T564" s="269"/>
      <c r="U564" s="269"/>
      <c r="V564" s="269"/>
      <c r="W564" s="269"/>
      <c r="X564" s="269"/>
      <c r="Y564" s="269"/>
      <c r="Z564" s="269"/>
    </row>
    <row r="565">
      <c r="A565" s="269"/>
      <c r="B565" s="269"/>
      <c r="C565" s="269"/>
      <c r="D565" s="269"/>
      <c r="E565" s="269"/>
      <c r="F565" s="269"/>
      <c r="G565" s="269"/>
      <c r="H565" s="269"/>
      <c r="I565" s="269"/>
      <c r="J565" s="269"/>
      <c r="K565" s="269"/>
      <c r="L565" s="269"/>
      <c r="M565" s="269"/>
      <c r="N565" s="269"/>
      <c r="O565" s="269"/>
      <c r="P565" s="269"/>
      <c r="Q565" s="269"/>
      <c r="R565" s="269"/>
      <c r="S565" s="269"/>
      <c r="T565" s="269"/>
      <c r="U565" s="269"/>
      <c r="V565" s="269"/>
      <c r="W565" s="269"/>
      <c r="X565" s="269"/>
      <c r="Y565" s="269"/>
      <c r="Z565" s="269"/>
    </row>
    <row r="566">
      <c r="A566" s="269"/>
      <c r="B566" s="269"/>
      <c r="C566" s="269"/>
      <c r="D566" s="269"/>
      <c r="E566" s="269"/>
      <c r="F566" s="269"/>
      <c r="G566" s="269"/>
      <c r="H566" s="269"/>
      <c r="I566" s="269"/>
      <c r="J566" s="269"/>
      <c r="K566" s="269"/>
      <c r="L566" s="269"/>
      <c r="M566" s="269"/>
      <c r="N566" s="269"/>
      <c r="O566" s="269"/>
      <c r="P566" s="269"/>
      <c r="Q566" s="269"/>
      <c r="R566" s="269"/>
      <c r="S566" s="269"/>
      <c r="T566" s="269"/>
      <c r="U566" s="269"/>
      <c r="V566" s="269"/>
      <c r="W566" s="269"/>
      <c r="X566" s="269"/>
      <c r="Y566" s="269"/>
      <c r="Z566" s="269"/>
    </row>
    <row r="567">
      <c r="A567" s="269"/>
      <c r="B567" s="269"/>
      <c r="C567" s="269"/>
      <c r="D567" s="269"/>
      <c r="E567" s="269"/>
      <c r="F567" s="269"/>
      <c r="G567" s="269"/>
      <c r="H567" s="269"/>
      <c r="I567" s="269"/>
      <c r="J567" s="269"/>
      <c r="K567" s="269"/>
      <c r="L567" s="269"/>
      <c r="M567" s="269"/>
      <c r="N567" s="269"/>
      <c r="O567" s="269"/>
      <c r="P567" s="269"/>
      <c r="Q567" s="269"/>
      <c r="R567" s="269"/>
      <c r="S567" s="269"/>
      <c r="T567" s="269"/>
      <c r="U567" s="269"/>
      <c r="V567" s="269"/>
      <c r="W567" s="269"/>
      <c r="X567" s="269"/>
      <c r="Y567" s="269"/>
      <c r="Z567" s="269"/>
    </row>
    <row r="568">
      <c r="A568" s="269"/>
      <c r="B568" s="269"/>
      <c r="C568" s="269"/>
      <c r="D568" s="269"/>
      <c r="E568" s="269"/>
      <c r="F568" s="269"/>
      <c r="G568" s="269"/>
      <c r="H568" s="269"/>
      <c r="I568" s="269"/>
      <c r="J568" s="269"/>
      <c r="K568" s="269"/>
      <c r="L568" s="269"/>
      <c r="M568" s="269"/>
      <c r="N568" s="269"/>
      <c r="O568" s="269"/>
      <c r="P568" s="269"/>
      <c r="Q568" s="269"/>
      <c r="R568" s="269"/>
      <c r="S568" s="269"/>
      <c r="T568" s="269"/>
      <c r="U568" s="269"/>
      <c r="V568" s="269"/>
      <c r="W568" s="269"/>
      <c r="X568" s="269"/>
      <c r="Y568" s="269"/>
      <c r="Z568" s="269"/>
    </row>
    <row r="569">
      <c r="A569" s="269"/>
      <c r="B569" s="269"/>
      <c r="C569" s="269"/>
      <c r="D569" s="269"/>
      <c r="E569" s="269"/>
      <c r="F569" s="269"/>
      <c r="G569" s="269"/>
      <c r="H569" s="269"/>
      <c r="I569" s="269"/>
      <c r="J569" s="269"/>
      <c r="K569" s="269"/>
      <c r="L569" s="269"/>
      <c r="M569" s="269"/>
      <c r="N569" s="269"/>
      <c r="O569" s="269"/>
      <c r="P569" s="269"/>
      <c r="Q569" s="269"/>
      <c r="R569" s="269"/>
      <c r="S569" s="269"/>
      <c r="T569" s="269"/>
      <c r="U569" s="269"/>
      <c r="V569" s="269"/>
      <c r="W569" s="269"/>
      <c r="X569" s="269"/>
      <c r="Y569" s="269"/>
      <c r="Z569" s="269"/>
    </row>
    <row r="570">
      <c r="A570" s="269"/>
      <c r="B570" s="269"/>
      <c r="C570" s="269"/>
      <c r="D570" s="269"/>
      <c r="E570" s="269"/>
      <c r="F570" s="269"/>
      <c r="G570" s="269"/>
      <c r="H570" s="269"/>
      <c r="I570" s="269"/>
      <c r="J570" s="269"/>
      <c r="K570" s="269"/>
      <c r="L570" s="269"/>
      <c r="M570" s="269"/>
      <c r="N570" s="269"/>
      <c r="O570" s="269"/>
      <c r="P570" s="269"/>
      <c r="Q570" s="269"/>
      <c r="R570" s="269"/>
      <c r="S570" s="269"/>
      <c r="T570" s="269"/>
      <c r="U570" s="269"/>
      <c r="V570" s="269"/>
      <c r="W570" s="269"/>
      <c r="X570" s="269"/>
      <c r="Y570" s="269"/>
      <c r="Z570" s="269"/>
    </row>
    <row r="571">
      <c r="A571" s="269"/>
      <c r="B571" s="269"/>
      <c r="C571" s="269"/>
      <c r="D571" s="269"/>
      <c r="E571" s="269"/>
      <c r="F571" s="269"/>
      <c r="G571" s="269"/>
      <c r="H571" s="269"/>
      <c r="I571" s="269"/>
      <c r="J571" s="269"/>
      <c r="K571" s="269"/>
      <c r="L571" s="269"/>
      <c r="M571" s="269"/>
      <c r="N571" s="269"/>
      <c r="O571" s="269"/>
      <c r="P571" s="269"/>
      <c r="Q571" s="269"/>
      <c r="R571" s="269"/>
      <c r="S571" s="269"/>
      <c r="T571" s="269"/>
      <c r="U571" s="269"/>
      <c r="V571" s="269"/>
      <c r="W571" s="269"/>
      <c r="X571" s="269"/>
      <c r="Y571" s="269"/>
      <c r="Z571" s="269"/>
    </row>
    <row r="572">
      <c r="A572" s="269"/>
      <c r="B572" s="269"/>
      <c r="C572" s="269"/>
      <c r="D572" s="269"/>
      <c r="E572" s="269"/>
      <c r="F572" s="269"/>
      <c r="G572" s="269"/>
      <c r="H572" s="269"/>
      <c r="I572" s="269"/>
      <c r="J572" s="269"/>
      <c r="K572" s="269"/>
      <c r="L572" s="269"/>
      <c r="M572" s="269"/>
      <c r="N572" s="269"/>
      <c r="O572" s="269"/>
      <c r="P572" s="269"/>
      <c r="Q572" s="269"/>
      <c r="R572" s="269"/>
      <c r="S572" s="269"/>
      <c r="T572" s="269"/>
      <c r="U572" s="269"/>
      <c r="V572" s="269"/>
      <c r="W572" s="269"/>
      <c r="X572" s="269"/>
      <c r="Y572" s="269"/>
      <c r="Z572" s="269"/>
    </row>
    <row r="573">
      <c r="A573" s="269"/>
      <c r="B573" s="269"/>
      <c r="C573" s="269"/>
      <c r="D573" s="269"/>
      <c r="E573" s="269"/>
      <c r="F573" s="269"/>
      <c r="G573" s="269"/>
      <c r="H573" s="269"/>
      <c r="I573" s="269"/>
      <c r="J573" s="269"/>
      <c r="K573" s="269"/>
      <c r="L573" s="269"/>
      <c r="M573" s="269"/>
      <c r="N573" s="269"/>
      <c r="O573" s="269"/>
      <c r="P573" s="269"/>
      <c r="Q573" s="269"/>
      <c r="R573" s="269"/>
      <c r="S573" s="269"/>
      <c r="T573" s="269"/>
      <c r="U573" s="269"/>
      <c r="V573" s="269"/>
      <c r="W573" s="269"/>
      <c r="X573" s="269"/>
      <c r="Y573" s="269"/>
      <c r="Z573" s="269"/>
    </row>
    <row r="574">
      <c r="A574" s="269"/>
      <c r="B574" s="269"/>
      <c r="C574" s="269"/>
      <c r="D574" s="269"/>
      <c r="E574" s="269"/>
      <c r="F574" s="269"/>
      <c r="G574" s="269"/>
      <c r="H574" s="269"/>
      <c r="I574" s="269"/>
      <c r="J574" s="269"/>
      <c r="K574" s="269"/>
      <c r="L574" s="269"/>
      <c r="M574" s="269"/>
      <c r="N574" s="269"/>
      <c r="O574" s="269"/>
      <c r="P574" s="269"/>
      <c r="Q574" s="269"/>
      <c r="R574" s="269"/>
      <c r="S574" s="269"/>
      <c r="T574" s="269"/>
      <c r="U574" s="269"/>
      <c r="V574" s="269"/>
      <c r="W574" s="269"/>
      <c r="X574" s="269"/>
      <c r="Y574" s="269"/>
      <c r="Z574" s="269"/>
    </row>
    <row r="575">
      <c r="A575" s="269"/>
      <c r="B575" s="269"/>
      <c r="C575" s="269"/>
      <c r="D575" s="269"/>
      <c r="E575" s="269"/>
      <c r="F575" s="269"/>
      <c r="G575" s="269"/>
      <c r="H575" s="269"/>
      <c r="I575" s="269"/>
      <c r="J575" s="269"/>
      <c r="K575" s="269"/>
      <c r="L575" s="269"/>
      <c r="M575" s="269"/>
      <c r="N575" s="269"/>
      <c r="O575" s="269"/>
      <c r="P575" s="269"/>
      <c r="Q575" s="269"/>
      <c r="R575" s="269"/>
      <c r="S575" s="269"/>
      <c r="T575" s="269"/>
      <c r="U575" s="269"/>
      <c r="V575" s="269"/>
      <c r="W575" s="269"/>
      <c r="X575" s="269"/>
      <c r="Y575" s="269"/>
      <c r="Z575" s="269"/>
    </row>
    <row r="576">
      <c r="A576" s="269"/>
      <c r="B576" s="269"/>
      <c r="C576" s="269"/>
      <c r="D576" s="269"/>
      <c r="E576" s="269"/>
      <c r="F576" s="269"/>
      <c r="G576" s="269"/>
      <c r="H576" s="269"/>
      <c r="I576" s="269"/>
      <c r="J576" s="269"/>
      <c r="K576" s="269"/>
      <c r="L576" s="269"/>
      <c r="M576" s="269"/>
      <c r="N576" s="269"/>
      <c r="O576" s="269"/>
      <c r="P576" s="269"/>
      <c r="Q576" s="269"/>
      <c r="R576" s="269"/>
      <c r="S576" s="269"/>
      <c r="T576" s="269"/>
      <c r="U576" s="269"/>
      <c r="V576" s="269"/>
      <c r="W576" s="269"/>
      <c r="X576" s="269"/>
      <c r="Y576" s="269"/>
      <c r="Z576" s="269"/>
    </row>
    <row r="577">
      <c r="A577" s="269"/>
      <c r="B577" s="269"/>
      <c r="C577" s="269"/>
      <c r="D577" s="269"/>
      <c r="E577" s="269"/>
      <c r="F577" s="269"/>
      <c r="G577" s="269"/>
      <c r="H577" s="269"/>
      <c r="I577" s="269"/>
      <c r="J577" s="269"/>
      <c r="K577" s="269"/>
      <c r="L577" s="269"/>
      <c r="M577" s="269"/>
      <c r="N577" s="269"/>
      <c r="O577" s="269"/>
      <c r="P577" s="269"/>
      <c r="Q577" s="269"/>
      <c r="R577" s="269"/>
      <c r="S577" s="269"/>
      <c r="T577" s="269"/>
      <c r="U577" s="269"/>
      <c r="V577" s="269"/>
      <c r="W577" s="269"/>
      <c r="X577" s="269"/>
      <c r="Y577" s="269"/>
      <c r="Z577" s="269"/>
    </row>
    <row r="578">
      <c r="A578" s="269"/>
      <c r="B578" s="269"/>
      <c r="C578" s="269"/>
      <c r="D578" s="269"/>
      <c r="E578" s="269"/>
      <c r="F578" s="269"/>
      <c r="G578" s="269"/>
      <c r="H578" s="269"/>
      <c r="I578" s="269"/>
      <c r="J578" s="269"/>
      <c r="K578" s="269"/>
      <c r="L578" s="269"/>
      <c r="M578" s="269"/>
      <c r="N578" s="269"/>
      <c r="O578" s="269"/>
      <c r="P578" s="269"/>
      <c r="Q578" s="269"/>
      <c r="R578" s="269"/>
      <c r="S578" s="269"/>
      <c r="T578" s="269"/>
      <c r="U578" s="269"/>
      <c r="V578" s="269"/>
      <c r="W578" s="269"/>
      <c r="X578" s="269"/>
      <c r="Y578" s="269"/>
      <c r="Z578" s="269"/>
    </row>
    <row r="579">
      <c r="A579" s="269"/>
      <c r="B579" s="269"/>
      <c r="C579" s="269"/>
      <c r="D579" s="269"/>
      <c r="E579" s="269"/>
      <c r="F579" s="269"/>
      <c r="G579" s="269"/>
      <c r="H579" s="269"/>
      <c r="I579" s="269"/>
      <c r="J579" s="269"/>
      <c r="K579" s="269"/>
      <c r="L579" s="269"/>
      <c r="M579" s="269"/>
      <c r="N579" s="269"/>
      <c r="O579" s="269"/>
      <c r="P579" s="269"/>
      <c r="Q579" s="269"/>
      <c r="R579" s="269"/>
      <c r="S579" s="269"/>
      <c r="T579" s="269"/>
      <c r="U579" s="269"/>
      <c r="V579" s="269"/>
      <c r="W579" s="269"/>
      <c r="X579" s="269"/>
      <c r="Y579" s="269"/>
      <c r="Z579" s="269"/>
    </row>
    <row r="580">
      <c r="A580" s="269"/>
      <c r="B580" s="269"/>
      <c r="C580" s="269"/>
      <c r="D580" s="269"/>
      <c r="E580" s="269"/>
      <c r="F580" s="269"/>
      <c r="G580" s="269"/>
      <c r="H580" s="269"/>
      <c r="I580" s="269"/>
      <c r="J580" s="269"/>
      <c r="K580" s="269"/>
      <c r="L580" s="269"/>
      <c r="M580" s="269"/>
      <c r="N580" s="269"/>
      <c r="O580" s="269"/>
      <c r="P580" s="269"/>
      <c r="Q580" s="269"/>
      <c r="R580" s="269"/>
      <c r="S580" s="269"/>
      <c r="T580" s="269"/>
      <c r="U580" s="269"/>
      <c r="V580" s="269"/>
      <c r="W580" s="269"/>
      <c r="X580" s="269"/>
      <c r="Y580" s="269"/>
      <c r="Z580" s="269"/>
    </row>
    <row r="581">
      <c r="A581" s="269"/>
      <c r="B581" s="269"/>
      <c r="C581" s="269"/>
      <c r="D581" s="269"/>
      <c r="E581" s="269"/>
      <c r="F581" s="269"/>
      <c r="G581" s="269"/>
      <c r="H581" s="269"/>
      <c r="I581" s="269"/>
      <c r="J581" s="269"/>
      <c r="K581" s="269"/>
      <c r="L581" s="269"/>
      <c r="M581" s="269"/>
      <c r="N581" s="269"/>
      <c r="O581" s="269"/>
      <c r="P581" s="269"/>
      <c r="Q581" s="269"/>
      <c r="R581" s="269"/>
      <c r="S581" s="269"/>
      <c r="T581" s="269"/>
      <c r="U581" s="269"/>
      <c r="V581" s="269"/>
      <c r="W581" s="269"/>
      <c r="X581" s="269"/>
      <c r="Y581" s="269"/>
      <c r="Z581" s="269"/>
    </row>
    <row r="582">
      <c r="A582" s="269"/>
      <c r="B582" s="269"/>
      <c r="C582" s="269"/>
      <c r="D582" s="269"/>
      <c r="E582" s="269"/>
      <c r="F582" s="269"/>
      <c r="G582" s="269"/>
      <c r="H582" s="269"/>
      <c r="I582" s="269"/>
      <c r="J582" s="269"/>
      <c r="K582" s="269"/>
      <c r="L582" s="269"/>
      <c r="M582" s="269"/>
      <c r="N582" s="269"/>
      <c r="O582" s="269"/>
      <c r="P582" s="269"/>
      <c r="Q582" s="269"/>
      <c r="R582" s="269"/>
      <c r="S582" s="269"/>
      <c r="T582" s="269"/>
      <c r="U582" s="269"/>
      <c r="V582" s="269"/>
      <c r="W582" s="269"/>
      <c r="X582" s="269"/>
      <c r="Y582" s="269"/>
      <c r="Z582" s="269"/>
    </row>
    <row r="583">
      <c r="A583" s="269"/>
      <c r="B583" s="269"/>
      <c r="C583" s="269"/>
      <c r="D583" s="269"/>
      <c r="E583" s="269"/>
      <c r="F583" s="269"/>
      <c r="G583" s="269"/>
      <c r="H583" s="269"/>
      <c r="I583" s="269"/>
      <c r="J583" s="269"/>
      <c r="K583" s="269"/>
      <c r="L583" s="269"/>
      <c r="M583" s="269"/>
      <c r="N583" s="269"/>
      <c r="O583" s="269"/>
      <c r="P583" s="269"/>
      <c r="Q583" s="269"/>
      <c r="R583" s="269"/>
      <c r="S583" s="269"/>
      <c r="T583" s="269"/>
      <c r="U583" s="269"/>
      <c r="V583" s="269"/>
      <c r="W583" s="269"/>
      <c r="X583" s="269"/>
      <c r="Y583" s="269"/>
      <c r="Z583" s="269"/>
    </row>
    <row r="584">
      <c r="A584" s="269"/>
      <c r="B584" s="269"/>
      <c r="C584" s="269"/>
      <c r="D584" s="269"/>
      <c r="E584" s="269"/>
      <c r="F584" s="269"/>
      <c r="G584" s="269"/>
      <c r="H584" s="269"/>
      <c r="I584" s="269"/>
      <c r="J584" s="269"/>
      <c r="K584" s="269"/>
      <c r="L584" s="269"/>
      <c r="M584" s="269"/>
      <c r="N584" s="269"/>
      <c r="O584" s="269"/>
      <c r="P584" s="269"/>
      <c r="Q584" s="269"/>
      <c r="R584" s="269"/>
      <c r="S584" s="269"/>
      <c r="T584" s="269"/>
      <c r="U584" s="269"/>
      <c r="V584" s="269"/>
      <c r="W584" s="269"/>
      <c r="X584" s="269"/>
      <c r="Y584" s="269"/>
      <c r="Z584" s="269"/>
    </row>
    <row r="585">
      <c r="A585" s="269"/>
      <c r="B585" s="269"/>
      <c r="C585" s="269"/>
      <c r="D585" s="269"/>
      <c r="E585" s="269"/>
      <c r="F585" s="269"/>
      <c r="G585" s="269"/>
      <c r="H585" s="269"/>
      <c r="I585" s="269"/>
      <c r="J585" s="269"/>
      <c r="K585" s="269"/>
      <c r="L585" s="269"/>
      <c r="M585" s="269"/>
      <c r="N585" s="269"/>
      <c r="O585" s="269"/>
      <c r="P585" s="269"/>
      <c r="Q585" s="269"/>
      <c r="R585" s="269"/>
      <c r="S585" s="269"/>
      <c r="T585" s="269"/>
      <c r="U585" s="269"/>
      <c r="V585" s="269"/>
      <c r="W585" s="269"/>
      <c r="X585" s="269"/>
      <c r="Y585" s="269"/>
      <c r="Z585" s="269"/>
    </row>
    <row r="586">
      <c r="A586" s="269"/>
      <c r="B586" s="269"/>
      <c r="C586" s="269"/>
      <c r="D586" s="269"/>
      <c r="E586" s="269"/>
      <c r="F586" s="269"/>
      <c r="G586" s="269"/>
      <c r="H586" s="269"/>
      <c r="I586" s="269"/>
      <c r="J586" s="269"/>
      <c r="K586" s="269"/>
      <c r="L586" s="269"/>
      <c r="M586" s="269"/>
      <c r="N586" s="269"/>
      <c r="O586" s="269"/>
      <c r="P586" s="269"/>
      <c r="Q586" s="269"/>
      <c r="R586" s="269"/>
      <c r="S586" s="269"/>
      <c r="T586" s="269"/>
      <c r="U586" s="269"/>
      <c r="V586" s="269"/>
      <c r="W586" s="269"/>
      <c r="X586" s="269"/>
      <c r="Y586" s="269"/>
      <c r="Z586" s="269"/>
    </row>
    <row r="587">
      <c r="A587" s="269"/>
      <c r="B587" s="269"/>
      <c r="C587" s="269"/>
      <c r="D587" s="269"/>
      <c r="E587" s="269"/>
      <c r="F587" s="269"/>
      <c r="G587" s="269"/>
      <c r="H587" s="269"/>
      <c r="I587" s="269"/>
      <c r="J587" s="269"/>
      <c r="K587" s="269"/>
      <c r="L587" s="269"/>
      <c r="M587" s="269"/>
      <c r="N587" s="269"/>
      <c r="O587" s="269"/>
      <c r="P587" s="269"/>
      <c r="Q587" s="269"/>
      <c r="R587" s="269"/>
      <c r="S587" s="269"/>
      <c r="T587" s="269"/>
      <c r="U587" s="269"/>
      <c r="V587" s="269"/>
      <c r="W587" s="269"/>
      <c r="X587" s="269"/>
      <c r="Y587" s="269"/>
      <c r="Z587" s="269"/>
    </row>
    <row r="588">
      <c r="A588" s="269"/>
      <c r="B588" s="269"/>
      <c r="C588" s="269"/>
      <c r="D588" s="269"/>
      <c r="E588" s="269"/>
      <c r="F588" s="269"/>
      <c r="G588" s="269"/>
      <c r="H588" s="269"/>
      <c r="I588" s="269"/>
      <c r="J588" s="269"/>
      <c r="K588" s="269"/>
      <c r="L588" s="269"/>
      <c r="M588" s="269"/>
      <c r="N588" s="269"/>
      <c r="O588" s="269"/>
      <c r="P588" s="269"/>
      <c r="Q588" s="269"/>
      <c r="R588" s="269"/>
      <c r="S588" s="269"/>
      <c r="T588" s="269"/>
      <c r="U588" s="269"/>
      <c r="V588" s="269"/>
      <c r="W588" s="269"/>
      <c r="X588" s="269"/>
      <c r="Y588" s="269"/>
      <c r="Z588" s="269"/>
    </row>
    <row r="589">
      <c r="A589" s="269"/>
      <c r="B589" s="269"/>
      <c r="C589" s="269"/>
      <c r="D589" s="269"/>
      <c r="E589" s="269"/>
      <c r="F589" s="269"/>
      <c r="G589" s="269"/>
      <c r="H589" s="269"/>
      <c r="I589" s="269"/>
      <c r="J589" s="269"/>
      <c r="K589" s="269"/>
      <c r="L589" s="269"/>
      <c r="M589" s="269"/>
      <c r="N589" s="269"/>
      <c r="O589" s="269"/>
      <c r="P589" s="269"/>
      <c r="Q589" s="269"/>
      <c r="R589" s="269"/>
      <c r="S589" s="269"/>
      <c r="T589" s="269"/>
      <c r="U589" s="269"/>
      <c r="V589" s="269"/>
      <c r="W589" s="269"/>
      <c r="X589" s="269"/>
      <c r="Y589" s="269"/>
      <c r="Z589" s="269"/>
    </row>
    <row r="590">
      <c r="A590" s="269"/>
      <c r="B590" s="269"/>
      <c r="C590" s="269"/>
      <c r="D590" s="269"/>
      <c r="E590" s="269"/>
      <c r="F590" s="269"/>
      <c r="G590" s="269"/>
      <c r="H590" s="269"/>
      <c r="I590" s="269"/>
      <c r="J590" s="269"/>
      <c r="K590" s="269"/>
      <c r="L590" s="269"/>
      <c r="M590" s="269"/>
      <c r="N590" s="269"/>
      <c r="O590" s="269"/>
      <c r="P590" s="269"/>
      <c r="Q590" s="269"/>
      <c r="R590" s="269"/>
      <c r="S590" s="269"/>
      <c r="T590" s="269"/>
      <c r="U590" s="269"/>
      <c r="V590" s="269"/>
      <c r="W590" s="269"/>
      <c r="X590" s="269"/>
      <c r="Y590" s="269"/>
      <c r="Z590" s="269"/>
    </row>
    <row r="591">
      <c r="A591" s="269"/>
      <c r="B591" s="269"/>
      <c r="C591" s="269"/>
      <c r="D591" s="269"/>
      <c r="E591" s="269"/>
      <c r="F591" s="269"/>
      <c r="G591" s="269"/>
      <c r="H591" s="269"/>
      <c r="I591" s="269"/>
      <c r="J591" s="269"/>
      <c r="K591" s="269"/>
      <c r="L591" s="269"/>
      <c r="M591" s="269"/>
      <c r="N591" s="269"/>
      <c r="O591" s="269"/>
      <c r="P591" s="269"/>
      <c r="Q591" s="269"/>
      <c r="R591" s="269"/>
      <c r="S591" s="269"/>
      <c r="T591" s="269"/>
      <c r="U591" s="269"/>
      <c r="V591" s="269"/>
      <c r="W591" s="269"/>
      <c r="X591" s="269"/>
      <c r="Y591" s="269"/>
      <c r="Z591" s="269"/>
    </row>
    <row r="592">
      <c r="A592" s="269"/>
      <c r="B592" s="269"/>
      <c r="C592" s="269"/>
      <c r="D592" s="269"/>
      <c r="E592" s="269"/>
      <c r="F592" s="269"/>
      <c r="G592" s="269"/>
      <c r="H592" s="269"/>
      <c r="I592" s="269"/>
      <c r="J592" s="269"/>
      <c r="K592" s="269"/>
      <c r="L592" s="269"/>
      <c r="M592" s="269"/>
      <c r="N592" s="269"/>
      <c r="O592" s="269"/>
      <c r="P592" s="269"/>
      <c r="Q592" s="269"/>
      <c r="R592" s="269"/>
      <c r="S592" s="269"/>
      <c r="T592" s="269"/>
      <c r="U592" s="269"/>
      <c r="V592" s="269"/>
      <c r="W592" s="269"/>
      <c r="X592" s="269"/>
      <c r="Y592" s="269"/>
      <c r="Z592" s="269"/>
    </row>
    <row r="593">
      <c r="A593" s="269"/>
      <c r="B593" s="269"/>
      <c r="C593" s="269"/>
      <c r="D593" s="269"/>
      <c r="E593" s="269"/>
      <c r="F593" s="269"/>
      <c r="G593" s="269"/>
      <c r="H593" s="269"/>
      <c r="I593" s="269"/>
      <c r="J593" s="269"/>
      <c r="K593" s="269"/>
      <c r="L593" s="269"/>
      <c r="M593" s="269"/>
      <c r="N593" s="269"/>
      <c r="O593" s="269"/>
      <c r="P593" s="269"/>
      <c r="Q593" s="269"/>
      <c r="R593" s="269"/>
      <c r="S593" s="269"/>
      <c r="T593" s="269"/>
      <c r="U593" s="269"/>
      <c r="V593" s="269"/>
      <c r="W593" s="269"/>
      <c r="X593" s="269"/>
      <c r="Y593" s="269"/>
      <c r="Z593" s="269"/>
    </row>
    <row r="594">
      <c r="A594" s="269"/>
      <c r="B594" s="269"/>
      <c r="C594" s="269"/>
      <c r="D594" s="269"/>
      <c r="E594" s="269"/>
      <c r="F594" s="269"/>
      <c r="G594" s="269"/>
      <c r="H594" s="269"/>
      <c r="I594" s="269"/>
      <c r="J594" s="269"/>
      <c r="K594" s="269"/>
      <c r="L594" s="269"/>
      <c r="M594" s="269"/>
      <c r="N594" s="269"/>
      <c r="O594" s="269"/>
      <c r="P594" s="269"/>
      <c r="Q594" s="269"/>
      <c r="R594" s="269"/>
      <c r="S594" s="269"/>
      <c r="T594" s="269"/>
      <c r="U594" s="269"/>
      <c r="V594" s="269"/>
      <c r="W594" s="269"/>
      <c r="X594" s="269"/>
      <c r="Y594" s="269"/>
      <c r="Z594" s="269"/>
    </row>
    <row r="595">
      <c r="A595" s="269"/>
      <c r="B595" s="269"/>
      <c r="C595" s="269"/>
      <c r="D595" s="269"/>
      <c r="E595" s="269"/>
      <c r="F595" s="269"/>
      <c r="G595" s="269"/>
      <c r="H595" s="269"/>
      <c r="I595" s="269"/>
      <c r="J595" s="269"/>
      <c r="K595" s="269"/>
      <c r="L595" s="269"/>
      <c r="M595" s="269"/>
      <c r="N595" s="269"/>
      <c r="O595" s="269"/>
      <c r="P595" s="269"/>
      <c r="Q595" s="269"/>
      <c r="R595" s="269"/>
      <c r="S595" s="269"/>
      <c r="T595" s="269"/>
      <c r="U595" s="269"/>
      <c r="V595" s="269"/>
      <c r="W595" s="269"/>
      <c r="X595" s="269"/>
      <c r="Y595" s="269"/>
      <c r="Z595" s="269"/>
    </row>
    <row r="596">
      <c r="A596" s="269"/>
      <c r="B596" s="269"/>
      <c r="C596" s="269"/>
      <c r="D596" s="269"/>
      <c r="E596" s="269"/>
      <c r="F596" s="269"/>
      <c r="G596" s="269"/>
      <c r="H596" s="269"/>
      <c r="I596" s="269"/>
      <c r="J596" s="269"/>
      <c r="K596" s="269"/>
      <c r="L596" s="269"/>
      <c r="M596" s="269"/>
      <c r="N596" s="269"/>
      <c r="O596" s="269"/>
      <c r="P596" s="269"/>
      <c r="Q596" s="269"/>
      <c r="R596" s="269"/>
      <c r="S596" s="269"/>
      <c r="T596" s="269"/>
      <c r="U596" s="269"/>
      <c r="V596" s="269"/>
      <c r="W596" s="269"/>
      <c r="X596" s="269"/>
      <c r="Y596" s="269"/>
      <c r="Z596" s="269"/>
    </row>
    <row r="597">
      <c r="A597" s="269"/>
      <c r="B597" s="269"/>
      <c r="C597" s="269"/>
      <c r="D597" s="269"/>
      <c r="E597" s="269"/>
      <c r="F597" s="269"/>
      <c r="G597" s="269"/>
      <c r="H597" s="269"/>
      <c r="I597" s="269"/>
      <c r="J597" s="269"/>
      <c r="K597" s="269"/>
      <c r="L597" s="269"/>
      <c r="M597" s="269"/>
      <c r="N597" s="269"/>
      <c r="O597" s="269"/>
      <c r="P597" s="269"/>
      <c r="Q597" s="269"/>
      <c r="R597" s="269"/>
      <c r="S597" s="269"/>
      <c r="T597" s="269"/>
      <c r="U597" s="269"/>
      <c r="V597" s="269"/>
      <c r="W597" s="269"/>
      <c r="X597" s="269"/>
      <c r="Y597" s="269"/>
      <c r="Z597" s="269"/>
    </row>
    <row r="598">
      <c r="A598" s="269"/>
      <c r="B598" s="269"/>
      <c r="C598" s="269"/>
      <c r="D598" s="269"/>
      <c r="E598" s="269"/>
      <c r="F598" s="269"/>
      <c r="G598" s="269"/>
      <c r="H598" s="269"/>
      <c r="I598" s="269"/>
      <c r="J598" s="269"/>
      <c r="K598" s="269"/>
      <c r="L598" s="269"/>
      <c r="M598" s="269"/>
      <c r="N598" s="269"/>
      <c r="O598" s="269"/>
      <c r="P598" s="269"/>
      <c r="Q598" s="269"/>
      <c r="R598" s="269"/>
      <c r="S598" s="269"/>
      <c r="T598" s="269"/>
      <c r="U598" s="269"/>
      <c r="V598" s="269"/>
      <c r="W598" s="269"/>
      <c r="X598" s="269"/>
      <c r="Y598" s="269"/>
      <c r="Z598" s="269"/>
    </row>
    <row r="599">
      <c r="A599" s="269"/>
      <c r="B599" s="269"/>
      <c r="C599" s="269"/>
      <c r="D599" s="269"/>
      <c r="E599" s="269"/>
      <c r="F599" s="269"/>
      <c r="G599" s="269"/>
      <c r="H599" s="269"/>
      <c r="I599" s="269"/>
      <c r="J599" s="269"/>
      <c r="K599" s="269"/>
      <c r="L599" s="269"/>
      <c r="M599" s="269"/>
      <c r="N599" s="269"/>
      <c r="O599" s="269"/>
      <c r="P599" s="269"/>
      <c r="Q599" s="269"/>
      <c r="R599" s="269"/>
      <c r="S599" s="269"/>
      <c r="T599" s="269"/>
      <c r="U599" s="269"/>
      <c r="V599" s="269"/>
      <c r="W599" s="269"/>
      <c r="X599" s="269"/>
      <c r="Y599" s="269"/>
      <c r="Z599" s="269"/>
    </row>
    <row r="600">
      <c r="A600" s="269"/>
      <c r="B600" s="269"/>
      <c r="C600" s="269"/>
      <c r="D600" s="269"/>
      <c r="E600" s="269"/>
      <c r="F600" s="269"/>
      <c r="G600" s="269"/>
      <c r="H600" s="269"/>
      <c r="I600" s="269"/>
      <c r="J600" s="269"/>
      <c r="K600" s="269"/>
      <c r="L600" s="269"/>
      <c r="M600" s="269"/>
      <c r="N600" s="269"/>
      <c r="O600" s="269"/>
      <c r="P600" s="269"/>
      <c r="Q600" s="269"/>
      <c r="R600" s="269"/>
      <c r="S600" s="269"/>
      <c r="T600" s="269"/>
      <c r="U600" s="269"/>
      <c r="V600" s="269"/>
      <c r="W600" s="269"/>
      <c r="X600" s="269"/>
      <c r="Y600" s="269"/>
      <c r="Z600" s="269"/>
    </row>
    <row r="601">
      <c r="A601" s="269"/>
      <c r="B601" s="269"/>
      <c r="C601" s="269"/>
      <c r="D601" s="269"/>
      <c r="E601" s="269"/>
      <c r="F601" s="269"/>
      <c r="G601" s="269"/>
      <c r="H601" s="269"/>
      <c r="I601" s="269"/>
      <c r="J601" s="269"/>
      <c r="K601" s="269"/>
      <c r="L601" s="269"/>
      <c r="M601" s="269"/>
      <c r="N601" s="269"/>
      <c r="O601" s="269"/>
      <c r="P601" s="269"/>
      <c r="Q601" s="269"/>
      <c r="R601" s="269"/>
      <c r="S601" s="269"/>
      <c r="T601" s="269"/>
      <c r="U601" s="269"/>
      <c r="V601" s="269"/>
      <c r="W601" s="269"/>
      <c r="X601" s="269"/>
      <c r="Y601" s="269"/>
      <c r="Z601" s="269"/>
    </row>
    <row r="602">
      <c r="A602" s="269"/>
      <c r="B602" s="269"/>
      <c r="C602" s="269"/>
      <c r="D602" s="269"/>
      <c r="E602" s="269"/>
      <c r="F602" s="269"/>
      <c r="G602" s="269"/>
      <c r="H602" s="269"/>
      <c r="I602" s="269"/>
      <c r="J602" s="269"/>
      <c r="K602" s="269"/>
      <c r="L602" s="269"/>
      <c r="M602" s="269"/>
      <c r="N602" s="269"/>
      <c r="O602" s="269"/>
      <c r="P602" s="269"/>
      <c r="Q602" s="269"/>
      <c r="R602" s="269"/>
      <c r="S602" s="269"/>
      <c r="T602" s="269"/>
      <c r="U602" s="269"/>
      <c r="V602" s="269"/>
      <c r="W602" s="269"/>
      <c r="X602" s="269"/>
      <c r="Y602" s="269"/>
      <c r="Z602" s="269"/>
    </row>
    <row r="603">
      <c r="A603" s="269"/>
      <c r="B603" s="269"/>
      <c r="C603" s="269"/>
      <c r="D603" s="269"/>
      <c r="E603" s="269"/>
      <c r="F603" s="269"/>
      <c r="G603" s="269"/>
      <c r="H603" s="269"/>
      <c r="I603" s="269"/>
      <c r="J603" s="269"/>
      <c r="K603" s="269"/>
      <c r="L603" s="269"/>
      <c r="M603" s="269"/>
      <c r="N603" s="269"/>
      <c r="O603" s="269"/>
      <c r="P603" s="269"/>
      <c r="Q603" s="269"/>
      <c r="R603" s="269"/>
      <c r="S603" s="269"/>
      <c r="T603" s="269"/>
      <c r="U603" s="269"/>
      <c r="V603" s="269"/>
      <c r="W603" s="269"/>
      <c r="X603" s="269"/>
      <c r="Y603" s="269"/>
      <c r="Z603" s="269"/>
    </row>
    <row r="604">
      <c r="A604" s="269"/>
      <c r="B604" s="269"/>
      <c r="C604" s="269"/>
      <c r="D604" s="269"/>
      <c r="E604" s="269"/>
      <c r="F604" s="269"/>
      <c r="G604" s="269"/>
      <c r="H604" s="269"/>
      <c r="I604" s="269"/>
      <c r="J604" s="269"/>
      <c r="K604" s="269"/>
      <c r="L604" s="269"/>
      <c r="M604" s="269"/>
      <c r="N604" s="269"/>
      <c r="O604" s="269"/>
      <c r="P604" s="269"/>
      <c r="Q604" s="269"/>
      <c r="R604" s="269"/>
      <c r="S604" s="269"/>
      <c r="T604" s="269"/>
      <c r="U604" s="269"/>
      <c r="V604" s="269"/>
      <c r="W604" s="269"/>
      <c r="X604" s="269"/>
      <c r="Y604" s="269"/>
      <c r="Z604" s="269"/>
    </row>
    <row r="605">
      <c r="A605" s="269"/>
      <c r="B605" s="269"/>
      <c r="C605" s="269"/>
      <c r="D605" s="269"/>
      <c r="E605" s="269"/>
      <c r="F605" s="269"/>
      <c r="G605" s="269"/>
      <c r="H605" s="269"/>
      <c r="I605" s="269"/>
      <c r="J605" s="269"/>
      <c r="K605" s="269"/>
      <c r="L605" s="269"/>
      <c r="M605" s="269"/>
      <c r="N605" s="269"/>
      <c r="O605" s="269"/>
      <c r="P605" s="269"/>
      <c r="Q605" s="269"/>
      <c r="R605" s="269"/>
      <c r="S605" s="269"/>
      <c r="T605" s="269"/>
      <c r="U605" s="269"/>
      <c r="V605" s="269"/>
      <c r="W605" s="269"/>
      <c r="X605" s="269"/>
      <c r="Y605" s="269"/>
      <c r="Z605" s="269"/>
    </row>
    <row r="606">
      <c r="A606" s="269"/>
      <c r="B606" s="269"/>
      <c r="C606" s="269"/>
      <c r="D606" s="269"/>
      <c r="E606" s="269"/>
      <c r="F606" s="269"/>
      <c r="G606" s="269"/>
      <c r="H606" s="269"/>
      <c r="I606" s="269"/>
      <c r="J606" s="269"/>
      <c r="K606" s="269"/>
      <c r="L606" s="269"/>
      <c r="M606" s="269"/>
      <c r="N606" s="269"/>
      <c r="O606" s="269"/>
      <c r="P606" s="269"/>
      <c r="Q606" s="269"/>
      <c r="R606" s="269"/>
      <c r="S606" s="269"/>
      <c r="T606" s="269"/>
      <c r="U606" s="269"/>
      <c r="V606" s="269"/>
      <c r="W606" s="269"/>
      <c r="X606" s="269"/>
      <c r="Y606" s="269"/>
      <c r="Z606" s="269"/>
    </row>
    <row r="607">
      <c r="A607" s="269"/>
      <c r="B607" s="269"/>
      <c r="C607" s="269"/>
      <c r="D607" s="269"/>
      <c r="E607" s="269"/>
      <c r="F607" s="269"/>
      <c r="G607" s="269"/>
      <c r="H607" s="269"/>
      <c r="I607" s="269"/>
      <c r="J607" s="269"/>
      <c r="K607" s="269"/>
      <c r="L607" s="269"/>
      <c r="M607" s="269"/>
      <c r="N607" s="269"/>
      <c r="O607" s="269"/>
      <c r="P607" s="269"/>
      <c r="Q607" s="269"/>
      <c r="R607" s="269"/>
      <c r="S607" s="269"/>
      <c r="T607" s="269"/>
      <c r="U607" s="269"/>
      <c r="V607" s="269"/>
      <c r="W607" s="269"/>
      <c r="X607" s="269"/>
      <c r="Y607" s="269"/>
      <c r="Z607" s="269"/>
    </row>
    <row r="608">
      <c r="A608" s="269"/>
      <c r="B608" s="269"/>
      <c r="C608" s="269"/>
      <c r="D608" s="269"/>
      <c r="E608" s="269"/>
      <c r="F608" s="269"/>
      <c r="G608" s="269"/>
      <c r="H608" s="269"/>
      <c r="I608" s="269"/>
      <c r="J608" s="269"/>
      <c r="K608" s="269"/>
      <c r="L608" s="269"/>
      <c r="M608" s="269"/>
      <c r="N608" s="269"/>
      <c r="O608" s="269"/>
      <c r="P608" s="269"/>
      <c r="Q608" s="269"/>
      <c r="R608" s="269"/>
      <c r="S608" s="269"/>
      <c r="T608" s="269"/>
      <c r="U608" s="269"/>
      <c r="V608" s="269"/>
      <c r="W608" s="269"/>
      <c r="X608" s="269"/>
      <c r="Y608" s="269"/>
      <c r="Z608" s="269"/>
    </row>
    <row r="609">
      <c r="A609" s="269"/>
      <c r="B609" s="269"/>
      <c r="C609" s="269"/>
      <c r="D609" s="269"/>
      <c r="E609" s="269"/>
      <c r="F609" s="269"/>
      <c r="G609" s="269"/>
      <c r="H609" s="269"/>
      <c r="I609" s="269"/>
      <c r="J609" s="269"/>
      <c r="K609" s="269"/>
      <c r="L609" s="269"/>
      <c r="M609" s="269"/>
      <c r="N609" s="269"/>
      <c r="O609" s="269"/>
      <c r="P609" s="269"/>
      <c r="Q609" s="269"/>
      <c r="R609" s="269"/>
      <c r="S609" s="269"/>
      <c r="T609" s="269"/>
      <c r="U609" s="269"/>
      <c r="V609" s="269"/>
      <c r="W609" s="269"/>
      <c r="X609" s="269"/>
      <c r="Y609" s="269"/>
      <c r="Z609" s="269"/>
    </row>
    <row r="610">
      <c r="A610" s="269"/>
      <c r="B610" s="269"/>
      <c r="C610" s="269"/>
      <c r="D610" s="269"/>
      <c r="E610" s="269"/>
      <c r="F610" s="269"/>
      <c r="G610" s="269"/>
      <c r="H610" s="269"/>
      <c r="I610" s="269"/>
      <c r="J610" s="269"/>
      <c r="K610" s="269"/>
      <c r="L610" s="269"/>
      <c r="M610" s="269"/>
      <c r="N610" s="269"/>
      <c r="O610" s="269"/>
      <c r="P610" s="269"/>
      <c r="Q610" s="269"/>
      <c r="R610" s="269"/>
      <c r="S610" s="269"/>
      <c r="T610" s="269"/>
      <c r="U610" s="269"/>
      <c r="V610" s="269"/>
      <c r="W610" s="269"/>
      <c r="X610" s="269"/>
      <c r="Y610" s="269"/>
      <c r="Z610" s="269"/>
    </row>
    <row r="611">
      <c r="A611" s="269"/>
      <c r="B611" s="269"/>
      <c r="C611" s="269"/>
      <c r="D611" s="269"/>
      <c r="E611" s="269"/>
      <c r="F611" s="269"/>
      <c r="G611" s="269"/>
      <c r="H611" s="269"/>
      <c r="I611" s="269"/>
      <c r="J611" s="269"/>
      <c r="K611" s="269"/>
      <c r="L611" s="269"/>
      <c r="M611" s="269"/>
      <c r="N611" s="269"/>
      <c r="O611" s="269"/>
      <c r="P611" s="269"/>
      <c r="Q611" s="269"/>
      <c r="R611" s="269"/>
      <c r="S611" s="269"/>
      <c r="T611" s="269"/>
      <c r="U611" s="269"/>
      <c r="V611" s="269"/>
      <c r="W611" s="269"/>
      <c r="X611" s="269"/>
      <c r="Y611" s="269"/>
      <c r="Z611" s="269"/>
    </row>
    <row r="612">
      <c r="A612" s="269"/>
      <c r="B612" s="269"/>
      <c r="C612" s="269"/>
      <c r="D612" s="269"/>
      <c r="E612" s="269"/>
      <c r="F612" s="269"/>
      <c r="G612" s="269"/>
      <c r="H612" s="269"/>
      <c r="I612" s="269"/>
      <c r="J612" s="269"/>
      <c r="K612" s="269"/>
      <c r="L612" s="269"/>
      <c r="M612" s="269"/>
      <c r="N612" s="269"/>
      <c r="O612" s="269"/>
      <c r="P612" s="269"/>
      <c r="Q612" s="269"/>
      <c r="R612" s="269"/>
      <c r="S612" s="269"/>
      <c r="T612" s="269"/>
      <c r="U612" s="269"/>
      <c r="V612" s="269"/>
      <c r="W612" s="269"/>
      <c r="X612" s="269"/>
      <c r="Y612" s="269"/>
      <c r="Z612" s="269"/>
    </row>
    <row r="613">
      <c r="A613" s="269"/>
      <c r="B613" s="269"/>
      <c r="C613" s="269"/>
      <c r="D613" s="269"/>
      <c r="E613" s="269"/>
      <c r="F613" s="269"/>
      <c r="G613" s="269"/>
      <c r="H613" s="269"/>
      <c r="I613" s="269"/>
      <c r="J613" s="269"/>
      <c r="K613" s="269"/>
      <c r="L613" s="269"/>
      <c r="M613" s="269"/>
      <c r="N613" s="269"/>
      <c r="O613" s="269"/>
      <c r="P613" s="269"/>
      <c r="Q613" s="269"/>
      <c r="R613" s="269"/>
      <c r="S613" s="269"/>
      <c r="T613" s="269"/>
      <c r="U613" s="269"/>
      <c r="V613" s="269"/>
      <c r="W613" s="269"/>
      <c r="X613" s="269"/>
      <c r="Y613" s="269"/>
      <c r="Z613" s="269"/>
    </row>
    <row r="614">
      <c r="A614" s="269"/>
      <c r="B614" s="269"/>
      <c r="C614" s="269"/>
      <c r="D614" s="269"/>
      <c r="E614" s="269"/>
      <c r="F614" s="269"/>
      <c r="G614" s="269"/>
      <c r="H614" s="269"/>
      <c r="I614" s="269"/>
      <c r="J614" s="269"/>
      <c r="K614" s="269"/>
      <c r="L614" s="269"/>
      <c r="M614" s="269"/>
      <c r="N614" s="269"/>
      <c r="O614" s="269"/>
      <c r="P614" s="269"/>
      <c r="Q614" s="269"/>
      <c r="R614" s="269"/>
      <c r="S614" s="269"/>
      <c r="T614" s="269"/>
      <c r="U614" s="269"/>
      <c r="V614" s="269"/>
      <c r="W614" s="269"/>
      <c r="X614" s="269"/>
      <c r="Y614" s="269"/>
      <c r="Z614" s="269"/>
    </row>
    <row r="615">
      <c r="A615" s="269"/>
      <c r="B615" s="269"/>
      <c r="C615" s="269"/>
      <c r="D615" s="269"/>
      <c r="E615" s="269"/>
      <c r="F615" s="269"/>
      <c r="G615" s="269"/>
      <c r="H615" s="269"/>
      <c r="I615" s="269"/>
      <c r="J615" s="269"/>
      <c r="K615" s="269"/>
      <c r="L615" s="269"/>
      <c r="M615" s="269"/>
      <c r="N615" s="269"/>
      <c r="O615" s="269"/>
      <c r="P615" s="269"/>
      <c r="Q615" s="269"/>
      <c r="R615" s="269"/>
      <c r="S615" s="269"/>
      <c r="T615" s="269"/>
      <c r="U615" s="269"/>
      <c r="V615" s="269"/>
      <c r="W615" s="269"/>
      <c r="X615" s="269"/>
      <c r="Y615" s="269"/>
      <c r="Z615" s="269"/>
    </row>
    <row r="616">
      <c r="A616" s="269"/>
      <c r="B616" s="269"/>
      <c r="C616" s="269"/>
      <c r="D616" s="269"/>
      <c r="E616" s="269"/>
      <c r="F616" s="269"/>
      <c r="G616" s="269"/>
      <c r="H616" s="269"/>
      <c r="I616" s="269"/>
      <c r="J616" s="269"/>
      <c r="K616" s="269"/>
      <c r="L616" s="269"/>
      <c r="M616" s="269"/>
      <c r="N616" s="269"/>
      <c r="O616" s="269"/>
      <c r="P616" s="269"/>
      <c r="Q616" s="269"/>
      <c r="R616" s="269"/>
      <c r="S616" s="269"/>
      <c r="T616" s="269"/>
      <c r="U616" s="269"/>
      <c r="V616" s="269"/>
      <c r="W616" s="269"/>
      <c r="X616" s="269"/>
      <c r="Y616" s="269"/>
      <c r="Z616" s="269"/>
    </row>
    <row r="617">
      <c r="A617" s="269"/>
      <c r="B617" s="269"/>
      <c r="C617" s="269"/>
      <c r="D617" s="269"/>
      <c r="E617" s="269"/>
      <c r="F617" s="269"/>
      <c r="G617" s="269"/>
      <c r="H617" s="269"/>
      <c r="I617" s="269"/>
      <c r="J617" s="269"/>
      <c r="K617" s="269"/>
      <c r="L617" s="269"/>
      <c r="M617" s="269"/>
      <c r="N617" s="269"/>
      <c r="O617" s="269"/>
      <c r="P617" s="269"/>
      <c r="Q617" s="269"/>
      <c r="R617" s="269"/>
      <c r="S617" s="269"/>
      <c r="T617" s="269"/>
      <c r="U617" s="269"/>
      <c r="V617" s="269"/>
      <c r="W617" s="269"/>
      <c r="X617" s="269"/>
      <c r="Y617" s="269"/>
      <c r="Z617" s="269"/>
    </row>
    <row r="618">
      <c r="A618" s="269"/>
      <c r="B618" s="269"/>
      <c r="C618" s="269"/>
      <c r="D618" s="269"/>
      <c r="E618" s="269"/>
      <c r="F618" s="269"/>
      <c r="G618" s="269"/>
      <c r="H618" s="269"/>
      <c r="I618" s="269"/>
      <c r="J618" s="269"/>
      <c r="K618" s="269"/>
      <c r="L618" s="269"/>
      <c r="M618" s="269"/>
      <c r="N618" s="269"/>
      <c r="O618" s="269"/>
      <c r="P618" s="269"/>
      <c r="Q618" s="269"/>
      <c r="R618" s="269"/>
      <c r="S618" s="269"/>
      <c r="T618" s="269"/>
      <c r="U618" s="269"/>
      <c r="V618" s="269"/>
      <c r="W618" s="269"/>
      <c r="X618" s="269"/>
      <c r="Y618" s="269"/>
      <c r="Z618" s="269"/>
    </row>
    <row r="619">
      <c r="A619" s="269"/>
      <c r="B619" s="269"/>
      <c r="C619" s="269"/>
      <c r="D619" s="269"/>
      <c r="E619" s="269"/>
      <c r="F619" s="269"/>
      <c r="G619" s="269"/>
      <c r="H619" s="269"/>
      <c r="I619" s="269"/>
      <c r="J619" s="269"/>
      <c r="K619" s="269"/>
      <c r="L619" s="269"/>
      <c r="M619" s="269"/>
      <c r="N619" s="269"/>
      <c r="O619" s="269"/>
      <c r="P619" s="269"/>
      <c r="Q619" s="269"/>
      <c r="R619" s="269"/>
      <c r="S619" s="269"/>
      <c r="T619" s="269"/>
      <c r="U619" s="269"/>
      <c r="V619" s="269"/>
      <c r="W619" s="269"/>
      <c r="X619" s="269"/>
      <c r="Y619" s="269"/>
      <c r="Z619" s="269"/>
    </row>
    <row r="620">
      <c r="A620" s="269"/>
      <c r="B620" s="269"/>
      <c r="C620" s="269"/>
      <c r="D620" s="269"/>
      <c r="E620" s="269"/>
      <c r="F620" s="269"/>
      <c r="G620" s="269"/>
      <c r="H620" s="269"/>
      <c r="I620" s="269"/>
      <c r="J620" s="269"/>
      <c r="K620" s="269"/>
      <c r="L620" s="269"/>
      <c r="M620" s="269"/>
      <c r="N620" s="269"/>
      <c r="O620" s="269"/>
      <c r="P620" s="269"/>
      <c r="Q620" s="269"/>
      <c r="R620" s="269"/>
      <c r="S620" s="269"/>
      <c r="T620" s="269"/>
      <c r="U620" s="269"/>
      <c r="V620" s="269"/>
      <c r="W620" s="269"/>
      <c r="X620" s="269"/>
      <c r="Y620" s="269"/>
      <c r="Z620" s="269"/>
    </row>
    <row r="621">
      <c r="A621" s="269"/>
      <c r="B621" s="269"/>
      <c r="C621" s="269"/>
      <c r="D621" s="269"/>
      <c r="E621" s="269"/>
      <c r="F621" s="269"/>
      <c r="G621" s="269"/>
      <c r="H621" s="269"/>
      <c r="I621" s="269"/>
      <c r="J621" s="269"/>
      <c r="K621" s="269"/>
      <c r="L621" s="269"/>
      <c r="M621" s="269"/>
      <c r="N621" s="269"/>
      <c r="O621" s="269"/>
      <c r="P621" s="269"/>
      <c r="Q621" s="269"/>
      <c r="R621" s="269"/>
      <c r="S621" s="269"/>
      <c r="T621" s="269"/>
      <c r="U621" s="269"/>
      <c r="V621" s="269"/>
      <c r="W621" s="269"/>
      <c r="X621" s="269"/>
      <c r="Y621" s="269"/>
      <c r="Z621" s="269"/>
    </row>
    <row r="622">
      <c r="A622" s="269"/>
      <c r="B622" s="269"/>
      <c r="C622" s="269"/>
      <c r="D622" s="269"/>
      <c r="E622" s="269"/>
      <c r="F622" s="269"/>
      <c r="G622" s="269"/>
      <c r="H622" s="269"/>
      <c r="I622" s="269"/>
      <c r="J622" s="269"/>
      <c r="K622" s="269"/>
      <c r="L622" s="269"/>
      <c r="M622" s="269"/>
      <c r="N622" s="269"/>
      <c r="O622" s="269"/>
      <c r="P622" s="269"/>
      <c r="Q622" s="269"/>
      <c r="R622" s="269"/>
      <c r="S622" s="269"/>
      <c r="T622" s="269"/>
      <c r="U622" s="269"/>
      <c r="V622" s="269"/>
      <c r="W622" s="269"/>
      <c r="X622" s="269"/>
      <c r="Y622" s="269"/>
      <c r="Z622" s="269"/>
    </row>
    <row r="623">
      <c r="A623" s="269"/>
      <c r="B623" s="269"/>
      <c r="C623" s="269"/>
      <c r="D623" s="269"/>
      <c r="E623" s="269"/>
      <c r="F623" s="269"/>
      <c r="G623" s="269"/>
      <c r="H623" s="269"/>
      <c r="I623" s="269"/>
      <c r="J623" s="269"/>
      <c r="K623" s="269"/>
      <c r="L623" s="269"/>
      <c r="M623" s="269"/>
      <c r="N623" s="269"/>
      <c r="O623" s="269"/>
      <c r="P623" s="269"/>
      <c r="Q623" s="269"/>
      <c r="R623" s="269"/>
      <c r="S623" s="269"/>
      <c r="T623" s="269"/>
      <c r="U623" s="269"/>
      <c r="V623" s="269"/>
      <c r="W623" s="269"/>
      <c r="X623" s="269"/>
      <c r="Y623" s="269"/>
      <c r="Z623" s="269"/>
    </row>
    <row r="624">
      <c r="A624" s="269"/>
      <c r="B624" s="269"/>
      <c r="C624" s="269"/>
      <c r="D624" s="269"/>
      <c r="E624" s="269"/>
      <c r="F624" s="269"/>
      <c r="G624" s="269"/>
      <c r="H624" s="269"/>
      <c r="I624" s="269"/>
      <c r="J624" s="269"/>
      <c r="K624" s="269"/>
      <c r="L624" s="269"/>
      <c r="M624" s="269"/>
      <c r="N624" s="269"/>
      <c r="O624" s="269"/>
      <c r="P624" s="269"/>
      <c r="Q624" s="269"/>
      <c r="R624" s="269"/>
      <c r="S624" s="269"/>
      <c r="T624" s="269"/>
      <c r="U624" s="269"/>
      <c r="V624" s="269"/>
      <c r="W624" s="269"/>
      <c r="X624" s="269"/>
      <c r="Y624" s="269"/>
      <c r="Z624" s="269"/>
    </row>
    <row r="625">
      <c r="A625" s="269"/>
      <c r="B625" s="269"/>
      <c r="C625" s="269"/>
      <c r="D625" s="269"/>
      <c r="E625" s="269"/>
      <c r="F625" s="269"/>
      <c r="G625" s="269"/>
      <c r="H625" s="269"/>
      <c r="I625" s="269"/>
      <c r="J625" s="269"/>
      <c r="K625" s="269"/>
      <c r="L625" s="269"/>
      <c r="M625" s="269"/>
      <c r="N625" s="269"/>
      <c r="O625" s="269"/>
      <c r="P625" s="269"/>
      <c r="Q625" s="269"/>
      <c r="R625" s="269"/>
      <c r="S625" s="269"/>
      <c r="T625" s="269"/>
      <c r="U625" s="269"/>
      <c r="V625" s="269"/>
      <c r="W625" s="269"/>
      <c r="X625" s="269"/>
      <c r="Y625" s="269"/>
      <c r="Z625" s="269"/>
    </row>
    <row r="626">
      <c r="A626" s="269"/>
      <c r="B626" s="269"/>
      <c r="C626" s="269"/>
      <c r="D626" s="269"/>
      <c r="E626" s="269"/>
      <c r="F626" s="269"/>
      <c r="G626" s="269"/>
      <c r="H626" s="269"/>
      <c r="I626" s="269"/>
      <c r="J626" s="269"/>
      <c r="K626" s="269"/>
      <c r="L626" s="269"/>
      <c r="M626" s="269"/>
      <c r="N626" s="269"/>
      <c r="O626" s="269"/>
      <c r="P626" s="269"/>
      <c r="Q626" s="269"/>
      <c r="R626" s="269"/>
      <c r="S626" s="269"/>
      <c r="T626" s="269"/>
      <c r="U626" s="269"/>
      <c r="V626" s="269"/>
      <c r="W626" s="269"/>
      <c r="X626" s="269"/>
      <c r="Y626" s="269"/>
      <c r="Z626" s="269"/>
    </row>
    <row r="627">
      <c r="A627" s="269"/>
      <c r="B627" s="269"/>
      <c r="C627" s="269"/>
      <c r="D627" s="269"/>
      <c r="E627" s="269"/>
      <c r="F627" s="269"/>
      <c r="G627" s="269"/>
      <c r="H627" s="269"/>
      <c r="I627" s="269"/>
      <c r="J627" s="269"/>
      <c r="K627" s="269"/>
      <c r="L627" s="269"/>
      <c r="M627" s="269"/>
      <c r="N627" s="269"/>
      <c r="O627" s="269"/>
      <c r="P627" s="269"/>
      <c r="Q627" s="269"/>
      <c r="R627" s="269"/>
      <c r="S627" s="269"/>
      <c r="T627" s="269"/>
      <c r="U627" s="269"/>
      <c r="V627" s="269"/>
      <c r="W627" s="269"/>
      <c r="X627" s="269"/>
      <c r="Y627" s="269"/>
      <c r="Z627" s="269"/>
    </row>
    <row r="628">
      <c r="A628" s="269"/>
      <c r="B628" s="269"/>
      <c r="C628" s="269"/>
      <c r="D628" s="269"/>
      <c r="E628" s="269"/>
      <c r="F628" s="269"/>
      <c r="G628" s="269"/>
      <c r="H628" s="269"/>
      <c r="I628" s="269"/>
      <c r="J628" s="269"/>
      <c r="K628" s="269"/>
      <c r="L628" s="269"/>
      <c r="M628" s="269"/>
      <c r="N628" s="269"/>
      <c r="O628" s="269"/>
      <c r="P628" s="269"/>
      <c r="Q628" s="269"/>
      <c r="R628" s="269"/>
      <c r="S628" s="269"/>
      <c r="T628" s="269"/>
      <c r="U628" s="269"/>
      <c r="V628" s="269"/>
      <c r="W628" s="269"/>
      <c r="X628" s="269"/>
      <c r="Y628" s="269"/>
      <c r="Z628" s="269"/>
    </row>
    <row r="629">
      <c r="A629" s="269"/>
      <c r="B629" s="269"/>
      <c r="C629" s="269"/>
      <c r="D629" s="269"/>
      <c r="E629" s="269"/>
      <c r="F629" s="269"/>
      <c r="G629" s="269"/>
      <c r="H629" s="269"/>
      <c r="I629" s="269"/>
      <c r="J629" s="269"/>
      <c r="K629" s="269"/>
      <c r="L629" s="269"/>
      <c r="M629" s="269"/>
      <c r="N629" s="269"/>
      <c r="O629" s="269"/>
      <c r="P629" s="269"/>
      <c r="Q629" s="269"/>
      <c r="R629" s="269"/>
      <c r="S629" s="269"/>
      <c r="T629" s="269"/>
      <c r="U629" s="269"/>
      <c r="V629" s="269"/>
      <c r="W629" s="269"/>
      <c r="X629" s="269"/>
      <c r="Y629" s="269"/>
      <c r="Z629" s="269"/>
    </row>
    <row r="630">
      <c r="A630" s="269"/>
      <c r="B630" s="269"/>
      <c r="C630" s="269"/>
      <c r="D630" s="269"/>
      <c r="E630" s="269"/>
      <c r="F630" s="269"/>
      <c r="G630" s="269"/>
      <c r="H630" s="269"/>
      <c r="I630" s="269"/>
      <c r="J630" s="269"/>
      <c r="K630" s="269"/>
      <c r="L630" s="269"/>
      <c r="M630" s="269"/>
      <c r="N630" s="269"/>
      <c r="O630" s="269"/>
      <c r="P630" s="269"/>
      <c r="Q630" s="269"/>
      <c r="R630" s="269"/>
      <c r="S630" s="269"/>
      <c r="T630" s="269"/>
      <c r="U630" s="269"/>
      <c r="V630" s="269"/>
      <c r="W630" s="269"/>
      <c r="X630" s="269"/>
      <c r="Y630" s="269"/>
      <c r="Z630" s="269"/>
    </row>
    <row r="631">
      <c r="A631" s="269"/>
      <c r="B631" s="269"/>
      <c r="C631" s="269"/>
      <c r="D631" s="269"/>
      <c r="E631" s="269"/>
      <c r="F631" s="269"/>
      <c r="G631" s="269"/>
      <c r="H631" s="269"/>
      <c r="I631" s="269"/>
      <c r="J631" s="269"/>
      <c r="K631" s="269"/>
      <c r="L631" s="269"/>
      <c r="M631" s="269"/>
      <c r="N631" s="269"/>
      <c r="O631" s="269"/>
      <c r="P631" s="269"/>
      <c r="Q631" s="269"/>
      <c r="R631" s="269"/>
      <c r="S631" s="269"/>
      <c r="T631" s="269"/>
      <c r="U631" s="269"/>
      <c r="V631" s="269"/>
      <c r="W631" s="269"/>
      <c r="X631" s="269"/>
      <c r="Y631" s="269"/>
      <c r="Z631" s="269"/>
    </row>
    <row r="632">
      <c r="A632" s="269"/>
      <c r="B632" s="269"/>
      <c r="C632" s="269"/>
      <c r="D632" s="269"/>
      <c r="E632" s="269"/>
      <c r="F632" s="269"/>
      <c r="G632" s="269"/>
      <c r="H632" s="269"/>
      <c r="I632" s="269"/>
      <c r="J632" s="269"/>
      <c r="K632" s="269"/>
      <c r="L632" s="269"/>
      <c r="M632" s="269"/>
      <c r="N632" s="269"/>
      <c r="O632" s="269"/>
      <c r="P632" s="269"/>
      <c r="Q632" s="269"/>
      <c r="R632" s="269"/>
      <c r="S632" s="269"/>
      <c r="T632" s="269"/>
      <c r="U632" s="269"/>
      <c r="V632" s="269"/>
      <c r="W632" s="269"/>
      <c r="X632" s="269"/>
      <c r="Y632" s="269"/>
      <c r="Z632" s="269"/>
    </row>
    <row r="633">
      <c r="A633" s="269"/>
      <c r="B633" s="269"/>
      <c r="C633" s="269"/>
      <c r="D633" s="269"/>
      <c r="E633" s="269"/>
      <c r="F633" s="269"/>
      <c r="G633" s="269"/>
      <c r="H633" s="269"/>
      <c r="I633" s="269"/>
      <c r="J633" s="269"/>
      <c r="K633" s="269"/>
      <c r="L633" s="269"/>
      <c r="M633" s="269"/>
      <c r="N633" s="269"/>
      <c r="O633" s="269"/>
      <c r="P633" s="269"/>
      <c r="Q633" s="269"/>
      <c r="R633" s="269"/>
      <c r="S633" s="269"/>
      <c r="T633" s="269"/>
      <c r="U633" s="269"/>
      <c r="V633" s="269"/>
      <c r="W633" s="269"/>
      <c r="X633" s="269"/>
      <c r="Y633" s="269"/>
      <c r="Z633" s="269"/>
    </row>
    <row r="634">
      <c r="A634" s="269"/>
      <c r="B634" s="269"/>
      <c r="C634" s="269"/>
      <c r="D634" s="269"/>
      <c r="E634" s="269"/>
      <c r="F634" s="269"/>
      <c r="G634" s="269"/>
      <c r="H634" s="269"/>
      <c r="I634" s="269"/>
      <c r="J634" s="269"/>
      <c r="K634" s="269"/>
      <c r="L634" s="269"/>
      <c r="M634" s="269"/>
      <c r="N634" s="269"/>
      <c r="O634" s="269"/>
      <c r="P634" s="269"/>
      <c r="Q634" s="269"/>
      <c r="R634" s="269"/>
      <c r="S634" s="269"/>
      <c r="T634" s="269"/>
      <c r="U634" s="269"/>
      <c r="V634" s="269"/>
      <c r="W634" s="269"/>
      <c r="X634" s="269"/>
      <c r="Y634" s="269"/>
      <c r="Z634" s="269"/>
    </row>
    <row r="635">
      <c r="A635" s="269"/>
      <c r="B635" s="269"/>
      <c r="C635" s="269"/>
      <c r="D635" s="269"/>
      <c r="E635" s="269"/>
      <c r="F635" s="269"/>
      <c r="G635" s="269"/>
      <c r="H635" s="269"/>
      <c r="I635" s="269"/>
      <c r="J635" s="269"/>
      <c r="K635" s="269"/>
      <c r="L635" s="269"/>
      <c r="M635" s="269"/>
      <c r="N635" s="269"/>
      <c r="O635" s="269"/>
      <c r="P635" s="269"/>
      <c r="Q635" s="269"/>
      <c r="R635" s="269"/>
      <c r="S635" s="269"/>
      <c r="T635" s="269"/>
      <c r="U635" s="269"/>
      <c r="V635" s="269"/>
      <c r="W635" s="269"/>
      <c r="X635" s="269"/>
      <c r="Y635" s="269"/>
      <c r="Z635" s="269"/>
    </row>
    <row r="636">
      <c r="A636" s="269"/>
      <c r="B636" s="269"/>
      <c r="C636" s="269"/>
      <c r="D636" s="269"/>
      <c r="E636" s="269"/>
      <c r="F636" s="269"/>
      <c r="G636" s="269"/>
      <c r="H636" s="269"/>
      <c r="I636" s="269"/>
      <c r="J636" s="269"/>
      <c r="K636" s="269"/>
      <c r="L636" s="269"/>
      <c r="M636" s="269"/>
      <c r="N636" s="269"/>
      <c r="O636" s="269"/>
      <c r="P636" s="269"/>
      <c r="Q636" s="269"/>
      <c r="R636" s="269"/>
      <c r="S636" s="269"/>
      <c r="T636" s="269"/>
      <c r="U636" s="269"/>
      <c r="V636" s="269"/>
      <c r="W636" s="269"/>
      <c r="X636" s="269"/>
      <c r="Y636" s="269"/>
      <c r="Z636" s="269"/>
    </row>
    <row r="637">
      <c r="A637" s="269"/>
      <c r="B637" s="269"/>
      <c r="C637" s="269"/>
      <c r="D637" s="269"/>
      <c r="E637" s="269"/>
      <c r="F637" s="269"/>
      <c r="G637" s="269"/>
      <c r="H637" s="269"/>
      <c r="I637" s="269"/>
      <c r="J637" s="269"/>
      <c r="K637" s="269"/>
      <c r="L637" s="269"/>
      <c r="M637" s="269"/>
      <c r="N637" s="269"/>
      <c r="O637" s="269"/>
      <c r="P637" s="269"/>
      <c r="Q637" s="269"/>
      <c r="R637" s="269"/>
      <c r="S637" s="269"/>
      <c r="T637" s="269"/>
      <c r="U637" s="269"/>
      <c r="V637" s="269"/>
      <c r="W637" s="269"/>
      <c r="X637" s="269"/>
      <c r="Y637" s="269"/>
      <c r="Z637" s="269"/>
    </row>
    <row r="638">
      <c r="A638" s="269"/>
      <c r="B638" s="269"/>
      <c r="C638" s="269"/>
      <c r="D638" s="269"/>
      <c r="E638" s="269"/>
      <c r="F638" s="269"/>
      <c r="G638" s="269"/>
      <c r="H638" s="269"/>
      <c r="I638" s="269"/>
      <c r="J638" s="269"/>
      <c r="K638" s="269"/>
      <c r="L638" s="269"/>
      <c r="M638" s="269"/>
      <c r="N638" s="269"/>
      <c r="O638" s="269"/>
      <c r="P638" s="269"/>
      <c r="Q638" s="269"/>
      <c r="R638" s="269"/>
      <c r="S638" s="269"/>
      <c r="T638" s="269"/>
      <c r="U638" s="269"/>
      <c r="V638" s="269"/>
      <c r="W638" s="269"/>
      <c r="X638" s="269"/>
      <c r="Y638" s="269"/>
      <c r="Z638" s="269"/>
    </row>
    <row r="639">
      <c r="A639" s="269"/>
      <c r="B639" s="269"/>
      <c r="C639" s="269"/>
      <c r="D639" s="269"/>
      <c r="E639" s="269"/>
      <c r="F639" s="269"/>
      <c r="G639" s="269"/>
      <c r="H639" s="269"/>
      <c r="I639" s="269"/>
      <c r="J639" s="269"/>
      <c r="K639" s="269"/>
      <c r="L639" s="269"/>
      <c r="M639" s="269"/>
      <c r="N639" s="269"/>
      <c r="O639" s="269"/>
      <c r="P639" s="269"/>
      <c r="Q639" s="269"/>
      <c r="R639" s="269"/>
      <c r="S639" s="269"/>
      <c r="T639" s="269"/>
      <c r="U639" s="269"/>
      <c r="V639" s="269"/>
      <c r="W639" s="269"/>
      <c r="X639" s="269"/>
      <c r="Y639" s="269"/>
      <c r="Z639" s="269"/>
    </row>
    <row r="640">
      <c r="A640" s="269"/>
      <c r="B640" s="269"/>
      <c r="C640" s="269"/>
      <c r="D640" s="269"/>
      <c r="E640" s="269"/>
      <c r="F640" s="269"/>
      <c r="G640" s="269"/>
      <c r="H640" s="269"/>
      <c r="I640" s="269"/>
      <c r="J640" s="269"/>
      <c r="K640" s="269"/>
      <c r="L640" s="269"/>
      <c r="M640" s="269"/>
      <c r="N640" s="269"/>
      <c r="O640" s="269"/>
      <c r="P640" s="269"/>
      <c r="Q640" s="269"/>
      <c r="R640" s="269"/>
      <c r="S640" s="269"/>
      <c r="T640" s="269"/>
      <c r="U640" s="269"/>
      <c r="V640" s="269"/>
      <c r="W640" s="269"/>
      <c r="X640" s="269"/>
      <c r="Y640" s="269"/>
      <c r="Z640" s="269"/>
    </row>
    <row r="641">
      <c r="A641" s="269"/>
      <c r="B641" s="269"/>
      <c r="C641" s="269"/>
      <c r="D641" s="269"/>
      <c r="E641" s="269"/>
      <c r="F641" s="269"/>
      <c r="G641" s="269"/>
      <c r="H641" s="269"/>
      <c r="I641" s="269"/>
      <c r="J641" s="269"/>
      <c r="K641" s="269"/>
      <c r="L641" s="269"/>
      <c r="M641" s="269"/>
      <c r="N641" s="269"/>
      <c r="O641" s="269"/>
      <c r="P641" s="269"/>
      <c r="Q641" s="269"/>
      <c r="R641" s="269"/>
      <c r="S641" s="269"/>
      <c r="T641" s="269"/>
      <c r="U641" s="269"/>
      <c r="V641" s="269"/>
      <c r="W641" s="269"/>
      <c r="X641" s="269"/>
      <c r="Y641" s="269"/>
      <c r="Z641" s="269"/>
    </row>
    <row r="642">
      <c r="A642" s="269"/>
      <c r="B642" s="269"/>
      <c r="C642" s="269"/>
      <c r="D642" s="269"/>
      <c r="E642" s="269"/>
      <c r="F642" s="269"/>
      <c r="G642" s="269"/>
      <c r="H642" s="269"/>
      <c r="I642" s="269"/>
      <c r="J642" s="269"/>
      <c r="K642" s="269"/>
      <c r="L642" s="269"/>
      <c r="M642" s="269"/>
      <c r="N642" s="269"/>
      <c r="O642" s="269"/>
      <c r="P642" s="269"/>
      <c r="Q642" s="269"/>
      <c r="R642" s="269"/>
      <c r="S642" s="269"/>
      <c r="T642" s="269"/>
      <c r="U642" s="269"/>
      <c r="V642" s="269"/>
      <c r="W642" s="269"/>
      <c r="X642" s="269"/>
      <c r="Y642" s="269"/>
      <c r="Z642" s="269"/>
    </row>
    <row r="643">
      <c r="A643" s="269"/>
      <c r="B643" s="269"/>
      <c r="C643" s="269"/>
      <c r="D643" s="269"/>
      <c r="E643" s="269"/>
      <c r="F643" s="269"/>
      <c r="G643" s="269"/>
      <c r="H643" s="269"/>
      <c r="I643" s="269"/>
      <c r="J643" s="269"/>
      <c r="K643" s="269"/>
      <c r="L643" s="269"/>
      <c r="M643" s="269"/>
      <c r="N643" s="269"/>
      <c r="O643" s="269"/>
      <c r="P643" s="269"/>
      <c r="Q643" s="269"/>
      <c r="R643" s="269"/>
      <c r="S643" s="269"/>
      <c r="T643" s="269"/>
      <c r="U643" s="269"/>
      <c r="V643" s="269"/>
      <c r="W643" s="269"/>
      <c r="X643" s="269"/>
      <c r="Y643" s="269"/>
      <c r="Z643" s="269"/>
    </row>
    <row r="644">
      <c r="A644" s="269"/>
      <c r="B644" s="269"/>
      <c r="C644" s="269"/>
      <c r="D644" s="269"/>
      <c r="E644" s="269"/>
      <c r="F644" s="269"/>
      <c r="G644" s="269"/>
      <c r="H644" s="269"/>
      <c r="I644" s="269"/>
      <c r="J644" s="269"/>
      <c r="K644" s="269"/>
      <c r="L644" s="269"/>
      <c r="M644" s="269"/>
      <c r="N644" s="269"/>
      <c r="O644" s="269"/>
      <c r="P644" s="269"/>
      <c r="Q644" s="269"/>
      <c r="R644" s="269"/>
      <c r="S644" s="269"/>
      <c r="T644" s="269"/>
      <c r="U644" s="269"/>
      <c r="V644" s="269"/>
      <c r="W644" s="269"/>
      <c r="X644" s="269"/>
      <c r="Y644" s="269"/>
      <c r="Z644" s="269"/>
    </row>
    <row r="645">
      <c r="A645" s="269"/>
      <c r="B645" s="269"/>
      <c r="C645" s="269"/>
      <c r="D645" s="269"/>
      <c r="E645" s="269"/>
      <c r="F645" s="269"/>
      <c r="G645" s="269"/>
      <c r="H645" s="269"/>
      <c r="I645" s="269"/>
      <c r="J645" s="269"/>
      <c r="K645" s="269"/>
      <c r="L645" s="269"/>
      <c r="M645" s="269"/>
      <c r="N645" s="269"/>
      <c r="O645" s="269"/>
      <c r="P645" s="269"/>
      <c r="Q645" s="269"/>
      <c r="R645" s="269"/>
      <c r="S645" s="269"/>
      <c r="T645" s="269"/>
      <c r="U645" s="269"/>
      <c r="V645" s="269"/>
      <c r="W645" s="269"/>
      <c r="X645" s="269"/>
      <c r="Y645" s="269"/>
      <c r="Z645" s="269"/>
    </row>
    <row r="646">
      <c r="A646" s="269"/>
      <c r="B646" s="269"/>
      <c r="C646" s="269"/>
      <c r="D646" s="269"/>
      <c r="E646" s="269"/>
      <c r="F646" s="269"/>
      <c r="G646" s="269"/>
      <c r="H646" s="269"/>
      <c r="I646" s="269"/>
      <c r="J646" s="269"/>
      <c r="K646" s="269"/>
      <c r="L646" s="269"/>
      <c r="M646" s="269"/>
      <c r="N646" s="269"/>
      <c r="O646" s="269"/>
      <c r="P646" s="269"/>
      <c r="Q646" s="269"/>
      <c r="R646" s="269"/>
      <c r="S646" s="269"/>
      <c r="T646" s="269"/>
      <c r="U646" s="269"/>
      <c r="V646" s="269"/>
      <c r="W646" s="269"/>
      <c r="X646" s="269"/>
      <c r="Y646" s="269"/>
      <c r="Z646" s="269"/>
    </row>
    <row r="647">
      <c r="A647" s="269"/>
      <c r="B647" s="269"/>
      <c r="C647" s="269"/>
      <c r="D647" s="269"/>
      <c r="E647" s="269"/>
      <c r="F647" s="269"/>
      <c r="G647" s="269"/>
      <c r="H647" s="269"/>
      <c r="I647" s="269"/>
      <c r="J647" s="269"/>
      <c r="K647" s="269"/>
      <c r="L647" s="269"/>
      <c r="M647" s="269"/>
      <c r="N647" s="269"/>
      <c r="O647" s="269"/>
      <c r="P647" s="269"/>
      <c r="Q647" s="269"/>
      <c r="R647" s="269"/>
      <c r="S647" s="269"/>
      <c r="T647" s="269"/>
      <c r="U647" s="269"/>
      <c r="V647" s="269"/>
      <c r="W647" s="269"/>
      <c r="X647" s="269"/>
      <c r="Y647" s="269"/>
      <c r="Z647" s="269"/>
    </row>
    <row r="648">
      <c r="A648" s="269"/>
      <c r="B648" s="269"/>
      <c r="C648" s="269"/>
      <c r="D648" s="269"/>
      <c r="E648" s="269"/>
      <c r="F648" s="269"/>
      <c r="G648" s="269"/>
      <c r="H648" s="269"/>
      <c r="I648" s="269"/>
      <c r="J648" s="269"/>
      <c r="K648" s="269"/>
      <c r="L648" s="269"/>
      <c r="M648" s="269"/>
      <c r="N648" s="269"/>
      <c r="O648" s="269"/>
      <c r="P648" s="269"/>
      <c r="Q648" s="269"/>
      <c r="R648" s="269"/>
      <c r="S648" s="269"/>
      <c r="T648" s="269"/>
      <c r="U648" s="269"/>
      <c r="V648" s="269"/>
      <c r="W648" s="269"/>
      <c r="X648" s="269"/>
      <c r="Y648" s="269"/>
      <c r="Z648" s="269"/>
    </row>
    <row r="649">
      <c r="A649" s="269"/>
      <c r="B649" s="269"/>
      <c r="C649" s="269"/>
      <c r="D649" s="269"/>
      <c r="E649" s="269"/>
      <c r="F649" s="269"/>
      <c r="G649" s="269"/>
      <c r="H649" s="269"/>
      <c r="I649" s="269"/>
      <c r="J649" s="269"/>
      <c r="K649" s="269"/>
      <c r="L649" s="269"/>
      <c r="M649" s="269"/>
      <c r="N649" s="269"/>
      <c r="O649" s="269"/>
      <c r="P649" s="269"/>
      <c r="Q649" s="269"/>
      <c r="R649" s="269"/>
      <c r="S649" s="269"/>
      <c r="T649" s="269"/>
      <c r="U649" s="269"/>
      <c r="V649" s="269"/>
      <c r="W649" s="269"/>
      <c r="X649" s="269"/>
      <c r="Y649" s="269"/>
      <c r="Z649" s="269"/>
    </row>
    <row r="650">
      <c r="A650" s="269"/>
      <c r="B650" s="269"/>
      <c r="C650" s="269"/>
      <c r="D650" s="269"/>
      <c r="E650" s="269"/>
      <c r="F650" s="269"/>
      <c r="G650" s="269"/>
      <c r="H650" s="269"/>
      <c r="I650" s="269"/>
      <c r="J650" s="269"/>
      <c r="K650" s="269"/>
      <c r="L650" s="269"/>
      <c r="M650" s="269"/>
      <c r="N650" s="269"/>
      <c r="O650" s="269"/>
      <c r="P650" s="269"/>
      <c r="Q650" s="269"/>
      <c r="R650" s="269"/>
      <c r="S650" s="269"/>
      <c r="T650" s="269"/>
      <c r="U650" s="269"/>
      <c r="V650" s="269"/>
      <c r="W650" s="269"/>
      <c r="X650" s="269"/>
      <c r="Y650" s="269"/>
      <c r="Z650" s="269"/>
    </row>
    <row r="651">
      <c r="A651" s="269"/>
      <c r="B651" s="269"/>
      <c r="C651" s="269"/>
      <c r="D651" s="269"/>
      <c r="E651" s="269"/>
      <c r="F651" s="269"/>
      <c r="G651" s="269"/>
      <c r="H651" s="269"/>
      <c r="I651" s="269"/>
      <c r="J651" s="269"/>
      <c r="K651" s="269"/>
      <c r="L651" s="269"/>
      <c r="M651" s="269"/>
      <c r="N651" s="269"/>
      <c r="O651" s="269"/>
      <c r="P651" s="269"/>
      <c r="Q651" s="269"/>
      <c r="R651" s="269"/>
      <c r="S651" s="269"/>
      <c r="T651" s="269"/>
      <c r="U651" s="269"/>
      <c r="V651" s="269"/>
      <c r="W651" s="269"/>
      <c r="X651" s="269"/>
      <c r="Y651" s="269"/>
      <c r="Z651" s="269"/>
    </row>
    <row r="652">
      <c r="A652" s="269"/>
      <c r="B652" s="269"/>
      <c r="C652" s="269"/>
      <c r="D652" s="269"/>
      <c r="E652" s="269"/>
      <c r="F652" s="269"/>
      <c r="G652" s="269"/>
      <c r="H652" s="269"/>
      <c r="I652" s="269"/>
      <c r="J652" s="269"/>
      <c r="K652" s="269"/>
      <c r="L652" s="269"/>
      <c r="M652" s="269"/>
      <c r="N652" s="269"/>
      <c r="O652" s="269"/>
      <c r="P652" s="269"/>
      <c r="Q652" s="269"/>
      <c r="R652" s="269"/>
      <c r="S652" s="269"/>
      <c r="T652" s="269"/>
      <c r="U652" s="269"/>
      <c r="V652" s="269"/>
      <c r="W652" s="269"/>
      <c r="X652" s="269"/>
      <c r="Y652" s="269"/>
      <c r="Z652" s="269"/>
    </row>
    <row r="653">
      <c r="A653" s="269"/>
      <c r="B653" s="269"/>
      <c r="C653" s="269"/>
      <c r="D653" s="269"/>
      <c r="E653" s="269"/>
      <c r="F653" s="269"/>
      <c r="G653" s="269"/>
      <c r="H653" s="269"/>
      <c r="I653" s="269"/>
      <c r="J653" s="269"/>
      <c r="K653" s="269"/>
      <c r="L653" s="269"/>
      <c r="M653" s="269"/>
      <c r="N653" s="269"/>
      <c r="O653" s="269"/>
      <c r="P653" s="269"/>
      <c r="Q653" s="269"/>
      <c r="R653" s="269"/>
      <c r="S653" s="269"/>
      <c r="T653" s="269"/>
      <c r="U653" s="269"/>
      <c r="V653" s="269"/>
      <c r="W653" s="269"/>
      <c r="X653" s="269"/>
      <c r="Y653" s="269"/>
      <c r="Z653" s="269"/>
    </row>
    <row r="654">
      <c r="A654" s="269"/>
      <c r="B654" s="269"/>
      <c r="C654" s="269"/>
      <c r="D654" s="269"/>
      <c r="E654" s="269"/>
      <c r="F654" s="269"/>
      <c r="G654" s="269"/>
      <c r="H654" s="269"/>
      <c r="I654" s="269"/>
      <c r="J654" s="269"/>
      <c r="K654" s="269"/>
      <c r="L654" s="269"/>
      <c r="M654" s="269"/>
      <c r="N654" s="269"/>
      <c r="O654" s="269"/>
      <c r="P654" s="269"/>
      <c r="Q654" s="269"/>
      <c r="R654" s="269"/>
      <c r="S654" s="269"/>
      <c r="T654" s="269"/>
      <c r="U654" s="269"/>
      <c r="V654" s="269"/>
      <c r="W654" s="269"/>
      <c r="X654" s="269"/>
      <c r="Y654" s="269"/>
      <c r="Z654" s="269"/>
    </row>
    <row r="655">
      <c r="A655" s="269"/>
      <c r="B655" s="269"/>
      <c r="C655" s="269"/>
      <c r="D655" s="269"/>
      <c r="E655" s="269"/>
      <c r="F655" s="269"/>
      <c r="G655" s="269"/>
      <c r="H655" s="269"/>
      <c r="I655" s="269"/>
      <c r="J655" s="269"/>
      <c r="K655" s="269"/>
      <c r="L655" s="269"/>
      <c r="M655" s="269"/>
      <c r="N655" s="269"/>
      <c r="O655" s="269"/>
      <c r="P655" s="269"/>
      <c r="Q655" s="269"/>
      <c r="R655" s="269"/>
      <c r="S655" s="269"/>
      <c r="T655" s="269"/>
      <c r="U655" s="269"/>
      <c r="V655" s="269"/>
      <c r="W655" s="269"/>
      <c r="X655" s="269"/>
      <c r="Y655" s="269"/>
      <c r="Z655" s="269"/>
    </row>
    <row r="656">
      <c r="A656" s="269"/>
      <c r="B656" s="269"/>
      <c r="C656" s="269"/>
      <c r="D656" s="269"/>
      <c r="E656" s="269"/>
      <c r="F656" s="269"/>
      <c r="G656" s="269"/>
      <c r="H656" s="269"/>
      <c r="I656" s="269"/>
      <c r="J656" s="269"/>
      <c r="K656" s="269"/>
      <c r="L656" s="269"/>
      <c r="M656" s="269"/>
      <c r="N656" s="269"/>
      <c r="O656" s="269"/>
      <c r="P656" s="269"/>
      <c r="Q656" s="269"/>
      <c r="R656" s="269"/>
      <c r="S656" s="269"/>
      <c r="T656" s="269"/>
      <c r="U656" s="269"/>
      <c r="V656" s="269"/>
      <c r="W656" s="269"/>
      <c r="X656" s="269"/>
      <c r="Y656" s="269"/>
      <c r="Z656" s="269"/>
    </row>
    <row r="657">
      <c r="A657" s="269"/>
      <c r="B657" s="269"/>
      <c r="C657" s="269"/>
      <c r="D657" s="269"/>
      <c r="E657" s="269"/>
      <c r="F657" s="269"/>
      <c r="G657" s="269"/>
      <c r="H657" s="269"/>
      <c r="I657" s="269"/>
      <c r="J657" s="269"/>
      <c r="K657" s="269"/>
      <c r="L657" s="269"/>
      <c r="M657" s="269"/>
      <c r="N657" s="269"/>
      <c r="O657" s="269"/>
      <c r="P657" s="269"/>
      <c r="Q657" s="269"/>
      <c r="R657" s="269"/>
      <c r="S657" s="269"/>
      <c r="T657" s="269"/>
      <c r="U657" s="269"/>
      <c r="V657" s="269"/>
      <c r="W657" s="269"/>
      <c r="X657" s="269"/>
      <c r="Y657" s="269"/>
      <c r="Z657" s="269"/>
    </row>
    <row r="658">
      <c r="A658" s="269"/>
      <c r="B658" s="269"/>
      <c r="C658" s="269"/>
      <c r="D658" s="269"/>
      <c r="E658" s="269"/>
      <c r="F658" s="269"/>
      <c r="G658" s="269"/>
      <c r="H658" s="269"/>
      <c r="I658" s="269"/>
      <c r="J658" s="269"/>
      <c r="K658" s="269"/>
      <c r="L658" s="269"/>
      <c r="M658" s="269"/>
      <c r="N658" s="269"/>
      <c r="O658" s="269"/>
      <c r="P658" s="269"/>
      <c r="Q658" s="269"/>
      <c r="R658" s="269"/>
      <c r="S658" s="269"/>
      <c r="T658" s="269"/>
      <c r="U658" s="269"/>
      <c r="V658" s="269"/>
      <c r="W658" s="269"/>
      <c r="X658" s="269"/>
      <c r="Y658" s="269"/>
      <c r="Z658" s="269"/>
    </row>
    <row r="659">
      <c r="A659" s="269"/>
      <c r="B659" s="269"/>
      <c r="C659" s="269"/>
      <c r="D659" s="269"/>
      <c r="E659" s="269"/>
      <c r="F659" s="269"/>
      <c r="G659" s="269"/>
      <c r="H659" s="269"/>
      <c r="I659" s="269"/>
      <c r="J659" s="269"/>
      <c r="K659" s="269"/>
      <c r="L659" s="269"/>
      <c r="M659" s="269"/>
      <c r="N659" s="269"/>
      <c r="O659" s="269"/>
      <c r="P659" s="269"/>
      <c r="Q659" s="269"/>
      <c r="R659" s="269"/>
      <c r="S659" s="269"/>
      <c r="T659" s="269"/>
      <c r="U659" s="269"/>
      <c r="V659" s="269"/>
      <c r="W659" s="269"/>
      <c r="X659" s="269"/>
      <c r="Y659" s="269"/>
      <c r="Z659" s="269"/>
    </row>
    <row r="660">
      <c r="A660" s="269"/>
      <c r="B660" s="269"/>
      <c r="C660" s="269"/>
      <c r="D660" s="269"/>
      <c r="E660" s="269"/>
      <c r="F660" s="269"/>
      <c r="G660" s="269"/>
      <c r="H660" s="269"/>
      <c r="I660" s="269"/>
      <c r="J660" s="269"/>
      <c r="K660" s="269"/>
      <c r="L660" s="269"/>
      <c r="M660" s="269"/>
      <c r="N660" s="269"/>
      <c r="O660" s="269"/>
      <c r="P660" s="269"/>
      <c r="Q660" s="269"/>
      <c r="R660" s="269"/>
      <c r="S660" s="269"/>
      <c r="T660" s="269"/>
      <c r="U660" s="269"/>
      <c r="V660" s="269"/>
      <c r="W660" s="269"/>
      <c r="X660" s="269"/>
      <c r="Y660" s="269"/>
      <c r="Z660" s="269"/>
    </row>
    <row r="661">
      <c r="A661" s="269"/>
      <c r="B661" s="269"/>
      <c r="C661" s="269"/>
      <c r="D661" s="269"/>
      <c r="E661" s="269"/>
      <c r="F661" s="269"/>
      <c r="G661" s="269"/>
      <c r="H661" s="269"/>
      <c r="I661" s="269"/>
      <c r="J661" s="269"/>
      <c r="K661" s="269"/>
      <c r="L661" s="269"/>
      <c r="M661" s="269"/>
      <c r="N661" s="269"/>
      <c r="O661" s="269"/>
      <c r="P661" s="269"/>
      <c r="Q661" s="269"/>
      <c r="R661" s="269"/>
      <c r="S661" s="269"/>
      <c r="T661" s="269"/>
      <c r="U661" s="269"/>
      <c r="V661" s="269"/>
      <c r="W661" s="269"/>
      <c r="X661" s="269"/>
      <c r="Y661" s="269"/>
      <c r="Z661" s="269"/>
    </row>
    <row r="662">
      <c r="A662" s="269"/>
      <c r="B662" s="269"/>
      <c r="C662" s="269"/>
      <c r="D662" s="269"/>
      <c r="E662" s="269"/>
      <c r="F662" s="269"/>
      <c r="G662" s="269"/>
      <c r="H662" s="269"/>
      <c r="I662" s="269"/>
      <c r="J662" s="269"/>
      <c r="K662" s="269"/>
      <c r="L662" s="269"/>
      <c r="M662" s="269"/>
      <c r="N662" s="269"/>
      <c r="O662" s="269"/>
      <c r="P662" s="269"/>
      <c r="Q662" s="269"/>
      <c r="R662" s="269"/>
      <c r="S662" s="269"/>
      <c r="T662" s="269"/>
      <c r="U662" s="269"/>
      <c r="V662" s="269"/>
      <c r="W662" s="269"/>
      <c r="X662" s="269"/>
      <c r="Y662" s="269"/>
      <c r="Z662" s="269"/>
    </row>
    <row r="663">
      <c r="A663" s="269"/>
      <c r="B663" s="269"/>
      <c r="C663" s="269"/>
      <c r="D663" s="269"/>
      <c r="E663" s="269"/>
      <c r="F663" s="269"/>
      <c r="G663" s="269"/>
      <c r="H663" s="269"/>
      <c r="I663" s="269"/>
      <c r="J663" s="269"/>
      <c r="K663" s="269"/>
      <c r="L663" s="269"/>
      <c r="M663" s="269"/>
      <c r="N663" s="269"/>
      <c r="O663" s="269"/>
      <c r="P663" s="269"/>
      <c r="Q663" s="269"/>
      <c r="R663" s="269"/>
      <c r="S663" s="269"/>
      <c r="T663" s="269"/>
      <c r="U663" s="269"/>
      <c r="V663" s="269"/>
      <c r="W663" s="269"/>
      <c r="X663" s="269"/>
      <c r="Y663" s="269"/>
      <c r="Z663" s="269"/>
    </row>
    <row r="664">
      <c r="A664" s="269"/>
      <c r="B664" s="269"/>
      <c r="C664" s="269"/>
      <c r="D664" s="269"/>
      <c r="E664" s="269"/>
      <c r="F664" s="269"/>
      <c r="G664" s="269"/>
      <c r="H664" s="269"/>
      <c r="I664" s="269"/>
      <c r="J664" s="269"/>
      <c r="K664" s="269"/>
      <c r="L664" s="269"/>
      <c r="M664" s="269"/>
      <c r="N664" s="269"/>
      <c r="O664" s="269"/>
      <c r="P664" s="269"/>
      <c r="Q664" s="269"/>
      <c r="R664" s="269"/>
      <c r="S664" s="269"/>
      <c r="T664" s="269"/>
      <c r="U664" s="269"/>
      <c r="V664" s="269"/>
      <c r="W664" s="269"/>
      <c r="X664" s="269"/>
      <c r="Y664" s="269"/>
      <c r="Z664" s="269"/>
    </row>
    <row r="665">
      <c r="A665" s="269"/>
      <c r="B665" s="269"/>
      <c r="C665" s="269"/>
      <c r="D665" s="269"/>
      <c r="E665" s="269"/>
      <c r="F665" s="269"/>
      <c r="G665" s="269"/>
      <c r="H665" s="269"/>
      <c r="I665" s="269"/>
      <c r="J665" s="269"/>
      <c r="K665" s="269"/>
      <c r="L665" s="269"/>
      <c r="M665" s="269"/>
      <c r="N665" s="269"/>
      <c r="O665" s="269"/>
      <c r="P665" s="269"/>
      <c r="Q665" s="269"/>
      <c r="R665" s="269"/>
      <c r="S665" s="269"/>
      <c r="T665" s="269"/>
      <c r="U665" s="269"/>
      <c r="V665" s="269"/>
      <c r="W665" s="269"/>
      <c r="X665" s="269"/>
      <c r="Y665" s="269"/>
      <c r="Z665" s="269"/>
    </row>
    <row r="666">
      <c r="A666" s="269"/>
      <c r="B666" s="269"/>
      <c r="C666" s="269"/>
      <c r="D666" s="269"/>
      <c r="E666" s="269"/>
      <c r="F666" s="269"/>
      <c r="G666" s="269"/>
      <c r="H666" s="269"/>
      <c r="I666" s="269"/>
      <c r="J666" s="269"/>
      <c r="K666" s="269"/>
      <c r="L666" s="269"/>
      <c r="M666" s="269"/>
      <c r="N666" s="269"/>
      <c r="O666" s="269"/>
      <c r="P666" s="269"/>
      <c r="Q666" s="269"/>
      <c r="R666" s="269"/>
      <c r="S666" s="269"/>
      <c r="T666" s="269"/>
      <c r="U666" s="269"/>
      <c r="V666" s="269"/>
      <c r="W666" s="269"/>
      <c r="X666" s="269"/>
      <c r="Y666" s="269"/>
      <c r="Z666" s="269"/>
    </row>
    <row r="667">
      <c r="A667" s="269"/>
      <c r="B667" s="269"/>
      <c r="C667" s="269"/>
      <c r="D667" s="269"/>
      <c r="E667" s="269"/>
      <c r="F667" s="269"/>
      <c r="G667" s="269"/>
      <c r="H667" s="269"/>
      <c r="I667" s="269"/>
      <c r="J667" s="269"/>
      <c r="K667" s="269"/>
      <c r="L667" s="269"/>
      <c r="M667" s="269"/>
      <c r="N667" s="269"/>
      <c r="O667" s="269"/>
      <c r="P667" s="269"/>
      <c r="Q667" s="269"/>
      <c r="R667" s="269"/>
      <c r="S667" s="269"/>
      <c r="T667" s="269"/>
      <c r="U667" s="269"/>
      <c r="V667" s="269"/>
      <c r="W667" s="269"/>
      <c r="X667" s="269"/>
      <c r="Y667" s="269"/>
      <c r="Z667" s="269"/>
    </row>
    <row r="668">
      <c r="A668" s="269"/>
      <c r="B668" s="269"/>
      <c r="C668" s="269"/>
      <c r="D668" s="269"/>
      <c r="E668" s="269"/>
      <c r="F668" s="269"/>
      <c r="G668" s="269"/>
      <c r="H668" s="269"/>
      <c r="I668" s="269"/>
      <c r="J668" s="269"/>
      <c r="K668" s="269"/>
      <c r="L668" s="269"/>
      <c r="M668" s="269"/>
      <c r="N668" s="269"/>
      <c r="O668" s="269"/>
      <c r="P668" s="269"/>
      <c r="Q668" s="269"/>
      <c r="R668" s="269"/>
      <c r="S668" s="269"/>
      <c r="T668" s="269"/>
      <c r="U668" s="269"/>
      <c r="V668" s="269"/>
      <c r="W668" s="269"/>
      <c r="X668" s="269"/>
      <c r="Y668" s="269"/>
      <c r="Z668" s="269"/>
    </row>
    <row r="669">
      <c r="A669" s="269"/>
      <c r="B669" s="269"/>
      <c r="C669" s="269"/>
      <c r="D669" s="269"/>
      <c r="E669" s="269"/>
      <c r="F669" s="269"/>
      <c r="G669" s="269"/>
      <c r="H669" s="269"/>
      <c r="I669" s="269"/>
      <c r="J669" s="269"/>
      <c r="K669" s="269"/>
      <c r="L669" s="269"/>
      <c r="M669" s="269"/>
      <c r="N669" s="269"/>
      <c r="O669" s="269"/>
      <c r="P669" s="269"/>
      <c r="Q669" s="269"/>
      <c r="R669" s="269"/>
      <c r="S669" s="269"/>
      <c r="T669" s="269"/>
      <c r="U669" s="269"/>
      <c r="V669" s="269"/>
      <c r="W669" s="269"/>
      <c r="X669" s="269"/>
      <c r="Y669" s="269"/>
      <c r="Z669" s="269"/>
    </row>
    <row r="670">
      <c r="A670" s="269"/>
      <c r="B670" s="269"/>
      <c r="C670" s="269"/>
      <c r="D670" s="269"/>
      <c r="E670" s="269"/>
      <c r="F670" s="269"/>
      <c r="G670" s="269"/>
      <c r="H670" s="269"/>
      <c r="I670" s="269"/>
      <c r="J670" s="269"/>
      <c r="K670" s="269"/>
      <c r="L670" s="269"/>
      <c r="M670" s="269"/>
      <c r="N670" s="269"/>
      <c r="O670" s="269"/>
      <c r="P670" s="269"/>
      <c r="Q670" s="269"/>
      <c r="R670" s="269"/>
      <c r="S670" s="269"/>
      <c r="T670" s="269"/>
      <c r="U670" s="269"/>
      <c r="V670" s="269"/>
      <c r="W670" s="269"/>
      <c r="X670" s="269"/>
      <c r="Y670" s="269"/>
      <c r="Z670" s="269"/>
    </row>
    <row r="671">
      <c r="A671" s="269"/>
      <c r="B671" s="269"/>
      <c r="C671" s="269"/>
      <c r="D671" s="269"/>
      <c r="E671" s="269"/>
      <c r="F671" s="269"/>
      <c r="G671" s="269"/>
      <c r="H671" s="269"/>
      <c r="I671" s="269"/>
      <c r="J671" s="269"/>
      <c r="K671" s="269"/>
      <c r="L671" s="269"/>
      <c r="M671" s="269"/>
      <c r="N671" s="269"/>
      <c r="O671" s="269"/>
      <c r="P671" s="269"/>
      <c r="Q671" s="269"/>
      <c r="R671" s="269"/>
      <c r="S671" s="269"/>
      <c r="T671" s="269"/>
      <c r="U671" s="269"/>
      <c r="V671" s="269"/>
      <c r="W671" s="269"/>
      <c r="X671" s="269"/>
      <c r="Y671" s="269"/>
      <c r="Z671" s="269"/>
    </row>
    <row r="672">
      <c r="A672" s="269"/>
      <c r="B672" s="269"/>
      <c r="C672" s="269"/>
      <c r="D672" s="269"/>
      <c r="E672" s="269"/>
      <c r="F672" s="269"/>
      <c r="G672" s="269"/>
      <c r="H672" s="269"/>
      <c r="I672" s="269"/>
      <c r="J672" s="269"/>
      <c r="K672" s="269"/>
      <c r="L672" s="269"/>
      <c r="M672" s="269"/>
      <c r="N672" s="269"/>
      <c r="O672" s="269"/>
      <c r="P672" s="269"/>
      <c r="Q672" s="269"/>
      <c r="R672" s="269"/>
      <c r="S672" s="269"/>
      <c r="T672" s="269"/>
      <c r="U672" s="269"/>
      <c r="V672" s="269"/>
      <c r="W672" s="269"/>
      <c r="X672" s="269"/>
      <c r="Y672" s="269"/>
      <c r="Z672" s="269"/>
    </row>
    <row r="673">
      <c r="A673" s="269"/>
      <c r="B673" s="269"/>
      <c r="C673" s="269"/>
      <c r="D673" s="269"/>
      <c r="E673" s="269"/>
      <c r="F673" s="269"/>
      <c r="G673" s="269"/>
      <c r="H673" s="269"/>
      <c r="I673" s="269"/>
      <c r="J673" s="269"/>
      <c r="K673" s="269"/>
      <c r="L673" s="269"/>
      <c r="M673" s="269"/>
      <c r="N673" s="269"/>
      <c r="O673" s="269"/>
      <c r="P673" s="269"/>
      <c r="Q673" s="269"/>
      <c r="R673" s="269"/>
      <c r="S673" s="269"/>
      <c r="T673" s="269"/>
      <c r="U673" s="269"/>
      <c r="V673" s="269"/>
      <c r="W673" s="269"/>
      <c r="X673" s="269"/>
      <c r="Y673" s="269"/>
      <c r="Z673" s="269"/>
    </row>
    <row r="674">
      <c r="A674" s="269"/>
      <c r="B674" s="269"/>
      <c r="C674" s="269"/>
      <c r="D674" s="269"/>
      <c r="E674" s="269"/>
      <c r="F674" s="269"/>
      <c r="G674" s="269"/>
      <c r="H674" s="269"/>
      <c r="I674" s="269"/>
      <c r="J674" s="269"/>
      <c r="K674" s="269"/>
      <c r="L674" s="269"/>
      <c r="M674" s="269"/>
      <c r="N674" s="269"/>
      <c r="O674" s="269"/>
      <c r="P674" s="269"/>
      <c r="Q674" s="269"/>
      <c r="R674" s="269"/>
      <c r="S674" s="269"/>
      <c r="T674" s="269"/>
      <c r="U674" s="269"/>
      <c r="V674" s="269"/>
      <c r="W674" s="269"/>
      <c r="X674" s="269"/>
      <c r="Y674" s="269"/>
      <c r="Z674" s="269"/>
    </row>
    <row r="675">
      <c r="A675" s="269"/>
      <c r="B675" s="269"/>
      <c r="C675" s="269"/>
      <c r="D675" s="269"/>
      <c r="E675" s="269"/>
      <c r="F675" s="269"/>
      <c r="G675" s="269"/>
      <c r="H675" s="269"/>
      <c r="I675" s="269"/>
      <c r="J675" s="269"/>
      <c r="K675" s="269"/>
      <c r="L675" s="269"/>
      <c r="M675" s="269"/>
      <c r="N675" s="269"/>
      <c r="O675" s="269"/>
      <c r="P675" s="269"/>
      <c r="Q675" s="269"/>
      <c r="R675" s="269"/>
      <c r="S675" s="269"/>
      <c r="T675" s="269"/>
      <c r="U675" s="269"/>
      <c r="V675" s="269"/>
      <c r="W675" s="269"/>
      <c r="X675" s="269"/>
      <c r="Y675" s="269"/>
      <c r="Z675" s="269"/>
    </row>
    <row r="676">
      <c r="A676" s="269"/>
      <c r="B676" s="269"/>
      <c r="C676" s="269"/>
      <c r="D676" s="269"/>
      <c r="E676" s="269"/>
      <c r="F676" s="269"/>
      <c r="G676" s="269"/>
      <c r="H676" s="269"/>
      <c r="I676" s="269"/>
      <c r="J676" s="269"/>
      <c r="K676" s="269"/>
      <c r="L676" s="269"/>
      <c r="M676" s="269"/>
      <c r="N676" s="269"/>
      <c r="O676" s="269"/>
      <c r="P676" s="269"/>
      <c r="Q676" s="269"/>
      <c r="R676" s="269"/>
      <c r="S676" s="269"/>
      <c r="T676" s="269"/>
      <c r="U676" s="269"/>
      <c r="V676" s="269"/>
      <c r="W676" s="269"/>
      <c r="X676" s="269"/>
      <c r="Y676" s="269"/>
      <c r="Z676" s="269"/>
    </row>
    <row r="677">
      <c r="A677" s="269"/>
      <c r="B677" s="269"/>
      <c r="C677" s="269"/>
      <c r="D677" s="269"/>
      <c r="E677" s="269"/>
      <c r="F677" s="269"/>
      <c r="G677" s="269"/>
      <c r="H677" s="269"/>
      <c r="I677" s="269"/>
      <c r="J677" s="269"/>
      <c r="K677" s="269"/>
      <c r="L677" s="269"/>
      <c r="M677" s="269"/>
      <c r="N677" s="269"/>
      <c r="O677" s="269"/>
      <c r="P677" s="269"/>
      <c r="Q677" s="269"/>
      <c r="R677" s="269"/>
      <c r="S677" s="269"/>
      <c r="T677" s="269"/>
      <c r="U677" s="269"/>
      <c r="V677" s="269"/>
      <c r="W677" s="269"/>
      <c r="X677" s="269"/>
      <c r="Y677" s="269"/>
      <c r="Z677" s="269"/>
    </row>
    <row r="678">
      <c r="A678" s="269"/>
      <c r="B678" s="269"/>
      <c r="C678" s="269"/>
      <c r="D678" s="269"/>
      <c r="E678" s="269"/>
      <c r="F678" s="269"/>
      <c r="G678" s="269"/>
      <c r="H678" s="269"/>
      <c r="I678" s="269"/>
      <c r="J678" s="269"/>
      <c r="K678" s="269"/>
      <c r="L678" s="269"/>
      <c r="M678" s="269"/>
      <c r="N678" s="269"/>
      <c r="O678" s="269"/>
      <c r="P678" s="269"/>
      <c r="Q678" s="269"/>
      <c r="R678" s="269"/>
      <c r="S678" s="269"/>
      <c r="T678" s="269"/>
      <c r="U678" s="269"/>
      <c r="V678" s="269"/>
      <c r="W678" s="269"/>
      <c r="X678" s="269"/>
      <c r="Y678" s="269"/>
      <c r="Z678" s="269"/>
    </row>
    <row r="679">
      <c r="A679" s="269"/>
      <c r="B679" s="269"/>
      <c r="C679" s="269"/>
      <c r="D679" s="269"/>
      <c r="E679" s="269"/>
      <c r="F679" s="269"/>
      <c r="G679" s="269"/>
      <c r="H679" s="269"/>
      <c r="I679" s="269"/>
      <c r="J679" s="269"/>
      <c r="K679" s="269"/>
      <c r="L679" s="269"/>
      <c r="M679" s="269"/>
      <c r="N679" s="269"/>
      <c r="O679" s="269"/>
      <c r="P679" s="269"/>
      <c r="Q679" s="269"/>
      <c r="R679" s="269"/>
      <c r="S679" s="269"/>
      <c r="T679" s="269"/>
      <c r="U679" s="269"/>
      <c r="V679" s="269"/>
      <c r="W679" s="269"/>
      <c r="X679" s="269"/>
      <c r="Y679" s="269"/>
      <c r="Z679" s="269"/>
    </row>
    <row r="680">
      <c r="A680" s="269"/>
      <c r="B680" s="269"/>
      <c r="C680" s="269"/>
      <c r="D680" s="269"/>
      <c r="E680" s="269"/>
      <c r="F680" s="269"/>
      <c r="G680" s="269"/>
      <c r="H680" s="269"/>
      <c r="I680" s="269"/>
      <c r="J680" s="269"/>
      <c r="K680" s="269"/>
      <c r="L680" s="269"/>
      <c r="M680" s="269"/>
      <c r="N680" s="269"/>
      <c r="O680" s="269"/>
      <c r="P680" s="269"/>
      <c r="Q680" s="269"/>
      <c r="R680" s="269"/>
      <c r="S680" s="269"/>
      <c r="T680" s="269"/>
      <c r="U680" s="269"/>
      <c r="V680" s="269"/>
      <c r="W680" s="269"/>
      <c r="X680" s="269"/>
      <c r="Y680" s="269"/>
      <c r="Z680" s="269"/>
    </row>
    <row r="681">
      <c r="A681" s="269"/>
      <c r="B681" s="269"/>
      <c r="C681" s="269"/>
      <c r="D681" s="269"/>
      <c r="E681" s="269"/>
      <c r="F681" s="269"/>
      <c r="G681" s="269"/>
      <c r="H681" s="269"/>
      <c r="I681" s="269"/>
      <c r="J681" s="269"/>
      <c r="K681" s="269"/>
      <c r="L681" s="269"/>
      <c r="M681" s="269"/>
      <c r="N681" s="269"/>
      <c r="O681" s="269"/>
      <c r="P681" s="269"/>
      <c r="Q681" s="269"/>
      <c r="R681" s="269"/>
      <c r="S681" s="269"/>
      <c r="T681" s="269"/>
      <c r="U681" s="269"/>
      <c r="V681" s="269"/>
      <c r="W681" s="269"/>
      <c r="X681" s="269"/>
      <c r="Y681" s="269"/>
      <c r="Z681" s="269"/>
    </row>
    <row r="682">
      <c r="A682" s="269"/>
      <c r="B682" s="269"/>
      <c r="C682" s="269"/>
      <c r="D682" s="269"/>
      <c r="E682" s="269"/>
      <c r="F682" s="269"/>
      <c r="G682" s="269"/>
      <c r="H682" s="269"/>
      <c r="I682" s="269"/>
      <c r="J682" s="269"/>
      <c r="K682" s="269"/>
      <c r="L682" s="269"/>
      <c r="M682" s="269"/>
      <c r="N682" s="269"/>
      <c r="O682" s="269"/>
      <c r="P682" s="269"/>
      <c r="Q682" s="269"/>
      <c r="R682" s="269"/>
      <c r="S682" s="269"/>
      <c r="T682" s="269"/>
      <c r="U682" s="269"/>
      <c r="V682" s="269"/>
      <c r="W682" s="269"/>
      <c r="X682" s="269"/>
      <c r="Y682" s="269"/>
      <c r="Z682" s="269"/>
    </row>
    <row r="683">
      <c r="A683" s="269"/>
      <c r="B683" s="269"/>
      <c r="C683" s="269"/>
      <c r="D683" s="269"/>
      <c r="E683" s="269"/>
      <c r="F683" s="269"/>
      <c r="G683" s="269"/>
      <c r="H683" s="269"/>
      <c r="I683" s="269"/>
      <c r="J683" s="269"/>
      <c r="K683" s="269"/>
      <c r="L683" s="269"/>
      <c r="M683" s="269"/>
      <c r="N683" s="269"/>
      <c r="O683" s="269"/>
      <c r="P683" s="269"/>
      <c r="Q683" s="269"/>
      <c r="R683" s="269"/>
      <c r="S683" s="269"/>
      <c r="T683" s="269"/>
      <c r="U683" s="269"/>
      <c r="V683" s="269"/>
      <c r="W683" s="269"/>
      <c r="X683" s="269"/>
      <c r="Y683" s="269"/>
      <c r="Z683" s="269"/>
    </row>
    <row r="684">
      <c r="A684" s="269"/>
      <c r="B684" s="269"/>
      <c r="C684" s="269"/>
      <c r="D684" s="269"/>
      <c r="E684" s="269"/>
      <c r="F684" s="269"/>
      <c r="G684" s="269"/>
      <c r="H684" s="269"/>
      <c r="I684" s="269"/>
      <c r="J684" s="269"/>
      <c r="K684" s="269"/>
      <c r="L684" s="269"/>
      <c r="M684" s="269"/>
      <c r="N684" s="269"/>
      <c r="O684" s="269"/>
      <c r="P684" s="269"/>
      <c r="Q684" s="269"/>
      <c r="R684" s="269"/>
      <c r="S684" s="269"/>
      <c r="T684" s="269"/>
      <c r="U684" s="269"/>
      <c r="V684" s="269"/>
      <c r="W684" s="269"/>
      <c r="X684" s="269"/>
      <c r="Y684" s="269"/>
      <c r="Z684" s="269"/>
    </row>
    <row r="685">
      <c r="A685" s="269"/>
      <c r="B685" s="269"/>
      <c r="C685" s="269"/>
      <c r="D685" s="269"/>
      <c r="E685" s="269"/>
      <c r="F685" s="269"/>
      <c r="G685" s="269"/>
      <c r="H685" s="269"/>
      <c r="I685" s="269"/>
      <c r="J685" s="269"/>
      <c r="K685" s="269"/>
      <c r="L685" s="269"/>
      <c r="M685" s="269"/>
      <c r="N685" s="269"/>
      <c r="O685" s="269"/>
      <c r="P685" s="269"/>
      <c r="Q685" s="269"/>
      <c r="R685" s="269"/>
      <c r="S685" s="269"/>
      <c r="T685" s="269"/>
      <c r="U685" s="269"/>
      <c r="V685" s="269"/>
      <c r="W685" s="269"/>
      <c r="X685" s="269"/>
      <c r="Y685" s="269"/>
      <c r="Z685" s="269"/>
    </row>
    <row r="686">
      <c r="A686" s="269"/>
      <c r="B686" s="269"/>
      <c r="C686" s="269"/>
      <c r="D686" s="269"/>
      <c r="E686" s="269"/>
      <c r="F686" s="269"/>
      <c r="G686" s="269"/>
      <c r="H686" s="269"/>
      <c r="I686" s="269"/>
      <c r="J686" s="269"/>
      <c r="K686" s="269"/>
      <c r="L686" s="269"/>
      <c r="M686" s="269"/>
      <c r="N686" s="269"/>
      <c r="O686" s="269"/>
      <c r="P686" s="269"/>
      <c r="Q686" s="269"/>
      <c r="R686" s="269"/>
      <c r="S686" s="269"/>
      <c r="T686" s="269"/>
      <c r="U686" s="269"/>
      <c r="V686" s="269"/>
      <c r="W686" s="269"/>
      <c r="X686" s="269"/>
      <c r="Y686" s="269"/>
      <c r="Z686" s="269"/>
    </row>
    <row r="687">
      <c r="A687" s="269"/>
      <c r="B687" s="269"/>
      <c r="C687" s="269"/>
      <c r="D687" s="269"/>
      <c r="E687" s="269"/>
      <c r="F687" s="269"/>
      <c r="G687" s="269"/>
      <c r="H687" s="269"/>
      <c r="I687" s="269"/>
      <c r="J687" s="269"/>
      <c r="K687" s="269"/>
      <c r="L687" s="269"/>
      <c r="M687" s="269"/>
      <c r="N687" s="269"/>
      <c r="O687" s="269"/>
      <c r="P687" s="269"/>
      <c r="Q687" s="269"/>
      <c r="R687" s="269"/>
      <c r="S687" s="269"/>
      <c r="T687" s="269"/>
      <c r="U687" s="269"/>
      <c r="V687" s="269"/>
      <c r="W687" s="269"/>
      <c r="X687" s="269"/>
      <c r="Y687" s="269"/>
      <c r="Z687" s="269"/>
    </row>
    <row r="688">
      <c r="A688" s="269"/>
      <c r="B688" s="269"/>
      <c r="C688" s="269"/>
      <c r="D688" s="269"/>
      <c r="E688" s="269"/>
      <c r="F688" s="269"/>
      <c r="G688" s="269"/>
      <c r="H688" s="269"/>
      <c r="I688" s="269"/>
      <c r="J688" s="269"/>
      <c r="K688" s="269"/>
      <c r="L688" s="269"/>
      <c r="M688" s="269"/>
      <c r="N688" s="269"/>
      <c r="O688" s="269"/>
      <c r="P688" s="269"/>
      <c r="Q688" s="269"/>
      <c r="R688" s="269"/>
      <c r="S688" s="269"/>
      <c r="T688" s="269"/>
      <c r="U688" s="269"/>
      <c r="V688" s="269"/>
      <c r="W688" s="269"/>
      <c r="X688" s="269"/>
      <c r="Y688" s="269"/>
      <c r="Z688" s="269"/>
    </row>
    <row r="689">
      <c r="A689" s="269"/>
      <c r="B689" s="269"/>
      <c r="C689" s="269"/>
      <c r="D689" s="269"/>
      <c r="E689" s="269"/>
      <c r="F689" s="269"/>
      <c r="G689" s="269"/>
      <c r="H689" s="269"/>
      <c r="I689" s="269"/>
      <c r="J689" s="269"/>
      <c r="K689" s="269"/>
      <c r="L689" s="269"/>
      <c r="M689" s="269"/>
      <c r="N689" s="269"/>
      <c r="O689" s="269"/>
      <c r="P689" s="269"/>
      <c r="Q689" s="269"/>
      <c r="R689" s="269"/>
      <c r="S689" s="269"/>
      <c r="T689" s="269"/>
      <c r="U689" s="269"/>
      <c r="V689" s="269"/>
      <c r="W689" s="269"/>
      <c r="X689" s="269"/>
      <c r="Y689" s="269"/>
      <c r="Z689" s="269"/>
    </row>
    <row r="690">
      <c r="A690" s="269"/>
      <c r="B690" s="269"/>
      <c r="C690" s="269"/>
      <c r="D690" s="269"/>
      <c r="E690" s="269"/>
      <c r="F690" s="269"/>
      <c r="G690" s="269"/>
      <c r="H690" s="269"/>
      <c r="I690" s="269"/>
      <c r="J690" s="269"/>
      <c r="K690" s="269"/>
      <c r="L690" s="269"/>
      <c r="M690" s="269"/>
      <c r="N690" s="269"/>
      <c r="O690" s="269"/>
      <c r="P690" s="269"/>
      <c r="Q690" s="269"/>
      <c r="R690" s="269"/>
      <c r="S690" s="269"/>
      <c r="T690" s="269"/>
      <c r="U690" s="269"/>
      <c r="V690" s="269"/>
      <c r="W690" s="269"/>
      <c r="X690" s="269"/>
      <c r="Y690" s="269"/>
      <c r="Z690" s="269"/>
    </row>
    <row r="691">
      <c r="A691" s="269"/>
      <c r="B691" s="269"/>
      <c r="C691" s="269"/>
      <c r="D691" s="269"/>
      <c r="E691" s="269"/>
      <c r="F691" s="269"/>
      <c r="G691" s="269"/>
      <c r="H691" s="269"/>
      <c r="I691" s="269"/>
      <c r="J691" s="269"/>
      <c r="K691" s="269"/>
      <c r="L691" s="269"/>
      <c r="M691" s="269"/>
      <c r="N691" s="269"/>
      <c r="O691" s="269"/>
      <c r="P691" s="269"/>
      <c r="Q691" s="269"/>
      <c r="R691" s="269"/>
      <c r="S691" s="269"/>
      <c r="T691" s="269"/>
      <c r="U691" s="269"/>
      <c r="V691" s="269"/>
      <c r="W691" s="269"/>
      <c r="X691" s="269"/>
      <c r="Y691" s="269"/>
      <c r="Z691" s="269"/>
    </row>
    <row r="692">
      <c r="A692" s="269"/>
      <c r="B692" s="269"/>
      <c r="C692" s="269"/>
      <c r="D692" s="269"/>
      <c r="E692" s="269"/>
      <c r="F692" s="269"/>
      <c r="G692" s="269"/>
      <c r="H692" s="269"/>
      <c r="I692" s="269"/>
      <c r="J692" s="269"/>
      <c r="K692" s="269"/>
      <c r="L692" s="269"/>
      <c r="M692" s="269"/>
      <c r="N692" s="269"/>
      <c r="O692" s="269"/>
      <c r="P692" s="269"/>
      <c r="Q692" s="269"/>
      <c r="R692" s="269"/>
      <c r="S692" s="269"/>
      <c r="T692" s="269"/>
      <c r="U692" s="269"/>
      <c r="V692" s="269"/>
      <c r="W692" s="269"/>
      <c r="X692" s="269"/>
      <c r="Y692" s="269"/>
      <c r="Z692" s="269"/>
    </row>
    <row r="693">
      <c r="A693" s="269"/>
      <c r="B693" s="269"/>
      <c r="C693" s="269"/>
      <c r="D693" s="269"/>
      <c r="E693" s="269"/>
      <c r="F693" s="269"/>
      <c r="G693" s="269"/>
      <c r="H693" s="269"/>
      <c r="I693" s="269"/>
      <c r="J693" s="269"/>
      <c r="K693" s="269"/>
      <c r="L693" s="269"/>
      <c r="M693" s="269"/>
      <c r="N693" s="269"/>
      <c r="O693" s="269"/>
      <c r="P693" s="269"/>
      <c r="Q693" s="269"/>
      <c r="R693" s="269"/>
      <c r="S693" s="269"/>
      <c r="T693" s="269"/>
      <c r="U693" s="269"/>
      <c r="V693" s="269"/>
      <c r="W693" s="269"/>
      <c r="X693" s="269"/>
      <c r="Y693" s="269"/>
      <c r="Z693" s="269"/>
    </row>
    <row r="694">
      <c r="A694" s="269"/>
      <c r="B694" s="269"/>
      <c r="C694" s="269"/>
      <c r="D694" s="269"/>
      <c r="E694" s="269"/>
      <c r="F694" s="269"/>
      <c r="G694" s="269"/>
      <c r="H694" s="269"/>
      <c r="I694" s="269"/>
      <c r="J694" s="269"/>
      <c r="K694" s="269"/>
      <c r="L694" s="269"/>
      <c r="M694" s="269"/>
      <c r="N694" s="269"/>
      <c r="O694" s="269"/>
      <c r="P694" s="269"/>
      <c r="Q694" s="269"/>
      <c r="R694" s="269"/>
      <c r="S694" s="269"/>
      <c r="T694" s="269"/>
      <c r="U694" s="269"/>
      <c r="V694" s="269"/>
      <c r="W694" s="269"/>
      <c r="X694" s="269"/>
      <c r="Y694" s="269"/>
      <c r="Z694" s="269"/>
    </row>
    <row r="695">
      <c r="A695" s="269"/>
      <c r="B695" s="269"/>
      <c r="C695" s="269"/>
      <c r="D695" s="269"/>
      <c r="E695" s="269"/>
      <c r="F695" s="269"/>
      <c r="G695" s="269"/>
      <c r="H695" s="269"/>
      <c r="I695" s="269"/>
      <c r="J695" s="269"/>
      <c r="K695" s="269"/>
      <c r="L695" s="269"/>
      <c r="M695" s="269"/>
      <c r="N695" s="269"/>
      <c r="O695" s="269"/>
      <c r="P695" s="269"/>
      <c r="Q695" s="269"/>
      <c r="R695" s="269"/>
      <c r="S695" s="269"/>
      <c r="T695" s="269"/>
      <c r="U695" s="269"/>
      <c r="V695" s="269"/>
      <c r="W695" s="269"/>
      <c r="X695" s="269"/>
      <c r="Y695" s="269"/>
      <c r="Z695" s="269"/>
    </row>
    <row r="696">
      <c r="A696" s="269"/>
      <c r="B696" s="269"/>
      <c r="C696" s="269"/>
      <c r="D696" s="269"/>
      <c r="E696" s="269"/>
      <c r="F696" s="269"/>
      <c r="G696" s="269"/>
      <c r="H696" s="269"/>
      <c r="I696" s="269"/>
      <c r="J696" s="269"/>
      <c r="K696" s="269"/>
      <c r="L696" s="269"/>
      <c r="M696" s="269"/>
      <c r="N696" s="269"/>
      <c r="O696" s="269"/>
      <c r="P696" s="269"/>
      <c r="Q696" s="269"/>
      <c r="R696" s="269"/>
      <c r="S696" s="269"/>
      <c r="T696" s="269"/>
      <c r="U696" s="269"/>
      <c r="V696" s="269"/>
      <c r="W696" s="269"/>
      <c r="X696" s="269"/>
      <c r="Y696" s="269"/>
      <c r="Z696" s="269"/>
    </row>
    <row r="697">
      <c r="A697" s="269"/>
      <c r="B697" s="269"/>
      <c r="C697" s="269"/>
      <c r="D697" s="269"/>
      <c r="E697" s="269"/>
      <c r="F697" s="269"/>
      <c r="G697" s="269"/>
      <c r="H697" s="269"/>
      <c r="I697" s="269"/>
      <c r="J697" s="269"/>
      <c r="K697" s="269"/>
      <c r="L697" s="269"/>
      <c r="M697" s="269"/>
      <c r="N697" s="269"/>
      <c r="O697" s="269"/>
      <c r="P697" s="269"/>
      <c r="Q697" s="269"/>
      <c r="R697" s="269"/>
      <c r="S697" s="269"/>
      <c r="T697" s="269"/>
      <c r="U697" s="269"/>
      <c r="V697" s="269"/>
      <c r="W697" s="269"/>
      <c r="X697" s="269"/>
      <c r="Y697" s="269"/>
      <c r="Z697" s="269"/>
    </row>
    <row r="698">
      <c r="A698" s="269"/>
      <c r="B698" s="269"/>
      <c r="C698" s="269"/>
      <c r="D698" s="269"/>
      <c r="E698" s="269"/>
      <c r="F698" s="269"/>
      <c r="G698" s="269"/>
      <c r="H698" s="269"/>
      <c r="I698" s="269"/>
      <c r="J698" s="269"/>
      <c r="K698" s="269"/>
      <c r="L698" s="269"/>
      <c r="M698" s="269"/>
      <c r="N698" s="269"/>
      <c r="O698" s="269"/>
      <c r="P698" s="269"/>
      <c r="Q698" s="269"/>
      <c r="R698" s="269"/>
      <c r="S698" s="269"/>
      <c r="T698" s="269"/>
      <c r="U698" s="269"/>
      <c r="V698" s="269"/>
      <c r="W698" s="269"/>
      <c r="X698" s="269"/>
      <c r="Y698" s="269"/>
      <c r="Z698" s="269"/>
    </row>
    <row r="699">
      <c r="A699" s="269"/>
      <c r="B699" s="269"/>
      <c r="C699" s="269"/>
      <c r="D699" s="269"/>
      <c r="E699" s="269"/>
      <c r="F699" s="269"/>
      <c r="G699" s="269"/>
      <c r="H699" s="269"/>
      <c r="I699" s="269"/>
      <c r="J699" s="269"/>
      <c r="K699" s="269"/>
      <c r="L699" s="269"/>
      <c r="M699" s="269"/>
      <c r="N699" s="269"/>
      <c r="O699" s="269"/>
      <c r="P699" s="269"/>
      <c r="Q699" s="269"/>
      <c r="R699" s="269"/>
      <c r="S699" s="269"/>
      <c r="T699" s="269"/>
      <c r="U699" s="269"/>
      <c r="V699" s="269"/>
      <c r="W699" s="269"/>
      <c r="X699" s="269"/>
      <c r="Y699" s="269"/>
      <c r="Z699" s="269"/>
    </row>
    <row r="700">
      <c r="A700" s="269"/>
      <c r="B700" s="269"/>
      <c r="C700" s="269"/>
      <c r="D700" s="269"/>
      <c r="E700" s="269"/>
      <c r="F700" s="269"/>
      <c r="G700" s="269"/>
      <c r="H700" s="269"/>
      <c r="I700" s="269"/>
      <c r="J700" s="269"/>
      <c r="K700" s="269"/>
      <c r="L700" s="269"/>
      <c r="M700" s="269"/>
      <c r="N700" s="269"/>
      <c r="O700" s="269"/>
      <c r="P700" s="269"/>
      <c r="Q700" s="269"/>
      <c r="R700" s="269"/>
      <c r="S700" s="269"/>
      <c r="T700" s="269"/>
      <c r="U700" s="269"/>
      <c r="V700" s="269"/>
      <c r="W700" s="269"/>
      <c r="X700" s="269"/>
      <c r="Y700" s="269"/>
      <c r="Z700" s="269"/>
    </row>
    <row r="701">
      <c r="A701" s="269"/>
      <c r="B701" s="269"/>
      <c r="C701" s="269"/>
      <c r="D701" s="269"/>
      <c r="E701" s="269"/>
      <c r="F701" s="269"/>
      <c r="G701" s="269"/>
      <c r="H701" s="269"/>
      <c r="I701" s="269"/>
      <c r="J701" s="269"/>
      <c r="K701" s="269"/>
      <c r="L701" s="269"/>
      <c r="M701" s="269"/>
      <c r="N701" s="269"/>
      <c r="O701" s="269"/>
      <c r="P701" s="269"/>
      <c r="Q701" s="269"/>
      <c r="R701" s="269"/>
      <c r="S701" s="269"/>
      <c r="T701" s="269"/>
      <c r="U701" s="269"/>
      <c r="V701" s="269"/>
      <c r="W701" s="269"/>
      <c r="X701" s="269"/>
      <c r="Y701" s="269"/>
      <c r="Z701" s="269"/>
    </row>
    <row r="702">
      <c r="A702" s="269"/>
      <c r="B702" s="269"/>
      <c r="C702" s="269"/>
      <c r="D702" s="269"/>
      <c r="E702" s="269"/>
      <c r="F702" s="269"/>
      <c r="G702" s="269"/>
      <c r="H702" s="269"/>
      <c r="I702" s="269"/>
      <c r="J702" s="269"/>
      <c r="K702" s="269"/>
      <c r="L702" s="269"/>
      <c r="M702" s="269"/>
      <c r="N702" s="269"/>
      <c r="O702" s="269"/>
      <c r="P702" s="269"/>
      <c r="Q702" s="269"/>
      <c r="R702" s="269"/>
      <c r="S702" s="269"/>
      <c r="T702" s="269"/>
      <c r="U702" s="269"/>
      <c r="V702" s="269"/>
      <c r="W702" s="269"/>
      <c r="X702" s="269"/>
      <c r="Y702" s="269"/>
      <c r="Z702" s="269"/>
    </row>
    <row r="703">
      <c r="A703" s="269"/>
      <c r="B703" s="269"/>
      <c r="C703" s="269"/>
      <c r="D703" s="269"/>
      <c r="E703" s="269"/>
      <c r="F703" s="269"/>
      <c r="G703" s="269"/>
      <c r="H703" s="269"/>
      <c r="I703" s="269"/>
      <c r="J703" s="269"/>
      <c r="K703" s="269"/>
      <c r="L703" s="269"/>
      <c r="M703" s="269"/>
      <c r="N703" s="269"/>
      <c r="O703" s="269"/>
      <c r="P703" s="269"/>
      <c r="Q703" s="269"/>
      <c r="R703" s="269"/>
      <c r="S703" s="269"/>
      <c r="T703" s="269"/>
      <c r="U703" s="269"/>
      <c r="V703" s="269"/>
      <c r="W703" s="269"/>
      <c r="X703" s="269"/>
      <c r="Y703" s="269"/>
      <c r="Z703" s="269"/>
    </row>
    <row r="704">
      <c r="A704" s="269"/>
      <c r="B704" s="269"/>
      <c r="C704" s="269"/>
      <c r="D704" s="269"/>
      <c r="E704" s="269"/>
      <c r="F704" s="269"/>
      <c r="G704" s="269"/>
      <c r="H704" s="269"/>
      <c r="I704" s="269"/>
      <c r="J704" s="269"/>
      <c r="K704" s="269"/>
      <c r="L704" s="269"/>
      <c r="M704" s="269"/>
      <c r="N704" s="269"/>
      <c r="O704" s="269"/>
      <c r="P704" s="269"/>
      <c r="Q704" s="269"/>
      <c r="R704" s="269"/>
      <c r="S704" s="269"/>
      <c r="T704" s="269"/>
      <c r="U704" s="269"/>
      <c r="V704" s="269"/>
      <c r="W704" s="269"/>
      <c r="X704" s="269"/>
      <c r="Y704" s="269"/>
      <c r="Z704" s="269"/>
    </row>
    <row r="705">
      <c r="A705" s="269"/>
      <c r="B705" s="269"/>
      <c r="C705" s="269"/>
      <c r="D705" s="269"/>
      <c r="E705" s="269"/>
      <c r="F705" s="269"/>
      <c r="G705" s="269"/>
      <c r="H705" s="269"/>
      <c r="I705" s="269"/>
      <c r="J705" s="269"/>
      <c r="K705" s="269"/>
      <c r="L705" s="269"/>
      <c r="M705" s="269"/>
      <c r="N705" s="269"/>
      <c r="O705" s="269"/>
      <c r="P705" s="269"/>
      <c r="Q705" s="269"/>
      <c r="R705" s="269"/>
      <c r="S705" s="269"/>
      <c r="T705" s="269"/>
      <c r="U705" s="269"/>
      <c r="V705" s="269"/>
      <c r="W705" s="269"/>
      <c r="X705" s="269"/>
      <c r="Y705" s="269"/>
      <c r="Z705" s="269"/>
    </row>
    <row r="706">
      <c r="A706" s="269"/>
      <c r="B706" s="269"/>
      <c r="C706" s="269"/>
      <c r="D706" s="269"/>
      <c r="E706" s="269"/>
      <c r="F706" s="269"/>
      <c r="G706" s="269"/>
      <c r="H706" s="269"/>
      <c r="I706" s="269"/>
      <c r="J706" s="269"/>
      <c r="K706" s="269"/>
      <c r="L706" s="269"/>
      <c r="M706" s="269"/>
      <c r="N706" s="269"/>
      <c r="O706" s="269"/>
      <c r="P706" s="269"/>
      <c r="Q706" s="269"/>
      <c r="R706" s="269"/>
      <c r="S706" s="269"/>
      <c r="T706" s="269"/>
      <c r="U706" s="269"/>
      <c r="V706" s="269"/>
      <c r="W706" s="269"/>
      <c r="X706" s="269"/>
      <c r="Y706" s="269"/>
      <c r="Z706" s="269"/>
    </row>
    <row r="707">
      <c r="A707" s="269"/>
      <c r="B707" s="269"/>
      <c r="C707" s="269"/>
      <c r="D707" s="269"/>
      <c r="E707" s="269"/>
      <c r="F707" s="269"/>
      <c r="G707" s="269"/>
      <c r="H707" s="269"/>
      <c r="I707" s="269"/>
      <c r="J707" s="269"/>
      <c r="K707" s="269"/>
      <c r="L707" s="269"/>
      <c r="M707" s="269"/>
      <c r="N707" s="269"/>
      <c r="O707" s="269"/>
      <c r="P707" s="269"/>
      <c r="Q707" s="269"/>
      <c r="R707" s="269"/>
      <c r="S707" s="269"/>
      <c r="T707" s="269"/>
      <c r="U707" s="269"/>
      <c r="V707" s="269"/>
      <c r="W707" s="269"/>
      <c r="X707" s="269"/>
      <c r="Y707" s="269"/>
      <c r="Z707" s="269"/>
    </row>
    <row r="708">
      <c r="A708" s="269"/>
      <c r="B708" s="269"/>
      <c r="C708" s="269"/>
      <c r="D708" s="269"/>
      <c r="E708" s="269"/>
      <c r="F708" s="269"/>
      <c r="G708" s="269"/>
      <c r="H708" s="269"/>
      <c r="I708" s="269"/>
      <c r="J708" s="269"/>
      <c r="K708" s="269"/>
      <c r="L708" s="269"/>
      <c r="M708" s="269"/>
      <c r="N708" s="269"/>
      <c r="O708" s="269"/>
      <c r="P708" s="269"/>
      <c r="Q708" s="269"/>
      <c r="R708" s="269"/>
      <c r="S708" s="269"/>
      <c r="T708" s="269"/>
      <c r="U708" s="269"/>
      <c r="V708" s="269"/>
      <c r="W708" s="269"/>
      <c r="X708" s="269"/>
      <c r="Y708" s="269"/>
      <c r="Z708" s="269"/>
    </row>
    <row r="709">
      <c r="A709" s="269"/>
      <c r="B709" s="269"/>
      <c r="C709" s="269"/>
      <c r="D709" s="269"/>
      <c r="E709" s="269"/>
      <c r="F709" s="269"/>
      <c r="G709" s="269"/>
      <c r="H709" s="269"/>
      <c r="I709" s="269"/>
      <c r="J709" s="269"/>
      <c r="K709" s="269"/>
      <c r="L709" s="269"/>
      <c r="M709" s="269"/>
      <c r="N709" s="269"/>
      <c r="O709" s="269"/>
      <c r="P709" s="269"/>
      <c r="Q709" s="269"/>
      <c r="R709" s="269"/>
      <c r="S709" s="269"/>
      <c r="T709" s="269"/>
      <c r="U709" s="269"/>
      <c r="V709" s="269"/>
      <c r="W709" s="269"/>
      <c r="X709" s="269"/>
      <c r="Y709" s="269"/>
      <c r="Z709" s="269"/>
    </row>
    <row r="710">
      <c r="A710" s="269"/>
      <c r="B710" s="269"/>
      <c r="C710" s="269"/>
      <c r="D710" s="269"/>
      <c r="E710" s="269"/>
      <c r="F710" s="269"/>
      <c r="G710" s="269"/>
      <c r="H710" s="269"/>
      <c r="I710" s="269"/>
      <c r="J710" s="269"/>
      <c r="K710" s="269"/>
      <c r="L710" s="269"/>
      <c r="M710" s="269"/>
      <c r="N710" s="269"/>
      <c r="O710" s="269"/>
      <c r="P710" s="269"/>
      <c r="Q710" s="269"/>
      <c r="R710" s="269"/>
      <c r="S710" s="269"/>
      <c r="T710" s="269"/>
      <c r="U710" s="269"/>
      <c r="V710" s="269"/>
      <c r="W710" s="269"/>
      <c r="X710" s="269"/>
      <c r="Y710" s="269"/>
      <c r="Z710" s="269"/>
    </row>
    <row r="711">
      <c r="A711" s="269"/>
      <c r="B711" s="269"/>
      <c r="C711" s="269"/>
      <c r="D711" s="269"/>
      <c r="E711" s="269"/>
      <c r="F711" s="269"/>
      <c r="G711" s="269"/>
      <c r="H711" s="269"/>
      <c r="I711" s="269"/>
      <c r="J711" s="269"/>
      <c r="K711" s="269"/>
      <c r="L711" s="269"/>
      <c r="M711" s="269"/>
      <c r="N711" s="269"/>
      <c r="O711" s="269"/>
      <c r="P711" s="269"/>
      <c r="Q711" s="269"/>
      <c r="R711" s="269"/>
      <c r="S711" s="269"/>
      <c r="T711" s="269"/>
      <c r="U711" s="269"/>
      <c r="V711" s="269"/>
      <c r="W711" s="269"/>
      <c r="X711" s="269"/>
      <c r="Y711" s="269"/>
      <c r="Z711" s="269"/>
    </row>
    <row r="712">
      <c r="A712" s="269"/>
      <c r="B712" s="269"/>
      <c r="C712" s="269"/>
      <c r="D712" s="269"/>
      <c r="E712" s="269"/>
      <c r="F712" s="269"/>
      <c r="G712" s="269"/>
      <c r="H712" s="269"/>
      <c r="I712" s="269"/>
      <c r="J712" s="269"/>
      <c r="K712" s="269"/>
      <c r="L712" s="269"/>
      <c r="M712" s="269"/>
      <c r="N712" s="269"/>
      <c r="O712" s="269"/>
      <c r="P712" s="269"/>
      <c r="Q712" s="269"/>
      <c r="R712" s="269"/>
      <c r="S712" s="269"/>
      <c r="T712" s="269"/>
      <c r="U712" s="269"/>
      <c r="V712" s="269"/>
      <c r="W712" s="269"/>
      <c r="X712" s="269"/>
      <c r="Y712" s="269"/>
      <c r="Z712" s="269"/>
    </row>
    <row r="713">
      <c r="A713" s="269"/>
      <c r="B713" s="269"/>
      <c r="C713" s="269"/>
      <c r="D713" s="269"/>
      <c r="E713" s="269"/>
      <c r="F713" s="269"/>
      <c r="G713" s="269"/>
      <c r="H713" s="269"/>
      <c r="I713" s="269"/>
      <c r="J713" s="269"/>
      <c r="K713" s="269"/>
      <c r="L713" s="269"/>
      <c r="M713" s="269"/>
      <c r="N713" s="269"/>
      <c r="O713" s="269"/>
      <c r="P713" s="269"/>
      <c r="Q713" s="269"/>
      <c r="R713" s="269"/>
      <c r="S713" s="269"/>
      <c r="T713" s="269"/>
      <c r="U713" s="269"/>
      <c r="V713" s="269"/>
      <c r="W713" s="269"/>
      <c r="X713" s="269"/>
      <c r="Y713" s="269"/>
      <c r="Z713" s="269"/>
    </row>
    <row r="714">
      <c r="A714" s="269"/>
      <c r="B714" s="269"/>
      <c r="C714" s="269"/>
      <c r="D714" s="269"/>
      <c r="E714" s="269"/>
      <c r="F714" s="269"/>
      <c r="G714" s="269"/>
      <c r="H714" s="269"/>
      <c r="I714" s="269"/>
      <c r="J714" s="269"/>
      <c r="K714" s="269"/>
      <c r="L714" s="269"/>
      <c r="M714" s="269"/>
      <c r="N714" s="269"/>
      <c r="O714" s="269"/>
      <c r="P714" s="269"/>
      <c r="Q714" s="269"/>
      <c r="R714" s="269"/>
      <c r="S714" s="269"/>
      <c r="T714" s="269"/>
      <c r="U714" s="269"/>
      <c r="V714" s="269"/>
      <c r="W714" s="269"/>
      <c r="X714" s="269"/>
      <c r="Y714" s="269"/>
      <c r="Z714" s="269"/>
    </row>
    <row r="715">
      <c r="A715" s="269"/>
      <c r="B715" s="269"/>
      <c r="C715" s="269"/>
      <c r="D715" s="269"/>
      <c r="E715" s="269"/>
      <c r="F715" s="269"/>
      <c r="G715" s="269"/>
      <c r="H715" s="269"/>
      <c r="I715" s="269"/>
      <c r="J715" s="269"/>
      <c r="K715" s="269"/>
      <c r="L715" s="269"/>
      <c r="M715" s="269"/>
      <c r="N715" s="269"/>
      <c r="O715" s="269"/>
      <c r="P715" s="269"/>
      <c r="Q715" s="269"/>
      <c r="R715" s="269"/>
      <c r="S715" s="269"/>
      <c r="T715" s="269"/>
      <c r="U715" s="269"/>
      <c r="V715" s="269"/>
      <c r="W715" s="269"/>
      <c r="X715" s="269"/>
      <c r="Y715" s="269"/>
      <c r="Z715" s="269"/>
    </row>
    <row r="716">
      <c r="A716" s="269"/>
      <c r="B716" s="269"/>
      <c r="C716" s="269"/>
      <c r="D716" s="269"/>
      <c r="E716" s="269"/>
      <c r="F716" s="269"/>
      <c r="G716" s="269"/>
      <c r="H716" s="269"/>
      <c r="I716" s="269"/>
      <c r="J716" s="269"/>
      <c r="K716" s="269"/>
      <c r="L716" s="269"/>
      <c r="M716" s="269"/>
      <c r="N716" s="269"/>
      <c r="O716" s="269"/>
      <c r="P716" s="269"/>
      <c r="Q716" s="269"/>
      <c r="R716" s="269"/>
      <c r="S716" s="269"/>
      <c r="T716" s="269"/>
      <c r="U716" s="269"/>
      <c r="V716" s="269"/>
      <c r="W716" s="269"/>
      <c r="X716" s="269"/>
      <c r="Y716" s="269"/>
      <c r="Z716" s="269"/>
    </row>
    <row r="717">
      <c r="A717" s="269"/>
      <c r="B717" s="269"/>
      <c r="C717" s="269"/>
      <c r="D717" s="269"/>
      <c r="E717" s="269"/>
      <c r="F717" s="269"/>
      <c r="G717" s="269"/>
      <c r="H717" s="269"/>
      <c r="I717" s="269"/>
      <c r="J717" s="269"/>
      <c r="K717" s="269"/>
      <c r="L717" s="269"/>
      <c r="M717" s="269"/>
      <c r="N717" s="269"/>
      <c r="O717" s="269"/>
      <c r="P717" s="269"/>
      <c r="Q717" s="269"/>
      <c r="R717" s="269"/>
      <c r="S717" s="269"/>
      <c r="T717" s="269"/>
      <c r="U717" s="269"/>
      <c r="V717" s="269"/>
      <c r="W717" s="269"/>
      <c r="X717" s="269"/>
      <c r="Y717" s="269"/>
      <c r="Z717" s="269"/>
    </row>
    <row r="718">
      <c r="A718" s="269"/>
      <c r="B718" s="269"/>
      <c r="C718" s="269"/>
      <c r="D718" s="269"/>
      <c r="E718" s="269"/>
      <c r="F718" s="269"/>
      <c r="G718" s="269"/>
      <c r="H718" s="269"/>
      <c r="I718" s="269"/>
      <c r="J718" s="269"/>
      <c r="K718" s="269"/>
      <c r="L718" s="269"/>
      <c r="M718" s="269"/>
      <c r="N718" s="269"/>
      <c r="O718" s="269"/>
      <c r="P718" s="269"/>
      <c r="Q718" s="269"/>
      <c r="R718" s="269"/>
      <c r="S718" s="269"/>
      <c r="T718" s="269"/>
      <c r="U718" s="269"/>
      <c r="V718" s="269"/>
      <c r="W718" s="269"/>
      <c r="X718" s="269"/>
      <c r="Y718" s="269"/>
      <c r="Z718" s="269"/>
    </row>
    <row r="719">
      <c r="A719" s="269"/>
      <c r="B719" s="269"/>
      <c r="C719" s="269"/>
      <c r="D719" s="269"/>
      <c r="E719" s="269"/>
      <c r="F719" s="269"/>
      <c r="G719" s="269"/>
      <c r="H719" s="269"/>
      <c r="I719" s="269"/>
      <c r="J719" s="269"/>
      <c r="K719" s="269"/>
      <c r="L719" s="269"/>
      <c r="M719" s="269"/>
      <c r="N719" s="269"/>
      <c r="O719" s="269"/>
      <c r="P719" s="269"/>
      <c r="Q719" s="269"/>
      <c r="R719" s="269"/>
      <c r="S719" s="269"/>
      <c r="T719" s="269"/>
      <c r="U719" s="269"/>
      <c r="V719" s="269"/>
      <c r="W719" s="269"/>
      <c r="X719" s="269"/>
      <c r="Y719" s="269"/>
      <c r="Z719" s="269"/>
    </row>
    <row r="720">
      <c r="A720" s="269"/>
      <c r="B720" s="269"/>
      <c r="C720" s="269"/>
      <c r="D720" s="269"/>
      <c r="E720" s="269"/>
      <c r="F720" s="269"/>
      <c r="G720" s="269"/>
      <c r="H720" s="269"/>
      <c r="I720" s="269"/>
      <c r="J720" s="269"/>
      <c r="K720" s="269"/>
      <c r="L720" s="269"/>
      <c r="M720" s="269"/>
      <c r="N720" s="269"/>
      <c r="O720" s="269"/>
      <c r="P720" s="269"/>
      <c r="Q720" s="269"/>
      <c r="R720" s="269"/>
      <c r="S720" s="269"/>
      <c r="T720" s="269"/>
      <c r="U720" s="269"/>
      <c r="V720" s="269"/>
      <c r="W720" s="269"/>
      <c r="X720" s="269"/>
      <c r="Y720" s="269"/>
      <c r="Z720" s="269"/>
    </row>
    <row r="721">
      <c r="A721" s="269"/>
      <c r="B721" s="269"/>
      <c r="C721" s="269"/>
      <c r="D721" s="269"/>
      <c r="E721" s="269"/>
      <c r="F721" s="269"/>
      <c r="G721" s="269"/>
      <c r="H721" s="269"/>
      <c r="I721" s="269"/>
      <c r="J721" s="269"/>
      <c r="K721" s="269"/>
      <c r="L721" s="269"/>
      <c r="M721" s="269"/>
      <c r="N721" s="269"/>
      <c r="O721" s="269"/>
      <c r="P721" s="269"/>
      <c r="Q721" s="269"/>
      <c r="R721" s="269"/>
      <c r="S721" s="269"/>
      <c r="T721" s="269"/>
      <c r="U721" s="269"/>
      <c r="V721" s="269"/>
      <c r="W721" s="269"/>
      <c r="X721" s="269"/>
      <c r="Y721" s="269"/>
      <c r="Z721" s="269"/>
    </row>
    <row r="722">
      <c r="A722" s="269"/>
      <c r="B722" s="269"/>
      <c r="C722" s="269"/>
      <c r="D722" s="269"/>
      <c r="E722" s="269"/>
      <c r="F722" s="269"/>
      <c r="G722" s="269"/>
      <c r="H722" s="269"/>
      <c r="I722" s="269"/>
      <c r="J722" s="269"/>
      <c r="K722" s="269"/>
      <c r="L722" s="269"/>
      <c r="M722" s="269"/>
      <c r="N722" s="269"/>
      <c r="O722" s="269"/>
      <c r="P722" s="269"/>
      <c r="Q722" s="269"/>
      <c r="R722" s="269"/>
      <c r="S722" s="269"/>
      <c r="T722" s="269"/>
      <c r="U722" s="269"/>
      <c r="V722" s="269"/>
      <c r="W722" s="269"/>
      <c r="X722" s="269"/>
      <c r="Y722" s="269"/>
      <c r="Z722" s="269"/>
    </row>
    <row r="723">
      <c r="A723" s="269"/>
      <c r="B723" s="269"/>
      <c r="C723" s="269"/>
      <c r="D723" s="269"/>
      <c r="E723" s="269"/>
      <c r="F723" s="269"/>
      <c r="G723" s="269"/>
      <c r="H723" s="269"/>
      <c r="I723" s="269"/>
      <c r="J723" s="269"/>
      <c r="K723" s="269"/>
      <c r="L723" s="269"/>
      <c r="M723" s="269"/>
      <c r="N723" s="269"/>
      <c r="O723" s="269"/>
      <c r="P723" s="269"/>
      <c r="Q723" s="269"/>
      <c r="R723" s="269"/>
      <c r="S723" s="269"/>
      <c r="T723" s="269"/>
      <c r="U723" s="269"/>
      <c r="V723" s="269"/>
      <c r="W723" s="269"/>
      <c r="X723" s="269"/>
      <c r="Y723" s="269"/>
      <c r="Z723" s="269"/>
    </row>
    <row r="724">
      <c r="A724" s="269"/>
      <c r="B724" s="269"/>
      <c r="C724" s="269"/>
      <c r="D724" s="269"/>
      <c r="E724" s="269"/>
      <c r="F724" s="269"/>
      <c r="G724" s="269"/>
      <c r="H724" s="269"/>
      <c r="I724" s="269"/>
      <c r="J724" s="269"/>
      <c r="K724" s="269"/>
      <c r="L724" s="269"/>
      <c r="M724" s="269"/>
      <c r="N724" s="269"/>
      <c r="O724" s="269"/>
      <c r="P724" s="269"/>
      <c r="Q724" s="269"/>
      <c r="R724" s="269"/>
      <c r="S724" s="269"/>
      <c r="T724" s="269"/>
      <c r="U724" s="269"/>
      <c r="V724" s="269"/>
      <c r="W724" s="269"/>
      <c r="X724" s="269"/>
      <c r="Y724" s="269"/>
      <c r="Z724" s="269"/>
    </row>
    <row r="725">
      <c r="A725" s="269"/>
      <c r="B725" s="269"/>
      <c r="C725" s="269"/>
      <c r="D725" s="269"/>
      <c r="E725" s="269"/>
      <c r="F725" s="269"/>
      <c r="G725" s="269"/>
      <c r="H725" s="269"/>
      <c r="I725" s="269"/>
      <c r="J725" s="269"/>
      <c r="K725" s="269"/>
      <c r="L725" s="269"/>
      <c r="M725" s="269"/>
      <c r="N725" s="269"/>
      <c r="O725" s="269"/>
      <c r="P725" s="269"/>
      <c r="Q725" s="269"/>
      <c r="R725" s="269"/>
      <c r="S725" s="269"/>
      <c r="T725" s="269"/>
      <c r="U725" s="269"/>
      <c r="V725" s="269"/>
      <c r="W725" s="269"/>
      <c r="X725" s="269"/>
      <c r="Y725" s="269"/>
      <c r="Z725" s="269"/>
    </row>
    <row r="726">
      <c r="A726" s="269"/>
      <c r="B726" s="269"/>
      <c r="C726" s="269"/>
      <c r="D726" s="269"/>
      <c r="E726" s="269"/>
      <c r="F726" s="269"/>
      <c r="G726" s="269"/>
      <c r="H726" s="269"/>
      <c r="I726" s="269"/>
      <c r="J726" s="269"/>
      <c r="K726" s="269"/>
      <c r="L726" s="269"/>
      <c r="M726" s="269"/>
      <c r="N726" s="269"/>
      <c r="O726" s="269"/>
      <c r="P726" s="269"/>
      <c r="Q726" s="269"/>
      <c r="R726" s="269"/>
      <c r="S726" s="269"/>
      <c r="T726" s="269"/>
      <c r="U726" s="269"/>
      <c r="V726" s="269"/>
      <c r="W726" s="269"/>
      <c r="X726" s="269"/>
      <c r="Y726" s="269"/>
      <c r="Z726" s="269"/>
    </row>
    <row r="727">
      <c r="A727" s="269"/>
      <c r="B727" s="269"/>
      <c r="C727" s="269"/>
      <c r="D727" s="269"/>
      <c r="E727" s="269"/>
      <c r="F727" s="269"/>
      <c r="G727" s="269"/>
      <c r="H727" s="269"/>
      <c r="I727" s="269"/>
      <c r="J727" s="269"/>
      <c r="K727" s="269"/>
      <c r="L727" s="269"/>
      <c r="M727" s="269"/>
      <c r="N727" s="269"/>
      <c r="O727" s="269"/>
      <c r="P727" s="269"/>
      <c r="Q727" s="269"/>
      <c r="R727" s="269"/>
      <c r="S727" s="269"/>
      <c r="T727" s="269"/>
      <c r="U727" s="269"/>
      <c r="V727" s="269"/>
      <c r="W727" s="269"/>
      <c r="X727" s="269"/>
      <c r="Y727" s="269"/>
      <c r="Z727" s="269"/>
    </row>
    <row r="728">
      <c r="A728" s="269"/>
      <c r="B728" s="269"/>
      <c r="C728" s="269"/>
      <c r="D728" s="269"/>
      <c r="E728" s="269"/>
      <c r="F728" s="269"/>
      <c r="G728" s="269"/>
      <c r="H728" s="269"/>
      <c r="I728" s="269"/>
      <c r="J728" s="269"/>
      <c r="K728" s="269"/>
      <c r="L728" s="269"/>
      <c r="M728" s="269"/>
      <c r="N728" s="269"/>
      <c r="O728" s="269"/>
      <c r="P728" s="269"/>
      <c r="Q728" s="269"/>
      <c r="R728" s="269"/>
      <c r="S728" s="269"/>
      <c r="T728" s="269"/>
      <c r="U728" s="269"/>
      <c r="V728" s="269"/>
      <c r="W728" s="269"/>
      <c r="X728" s="269"/>
      <c r="Y728" s="269"/>
      <c r="Z728" s="269"/>
    </row>
    <row r="729">
      <c r="A729" s="269"/>
      <c r="B729" s="269"/>
      <c r="C729" s="269"/>
      <c r="D729" s="269"/>
      <c r="E729" s="269"/>
      <c r="F729" s="269"/>
      <c r="G729" s="269"/>
      <c r="H729" s="269"/>
      <c r="I729" s="269"/>
      <c r="J729" s="269"/>
      <c r="K729" s="269"/>
      <c r="L729" s="269"/>
      <c r="M729" s="269"/>
      <c r="N729" s="269"/>
      <c r="O729" s="269"/>
      <c r="P729" s="269"/>
      <c r="Q729" s="269"/>
      <c r="R729" s="269"/>
      <c r="S729" s="269"/>
      <c r="T729" s="269"/>
      <c r="U729" s="269"/>
      <c r="V729" s="269"/>
      <c r="W729" s="269"/>
      <c r="X729" s="269"/>
      <c r="Y729" s="269"/>
      <c r="Z729" s="269"/>
    </row>
    <row r="730">
      <c r="A730" s="269"/>
      <c r="B730" s="269"/>
      <c r="C730" s="269"/>
      <c r="D730" s="269"/>
      <c r="E730" s="269"/>
      <c r="F730" s="269"/>
      <c r="G730" s="269"/>
      <c r="H730" s="269"/>
      <c r="I730" s="269"/>
      <c r="J730" s="269"/>
      <c r="K730" s="269"/>
      <c r="L730" s="269"/>
      <c r="M730" s="269"/>
      <c r="N730" s="269"/>
      <c r="O730" s="269"/>
      <c r="P730" s="269"/>
      <c r="Q730" s="269"/>
      <c r="R730" s="269"/>
      <c r="S730" s="269"/>
      <c r="T730" s="269"/>
      <c r="U730" s="269"/>
      <c r="V730" s="269"/>
      <c r="W730" s="269"/>
      <c r="X730" s="269"/>
      <c r="Y730" s="269"/>
      <c r="Z730" s="269"/>
    </row>
    <row r="731">
      <c r="A731" s="269"/>
      <c r="B731" s="269"/>
      <c r="C731" s="269"/>
      <c r="D731" s="269"/>
      <c r="E731" s="269"/>
      <c r="F731" s="269"/>
      <c r="G731" s="269"/>
      <c r="H731" s="269"/>
      <c r="I731" s="269"/>
      <c r="J731" s="269"/>
      <c r="K731" s="269"/>
      <c r="L731" s="269"/>
      <c r="M731" s="269"/>
      <c r="N731" s="269"/>
      <c r="O731" s="269"/>
      <c r="P731" s="269"/>
      <c r="Q731" s="269"/>
      <c r="R731" s="269"/>
      <c r="S731" s="269"/>
      <c r="T731" s="269"/>
      <c r="U731" s="269"/>
      <c r="V731" s="269"/>
      <c r="W731" s="269"/>
      <c r="X731" s="269"/>
      <c r="Y731" s="269"/>
      <c r="Z731" s="269"/>
    </row>
    <row r="732">
      <c r="A732" s="269"/>
      <c r="B732" s="269"/>
      <c r="C732" s="269"/>
      <c r="D732" s="269"/>
      <c r="E732" s="269"/>
      <c r="F732" s="269"/>
      <c r="G732" s="269"/>
      <c r="H732" s="269"/>
      <c r="I732" s="269"/>
      <c r="J732" s="269"/>
      <c r="K732" s="269"/>
      <c r="L732" s="269"/>
      <c r="M732" s="269"/>
      <c r="N732" s="269"/>
      <c r="O732" s="269"/>
      <c r="P732" s="269"/>
      <c r="Q732" s="269"/>
      <c r="R732" s="269"/>
      <c r="S732" s="269"/>
      <c r="T732" s="269"/>
      <c r="U732" s="269"/>
      <c r="V732" s="269"/>
      <c r="W732" s="269"/>
      <c r="X732" s="269"/>
      <c r="Y732" s="269"/>
      <c r="Z732" s="269"/>
    </row>
    <row r="733">
      <c r="A733" s="269"/>
      <c r="B733" s="269"/>
      <c r="C733" s="269"/>
      <c r="D733" s="269"/>
      <c r="E733" s="269"/>
      <c r="F733" s="269"/>
      <c r="G733" s="269"/>
      <c r="H733" s="269"/>
      <c r="I733" s="269"/>
      <c r="J733" s="269"/>
      <c r="K733" s="269"/>
      <c r="L733" s="269"/>
      <c r="M733" s="269"/>
      <c r="N733" s="269"/>
      <c r="O733" s="269"/>
      <c r="P733" s="269"/>
      <c r="Q733" s="269"/>
      <c r="R733" s="269"/>
      <c r="S733" s="269"/>
      <c r="T733" s="269"/>
      <c r="U733" s="269"/>
      <c r="V733" s="269"/>
      <c r="W733" s="269"/>
      <c r="X733" s="269"/>
      <c r="Y733" s="269"/>
      <c r="Z733" s="269"/>
    </row>
    <row r="734">
      <c r="A734" s="269"/>
      <c r="B734" s="269"/>
      <c r="C734" s="269"/>
      <c r="D734" s="269"/>
      <c r="E734" s="269"/>
      <c r="F734" s="269"/>
      <c r="G734" s="269"/>
      <c r="H734" s="269"/>
      <c r="I734" s="269"/>
      <c r="J734" s="269"/>
      <c r="K734" s="269"/>
      <c r="L734" s="269"/>
      <c r="M734" s="269"/>
      <c r="N734" s="269"/>
      <c r="O734" s="269"/>
      <c r="P734" s="269"/>
      <c r="Q734" s="269"/>
      <c r="R734" s="269"/>
      <c r="S734" s="269"/>
      <c r="T734" s="269"/>
      <c r="U734" s="269"/>
      <c r="V734" s="269"/>
      <c r="W734" s="269"/>
      <c r="X734" s="269"/>
      <c r="Y734" s="269"/>
      <c r="Z734" s="269"/>
    </row>
    <row r="735">
      <c r="A735" s="269"/>
      <c r="B735" s="269"/>
      <c r="C735" s="269"/>
      <c r="D735" s="269"/>
      <c r="E735" s="269"/>
      <c r="F735" s="269"/>
      <c r="G735" s="269"/>
      <c r="H735" s="269"/>
      <c r="I735" s="269"/>
      <c r="J735" s="269"/>
      <c r="K735" s="269"/>
      <c r="L735" s="269"/>
      <c r="M735" s="269"/>
      <c r="N735" s="269"/>
      <c r="O735" s="269"/>
      <c r="P735" s="269"/>
      <c r="Q735" s="269"/>
      <c r="R735" s="269"/>
      <c r="S735" s="269"/>
      <c r="T735" s="269"/>
      <c r="U735" s="269"/>
      <c r="V735" s="269"/>
      <c r="W735" s="269"/>
      <c r="X735" s="269"/>
      <c r="Y735" s="269"/>
      <c r="Z735" s="269"/>
    </row>
    <row r="736">
      <c r="A736" s="269"/>
      <c r="B736" s="269"/>
      <c r="C736" s="269"/>
      <c r="D736" s="269"/>
      <c r="E736" s="269"/>
      <c r="F736" s="269"/>
      <c r="G736" s="269"/>
      <c r="H736" s="269"/>
      <c r="I736" s="269"/>
      <c r="J736" s="269"/>
      <c r="K736" s="269"/>
      <c r="L736" s="269"/>
      <c r="M736" s="269"/>
      <c r="N736" s="269"/>
      <c r="O736" s="269"/>
      <c r="P736" s="269"/>
      <c r="Q736" s="269"/>
      <c r="R736" s="269"/>
      <c r="S736" s="269"/>
      <c r="T736" s="269"/>
      <c r="U736" s="269"/>
      <c r="V736" s="269"/>
      <c r="W736" s="269"/>
      <c r="X736" s="269"/>
      <c r="Y736" s="269"/>
      <c r="Z736" s="269"/>
    </row>
    <row r="737">
      <c r="A737" s="269"/>
      <c r="B737" s="269"/>
      <c r="C737" s="269"/>
      <c r="D737" s="269"/>
      <c r="E737" s="269"/>
      <c r="F737" s="269"/>
      <c r="G737" s="269"/>
      <c r="H737" s="269"/>
      <c r="I737" s="269"/>
      <c r="J737" s="269"/>
      <c r="K737" s="269"/>
      <c r="L737" s="269"/>
      <c r="M737" s="269"/>
      <c r="N737" s="269"/>
      <c r="O737" s="269"/>
      <c r="P737" s="269"/>
      <c r="Q737" s="269"/>
      <c r="R737" s="269"/>
      <c r="S737" s="269"/>
      <c r="T737" s="269"/>
      <c r="U737" s="269"/>
      <c r="V737" s="269"/>
      <c r="W737" s="269"/>
      <c r="X737" s="269"/>
      <c r="Y737" s="269"/>
      <c r="Z737" s="269"/>
    </row>
    <row r="738">
      <c r="A738" s="269"/>
      <c r="B738" s="269"/>
      <c r="C738" s="269"/>
      <c r="D738" s="269"/>
      <c r="E738" s="269"/>
      <c r="F738" s="269"/>
      <c r="G738" s="269"/>
      <c r="H738" s="269"/>
      <c r="I738" s="269"/>
      <c r="J738" s="269"/>
      <c r="K738" s="269"/>
      <c r="L738" s="269"/>
      <c r="M738" s="269"/>
      <c r="N738" s="269"/>
      <c r="O738" s="269"/>
      <c r="P738" s="269"/>
      <c r="Q738" s="269"/>
      <c r="R738" s="269"/>
      <c r="S738" s="269"/>
      <c r="T738" s="269"/>
      <c r="U738" s="269"/>
      <c r="V738" s="269"/>
      <c r="W738" s="269"/>
      <c r="X738" s="269"/>
      <c r="Y738" s="269"/>
      <c r="Z738" s="269"/>
    </row>
    <row r="739">
      <c r="A739" s="269"/>
      <c r="B739" s="269"/>
      <c r="C739" s="269"/>
      <c r="D739" s="269"/>
      <c r="E739" s="269"/>
      <c r="F739" s="269"/>
      <c r="G739" s="269"/>
      <c r="H739" s="269"/>
      <c r="I739" s="269"/>
      <c r="J739" s="269"/>
      <c r="K739" s="269"/>
      <c r="L739" s="269"/>
      <c r="M739" s="269"/>
      <c r="N739" s="269"/>
      <c r="O739" s="269"/>
      <c r="P739" s="269"/>
      <c r="Q739" s="269"/>
      <c r="R739" s="269"/>
      <c r="S739" s="269"/>
      <c r="T739" s="269"/>
      <c r="U739" s="269"/>
      <c r="V739" s="269"/>
      <c r="W739" s="269"/>
      <c r="X739" s="269"/>
      <c r="Y739" s="269"/>
      <c r="Z739" s="269"/>
    </row>
    <row r="740">
      <c r="A740" s="269"/>
      <c r="B740" s="269"/>
      <c r="C740" s="269"/>
      <c r="D740" s="269"/>
      <c r="E740" s="269"/>
      <c r="F740" s="269"/>
      <c r="G740" s="269"/>
      <c r="H740" s="269"/>
      <c r="I740" s="269"/>
      <c r="J740" s="269"/>
      <c r="K740" s="269"/>
      <c r="L740" s="269"/>
      <c r="M740" s="269"/>
      <c r="N740" s="269"/>
      <c r="O740" s="269"/>
      <c r="P740" s="269"/>
      <c r="Q740" s="269"/>
      <c r="R740" s="269"/>
      <c r="S740" s="269"/>
      <c r="T740" s="269"/>
      <c r="U740" s="269"/>
      <c r="V740" s="269"/>
      <c r="W740" s="269"/>
      <c r="X740" s="269"/>
      <c r="Y740" s="269"/>
      <c r="Z740" s="269"/>
    </row>
    <row r="741">
      <c r="A741" s="269"/>
      <c r="B741" s="269"/>
      <c r="C741" s="269"/>
      <c r="D741" s="269"/>
      <c r="E741" s="269"/>
      <c r="F741" s="269"/>
      <c r="G741" s="269"/>
      <c r="H741" s="269"/>
      <c r="I741" s="269"/>
      <c r="J741" s="269"/>
      <c r="K741" s="269"/>
      <c r="L741" s="269"/>
      <c r="M741" s="269"/>
      <c r="N741" s="269"/>
      <c r="O741" s="269"/>
      <c r="P741" s="269"/>
      <c r="Q741" s="269"/>
      <c r="R741" s="269"/>
      <c r="S741" s="269"/>
      <c r="T741" s="269"/>
      <c r="U741" s="269"/>
      <c r="V741" s="269"/>
      <c r="W741" s="269"/>
      <c r="X741" s="269"/>
      <c r="Y741" s="269"/>
      <c r="Z741" s="269"/>
    </row>
    <row r="742">
      <c r="A742" s="269"/>
      <c r="B742" s="269"/>
      <c r="C742" s="269"/>
      <c r="D742" s="269"/>
      <c r="E742" s="269"/>
      <c r="F742" s="269"/>
      <c r="G742" s="269"/>
      <c r="H742" s="269"/>
      <c r="I742" s="269"/>
      <c r="J742" s="269"/>
      <c r="K742" s="269"/>
      <c r="L742" s="269"/>
      <c r="M742" s="269"/>
      <c r="N742" s="269"/>
      <c r="O742" s="269"/>
      <c r="P742" s="269"/>
      <c r="Q742" s="269"/>
      <c r="R742" s="269"/>
      <c r="S742" s="269"/>
      <c r="T742" s="269"/>
      <c r="U742" s="269"/>
      <c r="V742" s="269"/>
      <c r="W742" s="269"/>
      <c r="X742" s="269"/>
      <c r="Y742" s="269"/>
      <c r="Z742" s="269"/>
    </row>
    <row r="743">
      <c r="A743" s="269"/>
      <c r="B743" s="269"/>
      <c r="C743" s="269"/>
      <c r="D743" s="269"/>
      <c r="E743" s="269"/>
      <c r="F743" s="269"/>
      <c r="G743" s="269"/>
      <c r="H743" s="269"/>
      <c r="I743" s="269"/>
      <c r="J743" s="269"/>
      <c r="K743" s="269"/>
      <c r="L743" s="269"/>
      <c r="M743" s="269"/>
      <c r="N743" s="269"/>
      <c r="O743" s="269"/>
      <c r="P743" s="269"/>
      <c r="Q743" s="269"/>
      <c r="R743" s="269"/>
      <c r="S743" s="269"/>
      <c r="T743" s="269"/>
      <c r="U743" s="269"/>
      <c r="V743" s="269"/>
      <c r="W743" s="269"/>
      <c r="X743" s="269"/>
      <c r="Y743" s="269"/>
      <c r="Z743" s="269"/>
    </row>
    <row r="744">
      <c r="A744" s="269"/>
      <c r="B744" s="269"/>
      <c r="C744" s="269"/>
      <c r="D744" s="269"/>
      <c r="E744" s="269"/>
      <c r="F744" s="269"/>
      <c r="G744" s="269"/>
      <c r="H744" s="269"/>
      <c r="I744" s="269"/>
      <c r="J744" s="269"/>
      <c r="K744" s="269"/>
      <c r="L744" s="269"/>
      <c r="M744" s="269"/>
      <c r="N744" s="269"/>
      <c r="O744" s="269"/>
      <c r="P744" s="269"/>
      <c r="Q744" s="269"/>
      <c r="R744" s="269"/>
      <c r="S744" s="269"/>
      <c r="T744" s="269"/>
      <c r="U744" s="269"/>
      <c r="V744" s="269"/>
      <c r="W744" s="269"/>
      <c r="X744" s="269"/>
      <c r="Y744" s="269"/>
      <c r="Z744" s="269"/>
    </row>
    <row r="745">
      <c r="A745" s="269"/>
      <c r="B745" s="269"/>
      <c r="C745" s="269"/>
      <c r="D745" s="269"/>
      <c r="E745" s="269"/>
      <c r="F745" s="269"/>
      <c r="G745" s="269"/>
      <c r="H745" s="269"/>
      <c r="I745" s="269"/>
      <c r="J745" s="269"/>
      <c r="K745" s="269"/>
      <c r="L745" s="269"/>
      <c r="M745" s="269"/>
      <c r="N745" s="269"/>
      <c r="O745" s="269"/>
      <c r="P745" s="269"/>
      <c r="Q745" s="269"/>
      <c r="R745" s="269"/>
      <c r="S745" s="269"/>
      <c r="T745" s="269"/>
      <c r="U745" s="269"/>
      <c r="V745" s="269"/>
      <c r="W745" s="269"/>
      <c r="X745" s="269"/>
      <c r="Y745" s="269"/>
      <c r="Z745" s="269"/>
    </row>
    <row r="746">
      <c r="A746" s="269"/>
      <c r="B746" s="269"/>
      <c r="C746" s="269"/>
      <c r="D746" s="269"/>
      <c r="E746" s="269"/>
      <c r="F746" s="269"/>
      <c r="G746" s="269"/>
      <c r="H746" s="269"/>
      <c r="I746" s="269"/>
      <c r="J746" s="269"/>
      <c r="K746" s="269"/>
      <c r="L746" s="269"/>
      <c r="M746" s="269"/>
      <c r="N746" s="269"/>
      <c r="O746" s="269"/>
      <c r="P746" s="269"/>
      <c r="Q746" s="269"/>
      <c r="R746" s="269"/>
      <c r="S746" s="269"/>
      <c r="T746" s="269"/>
      <c r="U746" s="269"/>
      <c r="V746" s="269"/>
      <c r="W746" s="269"/>
      <c r="X746" s="269"/>
      <c r="Y746" s="269"/>
      <c r="Z746" s="269"/>
    </row>
    <row r="747">
      <c r="A747" s="269"/>
      <c r="B747" s="269"/>
      <c r="C747" s="269"/>
      <c r="D747" s="269"/>
      <c r="E747" s="269"/>
      <c r="F747" s="269"/>
      <c r="G747" s="269"/>
      <c r="H747" s="269"/>
      <c r="I747" s="269"/>
      <c r="J747" s="269"/>
      <c r="K747" s="269"/>
      <c r="L747" s="269"/>
      <c r="M747" s="269"/>
      <c r="N747" s="269"/>
      <c r="O747" s="269"/>
      <c r="P747" s="269"/>
      <c r="Q747" s="269"/>
      <c r="R747" s="269"/>
      <c r="S747" s="269"/>
      <c r="T747" s="269"/>
      <c r="U747" s="269"/>
      <c r="V747" s="269"/>
      <c r="W747" s="269"/>
      <c r="X747" s="269"/>
      <c r="Y747" s="269"/>
      <c r="Z747" s="269"/>
    </row>
    <row r="748">
      <c r="A748" s="269"/>
      <c r="B748" s="269"/>
      <c r="C748" s="269"/>
      <c r="D748" s="269"/>
      <c r="E748" s="269"/>
      <c r="F748" s="269"/>
      <c r="G748" s="269"/>
      <c r="H748" s="269"/>
      <c r="I748" s="269"/>
      <c r="J748" s="269"/>
      <c r="K748" s="269"/>
      <c r="L748" s="269"/>
      <c r="M748" s="269"/>
      <c r="N748" s="269"/>
      <c r="O748" s="269"/>
      <c r="P748" s="269"/>
      <c r="Q748" s="269"/>
      <c r="R748" s="269"/>
      <c r="S748" s="269"/>
      <c r="T748" s="269"/>
      <c r="U748" s="269"/>
      <c r="V748" s="269"/>
      <c r="W748" s="269"/>
      <c r="X748" s="269"/>
      <c r="Y748" s="269"/>
      <c r="Z748" s="269"/>
    </row>
    <row r="749">
      <c r="A749" s="269"/>
      <c r="B749" s="269"/>
      <c r="C749" s="269"/>
      <c r="D749" s="269"/>
      <c r="E749" s="269"/>
      <c r="F749" s="269"/>
      <c r="G749" s="269"/>
      <c r="H749" s="269"/>
      <c r="I749" s="269"/>
      <c r="J749" s="269"/>
      <c r="K749" s="269"/>
      <c r="L749" s="269"/>
      <c r="M749" s="269"/>
      <c r="N749" s="269"/>
      <c r="O749" s="269"/>
      <c r="P749" s="269"/>
      <c r="Q749" s="269"/>
      <c r="R749" s="269"/>
      <c r="S749" s="269"/>
      <c r="T749" s="269"/>
      <c r="U749" s="269"/>
      <c r="V749" s="269"/>
      <c r="W749" s="269"/>
      <c r="X749" s="269"/>
      <c r="Y749" s="269"/>
      <c r="Z749" s="269"/>
    </row>
    <row r="750">
      <c r="A750" s="269"/>
      <c r="B750" s="269"/>
      <c r="C750" s="269"/>
      <c r="D750" s="269"/>
      <c r="E750" s="269"/>
      <c r="F750" s="269"/>
      <c r="G750" s="269"/>
      <c r="H750" s="269"/>
      <c r="I750" s="269"/>
      <c r="J750" s="269"/>
      <c r="K750" s="269"/>
      <c r="L750" s="269"/>
      <c r="M750" s="269"/>
      <c r="N750" s="269"/>
      <c r="O750" s="269"/>
      <c r="P750" s="269"/>
      <c r="Q750" s="269"/>
      <c r="R750" s="269"/>
      <c r="S750" s="269"/>
      <c r="T750" s="269"/>
      <c r="U750" s="269"/>
      <c r="V750" s="269"/>
      <c r="W750" s="269"/>
      <c r="X750" s="269"/>
      <c r="Y750" s="269"/>
      <c r="Z750" s="269"/>
    </row>
    <row r="751">
      <c r="A751" s="269"/>
      <c r="B751" s="269"/>
      <c r="C751" s="269"/>
      <c r="D751" s="269"/>
      <c r="E751" s="269"/>
      <c r="F751" s="269"/>
      <c r="G751" s="269"/>
      <c r="H751" s="269"/>
      <c r="I751" s="269"/>
      <c r="J751" s="269"/>
      <c r="K751" s="269"/>
      <c r="L751" s="269"/>
      <c r="M751" s="269"/>
      <c r="N751" s="269"/>
      <c r="O751" s="269"/>
      <c r="P751" s="269"/>
      <c r="Q751" s="269"/>
      <c r="R751" s="269"/>
      <c r="S751" s="269"/>
      <c r="T751" s="269"/>
      <c r="U751" s="269"/>
      <c r="V751" s="269"/>
      <c r="W751" s="269"/>
      <c r="X751" s="269"/>
      <c r="Y751" s="269"/>
      <c r="Z751" s="269"/>
    </row>
    <row r="752">
      <c r="A752" s="269"/>
      <c r="B752" s="269"/>
      <c r="C752" s="269"/>
      <c r="D752" s="269"/>
      <c r="E752" s="269"/>
      <c r="F752" s="269"/>
      <c r="G752" s="269"/>
      <c r="H752" s="269"/>
      <c r="I752" s="269"/>
      <c r="J752" s="269"/>
      <c r="K752" s="269"/>
      <c r="L752" s="269"/>
      <c r="M752" s="269"/>
      <c r="N752" s="269"/>
      <c r="O752" s="269"/>
      <c r="P752" s="269"/>
      <c r="Q752" s="269"/>
      <c r="R752" s="269"/>
      <c r="S752" s="269"/>
      <c r="T752" s="269"/>
      <c r="U752" s="269"/>
      <c r="V752" s="269"/>
      <c r="W752" s="269"/>
      <c r="X752" s="269"/>
      <c r="Y752" s="269"/>
      <c r="Z752" s="269"/>
    </row>
    <row r="753">
      <c r="A753" s="269"/>
      <c r="B753" s="269"/>
      <c r="C753" s="269"/>
      <c r="D753" s="269"/>
      <c r="E753" s="269"/>
      <c r="F753" s="269"/>
      <c r="G753" s="269"/>
      <c r="H753" s="269"/>
      <c r="I753" s="269"/>
      <c r="J753" s="269"/>
      <c r="K753" s="269"/>
      <c r="L753" s="269"/>
      <c r="M753" s="269"/>
      <c r="N753" s="269"/>
      <c r="O753" s="269"/>
      <c r="P753" s="269"/>
      <c r="Q753" s="269"/>
      <c r="R753" s="269"/>
      <c r="S753" s="269"/>
      <c r="T753" s="269"/>
      <c r="U753" s="269"/>
      <c r="V753" s="269"/>
      <c r="W753" s="269"/>
      <c r="X753" s="269"/>
      <c r="Y753" s="269"/>
      <c r="Z753" s="269"/>
    </row>
    <row r="754">
      <c r="A754" s="269"/>
      <c r="B754" s="269"/>
      <c r="C754" s="269"/>
      <c r="D754" s="269"/>
      <c r="E754" s="269"/>
      <c r="F754" s="269"/>
      <c r="G754" s="269"/>
      <c r="H754" s="269"/>
      <c r="I754" s="269"/>
      <c r="J754" s="269"/>
      <c r="K754" s="269"/>
      <c r="L754" s="269"/>
      <c r="M754" s="269"/>
      <c r="N754" s="269"/>
      <c r="O754" s="269"/>
      <c r="P754" s="269"/>
      <c r="Q754" s="269"/>
      <c r="R754" s="269"/>
      <c r="S754" s="269"/>
      <c r="T754" s="269"/>
      <c r="U754" s="269"/>
      <c r="V754" s="269"/>
      <c r="W754" s="269"/>
      <c r="X754" s="269"/>
      <c r="Y754" s="269"/>
      <c r="Z754" s="269"/>
    </row>
    <row r="755">
      <c r="A755" s="269"/>
      <c r="B755" s="269"/>
      <c r="C755" s="269"/>
      <c r="D755" s="269"/>
      <c r="E755" s="269"/>
      <c r="F755" s="269"/>
      <c r="G755" s="269"/>
      <c r="H755" s="269"/>
      <c r="I755" s="269"/>
      <c r="J755" s="269"/>
      <c r="K755" s="269"/>
      <c r="L755" s="269"/>
      <c r="M755" s="269"/>
      <c r="N755" s="269"/>
      <c r="O755" s="269"/>
      <c r="P755" s="269"/>
      <c r="Q755" s="269"/>
      <c r="R755" s="269"/>
      <c r="S755" s="269"/>
      <c r="T755" s="269"/>
      <c r="U755" s="269"/>
      <c r="V755" s="269"/>
      <c r="W755" s="269"/>
      <c r="X755" s="269"/>
      <c r="Y755" s="269"/>
      <c r="Z755" s="269"/>
    </row>
    <row r="756">
      <c r="A756" s="269"/>
      <c r="B756" s="269"/>
      <c r="C756" s="269"/>
      <c r="D756" s="269"/>
      <c r="E756" s="269"/>
      <c r="F756" s="269"/>
      <c r="G756" s="269"/>
      <c r="H756" s="269"/>
      <c r="I756" s="269"/>
      <c r="J756" s="269"/>
      <c r="K756" s="269"/>
      <c r="L756" s="269"/>
      <c r="M756" s="269"/>
      <c r="N756" s="269"/>
      <c r="O756" s="269"/>
      <c r="P756" s="269"/>
      <c r="Q756" s="269"/>
      <c r="R756" s="269"/>
      <c r="S756" s="269"/>
      <c r="T756" s="269"/>
      <c r="U756" s="269"/>
      <c r="V756" s="269"/>
      <c r="W756" s="269"/>
      <c r="X756" s="269"/>
      <c r="Y756" s="269"/>
      <c r="Z756" s="269"/>
    </row>
    <row r="757">
      <c r="A757" s="269"/>
      <c r="B757" s="269"/>
      <c r="C757" s="269"/>
      <c r="D757" s="269"/>
      <c r="E757" s="269"/>
      <c r="F757" s="269"/>
      <c r="G757" s="269"/>
      <c r="H757" s="269"/>
      <c r="I757" s="269"/>
      <c r="J757" s="269"/>
      <c r="K757" s="269"/>
      <c r="L757" s="269"/>
      <c r="M757" s="269"/>
      <c r="N757" s="269"/>
      <c r="O757" s="269"/>
      <c r="P757" s="269"/>
      <c r="Q757" s="269"/>
      <c r="R757" s="269"/>
      <c r="S757" s="269"/>
      <c r="T757" s="269"/>
      <c r="U757" s="269"/>
      <c r="V757" s="269"/>
      <c r="W757" s="269"/>
      <c r="X757" s="269"/>
      <c r="Y757" s="269"/>
      <c r="Z757" s="269"/>
    </row>
    <row r="758">
      <c r="A758" s="269"/>
      <c r="B758" s="269"/>
      <c r="C758" s="269"/>
      <c r="D758" s="269"/>
      <c r="E758" s="269"/>
      <c r="F758" s="269"/>
      <c r="G758" s="269"/>
      <c r="H758" s="269"/>
      <c r="I758" s="269"/>
      <c r="J758" s="269"/>
      <c r="K758" s="269"/>
      <c r="L758" s="269"/>
      <c r="M758" s="269"/>
      <c r="N758" s="269"/>
      <c r="O758" s="269"/>
      <c r="P758" s="269"/>
      <c r="Q758" s="269"/>
      <c r="R758" s="269"/>
      <c r="S758" s="269"/>
      <c r="T758" s="269"/>
      <c r="U758" s="269"/>
      <c r="V758" s="269"/>
      <c r="W758" s="269"/>
      <c r="X758" s="269"/>
      <c r="Y758" s="269"/>
      <c r="Z758" s="269"/>
    </row>
    <row r="759">
      <c r="A759" s="269"/>
      <c r="B759" s="269"/>
      <c r="C759" s="269"/>
      <c r="D759" s="269"/>
      <c r="E759" s="269"/>
      <c r="F759" s="269"/>
      <c r="G759" s="269"/>
      <c r="H759" s="269"/>
      <c r="I759" s="269"/>
      <c r="J759" s="269"/>
      <c r="K759" s="269"/>
      <c r="L759" s="269"/>
      <c r="M759" s="269"/>
      <c r="N759" s="269"/>
      <c r="O759" s="269"/>
      <c r="P759" s="269"/>
      <c r="Q759" s="269"/>
      <c r="R759" s="269"/>
      <c r="S759" s="269"/>
      <c r="T759" s="269"/>
      <c r="U759" s="269"/>
      <c r="V759" s="269"/>
      <c r="W759" s="269"/>
      <c r="X759" s="269"/>
      <c r="Y759" s="269"/>
      <c r="Z759" s="269"/>
    </row>
    <row r="760">
      <c r="A760" s="269"/>
      <c r="B760" s="269"/>
      <c r="C760" s="269"/>
      <c r="D760" s="269"/>
      <c r="E760" s="269"/>
      <c r="F760" s="269"/>
      <c r="G760" s="269"/>
      <c r="H760" s="269"/>
      <c r="I760" s="269"/>
      <c r="J760" s="269"/>
      <c r="K760" s="269"/>
      <c r="L760" s="269"/>
      <c r="M760" s="269"/>
      <c r="N760" s="269"/>
      <c r="O760" s="269"/>
      <c r="P760" s="269"/>
      <c r="Q760" s="269"/>
      <c r="R760" s="269"/>
      <c r="S760" s="269"/>
      <c r="T760" s="269"/>
      <c r="U760" s="269"/>
      <c r="V760" s="269"/>
      <c r="W760" s="269"/>
      <c r="X760" s="269"/>
      <c r="Y760" s="269"/>
      <c r="Z760" s="269"/>
    </row>
    <row r="761">
      <c r="A761" s="269"/>
      <c r="B761" s="269"/>
      <c r="C761" s="269"/>
      <c r="D761" s="269"/>
      <c r="E761" s="269"/>
      <c r="F761" s="269"/>
      <c r="G761" s="269"/>
      <c r="H761" s="269"/>
      <c r="I761" s="269"/>
      <c r="J761" s="269"/>
      <c r="K761" s="269"/>
      <c r="L761" s="269"/>
      <c r="M761" s="269"/>
      <c r="N761" s="269"/>
      <c r="O761" s="269"/>
      <c r="P761" s="269"/>
      <c r="Q761" s="269"/>
      <c r="R761" s="269"/>
      <c r="S761" s="269"/>
      <c r="T761" s="269"/>
      <c r="U761" s="269"/>
      <c r="V761" s="269"/>
      <c r="W761" s="269"/>
      <c r="X761" s="269"/>
      <c r="Y761" s="269"/>
      <c r="Z761" s="269"/>
    </row>
    <row r="762">
      <c r="A762" s="269"/>
      <c r="B762" s="269"/>
      <c r="C762" s="269"/>
      <c r="D762" s="269"/>
      <c r="E762" s="269"/>
      <c r="F762" s="269"/>
      <c r="G762" s="269"/>
      <c r="H762" s="269"/>
      <c r="I762" s="269"/>
      <c r="J762" s="269"/>
      <c r="K762" s="269"/>
      <c r="L762" s="269"/>
      <c r="M762" s="269"/>
      <c r="N762" s="269"/>
      <c r="O762" s="269"/>
      <c r="P762" s="269"/>
      <c r="Q762" s="269"/>
      <c r="R762" s="269"/>
      <c r="S762" s="269"/>
      <c r="T762" s="269"/>
      <c r="U762" s="269"/>
      <c r="V762" s="269"/>
      <c r="W762" s="269"/>
      <c r="X762" s="269"/>
      <c r="Y762" s="269"/>
      <c r="Z762" s="269"/>
    </row>
    <row r="763">
      <c r="A763" s="269"/>
      <c r="B763" s="269"/>
      <c r="C763" s="269"/>
      <c r="D763" s="269"/>
      <c r="E763" s="269"/>
      <c r="F763" s="269"/>
      <c r="G763" s="269"/>
      <c r="H763" s="269"/>
      <c r="I763" s="269"/>
      <c r="J763" s="269"/>
      <c r="K763" s="269"/>
      <c r="L763" s="269"/>
      <c r="M763" s="269"/>
      <c r="N763" s="269"/>
      <c r="O763" s="269"/>
      <c r="P763" s="269"/>
      <c r="Q763" s="269"/>
      <c r="R763" s="269"/>
      <c r="S763" s="269"/>
      <c r="T763" s="269"/>
      <c r="U763" s="269"/>
      <c r="V763" s="269"/>
      <c r="W763" s="269"/>
      <c r="X763" s="269"/>
      <c r="Y763" s="269"/>
      <c r="Z763" s="269"/>
    </row>
    <row r="764">
      <c r="A764" s="269"/>
      <c r="B764" s="269"/>
      <c r="C764" s="269"/>
      <c r="D764" s="269"/>
      <c r="E764" s="269"/>
      <c r="F764" s="269"/>
      <c r="G764" s="269"/>
      <c r="H764" s="269"/>
      <c r="I764" s="269"/>
      <c r="J764" s="269"/>
      <c r="K764" s="269"/>
      <c r="L764" s="269"/>
      <c r="M764" s="269"/>
      <c r="N764" s="269"/>
      <c r="O764" s="269"/>
      <c r="P764" s="269"/>
      <c r="Q764" s="269"/>
      <c r="R764" s="269"/>
      <c r="S764" s="269"/>
      <c r="T764" s="269"/>
      <c r="U764" s="269"/>
      <c r="V764" s="269"/>
      <c r="W764" s="269"/>
      <c r="X764" s="269"/>
      <c r="Y764" s="269"/>
      <c r="Z764" s="269"/>
    </row>
    <row r="765">
      <c r="A765" s="269"/>
      <c r="B765" s="269"/>
      <c r="C765" s="269"/>
      <c r="D765" s="269"/>
      <c r="E765" s="269"/>
      <c r="F765" s="269"/>
      <c r="G765" s="269"/>
      <c r="H765" s="269"/>
      <c r="I765" s="269"/>
      <c r="J765" s="269"/>
      <c r="K765" s="269"/>
      <c r="L765" s="269"/>
      <c r="M765" s="269"/>
      <c r="N765" s="269"/>
      <c r="O765" s="269"/>
      <c r="P765" s="269"/>
      <c r="Q765" s="269"/>
      <c r="R765" s="269"/>
      <c r="S765" s="269"/>
      <c r="T765" s="269"/>
      <c r="U765" s="269"/>
      <c r="V765" s="269"/>
      <c r="W765" s="269"/>
      <c r="X765" s="269"/>
      <c r="Y765" s="269"/>
      <c r="Z765" s="269"/>
    </row>
    <row r="766">
      <c r="A766" s="269"/>
      <c r="B766" s="269"/>
      <c r="C766" s="269"/>
      <c r="D766" s="269"/>
      <c r="E766" s="269"/>
      <c r="F766" s="269"/>
      <c r="G766" s="269"/>
      <c r="H766" s="269"/>
      <c r="I766" s="269"/>
      <c r="J766" s="269"/>
      <c r="K766" s="269"/>
      <c r="L766" s="269"/>
      <c r="M766" s="269"/>
      <c r="N766" s="269"/>
      <c r="O766" s="269"/>
      <c r="P766" s="269"/>
      <c r="Q766" s="269"/>
      <c r="R766" s="269"/>
      <c r="S766" s="269"/>
      <c r="T766" s="269"/>
      <c r="U766" s="269"/>
      <c r="V766" s="269"/>
      <c r="W766" s="269"/>
      <c r="X766" s="269"/>
      <c r="Y766" s="269"/>
      <c r="Z766" s="269"/>
    </row>
    <row r="767">
      <c r="A767" s="269"/>
      <c r="B767" s="269"/>
      <c r="C767" s="269"/>
      <c r="D767" s="269"/>
      <c r="E767" s="269"/>
      <c r="F767" s="269"/>
      <c r="G767" s="269"/>
      <c r="H767" s="269"/>
      <c r="I767" s="269"/>
      <c r="J767" s="269"/>
      <c r="K767" s="269"/>
      <c r="L767" s="269"/>
      <c r="M767" s="269"/>
      <c r="N767" s="269"/>
      <c r="O767" s="269"/>
      <c r="P767" s="269"/>
      <c r="Q767" s="269"/>
      <c r="R767" s="269"/>
      <c r="S767" s="269"/>
      <c r="T767" s="269"/>
      <c r="U767" s="269"/>
      <c r="V767" s="269"/>
      <c r="W767" s="269"/>
      <c r="X767" s="269"/>
      <c r="Y767" s="269"/>
      <c r="Z767" s="269"/>
    </row>
    <row r="768">
      <c r="A768" s="269"/>
      <c r="B768" s="269"/>
      <c r="C768" s="269"/>
      <c r="D768" s="269"/>
      <c r="E768" s="269"/>
      <c r="F768" s="269"/>
      <c r="G768" s="269"/>
      <c r="H768" s="269"/>
      <c r="I768" s="269"/>
      <c r="J768" s="269"/>
      <c r="K768" s="269"/>
      <c r="L768" s="269"/>
      <c r="M768" s="269"/>
      <c r="N768" s="269"/>
      <c r="O768" s="269"/>
      <c r="P768" s="269"/>
      <c r="Q768" s="269"/>
      <c r="R768" s="269"/>
      <c r="S768" s="269"/>
      <c r="T768" s="269"/>
      <c r="U768" s="269"/>
      <c r="V768" s="269"/>
      <c r="W768" s="269"/>
      <c r="X768" s="269"/>
      <c r="Y768" s="269"/>
      <c r="Z768" s="269"/>
    </row>
    <row r="769">
      <c r="A769" s="269"/>
      <c r="B769" s="269"/>
      <c r="C769" s="269"/>
      <c r="D769" s="269"/>
      <c r="E769" s="269"/>
      <c r="F769" s="269"/>
      <c r="G769" s="269"/>
      <c r="H769" s="269"/>
      <c r="I769" s="269"/>
      <c r="J769" s="269"/>
      <c r="K769" s="269"/>
      <c r="L769" s="269"/>
      <c r="M769" s="269"/>
      <c r="N769" s="269"/>
      <c r="O769" s="269"/>
      <c r="P769" s="269"/>
      <c r="Q769" s="269"/>
      <c r="R769" s="269"/>
      <c r="S769" s="269"/>
      <c r="T769" s="269"/>
      <c r="U769" s="269"/>
      <c r="V769" s="269"/>
      <c r="W769" s="269"/>
      <c r="X769" s="269"/>
      <c r="Y769" s="269"/>
      <c r="Z769" s="269"/>
    </row>
    <row r="770">
      <c r="A770" s="269"/>
      <c r="B770" s="269"/>
      <c r="C770" s="269"/>
      <c r="D770" s="269"/>
      <c r="E770" s="269"/>
      <c r="F770" s="269"/>
      <c r="G770" s="269"/>
      <c r="H770" s="269"/>
      <c r="I770" s="269"/>
      <c r="J770" s="269"/>
      <c r="K770" s="269"/>
      <c r="L770" s="269"/>
      <c r="M770" s="269"/>
      <c r="N770" s="269"/>
      <c r="O770" s="269"/>
      <c r="P770" s="269"/>
      <c r="Q770" s="269"/>
      <c r="R770" s="269"/>
      <c r="S770" s="269"/>
      <c r="T770" s="269"/>
      <c r="U770" s="269"/>
      <c r="V770" s="269"/>
      <c r="W770" s="269"/>
      <c r="X770" s="269"/>
      <c r="Y770" s="269"/>
      <c r="Z770" s="269"/>
    </row>
    <row r="771">
      <c r="A771" s="269"/>
      <c r="B771" s="269"/>
      <c r="C771" s="269"/>
      <c r="D771" s="269"/>
      <c r="E771" s="269"/>
      <c r="F771" s="269"/>
      <c r="G771" s="269"/>
      <c r="H771" s="269"/>
      <c r="I771" s="269"/>
      <c r="J771" s="269"/>
      <c r="K771" s="269"/>
      <c r="L771" s="269"/>
      <c r="M771" s="269"/>
      <c r="N771" s="269"/>
      <c r="O771" s="269"/>
      <c r="P771" s="269"/>
      <c r="Q771" s="269"/>
      <c r="R771" s="269"/>
      <c r="S771" s="269"/>
      <c r="T771" s="269"/>
      <c r="U771" s="269"/>
      <c r="V771" s="269"/>
      <c r="W771" s="269"/>
      <c r="X771" s="269"/>
      <c r="Y771" s="269"/>
      <c r="Z771" s="269"/>
    </row>
    <row r="772">
      <c r="A772" s="269"/>
      <c r="B772" s="269"/>
      <c r="C772" s="269"/>
      <c r="D772" s="269"/>
      <c r="E772" s="269"/>
      <c r="F772" s="269"/>
      <c r="G772" s="269"/>
      <c r="H772" s="269"/>
      <c r="I772" s="269"/>
      <c r="J772" s="269"/>
      <c r="K772" s="269"/>
      <c r="L772" s="269"/>
      <c r="M772" s="269"/>
      <c r="N772" s="269"/>
      <c r="O772" s="269"/>
      <c r="P772" s="269"/>
      <c r="Q772" s="269"/>
      <c r="R772" s="269"/>
      <c r="S772" s="269"/>
      <c r="T772" s="269"/>
      <c r="U772" s="269"/>
      <c r="V772" s="269"/>
      <c r="W772" s="269"/>
      <c r="X772" s="269"/>
      <c r="Y772" s="269"/>
      <c r="Z772" s="269"/>
    </row>
    <row r="773">
      <c r="A773" s="269"/>
      <c r="B773" s="269"/>
      <c r="C773" s="269"/>
      <c r="D773" s="269"/>
      <c r="E773" s="269"/>
      <c r="F773" s="269"/>
      <c r="G773" s="269"/>
      <c r="H773" s="269"/>
      <c r="I773" s="269"/>
      <c r="J773" s="269"/>
      <c r="K773" s="269"/>
      <c r="L773" s="269"/>
      <c r="M773" s="269"/>
      <c r="N773" s="269"/>
      <c r="O773" s="269"/>
      <c r="P773" s="269"/>
      <c r="Q773" s="269"/>
      <c r="R773" s="269"/>
      <c r="S773" s="269"/>
      <c r="T773" s="269"/>
      <c r="U773" s="269"/>
      <c r="V773" s="269"/>
      <c r="W773" s="269"/>
      <c r="X773" s="269"/>
      <c r="Y773" s="269"/>
      <c r="Z773" s="269"/>
    </row>
    <row r="774">
      <c r="A774" s="269"/>
      <c r="B774" s="269"/>
      <c r="C774" s="269"/>
      <c r="D774" s="269"/>
      <c r="E774" s="269"/>
      <c r="F774" s="269"/>
      <c r="G774" s="269"/>
      <c r="H774" s="269"/>
      <c r="I774" s="269"/>
      <c r="J774" s="269"/>
      <c r="K774" s="269"/>
      <c r="L774" s="269"/>
      <c r="M774" s="269"/>
      <c r="N774" s="269"/>
      <c r="O774" s="269"/>
      <c r="P774" s="269"/>
      <c r="Q774" s="269"/>
      <c r="R774" s="269"/>
      <c r="S774" s="269"/>
      <c r="T774" s="269"/>
      <c r="U774" s="269"/>
      <c r="V774" s="269"/>
      <c r="W774" s="269"/>
      <c r="X774" s="269"/>
      <c r="Y774" s="269"/>
      <c r="Z774" s="269"/>
    </row>
    <row r="775">
      <c r="A775" s="269"/>
      <c r="B775" s="269"/>
      <c r="C775" s="269"/>
      <c r="D775" s="269"/>
      <c r="E775" s="269"/>
      <c r="F775" s="269"/>
      <c r="G775" s="269"/>
      <c r="H775" s="269"/>
      <c r="I775" s="269"/>
      <c r="J775" s="269"/>
      <c r="K775" s="269"/>
      <c r="L775" s="269"/>
      <c r="M775" s="269"/>
      <c r="N775" s="269"/>
      <c r="O775" s="269"/>
      <c r="P775" s="269"/>
      <c r="Q775" s="269"/>
      <c r="R775" s="269"/>
      <c r="S775" s="269"/>
      <c r="T775" s="269"/>
      <c r="U775" s="269"/>
      <c r="V775" s="269"/>
      <c r="W775" s="269"/>
      <c r="X775" s="269"/>
      <c r="Y775" s="269"/>
      <c r="Z775" s="269"/>
    </row>
    <row r="776">
      <c r="A776" s="269"/>
      <c r="B776" s="269"/>
      <c r="C776" s="269"/>
      <c r="D776" s="269"/>
      <c r="E776" s="269"/>
      <c r="F776" s="269"/>
      <c r="G776" s="269"/>
      <c r="H776" s="269"/>
      <c r="I776" s="269"/>
      <c r="J776" s="269"/>
      <c r="K776" s="269"/>
      <c r="L776" s="269"/>
      <c r="M776" s="269"/>
      <c r="N776" s="269"/>
      <c r="O776" s="269"/>
      <c r="P776" s="269"/>
      <c r="Q776" s="269"/>
      <c r="R776" s="269"/>
      <c r="S776" s="269"/>
      <c r="T776" s="269"/>
      <c r="U776" s="269"/>
      <c r="V776" s="269"/>
      <c r="W776" s="269"/>
      <c r="X776" s="269"/>
      <c r="Y776" s="269"/>
      <c r="Z776" s="269"/>
    </row>
    <row r="777">
      <c r="A777" s="269"/>
      <c r="B777" s="269"/>
      <c r="C777" s="269"/>
      <c r="D777" s="269"/>
      <c r="E777" s="269"/>
      <c r="F777" s="269"/>
      <c r="G777" s="269"/>
      <c r="H777" s="269"/>
      <c r="I777" s="269"/>
      <c r="J777" s="269"/>
      <c r="K777" s="269"/>
      <c r="L777" s="269"/>
      <c r="M777" s="269"/>
      <c r="N777" s="269"/>
      <c r="O777" s="269"/>
      <c r="P777" s="269"/>
      <c r="Q777" s="269"/>
      <c r="R777" s="269"/>
      <c r="S777" s="269"/>
      <c r="T777" s="269"/>
      <c r="U777" s="269"/>
      <c r="V777" s="269"/>
      <c r="W777" s="269"/>
      <c r="X777" s="269"/>
      <c r="Y777" s="269"/>
      <c r="Z777" s="269"/>
    </row>
    <row r="778">
      <c r="A778" s="269"/>
      <c r="B778" s="269"/>
      <c r="C778" s="269"/>
      <c r="D778" s="269"/>
      <c r="E778" s="269"/>
      <c r="F778" s="269"/>
      <c r="G778" s="269"/>
      <c r="H778" s="269"/>
      <c r="I778" s="269"/>
      <c r="J778" s="269"/>
      <c r="K778" s="269"/>
      <c r="L778" s="269"/>
      <c r="M778" s="269"/>
      <c r="N778" s="269"/>
      <c r="O778" s="269"/>
      <c r="P778" s="269"/>
      <c r="Q778" s="269"/>
      <c r="R778" s="269"/>
      <c r="S778" s="269"/>
      <c r="T778" s="269"/>
      <c r="U778" s="269"/>
      <c r="V778" s="269"/>
      <c r="W778" s="269"/>
      <c r="X778" s="269"/>
      <c r="Y778" s="269"/>
      <c r="Z778" s="269"/>
    </row>
    <row r="779">
      <c r="A779" s="269"/>
      <c r="B779" s="269"/>
      <c r="C779" s="269"/>
      <c r="D779" s="269"/>
      <c r="E779" s="269"/>
      <c r="F779" s="269"/>
      <c r="G779" s="269"/>
      <c r="H779" s="269"/>
      <c r="I779" s="269"/>
      <c r="J779" s="269"/>
      <c r="K779" s="269"/>
      <c r="L779" s="269"/>
      <c r="M779" s="269"/>
      <c r="N779" s="269"/>
      <c r="O779" s="269"/>
      <c r="P779" s="269"/>
      <c r="Q779" s="269"/>
      <c r="R779" s="269"/>
      <c r="S779" s="269"/>
      <c r="T779" s="269"/>
      <c r="U779" s="269"/>
      <c r="V779" s="269"/>
      <c r="W779" s="269"/>
      <c r="X779" s="269"/>
      <c r="Y779" s="269"/>
      <c r="Z779" s="269"/>
    </row>
    <row r="780">
      <c r="A780" s="269"/>
      <c r="B780" s="269"/>
      <c r="C780" s="269"/>
      <c r="D780" s="269"/>
      <c r="E780" s="269"/>
      <c r="F780" s="269"/>
      <c r="G780" s="269"/>
      <c r="H780" s="269"/>
      <c r="I780" s="269"/>
      <c r="J780" s="269"/>
      <c r="K780" s="269"/>
      <c r="L780" s="269"/>
      <c r="M780" s="269"/>
      <c r="N780" s="269"/>
      <c r="O780" s="269"/>
      <c r="P780" s="269"/>
      <c r="Q780" s="269"/>
      <c r="R780" s="269"/>
      <c r="S780" s="269"/>
      <c r="T780" s="269"/>
      <c r="U780" s="269"/>
      <c r="V780" s="269"/>
      <c r="W780" s="269"/>
      <c r="X780" s="269"/>
      <c r="Y780" s="269"/>
      <c r="Z780" s="269"/>
    </row>
    <row r="781">
      <c r="A781" s="269"/>
      <c r="B781" s="269"/>
      <c r="C781" s="269"/>
      <c r="D781" s="269"/>
      <c r="E781" s="269"/>
      <c r="F781" s="269"/>
      <c r="G781" s="269"/>
      <c r="H781" s="269"/>
      <c r="I781" s="269"/>
      <c r="J781" s="269"/>
      <c r="K781" s="269"/>
      <c r="L781" s="269"/>
      <c r="M781" s="269"/>
      <c r="N781" s="269"/>
      <c r="O781" s="269"/>
      <c r="P781" s="269"/>
      <c r="Q781" s="269"/>
      <c r="R781" s="269"/>
      <c r="S781" s="269"/>
      <c r="T781" s="269"/>
      <c r="U781" s="269"/>
      <c r="V781" s="269"/>
      <c r="W781" s="269"/>
      <c r="X781" s="269"/>
      <c r="Y781" s="269"/>
      <c r="Z781" s="269"/>
    </row>
    <row r="782">
      <c r="A782" s="269"/>
      <c r="B782" s="269"/>
      <c r="C782" s="269"/>
      <c r="D782" s="269"/>
      <c r="E782" s="269"/>
      <c r="F782" s="269"/>
      <c r="G782" s="269"/>
      <c r="H782" s="269"/>
      <c r="I782" s="269"/>
      <c r="J782" s="269"/>
      <c r="K782" s="269"/>
      <c r="L782" s="269"/>
      <c r="M782" s="269"/>
      <c r="N782" s="269"/>
      <c r="O782" s="269"/>
      <c r="P782" s="269"/>
      <c r="Q782" s="269"/>
      <c r="R782" s="269"/>
      <c r="S782" s="269"/>
      <c r="T782" s="269"/>
      <c r="U782" s="269"/>
      <c r="V782" s="269"/>
      <c r="W782" s="269"/>
      <c r="X782" s="269"/>
      <c r="Y782" s="269"/>
      <c r="Z782" s="269"/>
    </row>
    <row r="783">
      <c r="A783" s="269"/>
      <c r="B783" s="269"/>
      <c r="C783" s="269"/>
      <c r="D783" s="269"/>
      <c r="E783" s="269"/>
      <c r="F783" s="269"/>
      <c r="G783" s="269"/>
      <c r="H783" s="269"/>
      <c r="I783" s="269"/>
      <c r="J783" s="269"/>
      <c r="K783" s="269"/>
      <c r="L783" s="269"/>
      <c r="M783" s="269"/>
      <c r="N783" s="269"/>
      <c r="O783" s="269"/>
      <c r="P783" s="269"/>
      <c r="Q783" s="269"/>
      <c r="R783" s="269"/>
      <c r="S783" s="269"/>
      <c r="T783" s="269"/>
      <c r="U783" s="269"/>
      <c r="V783" s="269"/>
      <c r="W783" s="269"/>
      <c r="X783" s="269"/>
      <c r="Y783" s="269"/>
      <c r="Z783" s="269"/>
    </row>
    <row r="784">
      <c r="A784" s="269"/>
      <c r="B784" s="269"/>
      <c r="C784" s="269"/>
      <c r="D784" s="269"/>
      <c r="E784" s="269"/>
      <c r="F784" s="269"/>
      <c r="G784" s="269"/>
      <c r="H784" s="269"/>
      <c r="I784" s="269"/>
      <c r="J784" s="269"/>
      <c r="K784" s="269"/>
      <c r="L784" s="269"/>
      <c r="M784" s="269"/>
      <c r="N784" s="269"/>
      <c r="O784" s="269"/>
      <c r="P784" s="269"/>
      <c r="Q784" s="269"/>
      <c r="R784" s="269"/>
      <c r="S784" s="269"/>
      <c r="T784" s="269"/>
      <c r="U784" s="269"/>
      <c r="V784" s="269"/>
      <c r="W784" s="269"/>
      <c r="X784" s="269"/>
      <c r="Y784" s="269"/>
      <c r="Z784" s="269"/>
    </row>
    <row r="785">
      <c r="A785" s="269"/>
      <c r="B785" s="269"/>
      <c r="C785" s="269"/>
      <c r="D785" s="269"/>
      <c r="E785" s="269"/>
      <c r="F785" s="269"/>
      <c r="G785" s="269"/>
      <c r="H785" s="269"/>
      <c r="I785" s="269"/>
      <c r="J785" s="269"/>
      <c r="K785" s="269"/>
      <c r="L785" s="269"/>
      <c r="M785" s="269"/>
      <c r="N785" s="269"/>
      <c r="O785" s="269"/>
      <c r="P785" s="269"/>
      <c r="Q785" s="269"/>
      <c r="R785" s="269"/>
      <c r="S785" s="269"/>
      <c r="T785" s="269"/>
      <c r="U785" s="269"/>
      <c r="V785" s="269"/>
      <c r="W785" s="269"/>
      <c r="X785" s="269"/>
      <c r="Y785" s="269"/>
      <c r="Z785" s="269"/>
    </row>
    <row r="786">
      <c r="A786" s="269"/>
      <c r="B786" s="269"/>
      <c r="C786" s="269"/>
      <c r="D786" s="269"/>
      <c r="E786" s="269"/>
      <c r="F786" s="269"/>
      <c r="G786" s="269"/>
      <c r="H786" s="269"/>
      <c r="I786" s="269"/>
      <c r="J786" s="269"/>
      <c r="K786" s="269"/>
      <c r="L786" s="269"/>
      <c r="M786" s="269"/>
      <c r="N786" s="269"/>
      <c r="O786" s="269"/>
      <c r="P786" s="269"/>
      <c r="Q786" s="269"/>
      <c r="R786" s="269"/>
      <c r="S786" s="269"/>
      <c r="T786" s="269"/>
      <c r="U786" s="269"/>
      <c r="V786" s="269"/>
      <c r="W786" s="269"/>
      <c r="X786" s="269"/>
      <c r="Y786" s="269"/>
      <c r="Z786" s="269"/>
    </row>
    <row r="787">
      <c r="A787" s="269"/>
      <c r="B787" s="269"/>
      <c r="C787" s="269"/>
      <c r="D787" s="269"/>
      <c r="E787" s="269"/>
      <c r="F787" s="269"/>
      <c r="G787" s="269"/>
      <c r="H787" s="269"/>
      <c r="I787" s="269"/>
      <c r="J787" s="269"/>
      <c r="K787" s="269"/>
      <c r="L787" s="269"/>
      <c r="M787" s="269"/>
      <c r="N787" s="269"/>
      <c r="O787" s="269"/>
      <c r="P787" s="269"/>
      <c r="Q787" s="269"/>
      <c r="R787" s="269"/>
      <c r="S787" s="269"/>
      <c r="T787" s="269"/>
      <c r="U787" s="269"/>
      <c r="V787" s="269"/>
      <c r="W787" s="269"/>
      <c r="X787" s="269"/>
      <c r="Y787" s="269"/>
      <c r="Z787" s="269"/>
    </row>
    <row r="788">
      <c r="A788" s="269"/>
      <c r="B788" s="269"/>
      <c r="C788" s="269"/>
      <c r="D788" s="269"/>
      <c r="E788" s="269"/>
      <c r="F788" s="269"/>
      <c r="G788" s="269"/>
      <c r="H788" s="269"/>
      <c r="I788" s="269"/>
      <c r="J788" s="269"/>
      <c r="K788" s="269"/>
      <c r="L788" s="269"/>
      <c r="M788" s="269"/>
      <c r="N788" s="269"/>
      <c r="O788" s="269"/>
      <c r="P788" s="269"/>
      <c r="Q788" s="269"/>
      <c r="R788" s="269"/>
      <c r="S788" s="269"/>
      <c r="T788" s="269"/>
      <c r="U788" s="269"/>
      <c r="V788" s="269"/>
      <c r="W788" s="269"/>
      <c r="X788" s="269"/>
      <c r="Y788" s="269"/>
      <c r="Z788" s="269"/>
    </row>
    <row r="789">
      <c r="A789" s="269"/>
      <c r="B789" s="269"/>
      <c r="C789" s="269"/>
      <c r="D789" s="269"/>
      <c r="E789" s="269"/>
      <c r="F789" s="269"/>
      <c r="G789" s="269"/>
      <c r="H789" s="269"/>
      <c r="I789" s="269"/>
      <c r="J789" s="269"/>
      <c r="K789" s="269"/>
      <c r="L789" s="269"/>
      <c r="M789" s="269"/>
      <c r="N789" s="269"/>
      <c r="O789" s="269"/>
      <c r="P789" s="269"/>
      <c r="Q789" s="269"/>
      <c r="R789" s="269"/>
      <c r="S789" s="269"/>
      <c r="T789" s="269"/>
      <c r="U789" s="269"/>
      <c r="V789" s="269"/>
      <c r="W789" s="269"/>
      <c r="X789" s="269"/>
      <c r="Y789" s="269"/>
      <c r="Z789" s="269"/>
    </row>
    <row r="790">
      <c r="A790" s="269"/>
      <c r="B790" s="269"/>
      <c r="C790" s="269"/>
      <c r="D790" s="269"/>
      <c r="E790" s="269"/>
      <c r="F790" s="269"/>
      <c r="G790" s="269"/>
      <c r="H790" s="269"/>
      <c r="I790" s="269"/>
      <c r="J790" s="269"/>
      <c r="K790" s="269"/>
      <c r="L790" s="269"/>
      <c r="M790" s="269"/>
      <c r="N790" s="269"/>
      <c r="O790" s="269"/>
      <c r="P790" s="269"/>
      <c r="Q790" s="269"/>
      <c r="R790" s="269"/>
      <c r="S790" s="269"/>
      <c r="T790" s="269"/>
      <c r="U790" s="269"/>
      <c r="V790" s="269"/>
      <c r="W790" s="269"/>
      <c r="X790" s="269"/>
      <c r="Y790" s="269"/>
      <c r="Z790" s="269"/>
    </row>
    <row r="791">
      <c r="A791" s="269"/>
      <c r="B791" s="269"/>
      <c r="C791" s="269"/>
      <c r="D791" s="269"/>
      <c r="E791" s="269"/>
      <c r="F791" s="269"/>
      <c r="G791" s="269"/>
      <c r="H791" s="269"/>
      <c r="I791" s="269"/>
      <c r="J791" s="269"/>
      <c r="K791" s="269"/>
      <c r="L791" s="269"/>
      <c r="M791" s="269"/>
      <c r="N791" s="269"/>
      <c r="O791" s="269"/>
      <c r="P791" s="269"/>
      <c r="Q791" s="269"/>
      <c r="R791" s="269"/>
      <c r="S791" s="269"/>
      <c r="T791" s="269"/>
      <c r="U791" s="269"/>
      <c r="V791" s="269"/>
      <c r="W791" s="269"/>
      <c r="X791" s="269"/>
      <c r="Y791" s="269"/>
      <c r="Z791" s="269"/>
    </row>
    <row r="792">
      <c r="A792" s="269"/>
      <c r="B792" s="269"/>
      <c r="C792" s="269"/>
      <c r="D792" s="269"/>
      <c r="E792" s="269"/>
      <c r="F792" s="269"/>
      <c r="G792" s="269"/>
      <c r="H792" s="269"/>
      <c r="I792" s="269"/>
      <c r="J792" s="269"/>
      <c r="K792" s="269"/>
      <c r="L792" s="269"/>
      <c r="M792" s="269"/>
      <c r="N792" s="269"/>
      <c r="O792" s="269"/>
      <c r="P792" s="269"/>
      <c r="Q792" s="269"/>
      <c r="R792" s="269"/>
      <c r="S792" s="269"/>
      <c r="T792" s="269"/>
      <c r="U792" s="269"/>
      <c r="V792" s="269"/>
      <c r="W792" s="269"/>
      <c r="X792" s="269"/>
      <c r="Y792" s="269"/>
      <c r="Z792" s="269"/>
    </row>
    <row r="793">
      <c r="A793" s="269"/>
      <c r="B793" s="269"/>
      <c r="C793" s="269"/>
      <c r="D793" s="269"/>
      <c r="E793" s="269"/>
      <c r="F793" s="269"/>
      <c r="G793" s="269"/>
      <c r="H793" s="269"/>
      <c r="I793" s="269"/>
      <c r="J793" s="269"/>
      <c r="K793" s="269"/>
      <c r="L793" s="269"/>
      <c r="M793" s="269"/>
      <c r="N793" s="269"/>
      <c r="O793" s="269"/>
      <c r="P793" s="269"/>
      <c r="Q793" s="269"/>
      <c r="R793" s="269"/>
      <c r="S793" s="269"/>
      <c r="T793" s="269"/>
      <c r="U793" s="269"/>
      <c r="V793" s="269"/>
      <c r="W793" s="269"/>
      <c r="X793" s="269"/>
      <c r="Y793" s="269"/>
      <c r="Z793" s="269"/>
    </row>
    <row r="794">
      <c r="A794" s="269"/>
      <c r="B794" s="269"/>
      <c r="C794" s="269"/>
      <c r="D794" s="269"/>
      <c r="E794" s="269"/>
      <c r="F794" s="269"/>
      <c r="G794" s="269"/>
      <c r="H794" s="269"/>
      <c r="I794" s="269"/>
      <c r="J794" s="269"/>
      <c r="K794" s="269"/>
      <c r="L794" s="269"/>
      <c r="M794" s="269"/>
      <c r="N794" s="269"/>
      <c r="O794" s="269"/>
      <c r="P794" s="269"/>
      <c r="Q794" s="269"/>
      <c r="R794" s="269"/>
      <c r="S794" s="269"/>
      <c r="T794" s="269"/>
      <c r="U794" s="269"/>
      <c r="V794" s="269"/>
      <c r="W794" s="269"/>
      <c r="X794" s="269"/>
      <c r="Y794" s="269"/>
      <c r="Z794" s="269"/>
    </row>
    <row r="795">
      <c r="A795" s="269"/>
      <c r="B795" s="269"/>
      <c r="C795" s="269"/>
      <c r="D795" s="269"/>
      <c r="E795" s="269"/>
      <c r="F795" s="269"/>
      <c r="G795" s="269"/>
      <c r="H795" s="269"/>
      <c r="I795" s="269"/>
      <c r="J795" s="269"/>
      <c r="K795" s="269"/>
      <c r="L795" s="269"/>
      <c r="M795" s="269"/>
      <c r="N795" s="269"/>
      <c r="O795" s="269"/>
      <c r="P795" s="269"/>
      <c r="Q795" s="269"/>
      <c r="R795" s="269"/>
      <c r="S795" s="269"/>
      <c r="T795" s="269"/>
      <c r="U795" s="269"/>
      <c r="V795" s="269"/>
      <c r="W795" s="269"/>
      <c r="X795" s="269"/>
      <c r="Y795" s="269"/>
      <c r="Z795" s="269"/>
    </row>
    <row r="796">
      <c r="A796" s="269"/>
      <c r="B796" s="269"/>
      <c r="C796" s="269"/>
      <c r="D796" s="269"/>
      <c r="E796" s="269"/>
      <c r="F796" s="269"/>
      <c r="G796" s="269"/>
      <c r="H796" s="269"/>
      <c r="I796" s="269"/>
      <c r="J796" s="269"/>
      <c r="K796" s="269"/>
      <c r="L796" s="269"/>
      <c r="M796" s="269"/>
      <c r="N796" s="269"/>
      <c r="O796" s="269"/>
      <c r="P796" s="269"/>
      <c r="Q796" s="269"/>
      <c r="R796" s="269"/>
      <c r="S796" s="269"/>
      <c r="T796" s="269"/>
      <c r="U796" s="269"/>
      <c r="V796" s="269"/>
      <c r="W796" s="269"/>
      <c r="X796" s="269"/>
      <c r="Y796" s="269"/>
      <c r="Z796" s="269"/>
    </row>
    <row r="797">
      <c r="A797" s="269"/>
      <c r="B797" s="269"/>
      <c r="C797" s="269"/>
      <c r="D797" s="269"/>
      <c r="E797" s="269"/>
      <c r="F797" s="269"/>
      <c r="G797" s="269"/>
      <c r="H797" s="269"/>
      <c r="I797" s="269"/>
      <c r="J797" s="269"/>
      <c r="K797" s="269"/>
      <c r="L797" s="269"/>
      <c r="M797" s="269"/>
      <c r="N797" s="269"/>
      <c r="O797" s="269"/>
      <c r="P797" s="269"/>
      <c r="Q797" s="269"/>
      <c r="R797" s="269"/>
      <c r="S797" s="269"/>
      <c r="T797" s="269"/>
      <c r="U797" s="269"/>
      <c r="V797" s="269"/>
      <c r="W797" s="269"/>
      <c r="X797" s="269"/>
      <c r="Y797" s="269"/>
      <c r="Z797" s="269"/>
    </row>
    <row r="798">
      <c r="A798" s="269"/>
      <c r="B798" s="269"/>
      <c r="C798" s="269"/>
      <c r="D798" s="269"/>
      <c r="E798" s="269"/>
      <c r="F798" s="269"/>
      <c r="G798" s="269"/>
      <c r="H798" s="269"/>
      <c r="I798" s="269"/>
      <c r="J798" s="269"/>
      <c r="K798" s="269"/>
      <c r="L798" s="269"/>
      <c r="M798" s="269"/>
      <c r="N798" s="269"/>
      <c r="O798" s="269"/>
      <c r="P798" s="269"/>
      <c r="Q798" s="269"/>
      <c r="R798" s="269"/>
      <c r="S798" s="269"/>
      <c r="T798" s="269"/>
      <c r="U798" s="269"/>
      <c r="V798" s="269"/>
      <c r="W798" s="269"/>
      <c r="X798" s="269"/>
      <c r="Y798" s="269"/>
      <c r="Z798" s="269"/>
    </row>
    <row r="799">
      <c r="A799" s="269"/>
      <c r="B799" s="269"/>
      <c r="C799" s="269"/>
      <c r="D799" s="269"/>
      <c r="E799" s="269"/>
      <c r="F799" s="269"/>
      <c r="G799" s="269"/>
      <c r="H799" s="269"/>
      <c r="I799" s="269"/>
      <c r="J799" s="269"/>
      <c r="K799" s="269"/>
      <c r="L799" s="269"/>
      <c r="M799" s="269"/>
      <c r="N799" s="269"/>
      <c r="O799" s="269"/>
      <c r="P799" s="269"/>
      <c r="Q799" s="269"/>
      <c r="R799" s="269"/>
      <c r="S799" s="269"/>
      <c r="T799" s="269"/>
      <c r="U799" s="269"/>
      <c r="V799" s="269"/>
      <c r="W799" s="269"/>
      <c r="X799" s="269"/>
      <c r="Y799" s="269"/>
      <c r="Z799" s="269"/>
    </row>
    <row r="800">
      <c r="A800" s="269"/>
      <c r="B800" s="269"/>
      <c r="C800" s="269"/>
      <c r="D800" s="269"/>
      <c r="E800" s="269"/>
      <c r="F800" s="269"/>
      <c r="G800" s="269"/>
      <c r="H800" s="269"/>
      <c r="I800" s="269"/>
      <c r="J800" s="269"/>
      <c r="K800" s="269"/>
      <c r="L800" s="269"/>
      <c r="M800" s="269"/>
      <c r="N800" s="269"/>
      <c r="O800" s="269"/>
      <c r="P800" s="269"/>
      <c r="Q800" s="269"/>
      <c r="R800" s="269"/>
      <c r="S800" s="269"/>
      <c r="T800" s="269"/>
      <c r="U800" s="269"/>
      <c r="V800" s="269"/>
      <c r="W800" s="269"/>
      <c r="X800" s="269"/>
      <c r="Y800" s="269"/>
      <c r="Z800" s="269"/>
    </row>
    <row r="801">
      <c r="A801" s="269"/>
      <c r="B801" s="269"/>
      <c r="C801" s="269"/>
      <c r="D801" s="269"/>
      <c r="E801" s="269"/>
      <c r="F801" s="269"/>
      <c r="G801" s="269"/>
      <c r="H801" s="269"/>
      <c r="I801" s="269"/>
      <c r="J801" s="269"/>
      <c r="K801" s="269"/>
      <c r="L801" s="269"/>
      <c r="M801" s="269"/>
      <c r="N801" s="269"/>
      <c r="O801" s="269"/>
      <c r="P801" s="269"/>
      <c r="Q801" s="269"/>
      <c r="R801" s="269"/>
      <c r="S801" s="269"/>
      <c r="T801" s="269"/>
      <c r="U801" s="269"/>
      <c r="V801" s="269"/>
      <c r="W801" s="269"/>
      <c r="X801" s="269"/>
      <c r="Y801" s="269"/>
      <c r="Z801" s="269"/>
    </row>
    <row r="802">
      <c r="A802" s="269"/>
      <c r="B802" s="269"/>
      <c r="C802" s="269"/>
      <c r="D802" s="269"/>
      <c r="E802" s="269"/>
      <c r="F802" s="269"/>
      <c r="G802" s="269"/>
      <c r="H802" s="269"/>
      <c r="I802" s="269"/>
      <c r="J802" s="269"/>
      <c r="K802" s="269"/>
      <c r="L802" s="269"/>
      <c r="M802" s="269"/>
      <c r="N802" s="269"/>
      <c r="O802" s="269"/>
      <c r="P802" s="269"/>
      <c r="Q802" s="269"/>
      <c r="R802" s="269"/>
      <c r="S802" s="269"/>
      <c r="T802" s="269"/>
      <c r="U802" s="269"/>
      <c r="V802" s="269"/>
      <c r="W802" s="269"/>
      <c r="X802" s="269"/>
      <c r="Y802" s="269"/>
      <c r="Z802" s="269"/>
    </row>
    <row r="803">
      <c r="A803" s="269"/>
      <c r="B803" s="269"/>
      <c r="C803" s="269"/>
      <c r="D803" s="269"/>
      <c r="E803" s="269"/>
      <c r="F803" s="269"/>
      <c r="G803" s="269"/>
      <c r="H803" s="269"/>
      <c r="I803" s="269"/>
      <c r="J803" s="269"/>
      <c r="K803" s="269"/>
      <c r="L803" s="269"/>
      <c r="M803" s="269"/>
      <c r="N803" s="269"/>
      <c r="O803" s="269"/>
      <c r="P803" s="269"/>
      <c r="Q803" s="269"/>
      <c r="R803" s="269"/>
      <c r="S803" s="269"/>
      <c r="T803" s="269"/>
      <c r="U803" s="269"/>
      <c r="V803" s="269"/>
      <c r="W803" s="269"/>
      <c r="X803" s="269"/>
      <c r="Y803" s="269"/>
      <c r="Z803" s="269"/>
    </row>
    <row r="804">
      <c r="A804" s="269"/>
      <c r="B804" s="269"/>
      <c r="C804" s="269"/>
      <c r="D804" s="269"/>
      <c r="E804" s="269"/>
      <c r="F804" s="269"/>
      <c r="G804" s="269"/>
      <c r="H804" s="269"/>
      <c r="I804" s="269"/>
      <c r="J804" s="269"/>
      <c r="K804" s="269"/>
      <c r="L804" s="269"/>
      <c r="M804" s="269"/>
      <c r="N804" s="269"/>
      <c r="O804" s="269"/>
      <c r="P804" s="269"/>
      <c r="Q804" s="269"/>
      <c r="R804" s="269"/>
      <c r="S804" s="269"/>
      <c r="T804" s="269"/>
      <c r="U804" s="269"/>
      <c r="V804" s="269"/>
      <c r="W804" s="269"/>
      <c r="X804" s="269"/>
      <c r="Y804" s="269"/>
      <c r="Z804" s="269"/>
    </row>
    <row r="805">
      <c r="A805" s="269"/>
      <c r="B805" s="269"/>
      <c r="C805" s="269"/>
      <c r="D805" s="269"/>
      <c r="E805" s="269"/>
      <c r="F805" s="269"/>
      <c r="G805" s="269"/>
      <c r="H805" s="269"/>
      <c r="I805" s="269"/>
      <c r="J805" s="269"/>
      <c r="K805" s="269"/>
      <c r="L805" s="269"/>
      <c r="M805" s="269"/>
      <c r="N805" s="269"/>
      <c r="O805" s="269"/>
      <c r="P805" s="269"/>
      <c r="Q805" s="269"/>
      <c r="R805" s="269"/>
      <c r="S805" s="269"/>
      <c r="T805" s="269"/>
      <c r="U805" s="269"/>
      <c r="V805" s="269"/>
      <c r="W805" s="269"/>
      <c r="X805" s="269"/>
      <c r="Y805" s="269"/>
      <c r="Z805" s="269"/>
    </row>
    <row r="806">
      <c r="A806" s="269"/>
      <c r="B806" s="269"/>
      <c r="C806" s="269"/>
      <c r="D806" s="269"/>
      <c r="E806" s="269"/>
      <c r="F806" s="269"/>
      <c r="G806" s="269"/>
      <c r="H806" s="269"/>
      <c r="I806" s="269"/>
      <c r="J806" s="269"/>
      <c r="K806" s="269"/>
      <c r="L806" s="269"/>
      <c r="M806" s="269"/>
      <c r="N806" s="269"/>
      <c r="O806" s="269"/>
      <c r="P806" s="269"/>
      <c r="Q806" s="269"/>
      <c r="R806" s="269"/>
      <c r="S806" s="269"/>
      <c r="T806" s="269"/>
      <c r="U806" s="269"/>
      <c r="V806" s="269"/>
      <c r="W806" s="269"/>
      <c r="X806" s="269"/>
      <c r="Y806" s="269"/>
      <c r="Z806" s="269"/>
    </row>
    <row r="807">
      <c r="A807" s="269"/>
      <c r="B807" s="269"/>
      <c r="C807" s="269"/>
      <c r="D807" s="269"/>
      <c r="E807" s="269"/>
      <c r="F807" s="269"/>
      <c r="G807" s="269"/>
      <c r="H807" s="269"/>
      <c r="I807" s="269"/>
      <c r="J807" s="269"/>
      <c r="K807" s="269"/>
      <c r="L807" s="269"/>
      <c r="M807" s="269"/>
      <c r="N807" s="269"/>
      <c r="O807" s="269"/>
      <c r="P807" s="269"/>
      <c r="Q807" s="269"/>
      <c r="R807" s="269"/>
      <c r="S807" s="269"/>
      <c r="T807" s="269"/>
      <c r="U807" s="269"/>
      <c r="V807" s="269"/>
      <c r="W807" s="269"/>
      <c r="X807" s="269"/>
      <c r="Y807" s="269"/>
      <c r="Z807" s="269"/>
    </row>
    <row r="808">
      <c r="A808" s="269"/>
      <c r="B808" s="269"/>
      <c r="C808" s="269"/>
      <c r="D808" s="269"/>
      <c r="E808" s="269"/>
      <c r="F808" s="269"/>
      <c r="G808" s="269"/>
      <c r="H808" s="269"/>
      <c r="I808" s="269"/>
      <c r="J808" s="269"/>
      <c r="K808" s="269"/>
      <c r="L808" s="269"/>
      <c r="M808" s="269"/>
      <c r="N808" s="269"/>
      <c r="O808" s="269"/>
      <c r="P808" s="269"/>
      <c r="Q808" s="269"/>
      <c r="R808" s="269"/>
      <c r="S808" s="269"/>
      <c r="T808" s="269"/>
      <c r="U808" s="269"/>
      <c r="V808" s="269"/>
      <c r="W808" s="269"/>
      <c r="X808" s="269"/>
      <c r="Y808" s="269"/>
      <c r="Z808" s="269"/>
    </row>
    <row r="809">
      <c r="A809" s="269"/>
      <c r="B809" s="269"/>
      <c r="C809" s="269"/>
      <c r="D809" s="269"/>
      <c r="E809" s="269"/>
      <c r="F809" s="269"/>
      <c r="G809" s="269"/>
      <c r="H809" s="269"/>
      <c r="I809" s="269"/>
      <c r="J809" s="269"/>
      <c r="K809" s="269"/>
      <c r="L809" s="269"/>
      <c r="M809" s="269"/>
      <c r="N809" s="269"/>
      <c r="O809" s="269"/>
      <c r="P809" s="269"/>
      <c r="Q809" s="269"/>
      <c r="R809" s="269"/>
      <c r="S809" s="269"/>
      <c r="T809" s="269"/>
      <c r="U809" s="269"/>
      <c r="V809" s="269"/>
      <c r="W809" s="269"/>
      <c r="X809" s="269"/>
      <c r="Y809" s="269"/>
      <c r="Z809" s="269"/>
    </row>
    <row r="810">
      <c r="A810" s="269"/>
      <c r="B810" s="269"/>
      <c r="C810" s="269"/>
      <c r="D810" s="269"/>
      <c r="E810" s="269"/>
      <c r="F810" s="269"/>
      <c r="G810" s="269"/>
      <c r="H810" s="269"/>
      <c r="I810" s="269"/>
      <c r="J810" s="269"/>
      <c r="K810" s="269"/>
      <c r="L810" s="269"/>
      <c r="M810" s="269"/>
      <c r="N810" s="269"/>
      <c r="O810" s="269"/>
      <c r="P810" s="269"/>
      <c r="Q810" s="269"/>
      <c r="R810" s="269"/>
      <c r="S810" s="269"/>
      <c r="T810" s="269"/>
      <c r="U810" s="269"/>
      <c r="V810" s="269"/>
      <c r="W810" s="269"/>
      <c r="X810" s="269"/>
      <c r="Y810" s="269"/>
      <c r="Z810" s="269"/>
    </row>
    <row r="811">
      <c r="A811" s="269"/>
      <c r="B811" s="269"/>
      <c r="C811" s="269"/>
      <c r="D811" s="269"/>
      <c r="E811" s="269"/>
      <c r="F811" s="269"/>
      <c r="G811" s="269"/>
      <c r="H811" s="269"/>
      <c r="I811" s="269"/>
      <c r="J811" s="269"/>
      <c r="K811" s="269"/>
      <c r="L811" s="269"/>
      <c r="M811" s="269"/>
      <c r="N811" s="269"/>
      <c r="O811" s="269"/>
      <c r="P811" s="269"/>
      <c r="Q811" s="269"/>
      <c r="R811" s="269"/>
      <c r="S811" s="269"/>
      <c r="T811" s="269"/>
      <c r="U811" s="269"/>
      <c r="V811" s="269"/>
      <c r="W811" s="269"/>
      <c r="X811" s="269"/>
      <c r="Y811" s="269"/>
      <c r="Z811" s="269"/>
    </row>
    <row r="812">
      <c r="A812" s="269"/>
      <c r="B812" s="269"/>
      <c r="C812" s="269"/>
      <c r="D812" s="269"/>
      <c r="E812" s="269"/>
      <c r="F812" s="269"/>
      <c r="G812" s="269"/>
      <c r="H812" s="269"/>
      <c r="I812" s="269"/>
      <c r="J812" s="269"/>
      <c r="K812" s="269"/>
      <c r="L812" s="269"/>
      <c r="M812" s="269"/>
      <c r="N812" s="269"/>
      <c r="O812" s="269"/>
      <c r="P812" s="269"/>
      <c r="Q812" s="269"/>
      <c r="R812" s="269"/>
      <c r="S812" s="269"/>
      <c r="T812" s="269"/>
      <c r="U812" s="269"/>
      <c r="V812" s="269"/>
      <c r="W812" s="269"/>
      <c r="X812" s="269"/>
      <c r="Y812" s="269"/>
      <c r="Z812" s="269"/>
    </row>
    <row r="813">
      <c r="A813" s="269"/>
      <c r="B813" s="269"/>
      <c r="C813" s="269"/>
      <c r="D813" s="269"/>
      <c r="E813" s="269"/>
      <c r="F813" s="269"/>
      <c r="G813" s="269"/>
      <c r="H813" s="269"/>
      <c r="I813" s="269"/>
      <c r="J813" s="269"/>
      <c r="K813" s="269"/>
      <c r="L813" s="269"/>
      <c r="M813" s="269"/>
      <c r="N813" s="269"/>
      <c r="O813" s="269"/>
      <c r="P813" s="269"/>
      <c r="Q813" s="269"/>
      <c r="R813" s="269"/>
      <c r="S813" s="269"/>
      <c r="T813" s="269"/>
      <c r="U813" s="269"/>
      <c r="V813" s="269"/>
      <c r="W813" s="269"/>
      <c r="X813" s="269"/>
      <c r="Y813" s="269"/>
      <c r="Z813" s="269"/>
    </row>
    <row r="814">
      <c r="A814" s="269"/>
      <c r="B814" s="269"/>
      <c r="C814" s="269"/>
      <c r="D814" s="269"/>
      <c r="E814" s="269"/>
      <c r="F814" s="269"/>
      <c r="G814" s="269"/>
      <c r="H814" s="269"/>
      <c r="I814" s="269"/>
      <c r="J814" s="269"/>
      <c r="K814" s="269"/>
      <c r="L814" s="269"/>
      <c r="M814" s="269"/>
      <c r="N814" s="269"/>
      <c r="O814" s="269"/>
      <c r="P814" s="269"/>
      <c r="Q814" s="269"/>
      <c r="R814" s="269"/>
      <c r="S814" s="269"/>
      <c r="T814" s="269"/>
      <c r="U814" s="269"/>
      <c r="V814" s="269"/>
      <c r="W814" s="269"/>
      <c r="X814" s="269"/>
      <c r="Y814" s="269"/>
      <c r="Z814" s="269"/>
    </row>
    <row r="815">
      <c r="A815" s="269"/>
      <c r="B815" s="269"/>
      <c r="C815" s="269"/>
      <c r="D815" s="269"/>
      <c r="E815" s="269"/>
      <c r="F815" s="269"/>
      <c r="G815" s="269"/>
      <c r="H815" s="269"/>
      <c r="I815" s="269"/>
      <c r="J815" s="269"/>
      <c r="K815" s="269"/>
      <c r="L815" s="269"/>
      <c r="M815" s="269"/>
      <c r="N815" s="269"/>
      <c r="O815" s="269"/>
      <c r="P815" s="269"/>
      <c r="Q815" s="269"/>
      <c r="R815" s="269"/>
      <c r="S815" s="269"/>
      <c r="T815" s="269"/>
      <c r="U815" s="269"/>
      <c r="V815" s="269"/>
      <c r="W815" s="269"/>
      <c r="X815" s="269"/>
      <c r="Y815" s="269"/>
      <c r="Z815" s="269"/>
    </row>
    <row r="816">
      <c r="A816" s="269"/>
      <c r="B816" s="269"/>
      <c r="C816" s="269"/>
      <c r="D816" s="269"/>
      <c r="E816" s="269"/>
      <c r="F816" s="269"/>
      <c r="G816" s="269"/>
      <c r="H816" s="269"/>
      <c r="I816" s="269"/>
      <c r="J816" s="269"/>
      <c r="K816" s="269"/>
      <c r="L816" s="269"/>
      <c r="M816" s="269"/>
      <c r="N816" s="269"/>
      <c r="O816" s="269"/>
      <c r="P816" s="269"/>
      <c r="Q816" s="269"/>
      <c r="R816" s="269"/>
      <c r="S816" s="269"/>
      <c r="T816" s="269"/>
      <c r="U816" s="269"/>
      <c r="V816" s="269"/>
      <c r="W816" s="269"/>
      <c r="X816" s="269"/>
      <c r="Y816" s="269"/>
      <c r="Z816" s="269"/>
    </row>
    <row r="817">
      <c r="A817" s="269"/>
      <c r="B817" s="269"/>
      <c r="C817" s="269"/>
      <c r="D817" s="269"/>
      <c r="E817" s="269"/>
      <c r="F817" s="269"/>
      <c r="G817" s="269"/>
      <c r="H817" s="269"/>
      <c r="I817" s="269"/>
      <c r="J817" s="269"/>
      <c r="K817" s="269"/>
      <c r="L817" s="269"/>
      <c r="M817" s="269"/>
      <c r="N817" s="269"/>
      <c r="O817" s="269"/>
      <c r="P817" s="269"/>
      <c r="Q817" s="269"/>
      <c r="R817" s="269"/>
      <c r="S817" s="269"/>
      <c r="T817" s="269"/>
      <c r="U817" s="269"/>
      <c r="V817" s="269"/>
      <c r="W817" s="269"/>
      <c r="X817" s="269"/>
      <c r="Y817" s="269"/>
      <c r="Z817" s="269"/>
    </row>
    <row r="818">
      <c r="A818" s="269"/>
      <c r="B818" s="269"/>
      <c r="C818" s="269"/>
      <c r="D818" s="269"/>
      <c r="E818" s="269"/>
      <c r="F818" s="269"/>
      <c r="G818" s="269"/>
      <c r="H818" s="269"/>
      <c r="I818" s="269"/>
      <c r="J818" s="269"/>
      <c r="K818" s="269"/>
      <c r="L818" s="269"/>
      <c r="M818" s="269"/>
      <c r="N818" s="269"/>
      <c r="O818" s="269"/>
      <c r="P818" s="269"/>
      <c r="Q818" s="269"/>
      <c r="R818" s="269"/>
      <c r="S818" s="269"/>
      <c r="T818" s="269"/>
      <c r="U818" s="269"/>
      <c r="V818" s="269"/>
      <c r="W818" s="269"/>
      <c r="X818" s="269"/>
      <c r="Y818" s="269"/>
      <c r="Z818" s="269"/>
    </row>
    <row r="819">
      <c r="A819" s="269"/>
      <c r="B819" s="269"/>
      <c r="C819" s="269"/>
      <c r="D819" s="269"/>
      <c r="E819" s="269"/>
      <c r="F819" s="269"/>
      <c r="G819" s="269"/>
      <c r="H819" s="269"/>
      <c r="I819" s="269"/>
      <c r="J819" s="269"/>
      <c r="K819" s="269"/>
      <c r="L819" s="269"/>
      <c r="M819" s="269"/>
      <c r="N819" s="269"/>
      <c r="O819" s="269"/>
      <c r="P819" s="269"/>
      <c r="Q819" s="269"/>
      <c r="R819" s="269"/>
      <c r="S819" s="269"/>
      <c r="T819" s="269"/>
      <c r="U819" s="269"/>
      <c r="V819" s="269"/>
      <c r="W819" s="269"/>
      <c r="X819" s="269"/>
      <c r="Y819" s="269"/>
      <c r="Z819" s="269"/>
    </row>
    <row r="820">
      <c r="A820" s="269"/>
      <c r="B820" s="269"/>
      <c r="C820" s="269"/>
      <c r="D820" s="269"/>
      <c r="E820" s="269"/>
      <c r="F820" s="269"/>
      <c r="G820" s="269"/>
      <c r="H820" s="269"/>
      <c r="I820" s="269"/>
      <c r="J820" s="269"/>
      <c r="K820" s="269"/>
      <c r="L820" s="269"/>
      <c r="M820" s="269"/>
      <c r="N820" s="269"/>
      <c r="O820" s="269"/>
      <c r="P820" s="269"/>
      <c r="Q820" s="269"/>
      <c r="R820" s="269"/>
      <c r="S820" s="269"/>
      <c r="T820" s="269"/>
      <c r="U820" s="269"/>
      <c r="V820" s="269"/>
      <c r="W820" s="269"/>
      <c r="X820" s="269"/>
      <c r="Y820" s="269"/>
      <c r="Z820" s="269"/>
    </row>
    <row r="821">
      <c r="A821" s="269"/>
      <c r="B821" s="269"/>
      <c r="C821" s="269"/>
      <c r="D821" s="269"/>
      <c r="E821" s="269"/>
      <c r="F821" s="269"/>
      <c r="G821" s="269"/>
      <c r="H821" s="269"/>
      <c r="I821" s="269"/>
      <c r="J821" s="269"/>
      <c r="K821" s="269"/>
      <c r="L821" s="269"/>
      <c r="M821" s="269"/>
      <c r="N821" s="269"/>
      <c r="O821" s="269"/>
      <c r="P821" s="269"/>
      <c r="Q821" s="269"/>
      <c r="R821" s="269"/>
      <c r="S821" s="269"/>
      <c r="T821" s="269"/>
      <c r="U821" s="269"/>
      <c r="V821" s="269"/>
      <c r="W821" s="269"/>
      <c r="X821" s="269"/>
      <c r="Y821" s="269"/>
      <c r="Z821" s="269"/>
    </row>
    <row r="822">
      <c r="A822" s="269"/>
      <c r="B822" s="269"/>
      <c r="C822" s="269"/>
      <c r="D822" s="269"/>
      <c r="E822" s="269"/>
      <c r="F822" s="269"/>
      <c r="G822" s="269"/>
      <c r="H822" s="269"/>
      <c r="I822" s="269"/>
      <c r="J822" s="269"/>
      <c r="K822" s="269"/>
      <c r="L822" s="269"/>
      <c r="M822" s="269"/>
      <c r="N822" s="269"/>
      <c r="O822" s="269"/>
      <c r="P822" s="269"/>
      <c r="Q822" s="269"/>
      <c r="R822" s="269"/>
      <c r="S822" s="269"/>
      <c r="T822" s="269"/>
      <c r="U822" s="269"/>
      <c r="V822" s="269"/>
      <c r="W822" s="269"/>
      <c r="X822" s="269"/>
      <c r="Y822" s="269"/>
      <c r="Z822" s="269"/>
    </row>
    <row r="823">
      <c r="A823" s="269"/>
      <c r="B823" s="269"/>
      <c r="C823" s="269"/>
      <c r="D823" s="269"/>
      <c r="E823" s="269"/>
      <c r="F823" s="269"/>
      <c r="G823" s="269"/>
      <c r="H823" s="269"/>
      <c r="I823" s="269"/>
      <c r="J823" s="269"/>
      <c r="K823" s="269"/>
      <c r="L823" s="269"/>
      <c r="M823" s="269"/>
      <c r="N823" s="269"/>
      <c r="O823" s="269"/>
      <c r="P823" s="269"/>
      <c r="Q823" s="269"/>
      <c r="R823" s="269"/>
      <c r="S823" s="269"/>
      <c r="T823" s="269"/>
      <c r="U823" s="269"/>
      <c r="V823" s="269"/>
      <c r="W823" s="269"/>
      <c r="X823" s="269"/>
      <c r="Y823" s="269"/>
      <c r="Z823" s="269"/>
    </row>
    <row r="824">
      <c r="A824" s="269"/>
      <c r="B824" s="269"/>
      <c r="C824" s="269"/>
      <c r="D824" s="269"/>
      <c r="E824" s="269"/>
      <c r="F824" s="269"/>
      <c r="G824" s="269"/>
      <c r="H824" s="269"/>
      <c r="I824" s="269"/>
      <c r="J824" s="269"/>
      <c r="K824" s="269"/>
      <c r="L824" s="269"/>
      <c r="M824" s="269"/>
      <c r="N824" s="269"/>
      <c r="O824" s="269"/>
      <c r="P824" s="269"/>
      <c r="Q824" s="269"/>
      <c r="R824" s="269"/>
      <c r="S824" s="269"/>
      <c r="T824" s="269"/>
      <c r="U824" s="269"/>
      <c r="V824" s="269"/>
      <c r="W824" s="269"/>
      <c r="X824" s="269"/>
      <c r="Y824" s="269"/>
      <c r="Z824" s="269"/>
    </row>
    <row r="825">
      <c r="A825" s="269"/>
      <c r="B825" s="269"/>
      <c r="C825" s="269"/>
      <c r="D825" s="269"/>
      <c r="E825" s="269"/>
      <c r="F825" s="269"/>
      <c r="G825" s="269"/>
      <c r="H825" s="269"/>
      <c r="I825" s="269"/>
      <c r="J825" s="269"/>
      <c r="K825" s="269"/>
      <c r="L825" s="269"/>
      <c r="M825" s="269"/>
      <c r="N825" s="269"/>
      <c r="O825" s="269"/>
      <c r="P825" s="269"/>
      <c r="Q825" s="269"/>
      <c r="R825" s="269"/>
      <c r="S825" s="269"/>
      <c r="T825" s="269"/>
      <c r="U825" s="269"/>
      <c r="V825" s="269"/>
      <c r="W825" s="269"/>
      <c r="X825" s="269"/>
      <c r="Y825" s="269"/>
      <c r="Z825" s="269"/>
    </row>
    <row r="826">
      <c r="A826" s="269"/>
      <c r="B826" s="269"/>
      <c r="C826" s="269"/>
      <c r="D826" s="269"/>
      <c r="E826" s="269"/>
      <c r="F826" s="269"/>
      <c r="G826" s="269"/>
      <c r="H826" s="269"/>
      <c r="I826" s="269"/>
      <c r="J826" s="269"/>
      <c r="K826" s="269"/>
      <c r="L826" s="269"/>
      <c r="M826" s="269"/>
      <c r="N826" s="269"/>
      <c r="O826" s="269"/>
      <c r="P826" s="269"/>
      <c r="Q826" s="269"/>
      <c r="R826" s="269"/>
      <c r="S826" s="269"/>
      <c r="T826" s="269"/>
      <c r="U826" s="269"/>
      <c r="V826" s="269"/>
      <c r="W826" s="269"/>
      <c r="X826" s="269"/>
      <c r="Y826" s="269"/>
      <c r="Z826" s="269"/>
    </row>
    <row r="827">
      <c r="A827" s="269"/>
      <c r="B827" s="269"/>
      <c r="C827" s="269"/>
      <c r="D827" s="269"/>
      <c r="E827" s="269"/>
      <c r="F827" s="269"/>
      <c r="G827" s="269"/>
      <c r="H827" s="269"/>
      <c r="I827" s="269"/>
      <c r="J827" s="269"/>
      <c r="K827" s="269"/>
      <c r="L827" s="269"/>
      <c r="M827" s="269"/>
      <c r="N827" s="269"/>
      <c r="O827" s="269"/>
      <c r="P827" s="269"/>
      <c r="Q827" s="269"/>
      <c r="R827" s="269"/>
      <c r="S827" s="269"/>
      <c r="T827" s="269"/>
      <c r="U827" s="269"/>
      <c r="V827" s="269"/>
      <c r="W827" s="269"/>
      <c r="X827" s="269"/>
      <c r="Y827" s="269"/>
      <c r="Z827" s="269"/>
    </row>
    <row r="828">
      <c r="A828" s="269"/>
      <c r="B828" s="269"/>
      <c r="C828" s="269"/>
      <c r="D828" s="269"/>
      <c r="E828" s="269"/>
      <c r="F828" s="269"/>
      <c r="G828" s="269"/>
      <c r="H828" s="269"/>
      <c r="I828" s="269"/>
      <c r="J828" s="269"/>
      <c r="K828" s="269"/>
      <c r="L828" s="269"/>
      <c r="M828" s="269"/>
      <c r="N828" s="269"/>
      <c r="O828" s="269"/>
      <c r="P828" s="269"/>
      <c r="Q828" s="269"/>
      <c r="R828" s="269"/>
      <c r="S828" s="269"/>
      <c r="T828" s="269"/>
      <c r="U828" s="269"/>
      <c r="V828" s="269"/>
      <c r="W828" s="269"/>
      <c r="X828" s="269"/>
      <c r="Y828" s="269"/>
      <c r="Z828" s="269"/>
    </row>
    <row r="829">
      <c r="A829" s="269"/>
      <c r="B829" s="269"/>
      <c r="C829" s="269"/>
      <c r="D829" s="269"/>
      <c r="E829" s="269"/>
      <c r="F829" s="269"/>
      <c r="G829" s="269"/>
      <c r="H829" s="269"/>
      <c r="I829" s="269"/>
      <c r="J829" s="269"/>
      <c r="K829" s="269"/>
      <c r="L829" s="269"/>
      <c r="M829" s="269"/>
      <c r="N829" s="269"/>
      <c r="O829" s="269"/>
      <c r="P829" s="269"/>
      <c r="Q829" s="269"/>
      <c r="R829" s="269"/>
      <c r="S829" s="269"/>
      <c r="T829" s="269"/>
      <c r="U829" s="269"/>
      <c r="V829" s="269"/>
      <c r="W829" s="269"/>
      <c r="X829" s="269"/>
      <c r="Y829" s="269"/>
      <c r="Z829" s="269"/>
    </row>
    <row r="830">
      <c r="A830" s="269"/>
      <c r="B830" s="269"/>
      <c r="C830" s="269"/>
      <c r="D830" s="269"/>
      <c r="E830" s="269"/>
      <c r="F830" s="269"/>
      <c r="G830" s="269"/>
      <c r="H830" s="269"/>
      <c r="I830" s="269"/>
      <c r="J830" s="269"/>
      <c r="K830" s="269"/>
      <c r="L830" s="269"/>
      <c r="M830" s="269"/>
      <c r="N830" s="269"/>
      <c r="O830" s="269"/>
      <c r="P830" s="269"/>
      <c r="Q830" s="269"/>
      <c r="R830" s="269"/>
      <c r="S830" s="269"/>
      <c r="T830" s="269"/>
      <c r="U830" s="269"/>
      <c r="V830" s="269"/>
      <c r="W830" s="269"/>
      <c r="X830" s="269"/>
      <c r="Y830" s="269"/>
      <c r="Z830" s="269"/>
    </row>
    <row r="831">
      <c r="A831" s="269"/>
      <c r="B831" s="269"/>
      <c r="C831" s="269"/>
      <c r="D831" s="269"/>
      <c r="E831" s="269"/>
      <c r="F831" s="269"/>
      <c r="G831" s="269"/>
      <c r="H831" s="269"/>
      <c r="I831" s="269"/>
      <c r="J831" s="269"/>
      <c r="K831" s="269"/>
      <c r="L831" s="269"/>
      <c r="M831" s="269"/>
      <c r="N831" s="269"/>
      <c r="O831" s="269"/>
      <c r="P831" s="269"/>
      <c r="Q831" s="269"/>
      <c r="R831" s="269"/>
      <c r="S831" s="269"/>
      <c r="T831" s="269"/>
      <c r="U831" s="269"/>
      <c r="V831" s="269"/>
      <c r="W831" s="269"/>
      <c r="X831" s="269"/>
      <c r="Y831" s="269"/>
      <c r="Z831" s="269"/>
    </row>
    <row r="832">
      <c r="A832" s="269"/>
      <c r="B832" s="269"/>
      <c r="C832" s="269"/>
      <c r="D832" s="269"/>
      <c r="E832" s="269"/>
      <c r="F832" s="269"/>
      <c r="G832" s="269"/>
      <c r="H832" s="269"/>
      <c r="I832" s="269"/>
      <c r="J832" s="269"/>
      <c r="K832" s="269"/>
      <c r="L832" s="269"/>
      <c r="M832" s="269"/>
      <c r="N832" s="269"/>
      <c r="O832" s="269"/>
      <c r="P832" s="269"/>
      <c r="Q832" s="269"/>
      <c r="R832" s="269"/>
      <c r="S832" s="269"/>
      <c r="T832" s="269"/>
      <c r="U832" s="269"/>
      <c r="V832" s="269"/>
      <c r="W832" s="269"/>
      <c r="X832" s="269"/>
      <c r="Y832" s="269"/>
      <c r="Z832" s="269"/>
    </row>
    <row r="833">
      <c r="A833" s="269"/>
      <c r="B833" s="269"/>
      <c r="C833" s="269"/>
      <c r="D833" s="269"/>
      <c r="E833" s="269"/>
      <c r="F833" s="269"/>
      <c r="G833" s="269"/>
      <c r="H833" s="269"/>
      <c r="I833" s="269"/>
      <c r="J833" s="269"/>
      <c r="K833" s="269"/>
      <c r="L833" s="269"/>
      <c r="M833" s="269"/>
      <c r="N833" s="269"/>
      <c r="O833" s="269"/>
      <c r="P833" s="269"/>
      <c r="Q833" s="269"/>
      <c r="R833" s="269"/>
      <c r="S833" s="269"/>
      <c r="T833" s="269"/>
      <c r="U833" s="269"/>
      <c r="V833" s="269"/>
      <c r="W833" s="269"/>
      <c r="X833" s="269"/>
      <c r="Y833" s="269"/>
      <c r="Z833" s="269"/>
    </row>
    <row r="834">
      <c r="A834" s="269"/>
      <c r="B834" s="269"/>
      <c r="C834" s="269"/>
      <c r="D834" s="269"/>
      <c r="E834" s="269"/>
      <c r="F834" s="269"/>
      <c r="G834" s="269"/>
      <c r="H834" s="269"/>
      <c r="I834" s="269"/>
      <c r="J834" s="269"/>
      <c r="K834" s="269"/>
      <c r="L834" s="269"/>
      <c r="M834" s="269"/>
      <c r="N834" s="269"/>
      <c r="O834" s="269"/>
      <c r="P834" s="269"/>
      <c r="Q834" s="269"/>
      <c r="R834" s="269"/>
      <c r="S834" s="269"/>
      <c r="T834" s="269"/>
      <c r="U834" s="269"/>
      <c r="V834" s="269"/>
      <c r="W834" s="269"/>
      <c r="X834" s="269"/>
      <c r="Y834" s="269"/>
      <c r="Z834" s="269"/>
    </row>
    <row r="835">
      <c r="A835" s="269"/>
      <c r="B835" s="269"/>
      <c r="C835" s="269"/>
      <c r="D835" s="269"/>
      <c r="E835" s="269"/>
      <c r="F835" s="269"/>
      <c r="G835" s="269"/>
      <c r="H835" s="269"/>
      <c r="I835" s="269"/>
      <c r="J835" s="269"/>
      <c r="K835" s="269"/>
      <c r="L835" s="269"/>
      <c r="M835" s="269"/>
      <c r="N835" s="269"/>
      <c r="O835" s="269"/>
      <c r="P835" s="269"/>
      <c r="Q835" s="269"/>
      <c r="R835" s="269"/>
      <c r="S835" s="269"/>
      <c r="T835" s="269"/>
      <c r="U835" s="269"/>
      <c r="V835" s="269"/>
      <c r="W835" s="269"/>
      <c r="X835" s="269"/>
      <c r="Y835" s="269"/>
      <c r="Z835" s="269"/>
    </row>
    <row r="836">
      <c r="A836" s="269"/>
      <c r="B836" s="269"/>
      <c r="C836" s="269"/>
      <c r="D836" s="269"/>
      <c r="E836" s="269"/>
      <c r="F836" s="269"/>
      <c r="G836" s="269"/>
      <c r="H836" s="269"/>
      <c r="I836" s="269"/>
      <c r="J836" s="269"/>
      <c r="K836" s="269"/>
      <c r="L836" s="269"/>
      <c r="M836" s="269"/>
      <c r="N836" s="269"/>
      <c r="O836" s="269"/>
      <c r="P836" s="269"/>
      <c r="Q836" s="269"/>
      <c r="R836" s="269"/>
      <c r="S836" s="269"/>
      <c r="T836" s="269"/>
      <c r="U836" s="269"/>
      <c r="V836" s="269"/>
      <c r="W836" s="269"/>
      <c r="X836" s="269"/>
      <c r="Y836" s="269"/>
      <c r="Z836" s="269"/>
    </row>
    <row r="837">
      <c r="A837" s="269"/>
      <c r="B837" s="269"/>
      <c r="C837" s="269"/>
      <c r="D837" s="269"/>
      <c r="E837" s="269"/>
      <c r="F837" s="269"/>
      <c r="G837" s="269"/>
      <c r="H837" s="269"/>
      <c r="I837" s="269"/>
      <c r="J837" s="269"/>
      <c r="K837" s="269"/>
      <c r="L837" s="269"/>
      <c r="M837" s="269"/>
      <c r="N837" s="269"/>
      <c r="O837" s="269"/>
      <c r="P837" s="269"/>
      <c r="Q837" s="269"/>
      <c r="R837" s="269"/>
      <c r="S837" s="269"/>
      <c r="T837" s="269"/>
      <c r="U837" s="269"/>
      <c r="V837" s="269"/>
      <c r="W837" s="269"/>
      <c r="X837" s="269"/>
      <c r="Y837" s="269"/>
      <c r="Z837" s="269"/>
    </row>
    <row r="838">
      <c r="A838" s="269"/>
      <c r="B838" s="269"/>
      <c r="C838" s="269"/>
      <c r="D838" s="269"/>
      <c r="E838" s="269"/>
      <c r="F838" s="269"/>
      <c r="G838" s="269"/>
      <c r="H838" s="269"/>
      <c r="I838" s="269"/>
      <c r="J838" s="269"/>
      <c r="K838" s="269"/>
      <c r="L838" s="269"/>
      <c r="M838" s="269"/>
      <c r="N838" s="269"/>
      <c r="O838" s="269"/>
      <c r="P838" s="269"/>
      <c r="Q838" s="269"/>
      <c r="R838" s="269"/>
      <c r="S838" s="269"/>
      <c r="T838" s="269"/>
      <c r="U838" s="269"/>
      <c r="V838" s="269"/>
      <c r="W838" s="269"/>
      <c r="X838" s="269"/>
      <c r="Y838" s="269"/>
      <c r="Z838" s="269"/>
    </row>
    <row r="839">
      <c r="A839" s="269"/>
      <c r="B839" s="269"/>
      <c r="C839" s="269"/>
      <c r="D839" s="269"/>
      <c r="E839" s="269"/>
      <c r="F839" s="269"/>
      <c r="G839" s="269"/>
      <c r="H839" s="269"/>
      <c r="I839" s="269"/>
      <c r="J839" s="269"/>
      <c r="K839" s="269"/>
      <c r="L839" s="269"/>
      <c r="M839" s="269"/>
      <c r="N839" s="269"/>
      <c r="O839" s="269"/>
      <c r="P839" s="269"/>
      <c r="Q839" s="269"/>
      <c r="R839" s="269"/>
      <c r="S839" s="269"/>
      <c r="T839" s="269"/>
      <c r="U839" s="269"/>
      <c r="V839" s="269"/>
      <c r="W839" s="269"/>
      <c r="X839" s="269"/>
      <c r="Y839" s="269"/>
      <c r="Z839" s="269"/>
    </row>
    <row r="840">
      <c r="A840" s="269"/>
      <c r="B840" s="269"/>
      <c r="C840" s="269"/>
      <c r="D840" s="269"/>
      <c r="E840" s="269"/>
      <c r="F840" s="269"/>
      <c r="G840" s="269"/>
      <c r="H840" s="269"/>
      <c r="I840" s="269"/>
      <c r="J840" s="269"/>
      <c r="K840" s="269"/>
      <c r="L840" s="269"/>
      <c r="M840" s="269"/>
      <c r="N840" s="269"/>
      <c r="O840" s="269"/>
      <c r="P840" s="269"/>
      <c r="Q840" s="269"/>
      <c r="R840" s="269"/>
      <c r="S840" s="269"/>
      <c r="T840" s="269"/>
      <c r="U840" s="269"/>
      <c r="V840" s="269"/>
      <c r="W840" s="269"/>
      <c r="X840" s="269"/>
      <c r="Y840" s="269"/>
      <c r="Z840" s="269"/>
    </row>
    <row r="841">
      <c r="A841" s="269"/>
      <c r="B841" s="269"/>
      <c r="C841" s="269"/>
      <c r="D841" s="269"/>
      <c r="E841" s="269"/>
      <c r="F841" s="269"/>
      <c r="G841" s="269"/>
      <c r="H841" s="269"/>
      <c r="I841" s="269"/>
      <c r="J841" s="269"/>
      <c r="K841" s="269"/>
      <c r="L841" s="269"/>
      <c r="M841" s="269"/>
      <c r="N841" s="269"/>
      <c r="O841" s="269"/>
      <c r="P841" s="269"/>
      <c r="Q841" s="269"/>
      <c r="R841" s="269"/>
      <c r="S841" s="269"/>
      <c r="T841" s="269"/>
      <c r="U841" s="269"/>
      <c r="V841" s="269"/>
      <c r="W841" s="269"/>
      <c r="X841" s="269"/>
      <c r="Y841" s="269"/>
      <c r="Z841" s="269"/>
    </row>
    <row r="842">
      <c r="A842" s="269"/>
      <c r="B842" s="269"/>
      <c r="C842" s="269"/>
      <c r="D842" s="269"/>
      <c r="E842" s="269"/>
      <c r="F842" s="269"/>
      <c r="G842" s="269"/>
      <c r="H842" s="269"/>
      <c r="I842" s="269"/>
      <c r="J842" s="269"/>
      <c r="K842" s="269"/>
      <c r="L842" s="269"/>
      <c r="M842" s="269"/>
      <c r="N842" s="269"/>
      <c r="O842" s="269"/>
      <c r="P842" s="269"/>
      <c r="Q842" s="269"/>
      <c r="R842" s="269"/>
      <c r="S842" s="269"/>
      <c r="T842" s="269"/>
      <c r="U842" s="269"/>
      <c r="V842" s="269"/>
      <c r="W842" s="269"/>
      <c r="X842" s="269"/>
      <c r="Y842" s="269"/>
      <c r="Z842" s="269"/>
    </row>
    <row r="843">
      <c r="A843" s="269"/>
      <c r="B843" s="269"/>
      <c r="C843" s="269"/>
      <c r="D843" s="269"/>
      <c r="E843" s="269"/>
      <c r="F843" s="269"/>
      <c r="G843" s="269"/>
      <c r="H843" s="269"/>
      <c r="I843" s="269"/>
      <c r="J843" s="269"/>
      <c r="K843" s="269"/>
      <c r="L843" s="269"/>
      <c r="M843" s="269"/>
      <c r="N843" s="269"/>
      <c r="O843" s="269"/>
      <c r="P843" s="269"/>
      <c r="Q843" s="269"/>
      <c r="R843" s="269"/>
      <c r="S843" s="269"/>
      <c r="T843" s="269"/>
      <c r="U843" s="269"/>
      <c r="V843" s="269"/>
      <c r="W843" s="269"/>
      <c r="X843" s="269"/>
      <c r="Y843" s="269"/>
      <c r="Z843" s="269"/>
    </row>
    <row r="844">
      <c r="A844" s="269"/>
      <c r="B844" s="269"/>
      <c r="C844" s="269"/>
      <c r="D844" s="269"/>
      <c r="E844" s="269"/>
      <c r="F844" s="269"/>
      <c r="G844" s="269"/>
      <c r="H844" s="269"/>
      <c r="I844" s="269"/>
      <c r="J844" s="269"/>
      <c r="K844" s="269"/>
      <c r="L844" s="269"/>
      <c r="M844" s="269"/>
      <c r="N844" s="269"/>
      <c r="O844" s="269"/>
      <c r="P844" s="269"/>
      <c r="Q844" s="269"/>
      <c r="R844" s="269"/>
      <c r="S844" s="269"/>
      <c r="T844" s="269"/>
      <c r="U844" s="269"/>
      <c r="V844" s="269"/>
      <c r="W844" s="269"/>
      <c r="X844" s="269"/>
      <c r="Y844" s="269"/>
      <c r="Z844" s="269"/>
    </row>
    <row r="845">
      <c r="A845" s="269"/>
      <c r="B845" s="269"/>
      <c r="C845" s="269"/>
      <c r="D845" s="269"/>
      <c r="E845" s="269"/>
      <c r="F845" s="269"/>
      <c r="G845" s="269"/>
      <c r="H845" s="269"/>
      <c r="I845" s="269"/>
      <c r="J845" s="269"/>
      <c r="K845" s="269"/>
      <c r="L845" s="269"/>
      <c r="M845" s="269"/>
      <c r="N845" s="269"/>
      <c r="O845" s="269"/>
      <c r="P845" s="269"/>
      <c r="Q845" s="269"/>
      <c r="R845" s="269"/>
      <c r="S845" s="269"/>
      <c r="T845" s="269"/>
      <c r="U845" s="269"/>
      <c r="V845" s="269"/>
      <c r="W845" s="269"/>
      <c r="X845" s="269"/>
      <c r="Y845" s="269"/>
      <c r="Z845" s="269"/>
    </row>
    <row r="846">
      <c r="A846" s="269"/>
      <c r="B846" s="269"/>
      <c r="C846" s="269"/>
      <c r="D846" s="269"/>
      <c r="E846" s="269"/>
      <c r="F846" s="269"/>
      <c r="G846" s="269"/>
      <c r="H846" s="269"/>
      <c r="I846" s="269"/>
      <c r="J846" s="269"/>
      <c r="K846" s="269"/>
      <c r="L846" s="269"/>
      <c r="M846" s="269"/>
      <c r="N846" s="269"/>
      <c r="O846" s="269"/>
      <c r="P846" s="269"/>
      <c r="Q846" s="269"/>
      <c r="R846" s="269"/>
      <c r="S846" s="269"/>
      <c r="T846" s="269"/>
      <c r="U846" s="269"/>
      <c r="V846" s="269"/>
      <c r="W846" s="269"/>
      <c r="X846" s="269"/>
      <c r="Y846" s="269"/>
      <c r="Z846" s="269"/>
    </row>
    <row r="847">
      <c r="A847" s="269"/>
      <c r="B847" s="269"/>
      <c r="C847" s="269"/>
      <c r="D847" s="269"/>
      <c r="E847" s="269"/>
      <c r="F847" s="269"/>
      <c r="G847" s="269"/>
      <c r="H847" s="269"/>
      <c r="I847" s="269"/>
      <c r="J847" s="269"/>
      <c r="K847" s="269"/>
      <c r="L847" s="269"/>
      <c r="M847" s="269"/>
      <c r="N847" s="269"/>
      <c r="O847" s="269"/>
      <c r="P847" s="269"/>
      <c r="Q847" s="269"/>
      <c r="R847" s="269"/>
      <c r="S847" s="269"/>
      <c r="T847" s="269"/>
      <c r="U847" s="269"/>
      <c r="V847" s="269"/>
      <c r="W847" s="269"/>
      <c r="X847" s="269"/>
      <c r="Y847" s="269"/>
      <c r="Z847" s="269"/>
    </row>
    <row r="848">
      <c r="A848" s="269"/>
      <c r="B848" s="269"/>
      <c r="C848" s="269"/>
      <c r="D848" s="269"/>
      <c r="E848" s="269"/>
      <c r="F848" s="269"/>
      <c r="G848" s="269"/>
      <c r="H848" s="269"/>
      <c r="I848" s="269"/>
      <c r="J848" s="269"/>
      <c r="K848" s="269"/>
      <c r="L848" s="269"/>
      <c r="M848" s="269"/>
      <c r="N848" s="269"/>
      <c r="O848" s="269"/>
      <c r="P848" s="269"/>
      <c r="Q848" s="269"/>
      <c r="R848" s="269"/>
      <c r="S848" s="269"/>
      <c r="T848" s="269"/>
      <c r="U848" s="269"/>
      <c r="V848" s="269"/>
      <c r="W848" s="269"/>
      <c r="X848" s="269"/>
      <c r="Y848" s="269"/>
      <c r="Z848" s="269"/>
    </row>
    <row r="849">
      <c r="A849" s="269"/>
      <c r="B849" s="269"/>
      <c r="C849" s="269"/>
      <c r="D849" s="269"/>
      <c r="E849" s="269"/>
      <c r="F849" s="269"/>
      <c r="G849" s="269"/>
      <c r="H849" s="269"/>
      <c r="I849" s="269"/>
      <c r="J849" s="269"/>
      <c r="K849" s="269"/>
      <c r="L849" s="269"/>
      <c r="M849" s="269"/>
      <c r="N849" s="269"/>
      <c r="O849" s="269"/>
      <c r="P849" s="269"/>
      <c r="Q849" s="269"/>
      <c r="R849" s="269"/>
      <c r="S849" s="269"/>
      <c r="T849" s="269"/>
      <c r="U849" s="269"/>
      <c r="V849" s="269"/>
      <c r="W849" s="269"/>
      <c r="X849" s="269"/>
      <c r="Y849" s="269"/>
      <c r="Z849" s="269"/>
    </row>
    <row r="850">
      <c r="A850" s="269"/>
      <c r="B850" s="269"/>
      <c r="C850" s="269"/>
      <c r="D850" s="269"/>
      <c r="E850" s="269"/>
      <c r="F850" s="269"/>
      <c r="G850" s="269"/>
      <c r="H850" s="269"/>
      <c r="I850" s="269"/>
      <c r="J850" s="269"/>
      <c r="K850" s="269"/>
      <c r="L850" s="269"/>
      <c r="M850" s="269"/>
      <c r="N850" s="269"/>
      <c r="O850" s="269"/>
      <c r="P850" s="269"/>
      <c r="Q850" s="269"/>
      <c r="R850" s="269"/>
      <c r="S850" s="269"/>
      <c r="T850" s="269"/>
      <c r="U850" s="269"/>
      <c r="V850" s="269"/>
      <c r="W850" s="269"/>
      <c r="X850" s="269"/>
      <c r="Y850" s="269"/>
      <c r="Z850" s="269"/>
    </row>
    <row r="851">
      <c r="A851" s="269"/>
      <c r="B851" s="269"/>
      <c r="C851" s="269"/>
      <c r="D851" s="269"/>
      <c r="E851" s="269"/>
      <c r="F851" s="269"/>
      <c r="G851" s="269"/>
      <c r="H851" s="269"/>
      <c r="I851" s="269"/>
      <c r="J851" s="269"/>
      <c r="K851" s="269"/>
      <c r="L851" s="269"/>
      <c r="M851" s="269"/>
      <c r="N851" s="269"/>
      <c r="O851" s="269"/>
      <c r="P851" s="269"/>
      <c r="Q851" s="269"/>
      <c r="R851" s="269"/>
      <c r="S851" s="269"/>
      <c r="T851" s="269"/>
      <c r="U851" s="269"/>
      <c r="V851" s="269"/>
      <c r="W851" s="269"/>
      <c r="X851" s="269"/>
      <c r="Y851" s="269"/>
      <c r="Z851" s="269"/>
    </row>
    <row r="852">
      <c r="A852" s="269"/>
      <c r="B852" s="269"/>
      <c r="C852" s="269"/>
      <c r="D852" s="269"/>
      <c r="E852" s="269"/>
      <c r="F852" s="269"/>
      <c r="G852" s="269"/>
      <c r="H852" s="269"/>
      <c r="I852" s="269"/>
      <c r="J852" s="269"/>
      <c r="K852" s="269"/>
      <c r="L852" s="269"/>
      <c r="M852" s="269"/>
      <c r="N852" s="269"/>
      <c r="O852" s="269"/>
      <c r="P852" s="269"/>
      <c r="Q852" s="269"/>
      <c r="R852" s="269"/>
      <c r="S852" s="269"/>
      <c r="T852" s="269"/>
      <c r="U852" s="269"/>
      <c r="V852" s="269"/>
      <c r="W852" s="269"/>
      <c r="X852" s="269"/>
      <c r="Y852" s="269"/>
      <c r="Z852" s="269"/>
    </row>
    <row r="853">
      <c r="A853" s="269"/>
      <c r="B853" s="269"/>
      <c r="C853" s="269"/>
      <c r="D853" s="269"/>
      <c r="E853" s="269"/>
      <c r="F853" s="269"/>
      <c r="G853" s="269"/>
      <c r="H853" s="269"/>
      <c r="I853" s="269"/>
      <c r="J853" s="269"/>
      <c r="K853" s="269"/>
      <c r="L853" s="269"/>
      <c r="M853" s="269"/>
      <c r="N853" s="269"/>
      <c r="O853" s="269"/>
      <c r="P853" s="269"/>
      <c r="Q853" s="269"/>
      <c r="R853" s="269"/>
      <c r="S853" s="269"/>
      <c r="T853" s="269"/>
      <c r="U853" s="269"/>
      <c r="V853" s="269"/>
      <c r="W853" s="269"/>
      <c r="X853" s="269"/>
      <c r="Y853" s="269"/>
      <c r="Z853" s="269"/>
    </row>
    <row r="854">
      <c r="A854" s="269"/>
      <c r="B854" s="269"/>
      <c r="C854" s="269"/>
      <c r="D854" s="269"/>
      <c r="E854" s="269"/>
      <c r="F854" s="269"/>
      <c r="G854" s="269"/>
      <c r="H854" s="269"/>
      <c r="I854" s="269"/>
      <c r="J854" s="269"/>
      <c r="K854" s="269"/>
      <c r="L854" s="269"/>
      <c r="M854" s="269"/>
      <c r="N854" s="269"/>
      <c r="O854" s="269"/>
      <c r="P854" s="269"/>
      <c r="Q854" s="269"/>
      <c r="R854" s="269"/>
      <c r="S854" s="269"/>
      <c r="T854" s="269"/>
      <c r="U854" s="269"/>
      <c r="V854" s="269"/>
      <c r="W854" s="269"/>
      <c r="X854" s="269"/>
      <c r="Y854" s="269"/>
      <c r="Z854" s="269"/>
    </row>
    <row r="855">
      <c r="A855" s="269"/>
      <c r="B855" s="269"/>
      <c r="C855" s="269"/>
      <c r="D855" s="269"/>
      <c r="E855" s="269"/>
      <c r="F855" s="269"/>
      <c r="G855" s="269"/>
      <c r="H855" s="269"/>
      <c r="I855" s="269"/>
      <c r="J855" s="269"/>
      <c r="K855" s="269"/>
      <c r="L855" s="269"/>
      <c r="M855" s="269"/>
      <c r="N855" s="269"/>
      <c r="O855" s="269"/>
      <c r="P855" s="269"/>
      <c r="Q855" s="269"/>
      <c r="R855" s="269"/>
      <c r="S855" s="269"/>
      <c r="T855" s="269"/>
      <c r="U855" s="269"/>
      <c r="V855" s="269"/>
      <c r="W855" s="269"/>
      <c r="X855" s="269"/>
      <c r="Y855" s="269"/>
      <c r="Z855" s="269"/>
    </row>
    <row r="856">
      <c r="A856" s="269"/>
      <c r="B856" s="269"/>
      <c r="C856" s="269"/>
      <c r="D856" s="269"/>
      <c r="E856" s="269"/>
      <c r="F856" s="269"/>
      <c r="G856" s="269"/>
      <c r="H856" s="269"/>
      <c r="I856" s="269"/>
      <c r="J856" s="269"/>
      <c r="K856" s="269"/>
      <c r="L856" s="269"/>
      <c r="M856" s="269"/>
      <c r="N856" s="269"/>
      <c r="O856" s="269"/>
      <c r="P856" s="269"/>
      <c r="Q856" s="269"/>
      <c r="R856" s="269"/>
      <c r="S856" s="269"/>
      <c r="T856" s="269"/>
      <c r="U856" s="269"/>
      <c r="V856" s="269"/>
      <c r="W856" s="269"/>
      <c r="X856" s="269"/>
      <c r="Y856" s="269"/>
      <c r="Z856" s="269"/>
    </row>
    <row r="857">
      <c r="A857" s="269"/>
      <c r="B857" s="269"/>
      <c r="C857" s="269"/>
      <c r="D857" s="269"/>
      <c r="E857" s="269"/>
      <c r="F857" s="269"/>
      <c r="G857" s="269"/>
      <c r="H857" s="269"/>
      <c r="I857" s="269"/>
      <c r="J857" s="269"/>
      <c r="K857" s="269"/>
      <c r="L857" s="269"/>
      <c r="M857" s="269"/>
      <c r="N857" s="269"/>
      <c r="O857" s="269"/>
      <c r="P857" s="269"/>
      <c r="Q857" s="269"/>
      <c r="R857" s="269"/>
      <c r="S857" s="269"/>
      <c r="T857" s="269"/>
      <c r="U857" s="269"/>
      <c r="V857" s="269"/>
      <c r="W857" s="269"/>
      <c r="X857" s="269"/>
      <c r="Y857" s="269"/>
      <c r="Z857" s="269"/>
    </row>
    <row r="858">
      <c r="A858" s="269"/>
      <c r="B858" s="269"/>
      <c r="C858" s="269"/>
      <c r="D858" s="269"/>
      <c r="E858" s="269"/>
      <c r="F858" s="269"/>
      <c r="G858" s="269"/>
      <c r="H858" s="269"/>
      <c r="I858" s="269"/>
      <c r="J858" s="269"/>
      <c r="K858" s="269"/>
      <c r="L858" s="269"/>
      <c r="M858" s="269"/>
      <c r="N858" s="269"/>
      <c r="O858" s="269"/>
      <c r="P858" s="269"/>
      <c r="Q858" s="269"/>
      <c r="R858" s="269"/>
      <c r="S858" s="269"/>
      <c r="T858" s="269"/>
      <c r="U858" s="269"/>
      <c r="V858" s="269"/>
      <c r="W858" s="269"/>
      <c r="X858" s="269"/>
      <c r="Y858" s="269"/>
      <c r="Z858" s="269"/>
    </row>
    <row r="859">
      <c r="A859" s="269"/>
      <c r="B859" s="269"/>
      <c r="C859" s="269"/>
      <c r="D859" s="269"/>
      <c r="E859" s="269"/>
      <c r="F859" s="269"/>
      <c r="G859" s="269"/>
      <c r="H859" s="269"/>
      <c r="I859" s="269"/>
      <c r="J859" s="269"/>
      <c r="K859" s="269"/>
      <c r="L859" s="269"/>
      <c r="M859" s="269"/>
      <c r="N859" s="269"/>
      <c r="O859" s="269"/>
      <c r="P859" s="269"/>
      <c r="Q859" s="269"/>
      <c r="R859" s="269"/>
      <c r="S859" s="269"/>
      <c r="T859" s="269"/>
      <c r="U859" s="269"/>
      <c r="V859" s="269"/>
      <c r="W859" s="269"/>
      <c r="X859" s="269"/>
      <c r="Y859" s="269"/>
      <c r="Z859" s="269"/>
    </row>
    <row r="860">
      <c r="A860" s="269"/>
      <c r="B860" s="269"/>
      <c r="C860" s="269"/>
      <c r="D860" s="269"/>
      <c r="E860" s="269"/>
      <c r="F860" s="269"/>
      <c r="G860" s="269"/>
      <c r="H860" s="269"/>
      <c r="I860" s="269"/>
      <c r="J860" s="269"/>
      <c r="K860" s="269"/>
      <c r="L860" s="269"/>
      <c r="M860" s="269"/>
      <c r="N860" s="269"/>
      <c r="O860" s="269"/>
      <c r="P860" s="269"/>
      <c r="Q860" s="269"/>
      <c r="R860" s="269"/>
      <c r="S860" s="269"/>
      <c r="T860" s="269"/>
      <c r="U860" s="269"/>
      <c r="V860" s="269"/>
      <c r="W860" s="269"/>
      <c r="X860" s="269"/>
      <c r="Y860" s="269"/>
      <c r="Z860" s="269"/>
    </row>
    <row r="861">
      <c r="A861" s="269"/>
      <c r="B861" s="269"/>
      <c r="C861" s="269"/>
      <c r="D861" s="269"/>
      <c r="E861" s="269"/>
      <c r="F861" s="269"/>
      <c r="G861" s="269"/>
      <c r="H861" s="269"/>
      <c r="I861" s="269"/>
      <c r="J861" s="269"/>
      <c r="K861" s="269"/>
      <c r="L861" s="269"/>
      <c r="M861" s="269"/>
      <c r="N861" s="269"/>
      <c r="O861" s="269"/>
      <c r="P861" s="269"/>
      <c r="Q861" s="269"/>
      <c r="R861" s="269"/>
      <c r="S861" s="269"/>
      <c r="T861" s="269"/>
      <c r="U861" s="269"/>
      <c r="V861" s="269"/>
      <c r="W861" s="269"/>
      <c r="X861" s="269"/>
      <c r="Y861" s="269"/>
      <c r="Z861" s="269"/>
    </row>
    <row r="862">
      <c r="A862" s="269"/>
      <c r="B862" s="269"/>
      <c r="C862" s="269"/>
      <c r="D862" s="269"/>
      <c r="E862" s="269"/>
      <c r="F862" s="269"/>
      <c r="G862" s="269"/>
      <c r="H862" s="269"/>
      <c r="I862" s="269"/>
      <c r="J862" s="269"/>
      <c r="K862" s="269"/>
      <c r="L862" s="269"/>
      <c r="M862" s="269"/>
      <c r="N862" s="269"/>
      <c r="O862" s="269"/>
      <c r="P862" s="269"/>
      <c r="Q862" s="269"/>
      <c r="R862" s="269"/>
      <c r="S862" s="269"/>
      <c r="T862" s="269"/>
      <c r="U862" s="269"/>
      <c r="V862" s="269"/>
      <c r="W862" s="269"/>
      <c r="X862" s="269"/>
      <c r="Y862" s="269"/>
      <c r="Z862" s="269"/>
    </row>
    <row r="863">
      <c r="A863" s="269"/>
      <c r="B863" s="269"/>
      <c r="C863" s="269"/>
      <c r="D863" s="269"/>
      <c r="E863" s="269"/>
      <c r="F863" s="269"/>
      <c r="G863" s="269"/>
      <c r="H863" s="269"/>
      <c r="I863" s="269"/>
      <c r="J863" s="269"/>
      <c r="K863" s="269"/>
      <c r="L863" s="269"/>
      <c r="M863" s="269"/>
      <c r="N863" s="269"/>
      <c r="O863" s="269"/>
      <c r="P863" s="269"/>
      <c r="Q863" s="269"/>
      <c r="R863" s="269"/>
      <c r="S863" s="269"/>
      <c r="T863" s="269"/>
      <c r="U863" s="269"/>
      <c r="V863" s="269"/>
      <c r="W863" s="269"/>
      <c r="X863" s="269"/>
      <c r="Y863" s="269"/>
      <c r="Z863" s="269"/>
    </row>
    <row r="864">
      <c r="A864" s="269"/>
      <c r="B864" s="269"/>
      <c r="C864" s="269"/>
      <c r="D864" s="269"/>
      <c r="E864" s="269"/>
      <c r="F864" s="269"/>
      <c r="G864" s="269"/>
      <c r="H864" s="269"/>
      <c r="I864" s="269"/>
      <c r="J864" s="269"/>
      <c r="K864" s="269"/>
      <c r="L864" s="269"/>
      <c r="M864" s="269"/>
      <c r="N864" s="269"/>
      <c r="O864" s="269"/>
      <c r="P864" s="269"/>
      <c r="Q864" s="269"/>
      <c r="R864" s="269"/>
      <c r="S864" s="269"/>
      <c r="T864" s="269"/>
      <c r="U864" s="269"/>
      <c r="V864" s="269"/>
      <c r="W864" s="269"/>
      <c r="X864" s="269"/>
      <c r="Y864" s="269"/>
      <c r="Z864" s="269"/>
    </row>
    <row r="865">
      <c r="A865" s="269"/>
      <c r="B865" s="269"/>
      <c r="C865" s="269"/>
      <c r="D865" s="269"/>
      <c r="E865" s="269"/>
      <c r="F865" s="269"/>
      <c r="G865" s="269"/>
      <c r="H865" s="269"/>
      <c r="I865" s="269"/>
      <c r="J865" s="269"/>
      <c r="K865" s="269"/>
      <c r="L865" s="269"/>
      <c r="M865" s="269"/>
      <c r="N865" s="269"/>
      <c r="O865" s="269"/>
      <c r="P865" s="269"/>
      <c r="Q865" s="269"/>
      <c r="R865" s="269"/>
      <c r="S865" s="269"/>
      <c r="T865" s="269"/>
      <c r="U865" s="269"/>
      <c r="V865" s="269"/>
      <c r="W865" s="269"/>
      <c r="X865" s="269"/>
      <c r="Y865" s="269"/>
      <c r="Z865" s="269"/>
    </row>
    <row r="866">
      <c r="A866" s="269"/>
      <c r="B866" s="269"/>
      <c r="C866" s="269"/>
      <c r="D866" s="269"/>
      <c r="E866" s="269"/>
      <c r="F866" s="269"/>
      <c r="G866" s="269"/>
      <c r="H866" s="269"/>
      <c r="I866" s="269"/>
      <c r="J866" s="269"/>
      <c r="K866" s="269"/>
      <c r="L866" s="269"/>
      <c r="M866" s="269"/>
      <c r="N866" s="269"/>
      <c r="O866" s="269"/>
      <c r="P866" s="269"/>
      <c r="Q866" s="269"/>
      <c r="R866" s="269"/>
      <c r="S866" s="269"/>
      <c r="T866" s="269"/>
      <c r="U866" s="269"/>
      <c r="V866" s="269"/>
      <c r="W866" s="269"/>
      <c r="X866" s="269"/>
      <c r="Y866" s="269"/>
      <c r="Z866" s="269"/>
    </row>
    <row r="867">
      <c r="A867" s="269"/>
      <c r="B867" s="269"/>
      <c r="C867" s="269"/>
      <c r="D867" s="269"/>
      <c r="E867" s="269"/>
      <c r="F867" s="269"/>
      <c r="G867" s="269"/>
      <c r="H867" s="269"/>
      <c r="I867" s="269"/>
      <c r="J867" s="269"/>
      <c r="K867" s="269"/>
      <c r="L867" s="269"/>
      <c r="M867" s="269"/>
      <c r="N867" s="269"/>
      <c r="O867" s="269"/>
      <c r="P867" s="269"/>
      <c r="Q867" s="269"/>
      <c r="R867" s="269"/>
      <c r="S867" s="269"/>
      <c r="T867" s="269"/>
      <c r="U867" s="269"/>
      <c r="V867" s="269"/>
      <c r="W867" s="269"/>
      <c r="X867" s="269"/>
      <c r="Y867" s="269"/>
      <c r="Z867" s="269"/>
    </row>
    <row r="868">
      <c r="A868" s="269"/>
      <c r="B868" s="269"/>
      <c r="C868" s="269"/>
      <c r="D868" s="269"/>
      <c r="E868" s="269"/>
      <c r="F868" s="269"/>
      <c r="G868" s="269"/>
      <c r="H868" s="269"/>
      <c r="I868" s="269"/>
      <c r="J868" s="269"/>
      <c r="K868" s="269"/>
      <c r="L868" s="269"/>
      <c r="M868" s="269"/>
      <c r="N868" s="269"/>
      <c r="O868" s="269"/>
      <c r="P868" s="269"/>
      <c r="Q868" s="269"/>
      <c r="R868" s="269"/>
      <c r="S868" s="269"/>
      <c r="T868" s="269"/>
      <c r="U868" s="269"/>
      <c r="V868" s="269"/>
      <c r="W868" s="269"/>
      <c r="X868" s="269"/>
      <c r="Y868" s="269"/>
      <c r="Z868" s="269"/>
    </row>
    <row r="869">
      <c r="A869" s="269"/>
      <c r="B869" s="269"/>
      <c r="C869" s="269"/>
      <c r="D869" s="269"/>
      <c r="E869" s="269"/>
      <c r="F869" s="269"/>
      <c r="G869" s="269"/>
      <c r="H869" s="269"/>
      <c r="I869" s="269"/>
      <c r="J869" s="269"/>
      <c r="K869" s="269"/>
      <c r="L869" s="269"/>
      <c r="M869" s="269"/>
      <c r="N869" s="269"/>
      <c r="O869" s="269"/>
      <c r="P869" s="269"/>
      <c r="Q869" s="269"/>
      <c r="R869" s="269"/>
      <c r="S869" s="269"/>
      <c r="T869" s="269"/>
      <c r="U869" s="269"/>
      <c r="V869" s="269"/>
      <c r="W869" s="269"/>
      <c r="X869" s="269"/>
      <c r="Y869" s="269"/>
      <c r="Z869" s="269"/>
    </row>
    <row r="870">
      <c r="A870" s="269"/>
      <c r="B870" s="269"/>
      <c r="C870" s="269"/>
      <c r="D870" s="269"/>
      <c r="E870" s="269"/>
      <c r="F870" s="269"/>
      <c r="G870" s="269"/>
      <c r="H870" s="269"/>
      <c r="I870" s="269"/>
      <c r="J870" s="269"/>
      <c r="K870" s="269"/>
      <c r="L870" s="269"/>
      <c r="M870" s="269"/>
      <c r="N870" s="269"/>
      <c r="O870" s="269"/>
      <c r="P870" s="269"/>
      <c r="Q870" s="269"/>
      <c r="R870" s="269"/>
      <c r="S870" s="269"/>
      <c r="T870" s="269"/>
      <c r="U870" s="269"/>
      <c r="V870" s="269"/>
      <c r="W870" s="269"/>
      <c r="X870" s="269"/>
      <c r="Y870" s="269"/>
      <c r="Z870" s="269"/>
    </row>
    <row r="871">
      <c r="A871" s="269"/>
      <c r="B871" s="269"/>
      <c r="C871" s="269"/>
      <c r="D871" s="269"/>
      <c r="E871" s="269"/>
      <c r="F871" s="269"/>
      <c r="G871" s="269"/>
      <c r="H871" s="269"/>
      <c r="I871" s="269"/>
      <c r="J871" s="269"/>
      <c r="K871" s="269"/>
      <c r="L871" s="269"/>
      <c r="M871" s="269"/>
      <c r="N871" s="269"/>
      <c r="O871" s="269"/>
      <c r="P871" s="269"/>
      <c r="Q871" s="269"/>
      <c r="R871" s="269"/>
      <c r="S871" s="269"/>
      <c r="T871" s="269"/>
      <c r="U871" s="269"/>
      <c r="V871" s="269"/>
      <c r="W871" s="269"/>
      <c r="X871" s="269"/>
      <c r="Y871" s="269"/>
      <c r="Z871" s="269"/>
    </row>
    <row r="872">
      <c r="A872" s="269"/>
      <c r="B872" s="269"/>
      <c r="C872" s="269"/>
      <c r="D872" s="269"/>
      <c r="E872" s="269"/>
      <c r="F872" s="269"/>
      <c r="G872" s="269"/>
      <c r="H872" s="269"/>
      <c r="I872" s="269"/>
      <c r="J872" s="269"/>
      <c r="K872" s="269"/>
      <c r="L872" s="269"/>
      <c r="M872" s="269"/>
      <c r="N872" s="269"/>
      <c r="O872" s="269"/>
      <c r="P872" s="269"/>
      <c r="Q872" s="269"/>
      <c r="R872" s="269"/>
      <c r="S872" s="269"/>
      <c r="T872" s="269"/>
      <c r="U872" s="269"/>
      <c r="V872" s="269"/>
      <c r="W872" s="269"/>
      <c r="X872" s="269"/>
      <c r="Y872" s="269"/>
      <c r="Z872" s="269"/>
    </row>
    <row r="873">
      <c r="A873" s="269"/>
      <c r="B873" s="269"/>
      <c r="C873" s="269"/>
      <c r="D873" s="269"/>
      <c r="E873" s="269"/>
      <c r="F873" s="269"/>
      <c r="G873" s="269"/>
      <c r="H873" s="269"/>
      <c r="I873" s="269"/>
      <c r="J873" s="269"/>
      <c r="K873" s="269"/>
      <c r="L873" s="269"/>
      <c r="M873" s="269"/>
      <c r="N873" s="269"/>
      <c r="O873" s="269"/>
      <c r="P873" s="269"/>
      <c r="Q873" s="269"/>
      <c r="R873" s="269"/>
      <c r="S873" s="269"/>
      <c r="T873" s="269"/>
      <c r="U873" s="269"/>
      <c r="V873" s="269"/>
      <c r="W873" s="269"/>
      <c r="X873" s="269"/>
      <c r="Y873" s="269"/>
      <c r="Z873" s="269"/>
    </row>
    <row r="874">
      <c r="A874" s="269"/>
      <c r="B874" s="269"/>
      <c r="C874" s="269"/>
      <c r="D874" s="269"/>
      <c r="E874" s="269"/>
      <c r="F874" s="269"/>
      <c r="G874" s="269"/>
      <c r="H874" s="269"/>
      <c r="I874" s="269"/>
      <c r="J874" s="269"/>
      <c r="K874" s="269"/>
      <c r="L874" s="269"/>
      <c r="M874" s="269"/>
      <c r="N874" s="269"/>
      <c r="O874" s="269"/>
      <c r="P874" s="269"/>
      <c r="Q874" s="269"/>
      <c r="R874" s="269"/>
      <c r="S874" s="269"/>
      <c r="T874" s="269"/>
      <c r="U874" s="269"/>
      <c r="V874" s="269"/>
      <c r="W874" s="269"/>
      <c r="X874" s="269"/>
      <c r="Y874" s="269"/>
      <c r="Z874" s="269"/>
    </row>
    <row r="875">
      <c r="A875" s="269"/>
      <c r="B875" s="269"/>
      <c r="C875" s="269"/>
      <c r="D875" s="269"/>
      <c r="E875" s="269"/>
      <c r="F875" s="269"/>
      <c r="G875" s="269"/>
      <c r="H875" s="269"/>
      <c r="I875" s="269"/>
      <c r="J875" s="269"/>
      <c r="K875" s="269"/>
      <c r="L875" s="269"/>
      <c r="M875" s="269"/>
      <c r="N875" s="269"/>
      <c r="O875" s="269"/>
      <c r="P875" s="269"/>
      <c r="Q875" s="269"/>
      <c r="R875" s="269"/>
      <c r="S875" s="269"/>
      <c r="T875" s="269"/>
      <c r="U875" s="269"/>
      <c r="V875" s="269"/>
      <c r="W875" s="269"/>
      <c r="X875" s="269"/>
      <c r="Y875" s="269"/>
      <c r="Z875" s="269"/>
    </row>
    <row r="876">
      <c r="A876" s="269"/>
      <c r="B876" s="269"/>
      <c r="C876" s="269"/>
      <c r="D876" s="269"/>
      <c r="E876" s="269"/>
      <c r="F876" s="269"/>
      <c r="G876" s="269"/>
      <c r="H876" s="269"/>
      <c r="I876" s="269"/>
      <c r="J876" s="269"/>
      <c r="K876" s="269"/>
      <c r="L876" s="269"/>
      <c r="M876" s="269"/>
      <c r="N876" s="269"/>
      <c r="O876" s="269"/>
      <c r="P876" s="269"/>
      <c r="Q876" s="269"/>
      <c r="R876" s="269"/>
      <c r="S876" s="269"/>
      <c r="T876" s="269"/>
      <c r="U876" s="269"/>
      <c r="V876" s="269"/>
      <c r="W876" s="269"/>
      <c r="X876" s="269"/>
      <c r="Y876" s="269"/>
      <c r="Z876" s="269"/>
    </row>
    <row r="877">
      <c r="A877" s="269"/>
      <c r="B877" s="269"/>
      <c r="C877" s="269"/>
      <c r="D877" s="269"/>
      <c r="E877" s="269"/>
      <c r="F877" s="269"/>
      <c r="G877" s="269"/>
      <c r="H877" s="269"/>
      <c r="I877" s="269"/>
      <c r="J877" s="269"/>
      <c r="K877" s="269"/>
      <c r="L877" s="269"/>
      <c r="M877" s="269"/>
      <c r="N877" s="269"/>
      <c r="O877" s="269"/>
      <c r="P877" s="269"/>
      <c r="Q877" s="269"/>
      <c r="R877" s="269"/>
      <c r="S877" s="269"/>
      <c r="T877" s="269"/>
      <c r="U877" s="269"/>
      <c r="V877" s="269"/>
      <c r="W877" s="269"/>
      <c r="X877" s="269"/>
      <c r="Y877" s="269"/>
      <c r="Z877" s="269"/>
    </row>
    <row r="878">
      <c r="A878" s="269"/>
      <c r="B878" s="269"/>
      <c r="C878" s="269"/>
      <c r="D878" s="269"/>
      <c r="E878" s="269"/>
      <c r="F878" s="269"/>
      <c r="G878" s="269"/>
      <c r="H878" s="269"/>
      <c r="I878" s="269"/>
      <c r="J878" s="269"/>
      <c r="K878" s="269"/>
      <c r="L878" s="269"/>
      <c r="M878" s="269"/>
      <c r="N878" s="269"/>
      <c r="O878" s="269"/>
      <c r="P878" s="269"/>
      <c r="Q878" s="269"/>
      <c r="R878" s="269"/>
      <c r="S878" s="269"/>
      <c r="T878" s="269"/>
      <c r="U878" s="269"/>
      <c r="V878" s="269"/>
      <c r="W878" s="269"/>
      <c r="X878" s="269"/>
      <c r="Y878" s="269"/>
      <c r="Z878" s="269"/>
    </row>
    <row r="879">
      <c r="A879" s="269"/>
      <c r="B879" s="269"/>
      <c r="C879" s="269"/>
      <c r="D879" s="269"/>
      <c r="E879" s="269"/>
      <c r="F879" s="269"/>
      <c r="G879" s="269"/>
      <c r="H879" s="269"/>
      <c r="I879" s="269"/>
      <c r="J879" s="269"/>
      <c r="K879" s="269"/>
      <c r="L879" s="269"/>
      <c r="M879" s="269"/>
      <c r="N879" s="269"/>
      <c r="O879" s="269"/>
      <c r="P879" s="269"/>
      <c r="Q879" s="269"/>
      <c r="R879" s="269"/>
      <c r="S879" s="269"/>
      <c r="T879" s="269"/>
      <c r="U879" s="269"/>
      <c r="V879" s="269"/>
      <c r="W879" s="269"/>
      <c r="X879" s="269"/>
      <c r="Y879" s="269"/>
      <c r="Z879" s="269"/>
    </row>
    <row r="880">
      <c r="A880" s="269"/>
      <c r="B880" s="269"/>
      <c r="C880" s="269"/>
      <c r="D880" s="269"/>
      <c r="E880" s="269"/>
      <c r="F880" s="269"/>
      <c r="G880" s="269"/>
      <c r="H880" s="269"/>
      <c r="I880" s="269"/>
      <c r="J880" s="269"/>
      <c r="K880" s="269"/>
      <c r="L880" s="269"/>
      <c r="M880" s="269"/>
      <c r="N880" s="269"/>
      <c r="O880" s="269"/>
      <c r="P880" s="269"/>
      <c r="Q880" s="269"/>
      <c r="R880" s="269"/>
      <c r="S880" s="269"/>
      <c r="T880" s="269"/>
      <c r="U880" s="269"/>
      <c r="V880" s="269"/>
      <c r="W880" s="269"/>
      <c r="X880" s="269"/>
      <c r="Y880" s="269"/>
      <c r="Z880" s="269"/>
    </row>
    <row r="881">
      <c r="A881" s="269"/>
      <c r="B881" s="269"/>
      <c r="C881" s="269"/>
      <c r="D881" s="269"/>
      <c r="E881" s="269"/>
      <c r="F881" s="269"/>
      <c r="G881" s="269"/>
      <c r="H881" s="269"/>
      <c r="I881" s="269"/>
      <c r="J881" s="269"/>
      <c r="K881" s="269"/>
      <c r="L881" s="269"/>
      <c r="M881" s="269"/>
      <c r="N881" s="269"/>
      <c r="O881" s="269"/>
      <c r="P881" s="269"/>
      <c r="Q881" s="269"/>
      <c r="R881" s="269"/>
      <c r="S881" s="269"/>
      <c r="T881" s="269"/>
      <c r="U881" s="269"/>
      <c r="V881" s="269"/>
      <c r="W881" s="269"/>
      <c r="X881" s="269"/>
      <c r="Y881" s="269"/>
      <c r="Z881" s="269"/>
    </row>
    <row r="882">
      <c r="A882" s="269"/>
      <c r="B882" s="269"/>
      <c r="C882" s="269"/>
      <c r="D882" s="269"/>
      <c r="E882" s="269"/>
      <c r="F882" s="269"/>
      <c r="G882" s="269"/>
      <c r="H882" s="269"/>
      <c r="I882" s="269"/>
      <c r="J882" s="269"/>
      <c r="K882" s="269"/>
      <c r="L882" s="269"/>
      <c r="M882" s="269"/>
      <c r="N882" s="269"/>
      <c r="O882" s="269"/>
      <c r="P882" s="269"/>
      <c r="Q882" s="269"/>
      <c r="R882" s="269"/>
      <c r="S882" s="269"/>
      <c r="T882" s="269"/>
      <c r="U882" s="269"/>
      <c r="V882" s="269"/>
      <c r="W882" s="269"/>
      <c r="X882" s="269"/>
      <c r="Y882" s="269"/>
      <c r="Z882" s="269"/>
    </row>
    <row r="883">
      <c r="A883" s="269"/>
      <c r="B883" s="269"/>
      <c r="C883" s="269"/>
      <c r="D883" s="269"/>
      <c r="E883" s="269"/>
      <c r="F883" s="269"/>
      <c r="G883" s="269"/>
      <c r="H883" s="269"/>
      <c r="I883" s="269"/>
      <c r="J883" s="269"/>
      <c r="K883" s="269"/>
      <c r="L883" s="269"/>
      <c r="M883" s="269"/>
      <c r="N883" s="269"/>
      <c r="O883" s="269"/>
      <c r="P883" s="269"/>
      <c r="Q883" s="269"/>
      <c r="R883" s="269"/>
      <c r="S883" s="269"/>
      <c r="T883" s="269"/>
      <c r="U883" s="269"/>
      <c r="V883" s="269"/>
      <c r="W883" s="269"/>
      <c r="X883" s="269"/>
      <c r="Y883" s="269"/>
      <c r="Z883" s="269"/>
    </row>
    <row r="884">
      <c r="A884" s="269"/>
      <c r="B884" s="269"/>
      <c r="C884" s="269"/>
      <c r="D884" s="269"/>
      <c r="E884" s="269"/>
      <c r="F884" s="269"/>
      <c r="G884" s="269"/>
      <c r="H884" s="269"/>
      <c r="I884" s="269"/>
      <c r="J884" s="269"/>
      <c r="K884" s="269"/>
      <c r="L884" s="269"/>
      <c r="M884" s="269"/>
      <c r="N884" s="269"/>
      <c r="O884" s="269"/>
      <c r="P884" s="269"/>
      <c r="Q884" s="269"/>
      <c r="R884" s="269"/>
      <c r="S884" s="269"/>
      <c r="T884" s="269"/>
      <c r="U884" s="269"/>
      <c r="V884" s="269"/>
      <c r="W884" s="269"/>
      <c r="X884" s="269"/>
      <c r="Y884" s="269"/>
      <c r="Z884" s="269"/>
    </row>
    <row r="885">
      <c r="A885" s="269"/>
      <c r="B885" s="269"/>
      <c r="C885" s="269"/>
      <c r="D885" s="269"/>
      <c r="E885" s="269"/>
      <c r="F885" s="269"/>
      <c r="G885" s="269"/>
      <c r="H885" s="269"/>
      <c r="I885" s="269"/>
      <c r="J885" s="269"/>
      <c r="K885" s="269"/>
      <c r="L885" s="269"/>
      <c r="M885" s="269"/>
      <c r="N885" s="269"/>
      <c r="O885" s="269"/>
      <c r="P885" s="269"/>
      <c r="Q885" s="269"/>
      <c r="R885" s="269"/>
      <c r="S885" s="269"/>
      <c r="T885" s="269"/>
      <c r="U885" s="269"/>
      <c r="V885" s="269"/>
      <c r="W885" s="269"/>
      <c r="X885" s="269"/>
      <c r="Y885" s="269"/>
      <c r="Z885" s="269"/>
    </row>
    <row r="886">
      <c r="A886" s="269"/>
      <c r="B886" s="269"/>
      <c r="C886" s="269"/>
      <c r="D886" s="269"/>
      <c r="E886" s="269"/>
      <c r="F886" s="269"/>
      <c r="G886" s="269"/>
      <c r="H886" s="269"/>
      <c r="I886" s="269"/>
      <c r="J886" s="269"/>
      <c r="K886" s="269"/>
      <c r="L886" s="269"/>
      <c r="M886" s="269"/>
      <c r="N886" s="269"/>
      <c r="O886" s="269"/>
      <c r="P886" s="269"/>
      <c r="Q886" s="269"/>
      <c r="R886" s="269"/>
      <c r="S886" s="269"/>
      <c r="T886" s="269"/>
      <c r="U886" s="269"/>
      <c r="V886" s="269"/>
      <c r="W886" s="269"/>
      <c r="X886" s="269"/>
      <c r="Y886" s="269"/>
      <c r="Z886" s="269"/>
    </row>
    <row r="887">
      <c r="A887" s="269"/>
      <c r="B887" s="269"/>
      <c r="C887" s="269"/>
      <c r="D887" s="269"/>
      <c r="E887" s="269"/>
      <c r="F887" s="269"/>
      <c r="G887" s="269"/>
      <c r="H887" s="269"/>
      <c r="I887" s="269"/>
      <c r="J887" s="269"/>
      <c r="K887" s="269"/>
      <c r="L887" s="269"/>
      <c r="M887" s="269"/>
      <c r="N887" s="269"/>
      <c r="O887" s="269"/>
      <c r="P887" s="269"/>
      <c r="Q887" s="269"/>
      <c r="R887" s="269"/>
      <c r="S887" s="269"/>
      <c r="T887" s="269"/>
      <c r="U887" s="269"/>
      <c r="V887" s="269"/>
      <c r="W887" s="269"/>
      <c r="X887" s="269"/>
      <c r="Y887" s="269"/>
      <c r="Z887" s="269"/>
    </row>
    <row r="888">
      <c r="A888" s="269"/>
      <c r="B888" s="269"/>
      <c r="C888" s="269"/>
      <c r="D888" s="269"/>
      <c r="E888" s="269"/>
      <c r="F888" s="269"/>
      <c r="G888" s="269"/>
      <c r="H888" s="269"/>
      <c r="I888" s="269"/>
      <c r="J888" s="269"/>
      <c r="K888" s="269"/>
      <c r="L888" s="269"/>
      <c r="M888" s="269"/>
      <c r="N888" s="269"/>
      <c r="O888" s="269"/>
      <c r="P888" s="269"/>
      <c r="Q888" s="269"/>
      <c r="R888" s="269"/>
      <c r="S888" s="269"/>
      <c r="T888" s="269"/>
      <c r="U888" s="269"/>
      <c r="V888" s="269"/>
      <c r="W888" s="269"/>
      <c r="X888" s="269"/>
      <c r="Y888" s="269"/>
      <c r="Z888" s="269"/>
    </row>
    <row r="889">
      <c r="A889" s="269"/>
      <c r="B889" s="269"/>
      <c r="C889" s="269"/>
      <c r="D889" s="269"/>
      <c r="E889" s="269"/>
      <c r="F889" s="269"/>
      <c r="G889" s="269"/>
      <c r="H889" s="269"/>
      <c r="I889" s="269"/>
      <c r="J889" s="269"/>
      <c r="K889" s="269"/>
      <c r="L889" s="269"/>
      <c r="M889" s="269"/>
      <c r="N889" s="269"/>
      <c r="O889" s="269"/>
      <c r="P889" s="269"/>
      <c r="Q889" s="269"/>
      <c r="R889" s="269"/>
      <c r="S889" s="269"/>
      <c r="T889" s="269"/>
      <c r="U889" s="269"/>
      <c r="V889" s="269"/>
      <c r="W889" s="269"/>
      <c r="X889" s="269"/>
      <c r="Y889" s="269"/>
      <c r="Z889" s="269"/>
    </row>
    <row r="890">
      <c r="A890" s="269"/>
      <c r="B890" s="269"/>
      <c r="C890" s="269"/>
      <c r="D890" s="269"/>
      <c r="E890" s="269"/>
      <c r="F890" s="269"/>
      <c r="G890" s="269"/>
      <c r="H890" s="269"/>
      <c r="I890" s="269"/>
      <c r="J890" s="269"/>
      <c r="K890" s="269"/>
      <c r="L890" s="269"/>
      <c r="M890" s="269"/>
      <c r="N890" s="269"/>
      <c r="O890" s="269"/>
      <c r="P890" s="269"/>
      <c r="Q890" s="269"/>
      <c r="R890" s="269"/>
      <c r="S890" s="269"/>
      <c r="T890" s="269"/>
      <c r="U890" s="269"/>
      <c r="V890" s="269"/>
      <c r="W890" s="269"/>
      <c r="X890" s="269"/>
      <c r="Y890" s="269"/>
      <c r="Z890" s="269"/>
    </row>
    <row r="891">
      <c r="A891" s="269"/>
      <c r="B891" s="269"/>
      <c r="C891" s="269"/>
      <c r="D891" s="269"/>
      <c r="E891" s="269"/>
      <c r="F891" s="269"/>
      <c r="G891" s="269"/>
      <c r="H891" s="269"/>
      <c r="I891" s="269"/>
      <c r="J891" s="269"/>
      <c r="K891" s="269"/>
      <c r="L891" s="269"/>
      <c r="M891" s="269"/>
      <c r="N891" s="269"/>
      <c r="O891" s="269"/>
      <c r="P891" s="269"/>
      <c r="Q891" s="269"/>
      <c r="R891" s="269"/>
      <c r="S891" s="269"/>
      <c r="T891" s="269"/>
      <c r="U891" s="269"/>
      <c r="V891" s="269"/>
      <c r="W891" s="269"/>
      <c r="X891" s="269"/>
      <c r="Y891" s="269"/>
      <c r="Z891" s="269"/>
    </row>
    <row r="892">
      <c r="A892" s="269"/>
      <c r="B892" s="269"/>
      <c r="C892" s="269"/>
      <c r="D892" s="269"/>
      <c r="E892" s="269"/>
      <c r="F892" s="269"/>
      <c r="G892" s="269"/>
      <c r="H892" s="269"/>
      <c r="I892" s="269"/>
      <c r="J892" s="269"/>
      <c r="K892" s="269"/>
      <c r="L892" s="269"/>
      <c r="M892" s="269"/>
      <c r="N892" s="269"/>
      <c r="O892" s="269"/>
      <c r="P892" s="269"/>
      <c r="Q892" s="269"/>
      <c r="R892" s="269"/>
      <c r="S892" s="269"/>
      <c r="T892" s="269"/>
      <c r="U892" s="269"/>
      <c r="V892" s="269"/>
      <c r="W892" s="269"/>
      <c r="X892" s="269"/>
      <c r="Y892" s="269"/>
      <c r="Z892" s="269"/>
    </row>
    <row r="893">
      <c r="A893" s="269"/>
      <c r="B893" s="269"/>
      <c r="C893" s="269"/>
      <c r="D893" s="269"/>
      <c r="E893" s="269"/>
      <c r="F893" s="269"/>
      <c r="G893" s="269"/>
      <c r="H893" s="269"/>
      <c r="I893" s="269"/>
      <c r="J893" s="269"/>
      <c r="K893" s="269"/>
      <c r="L893" s="269"/>
      <c r="M893" s="269"/>
      <c r="N893" s="269"/>
      <c r="O893" s="269"/>
      <c r="P893" s="269"/>
      <c r="Q893" s="269"/>
      <c r="R893" s="269"/>
      <c r="S893" s="269"/>
      <c r="T893" s="269"/>
      <c r="U893" s="269"/>
      <c r="V893" s="269"/>
      <c r="W893" s="269"/>
      <c r="X893" s="269"/>
      <c r="Y893" s="269"/>
      <c r="Z893" s="269"/>
    </row>
    <row r="894">
      <c r="A894" s="269"/>
      <c r="B894" s="269"/>
      <c r="C894" s="269"/>
      <c r="D894" s="269"/>
      <c r="E894" s="269"/>
      <c r="F894" s="269"/>
      <c r="G894" s="269"/>
      <c r="H894" s="269"/>
      <c r="I894" s="269"/>
      <c r="J894" s="269"/>
      <c r="K894" s="269"/>
      <c r="L894" s="269"/>
      <c r="M894" s="269"/>
      <c r="N894" s="269"/>
      <c r="O894" s="269"/>
      <c r="P894" s="269"/>
      <c r="Q894" s="269"/>
      <c r="R894" s="269"/>
      <c r="S894" s="269"/>
      <c r="T894" s="269"/>
      <c r="U894" s="269"/>
      <c r="V894" s="269"/>
      <c r="W894" s="269"/>
      <c r="X894" s="269"/>
      <c r="Y894" s="269"/>
      <c r="Z894" s="269"/>
    </row>
    <row r="895">
      <c r="A895" s="269"/>
      <c r="B895" s="269"/>
      <c r="C895" s="269"/>
      <c r="D895" s="269"/>
      <c r="E895" s="269"/>
      <c r="F895" s="269"/>
      <c r="G895" s="269"/>
      <c r="H895" s="269"/>
      <c r="I895" s="269"/>
      <c r="J895" s="269"/>
      <c r="K895" s="269"/>
      <c r="L895" s="269"/>
      <c r="M895" s="269"/>
      <c r="N895" s="269"/>
      <c r="O895" s="269"/>
      <c r="P895" s="269"/>
      <c r="Q895" s="269"/>
      <c r="R895" s="269"/>
      <c r="S895" s="269"/>
      <c r="T895" s="269"/>
      <c r="U895" s="269"/>
      <c r="V895" s="269"/>
      <c r="W895" s="269"/>
      <c r="X895" s="269"/>
      <c r="Y895" s="269"/>
      <c r="Z895" s="269"/>
    </row>
    <row r="896">
      <c r="A896" s="269"/>
      <c r="B896" s="269"/>
      <c r="C896" s="269"/>
      <c r="D896" s="269"/>
      <c r="E896" s="269"/>
      <c r="F896" s="269"/>
      <c r="G896" s="269"/>
      <c r="H896" s="269"/>
      <c r="I896" s="269"/>
      <c r="J896" s="269"/>
      <c r="K896" s="269"/>
      <c r="L896" s="269"/>
      <c r="M896" s="269"/>
      <c r="N896" s="269"/>
      <c r="O896" s="269"/>
      <c r="P896" s="269"/>
      <c r="Q896" s="269"/>
      <c r="R896" s="269"/>
      <c r="S896" s="269"/>
      <c r="T896" s="269"/>
      <c r="U896" s="269"/>
      <c r="V896" s="269"/>
      <c r="W896" s="269"/>
      <c r="X896" s="269"/>
      <c r="Y896" s="269"/>
      <c r="Z896" s="269"/>
    </row>
    <row r="897">
      <c r="A897" s="269"/>
      <c r="B897" s="269"/>
      <c r="C897" s="269"/>
      <c r="D897" s="269"/>
      <c r="E897" s="269"/>
      <c r="F897" s="269"/>
      <c r="G897" s="269"/>
      <c r="H897" s="269"/>
      <c r="I897" s="269"/>
      <c r="J897" s="269"/>
      <c r="K897" s="269"/>
      <c r="L897" s="269"/>
      <c r="M897" s="269"/>
      <c r="N897" s="269"/>
      <c r="O897" s="269"/>
      <c r="P897" s="269"/>
      <c r="Q897" s="269"/>
      <c r="R897" s="269"/>
      <c r="S897" s="269"/>
      <c r="T897" s="269"/>
      <c r="U897" s="269"/>
      <c r="V897" s="269"/>
      <c r="W897" s="269"/>
      <c r="X897" s="269"/>
      <c r="Y897" s="269"/>
      <c r="Z897" s="269"/>
    </row>
    <row r="898">
      <c r="A898" s="269"/>
      <c r="B898" s="269"/>
      <c r="C898" s="269"/>
      <c r="D898" s="269"/>
      <c r="E898" s="269"/>
      <c r="F898" s="269"/>
      <c r="G898" s="269"/>
      <c r="H898" s="269"/>
      <c r="I898" s="269"/>
      <c r="J898" s="269"/>
      <c r="K898" s="269"/>
      <c r="L898" s="269"/>
      <c r="M898" s="269"/>
      <c r="N898" s="269"/>
      <c r="O898" s="269"/>
      <c r="P898" s="269"/>
      <c r="Q898" s="269"/>
      <c r="R898" s="269"/>
      <c r="S898" s="269"/>
      <c r="T898" s="269"/>
      <c r="U898" s="269"/>
      <c r="V898" s="269"/>
      <c r="W898" s="269"/>
      <c r="X898" s="269"/>
      <c r="Y898" s="269"/>
      <c r="Z898" s="269"/>
    </row>
    <row r="899">
      <c r="A899" s="269"/>
      <c r="B899" s="269"/>
      <c r="C899" s="269"/>
      <c r="D899" s="269"/>
      <c r="E899" s="269"/>
      <c r="F899" s="269"/>
      <c r="G899" s="269"/>
      <c r="H899" s="269"/>
      <c r="I899" s="269"/>
      <c r="J899" s="269"/>
      <c r="K899" s="269"/>
      <c r="L899" s="269"/>
      <c r="M899" s="269"/>
      <c r="N899" s="269"/>
      <c r="O899" s="269"/>
      <c r="P899" s="269"/>
      <c r="Q899" s="269"/>
      <c r="R899" s="269"/>
      <c r="S899" s="269"/>
      <c r="T899" s="269"/>
      <c r="U899" s="269"/>
      <c r="V899" s="269"/>
      <c r="W899" s="269"/>
      <c r="X899" s="269"/>
      <c r="Y899" s="269"/>
      <c r="Z899" s="269"/>
    </row>
    <row r="900">
      <c r="A900" s="269"/>
      <c r="B900" s="269"/>
      <c r="C900" s="269"/>
      <c r="D900" s="269"/>
      <c r="E900" s="269"/>
      <c r="F900" s="269"/>
      <c r="G900" s="269"/>
      <c r="H900" s="269"/>
      <c r="I900" s="269"/>
      <c r="J900" s="269"/>
      <c r="K900" s="269"/>
      <c r="L900" s="269"/>
      <c r="M900" s="269"/>
      <c r="N900" s="269"/>
      <c r="O900" s="269"/>
      <c r="P900" s="269"/>
      <c r="Q900" s="269"/>
      <c r="R900" s="269"/>
      <c r="S900" s="269"/>
      <c r="T900" s="269"/>
      <c r="U900" s="269"/>
      <c r="V900" s="269"/>
      <c r="W900" s="269"/>
      <c r="X900" s="269"/>
      <c r="Y900" s="269"/>
      <c r="Z900" s="269"/>
    </row>
    <row r="901">
      <c r="A901" s="269"/>
      <c r="B901" s="269"/>
      <c r="C901" s="269"/>
      <c r="D901" s="269"/>
      <c r="E901" s="269"/>
      <c r="F901" s="269"/>
      <c r="G901" s="269"/>
      <c r="H901" s="269"/>
      <c r="I901" s="269"/>
      <c r="J901" s="269"/>
      <c r="K901" s="269"/>
      <c r="L901" s="269"/>
      <c r="M901" s="269"/>
      <c r="N901" s="269"/>
      <c r="O901" s="269"/>
      <c r="P901" s="269"/>
      <c r="Q901" s="269"/>
      <c r="R901" s="269"/>
      <c r="S901" s="269"/>
      <c r="T901" s="269"/>
      <c r="U901" s="269"/>
      <c r="V901" s="269"/>
      <c r="W901" s="269"/>
      <c r="X901" s="269"/>
      <c r="Y901" s="269"/>
      <c r="Z901" s="269"/>
    </row>
    <row r="902">
      <c r="A902" s="269"/>
      <c r="B902" s="269"/>
      <c r="C902" s="269"/>
      <c r="D902" s="269"/>
      <c r="E902" s="269"/>
      <c r="F902" s="269"/>
      <c r="G902" s="269"/>
      <c r="H902" s="269"/>
      <c r="I902" s="269"/>
      <c r="J902" s="269"/>
      <c r="K902" s="269"/>
      <c r="L902" s="269"/>
      <c r="M902" s="269"/>
      <c r="N902" s="269"/>
      <c r="O902" s="269"/>
      <c r="P902" s="269"/>
      <c r="Q902" s="269"/>
      <c r="R902" s="269"/>
      <c r="S902" s="269"/>
      <c r="T902" s="269"/>
      <c r="U902" s="269"/>
      <c r="V902" s="269"/>
      <c r="W902" s="269"/>
      <c r="X902" s="269"/>
      <c r="Y902" s="269"/>
      <c r="Z902" s="269"/>
    </row>
    <row r="903">
      <c r="A903" s="269"/>
      <c r="B903" s="269"/>
      <c r="C903" s="269"/>
      <c r="D903" s="269"/>
      <c r="E903" s="269"/>
      <c r="F903" s="269"/>
      <c r="G903" s="269"/>
      <c r="H903" s="269"/>
      <c r="I903" s="269"/>
      <c r="J903" s="269"/>
      <c r="K903" s="269"/>
      <c r="L903" s="269"/>
      <c r="M903" s="269"/>
      <c r="N903" s="269"/>
      <c r="O903" s="269"/>
      <c r="P903" s="269"/>
      <c r="Q903" s="269"/>
      <c r="R903" s="269"/>
      <c r="S903" s="269"/>
      <c r="T903" s="269"/>
      <c r="U903" s="269"/>
      <c r="V903" s="269"/>
      <c r="W903" s="269"/>
      <c r="X903" s="269"/>
      <c r="Y903" s="269"/>
      <c r="Z903" s="269"/>
    </row>
    <row r="904">
      <c r="A904" s="269"/>
      <c r="B904" s="269"/>
      <c r="C904" s="269"/>
      <c r="D904" s="269"/>
      <c r="E904" s="269"/>
      <c r="F904" s="269"/>
      <c r="G904" s="269"/>
      <c r="H904" s="269"/>
      <c r="I904" s="269"/>
      <c r="J904" s="269"/>
      <c r="K904" s="269"/>
      <c r="L904" s="269"/>
      <c r="M904" s="269"/>
      <c r="N904" s="269"/>
      <c r="O904" s="269"/>
      <c r="P904" s="269"/>
      <c r="Q904" s="269"/>
      <c r="R904" s="269"/>
      <c r="S904" s="269"/>
      <c r="T904" s="269"/>
      <c r="U904" s="269"/>
      <c r="V904" s="269"/>
      <c r="W904" s="269"/>
      <c r="X904" s="269"/>
      <c r="Y904" s="269"/>
      <c r="Z904" s="269"/>
    </row>
    <row r="905">
      <c r="A905" s="269"/>
      <c r="B905" s="269"/>
      <c r="C905" s="269"/>
      <c r="D905" s="269"/>
      <c r="E905" s="269"/>
      <c r="F905" s="269"/>
      <c r="G905" s="269"/>
      <c r="H905" s="269"/>
      <c r="I905" s="269"/>
      <c r="J905" s="269"/>
      <c r="K905" s="269"/>
      <c r="L905" s="269"/>
      <c r="M905" s="269"/>
      <c r="N905" s="269"/>
      <c r="O905" s="269"/>
      <c r="P905" s="269"/>
      <c r="Q905" s="269"/>
      <c r="R905" s="269"/>
      <c r="S905" s="269"/>
      <c r="T905" s="269"/>
      <c r="U905" s="269"/>
      <c r="V905" s="269"/>
      <c r="W905" s="269"/>
      <c r="X905" s="269"/>
      <c r="Y905" s="269"/>
      <c r="Z905" s="269"/>
    </row>
    <row r="906">
      <c r="A906" s="269"/>
      <c r="B906" s="269"/>
      <c r="C906" s="269"/>
      <c r="D906" s="269"/>
      <c r="E906" s="269"/>
      <c r="F906" s="269"/>
      <c r="G906" s="269"/>
      <c r="H906" s="269"/>
      <c r="I906" s="269"/>
      <c r="J906" s="269"/>
      <c r="K906" s="269"/>
      <c r="L906" s="269"/>
      <c r="M906" s="269"/>
      <c r="N906" s="269"/>
      <c r="O906" s="269"/>
      <c r="P906" s="269"/>
      <c r="Q906" s="269"/>
      <c r="R906" s="269"/>
      <c r="S906" s="269"/>
      <c r="T906" s="269"/>
      <c r="U906" s="269"/>
      <c r="V906" s="269"/>
      <c r="W906" s="269"/>
      <c r="X906" s="269"/>
      <c r="Y906" s="269"/>
      <c r="Z906" s="269"/>
    </row>
    <row r="907">
      <c r="A907" s="269"/>
      <c r="B907" s="269"/>
      <c r="C907" s="269"/>
      <c r="D907" s="269"/>
      <c r="E907" s="269"/>
      <c r="F907" s="269"/>
      <c r="G907" s="269"/>
      <c r="H907" s="269"/>
      <c r="I907" s="269"/>
      <c r="J907" s="269"/>
      <c r="K907" s="269"/>
      <c r="L907" s="269"/>
      <c r="M907" s="269"/>
      <c r="N907" s="269"/>
      <c r="O907" s="269"/>
      <c r="P907" s="269"/>
      <c r="Q907" s="269"/>
      <c r="R907" s="269"/>
      <c r="S907" s="269"/>
      <c r="T907" s="269"/>
      <c r="U907" s="269"/>
      <c r="V907" s="269"/>
      <c r="W907" s="269"/>
      <c r="X907" s="269"/>
      <c r="Y907" s="269"/>
      <c r="Z907" s="269"/>
    </row>
    <row r="908">
      <c r="A908" s="269"/>
      <c r="B908" s="269"/>
      <c r="C908" s="269"/>
      <c r="D908" s="269"/>
      <c r="E908" s="269"/>
      <c r="F908" s="269"/>
      <c r="G908" s="269"/>
      <c r="H908" s="269"/>
      <c r="I908" s="269"/>
      <c r="J908" s="269"/>
      <c r="K908" s="269"/>
      <c r="L908" s="269"/>
      <c r="M908" s="269"/>
      <c r="N908" s="269"/>
      <c r="O908" s="269"/>
      <c r="P908" s="269"/>
      <c r="Q908" s="269"/>
      <c r="R908" s="269"/>
      <c r="S908" s="269"/>
      <c r="T908" s="269"/>
      <c r="U908" s="269"/>
      <c r="V908" s="269"/>
      <c r="W908" s="269"/>
      <c r="X908" s="269"/>
      <c r="Y908" s="269"/>
      <c r="Z908" s="269"/>
    </row>
    <row r="909">
      <c r="A909" s="269"/>
      <c r="B909" s="269"/>
      <c r="C909" s="269"/>
      <c r="D909" s="269"/>
      <c r="E909" s="269"/>
      <c r="F909" s="269"/>
      <c r="G909" s="269"/>
      <c r="H909" s="269"/>
      <c r="I909" s="269"/>
      <c r="J909" s="269"/>
      <c r="K909" s="269"/>
      <c r="L909" s="269"/>
      <c r="M909" s="269"/>
      <c r="N909" s="269"/>
      <c r="O909" s="269"/>
      <c r="P909" s="269"/>
      <c r="Q909" s="269"/>
      <c r="R909" s="269"/>
      <c r="S909" s="269"/>
      <c r="T909" s="269"/>
      <c r="U909" s="269"/>
      <c r="V909" s="269"/>
      <c r="W909" s="269"/>
      <c r="X909" s="269"/>
      <c r="Y909" s="269"/>
      <c r="Z909" s="269"/>
    </row>
    <row r="910">
      <c r="A910" s="269"/>
      <c r="B910" s="269"/>
      <c r="C910" s="269"/>
      <c r="D910" s="269"/>
      <c r="E910" s="269"/>
      <c r="F910" s="269"/>
      <c r="G910" s="269"/>
      <c r="H910" s="269"/>
      <c r="I910" s="269"/>
      <c r="J910" s="269"/>
      <c r="K910" s="269"/>
      <c r="L910" s="269"/>
      <c r="M910" s="269"/>
      <c r="N910" s="269"/>
      <c r="O910" s="269"/>
      <c r="P910" s="269"/>
      <c r="Q910" s="269"/>
      <c r="R910" s="269"/>
      <c r="S910" s="269"/>
      <c r="T910" s="269"/>
      <c r="U910" s="269"/>
      <c r="V910" s="269"/>
      <c r="W910" s="269"/>
      <c r="X910" s="269"/>
      <c r="Y910" s="269"/>
      <c r="Z910" s="269"/>
    </row>
    <row r="911">
      <c r="A911" s="269"/>
      <c r="B911" s="269"/>
      <c r="C911" s="269"/>
      <c r="D911" s="269"/>
      <c r="E911" s="269"/>
      <c r="F911" s="269"/>
      <c r="G911" s="269"/>
      <c r="H911" s="269"/>
      <c r="I911" s="269"/>
      <c r="J911" s="269"/>
      <c r="K911" s="269"/>
      <c r="L911" s="269"/>
      <c r="M911" s="269"/>
      <c r="N911" s="269"/>
      <c r="O911" s="269"/>
      <c r="P911" s="269"/>
      <c r="Q911" s="269"/>
      <c r="R911" s="269"/>
      <c r="S911" s="269"/>
      <c r="T911" s="269"/>
      <c r="U911" s="269"/>
      <c r="V911" s="269"/>
      <c r="W911" s="269"/>
      <c r="X911" s="269"/>
      <c r="Y911" s="269"/>
      <c r="Z911" s="269"/>
    </row>
    <row r="912">
      <c r="A912" s="269"/>
      <c r="B912" s="269"/>
      <c r="C912" s="269"/>
      <c r="D912" s="269"/>
      <c r="E912" s="269"/>
      <c r="F912" s="269"/>
      <c r="G912" s="269"/>
      <c r="H912" s="269"/>
      <c r="I912" s="269"/>
      <c r="J912" s="269"/>
      <c r="K912" s="269"/>
      <c r="L912" s="269"/>
      <c r="M912" s="269"/>
      <c r="N912" s="269"/>
      <c r="O912" s="269"/>
      <c r="P912" s="269"/>
      <c r="Q912" s="269"/>
      <c r="R912" s="269"/>
      <c r="S912" s="269"/>
      <c r="T912" s="269"/>
      <c r="U912" s="269"/>
      <c r="V912" s="269"/>
      <c r="W912" s="269"/>
      <c r="X912" s="269"/>
      <c r="Y912" s="269"/>
      <c r="Z912" s="269"/>
    </row>
    <row r="913">
      <c r="A913" s="269"/>
      <c r="B913" s="269"/>
      <c r="C913" s="269"/>
      <c r="D913" s="269"/>
      <c r="E913" s="269"/>
      <c r="F913" s="269"/>
      <c r="G913" s="269"/>
      <c r="H913" s="269"/>
      <c r="I913" s="269"/>
      <c r="J913" s="269"/>
      <c r="K913" s="269"/>
      <c r="L913" s="269"/>
      <c r="M913" s="269"/>
      <c r="N913" s="269"/>
      <c r="O913" s="269"/>
      <c r="P913" s="269"/>
      <c r="Q913" s="269"/>
      <c r="R913" s="269"/>
      <c r="S913" s="269"/>
      <c r="T913" s="269"/>
      <c r="U913" s="269"/>
      <c r="V913" s="269"/>
      <c r="W913" s="269"/>
      <c r="X913" s="269"/>
      <c r="Y913" s="269"/>
      <c r="Z913" s="269"/>
    </row>
    <row r="914">
      <c r="A914" s="269"/>
      <c r="B914" s="269"/>
      <c r="C914" s="269"/>
      <c r="D914" s="269"/>
      <c r="E914" s="269"/>
      <c r="F914" s="269"/>
      <c r="G914" s="269"/>
      <c r="H914" s="269"/>
      <c r="I914" s="269"/>
      <c r="J914" s="269"/>
      <c r="K914" s="269"/>
      <c r="L914" s="269"/>
      <c r="M914" s="269"/>
      <c r="N914" s="269"/>
      <c r="O914" s="269"/>
      <c r="P914" s="269"/>
      <c r="Q914" s="269"/>
      <c r="R914" s="269"/>
      <c r="S914" s="269"/>
      <c r="T914" s="269"/>
      <c r="U914" s="269"/>
      <c r="V914" s="269"/>
      <c r="W914" s="269"/>
      <c r="X914" s="269"/>
      <c r="Y914" s="269"/>
      <c r="Z914" s="269"/>
    </row>
    <row r="915">
      <c r="A915" s="269"/>
      <c r="B915" s="269"/>
      <c r="C915" s="269"/>
      <c r="D915" s="269"/>
      <c r="E915" s="269"/>
      <c r="F915" s="269"/>
      <c r="G915" s="269"/>
      <c r="H915" s="269"/>
      <c r="I915" s="269"/>
      <c r="J915" s="269"/>
      <c r="K915" s="269"/>
      <c r="L915" s="269"/>
      <c r="M915" s="269"/>
      <c r="N915" s="269"/>
      <c r="O915" s="269"/>
      <c r="P915" s="269"/>
      <c r="Q915" s="269"/>
      <c r="R915" s="269"/>
      <c r="S915" s="269"/>
      <c r="T915" s="269"/>
      <c r="U915" s="269"/>
      <c r="V915" s="269"/>
      <c r="W915" s="269"/>
      <c r="X915" s="269"/>
      <c r="Y915" s="269"/>
      <c r="Z915" s="269"/>
    </row>
    <row r="916">
      <c r="A916" s="269"/>
      <c r="B916" s="269"/>
      <c r="C916" s="269"/>
      <c r="D916" s="269"/>
      <c r="E916" s="269"/>
      <c r="F916" s="269"/>
      <c r="G916" s="269"/>
      <c r="H916" s="269"/>
      <c r="I916" s="269"/>
      <c r="J916" s="269"/>
      <c r="K916" s="269"/>
      <c r="L916" s="269"/>
      <c r="M916" s="269"/>
      <c r="N916" s="269"/>
      <c r="O916" s="269"/>
      <c r="P916" s="269"/>
      <c r="Q916" s="269"/>
      <c r="R916" s="269"/>
      <c r="S916" s="269"/>
      <c r="T916" s="269"/>
      <c r="U916" s="269"/>
      <c r="V916" s="269"/>
      <c r="W916" s="269"/>
      <c r="X916" s="269"/>
      <c r="Y916" s="269"/>
      <c r="Z916" s="269"/>
    </row>
    <row r="917">
      <c r="A917" s="269"/>
      <c r="B917" s="269"/>
      <c r="C917" s="269"/>
      <c r="D917" s="269"/>
      <c r="E917" s="269"/>
      <c r="F917" s="269"/>
      <c r="G917" s="269"/>
      <c r="H917" s="269"/>
      <c r="I917" s="269"/>
      <c r="J917" s="269"/>
      <c r="K917" s="269"/>
      <c r="L917" s="269"/>
      <c r="M917" s="269"/>
      <c r="N917" s="269"/>
      <c r="O917" s="269"/>
      <c r="P917" s="269"/>
      <c r="Q917" s="269"/>
      <c r="R917" s="269"/>
      <c r="S917" s="269"/>
      <c r="T917" s="269"/>
      <c r="U917" s="269"/>
      <c r="V917" s="269"/>
      <c r="W917" s="269"/>
      <c r="X917" s="269"/>
      <c r="Y917" s="269"/>
      <c r="Z917" s="269"/>
    </row>
    <row r="918">
      <c r="A918" s="269"/>
      <c r="B918" s="269"/>
      <c r="C918" s="269"/>
      <c r="D918" s="269"/>
      <c r="E918" s="269"/>
      <c r="F918" s="269"/>
      <c r="G918" s="269"/>
      <c r="H918" s="269"/>
      <c r="I918" s="269"/>
      <c r="J918" s="269"/>
      <c r="K918" s="269"/>
      <c r="L918" s="269"/>
      <c r="M918" s="269"/>
      <c r="N918" s="269"/>
      <c r="O918" s="269"/>
      <c r="P918" s="269"/>
      <c r="Q918" s="269"/>
      <c r="R918" s="269"/>
      <c r="S918" s="269"/>
      <c r="T918" s="269"/>
      <c r="U918" s="269"/>
      <c r="V918" s="269"/>
      <c r="W918" s="269"/>
      <c r="X918" s="269"/>
      <c r="Y918" s="269"/>
      <c r="Z918" s="269"/>
    </row>
    <row r="919">
      <c r="A919" s="269"/>
      <c r="B919" s="269"/>
      <c r="C919" s="269"/>
      <c r="D919" s="269"/>
      <c r="E919" s="269"/>
      <c r="F919" s="269"/>
      <c r="G919" s="269"/>
      <c r="H919" s="269"/>
      <c r="I919" s="269"/>
      <c r="J919" s="269"/>
      <c r="K919" s="269"/>
      <c r="L919" s="269"/>
      <c r="M919" s="269"/>
      <c r="N919" s="269"/>
      <c r="O919" s="269"/>
      <c r="P919" s="269"/>
      <c r="Q919" s="269"/>
      <c r="R919" s="269"/>
      <c r="S919" s="269"/>
      <c r="T919" s="269"/>
      <c r="U919" s="269"/>
      <c r="V919" s="269"/>
      <c r="W919" s="269"/>
      <c r="X919" s="269"/>
      <c r="Y919" s="269"/>
      <c r="Z919" s="269"/>
    </row>
    <row r="920">
      <c r="A920" s="269"/>
      <c r="B920" s="269"/>
      <c r="C920" s="269"/>
      <c r="D920" s="269"/>
      <c r="E920" s="269"/>
      <c r="F920" s="269"/>
      <c r="G920" s="269"/>
      <c r="H920" s="269"/>
      <c r="I920" s="269"/>
      <c r="J920" s="269"/>
      <c r="K920" s="269"/>
      <c r="L920" s="269"/>
      <c r="M920" s="269"/>
      <c r="N920" s="269"/>
      <c r="O920" s="269"/>
      <c r="P920" s="269"/>
      <c r="Q920" s="269"/>
      <c r="R920" s="269"/>
      <c r="S920" s="269"/>
      <c r="T920" s="269"/>
      <c r="U920" s="269"/>
      <c r="V920" s="269"/>
      <c r="W920" s="269"/>
      <c r="X920" s="269"/>
      <c r="Y920" s="269"/>
      <c r="Z920" s="269"/>
    </row>
    <row r="921">
      <c r="A921" s="269"/>
      <c r="B921" s="269"/>
      <c r="C921" s="269"/>
      <c r="D921" s="269"/>
      <c r="E921" s="269"/>
      <c r="F921" s="269"/>
      <c r="G921" s="269"/>
      <c r="H921" s="269"/>
      <c r="I921" s="269"/>
      <c r="J921" s="269"/>
      <c r="K921" s="269"/>
      <c r="L921" s="269"/>
      <c r="M921" s="269"/>
      <c r="N921" s="269"/>
      <c r="O921" s="269"/>
      <c r="P921" s="269"/>
      <c r="Q921" s="269"/>
      <c r="R921" s="269"/>
      <c r="S921" s="269"/>
      <c r="T921" s="269"/>
      <c r="U921" s="269"/>
      <c r="V921" s="269"/>
      <c r="W921" s="269"/>
      <c r="X921" s="269"/>
      <c r="Y921" s="269"/>
      <c r="Z921" s="269"/>
    </row>
    <row r="922">
      <c r="A922" s="269"/>
      <c r="B922" s="269"/>
      <c r="C922" s="269"/>
      <c r="D922" s="269"/>
      <c r="E922" s="269"/>
      <c r="F922" s="269"/>
      <c r="G922" s="269"/>
      <c r="H922" s="269"/>
      <c r="I922" s="269"/>
      <c r="J922" s="269"/>
      <c r="K922" s="269"/>
      <c r="L922" s="269"/>
      <c r="M922" s="269"/>
      <c r="N922" s="269"/>
      <c r="O922" s="269"/>
      <c r="P922" s="269"/>
      <c r="Q922" s="269"/>
      <c r="R922" s="269"/>
      <c r="S922" s="269"/>
      <c r="T922" s="269"/>
      <c r="U922" s="269"/>
      <c r="V922" s="269"/>
      <c r="W922" s="269"/>
      <c r="X922" s="269"/>
      <c r="Y922" s="269"/>
      <c r="Z922" s="269"/>
    </row>
    <row r="923">
      <c r="A923" s="269"/>
      <c r="B923" s="269"/>
      <c r="C923" s="269"/>
      <c r="D923" s="269"/>
      <c r="E923" s="269"/>
      <c r="F923" s="269"/>
      <c r="G923" s="269"/>
      <c r="H923" s="269"/>
      <c r="I923" s="269"/>
      <c r="J923" s="269"/>
      <c r="K923" s="269"/>
      <c r="L923" s="269"/>
      <c r="M923" s="269"/>
      <c r="N923" s="269"/>
      <c r="O923" s="269"/>
      <c r="P923" s="269"/>
      <c r="Q923" s="269"/>
      <c r="R923" s="269"/>
      <c r="S923" s="269"/>
      <c r="T923" s="269"/>
      <c r="U923" s="269"/>
      <c r="V923" s="269"/>
      <c r="W923" s="269"/>
      <c r="X923" s="269"/>
      <c r="Y923" s="269"/>
      <c r="Z923" s="269"/>
    </row>
    <row r="924">
      <c r="A924" s="269"/>
      <c r="B924" s="269"/>
      <c r="C924" s="269"/>
      <c r="D924" s="269"/>
      <c r="E924" s="269"/>
      <c r="F924" s="269"/>
      <c r="G924" s="269"/>
      <c r="H924" s="269"/>
      <c r="I924" s="269"/>
      <c r="J924" s="269"/>
      <c r="K924" s="269"/>
      <c r="L924" s="269"/>
      <c r="M924" s="269"/>
      <c r="N924" s="269"/>
      <c r="O924" s="269"/>
      <c r="P924" s="269"/>
      <c r="Q924" s="269"/>
      <c r="R924" s="269"/>
      <c r="S924" s="269"/>
      <c r="T924" s="269"/>
      <c r="U924" s="269"/>
      <c r="V924" s="269"/>
      <c r="W924" s="269"/>
      <c r="X924" s="269"/>
      <c r="Y924" s="269"/>
      <c r="Z924" s="269"/>
    </row>
    <row r="925">
      <c r="A925" s="269"/>
      <c r="B925" s="269"/>
      <c r="C925" s="269"/>
      <c r="D925" s="269"/>
      <c r="E925" s="269"/>
      <c r="F925" s="269"/>
      <c r="G925" s="269"/>
      <c r="H925" s="269"/>
      <c r="I925" s="269"/>
      <c r="J925" s="269"/>
      <c r="K925" s="269"/>
      <c r="L925" s="269"/>
      <c r="M925" s="269"/>
      <c r="N925" s="269"/>
      <c r="O925" s="269"/>
      <c r="P925" s="269"/>
      <c r="Q925" s="269"/>
      <c r="R925" s="269"/>
      <c r="S925" s="269"/>
      <c r="T925" s="269"/>
      <c r="U925" s="269"/>
      <c r="V925" s="269"/>
      <c r="W925" s="269"/>
      <c r="X925" s="269"/>
      <c r="Y925" s="269"/>
      <c r="Z925" s="269"/>
    </row>
    <row r="926">
      <c r="A926" s="269"/>
      <c r="B926" s="269"/>
      <c r="C926" s="269"/>
      <c r="D926" s="269"/>
      <c r="E926" s="269"/>
      <c r="F926" s="269"/>
      <c r="G926" s="269"/>
      <c r="H926" s="269"/>
      <c r="I926" s="269"/>
      <c r="J926" s="269"/>
      <c r="K926" s="269"/>
      <c r="L926" s="269"/>
      <c r="M926" s="269"/>
      <c r="N926" s="269"/>
      <c r="O926" s="269"/>
      <c r="P926" s="269"/>
      <c r="Q926" s="269"/>
      <c r="R926" s="269"/>
      <c r="S926" s="269"/>
      <c r="T926" s="269"/>
      <c r="U926" s="269"/>
      <c r="V926" s="269"/>
      <c r="W926" s="269"/>
      <c r="X926" s="269"/>
      <c r="Y926" s="269"/>
      <c r="Z926" s="269"/>
    </row>
    <row r="927">
      <c r="A927" s="269"/>
      <c r="B927" s="269"/>
      <c r="C927" s="269"/>
      <c r="D927" s="269"/>
      <c r="E927" s="269"/>
      <c r="F927" s="269"/>
      <c r="G927" s="269"/>
      <c r="H927" s="269"/>
      <c r="I927" s="269"/>
      <c r="J927" s="269"/>
      <c r="K927" s="269"/>
      <c r="L927" s="269"/>
      <c r="M927" s="269"/>
      <c r="N927" s="269"/>
      <c r="O927" s="269"/>
      <c r="P927" s="269"/>
      <c r="Q927" s="269"/>
      <c r="R927" s="269"/>
      <c r="S927" s="269"/>
      <c r="T927" s="269"/>
      <c r="U927" s="269"/>
      <c r="V927" s="269"/>
      <c r="W927" s="269"/>
      <c r="X927" s="269"/>
      <c r="Y927" s="269"/>
      <c r="Z927" s="269"/>
    </row>
    <row r="928">
      <c r="A928" s="269"/>
      <c r="B928" s="269"/>
      <c r="C928" s="269"/>
      <c r="D928" s="269"/>
      <c r="E928" s="269"/>
      <c r="F928" s="269"/>
      <c r="G928" s="269"/>
      <c r="H928" s="269"/>
      <c r="I928" s="269"/>
      <c r="J928" s="269"/>
      <c r="K928" s="269"/>
      <c r="L928" s="269"/>
      <c r="M928" s="269"/>
      <c r="N928" s="269"/>
      <c r="O928" s="269"/>
      <c r="P928" s="269"/>
      <c r="Q928" s="269"/>
      <c r="R928" s="269"/>
      <c r="S928" s="269"/>
      <c r="T928" s="269"/>
      <c r="U928" s="269"/>
      <c r="V928" s="269"/>
      <c r="W928" s="269"/>
      <c r="X928" s="269"/>
      <c r="Y928" s="269"/>
      <c r="Z928" s="269"/>
    </row>
    <row r="929">
      <c r="A929" s="269"/>
      <c r="B929" s="269"/>
      <c r="C929" s="269"/>
      <c r="D929" s="269"/>
      <c r="E929" s="269"/>
      <c r="F929" s="269"/>
      <c r="G929" s="269"/>
      <c r="H929" s="269"/>
      <c r="I929" s="269"/>
      <c r="J929" s="269"/>
      <c r="K929" s="269"/>
      <c r="L929" s="269"/>
      <c r="M929" s="269"/>
      <c r="N929" s="269"/>
      <c r="O929" s="269"/>
      <c r="P929" s="269"/>
      <c r="Q929" s="269"/>
      <c r="R929" s="269"/>
      <c r="S929" s="269"/>
      <c r="T929" s="269"/>
      <c r="U929" s="269"/>
      <c r="V929" s="269"/>
      <c r="W929" s="269"/>
      <c r="X929" s="269"/>
      <c r="Y929" s="269"/>
      <c r="Z929" s="269"/>
    </row>
    <row r="930">
      <c r="A930" s="269"/>
      <c r="B930" s="269"/>
      <c r="C930" s="269"/>
      <c r="D930" s="269"/>
      <c r="E930" s="269"/>
      <c r="F930" s="269"/>
      <c r="G930" s="269"/>
      <c r="H930" s="269"/>
      <c r="I930" s="269"/>
      <c r="J930" s="269"/>
      <c r="K930" s="269"/>
      <c r="L930" s="269"/>
      <c r="M930" s="269"/>
      <c r="N930" s="269"/>
      <c r="O930" s="269"/>
      <c r="P930" s="269"/>
      <c r="Q930" s="269"/>
      <c r="R930" s="269"/>
      <c r="S930" s="269"/>
      <c r="T930" s="269"/>
      <c r="U930" s="269"/>
      <c r="V930" s="269"/>
      <c r="W930" s="269"/>
      <c r="X930" s="269"/>
      <c r="Y930" s="269"/>
      <c r="Z930" s="269"/>
    </row>
    <row r="931">
      <c r="A931" s="269"/>
      <c r="B931" s="269"/>
      <c r="C931" s="269"/>
      <c r="D931" s="269"/>
      <c r="E931" s="269"/>
      <c r="F931" s="269"/>
      <c r="G931" s="269"/>
      <c r="H931" s="269"/>
      <c r="I931" s="269"/>
      <c r="J931" s="269"/>
      <c r="K931" s="269"/>
      <c r="L931" s="269"/>
      <c r="M931" s="269"/>
      <c r="N931" s="269"/>
      <c r="O931" s="269"/>
      <c r="P931" s="269"/>
      <c r="Q931" s="269"/>
      <c r="R931" s="269"/>
      <c r="S931" s="269"/>
      <c r="T931" s="269"/>
      <c r="U931" s="269"/>
      <c r="V931" s="269"/>
      <c r="W931" s="269"/>
      <c r="X931" s="269"/>
      <c r="Y931" s="269"/>
      <c r="Z931" s="269"/>
    </row>
    <row r="932">
      <c r="A932" s="269"/>
      <c r="B932" s="269"/>
      <c r="C932" s="269"/>
      <c r="D932" s="269"/>
      <c r="E932" s="269"/>
      <c r="F932" s="269"/>
      <c r="G932" s="269"/>
      <c r="H932" s="269"/>
      <c r="I932" s="269"/>
      <c r="J932" s="269"/>
      <c r="K932" s="269"/>
      <c r="L932" s="269"/>
      <c r="M932" s="269"/>
      <c r="N932" s="269"/>
      <c r="O932" s="269"/>
      <c r="P932" s="269"/>
      <c r="Q932" s="269"/>
      <c r="R932" s="269"/>
      <c r="S932" s="269"/>
      <c r="T932" s="269"/>
      <c r="U932" s="269"/>
      <c r="V932" s="269"/>
      <c r="W932" s="269"/>
      <c r="X932" s="269"/>
      <c r="Y932" s="269"/>
      <c r="Z932" s="269"/>
    </row>
    <row r="933">
      <c r="A933" s="269"/>
      <c r="B933" s="269"/>
      <c r="C933" s="269"/>
      <c r="D933" s="269"/>
      <c r="E933" s="269"/>
      <c r="F933" s="269"/>
      <c r="G933" s="269"/>
      <c r="H933" s="269"/>
      <c r="I933" s="269"/>
      <c r="J933" s="269"/>
      <c r="K933" s="269"/>
      <c r="L933" s="269"/>
      <c r="M933" s="269"/>
      <c r="N933" s="269"/>
      <c r="O933" s="269"/>
      <c r="P933" s="269"/>
      <c r="Q933" s="269"/>
      <c r="R933" s="269"/>
      <c r="S933" s="269"/>
      <c r="T933" s="269"/>
      <c r="U933" s="269"/>
      <c r="V933" s="269"/>
      <c r="W933" s="269"/>
      <c r="X933" s="269"/>
      <c r="Y933" s="269"/>
      <c r="Z933" s="269"/>
    </row>
    <row r="934">
      <c r="A934" s="269"/>
      <c r="B934" s="269"/>
      <c r="C934" s="269"/>
      <c r="D934" s="269"/>
      <c r="E934" s="269"/>
      <c r="F934" s="269"/>
      <c r="G934" s="269"/>
      <c r="H934" s="269"/>
      <c r="I934" s="269"/>
      <c r="J934" s="269"/>
      <c r="K934" s="269"/>
      <c r="L934" s="269"/>
      <c r="M934" s="269"/>
      <c r="N934" s="269"/>
      <c r="O934" s="269"/>
      <c r="P934" s="269"/>
      <c r="Q934" s="269"/>
      <c r="R934" s="269"/>
      <c r="S934" s="269"/>
      <c r="T934" s="269"/>
      <c r="U934" s="269"/>
      <c r="V934" s="269"/>
      <c r="W934" s="269"/>
      <c r="X934" s="269"/>
      <c r="Y934" s="269"/>
      <c r="Z934" s="269"/>
    </row>
    <row r="935">
      <c r="A935" s="269"/>
      <c r="B935" s="269"/>
      <c r="C935" s="269"/>
      <c r="D935" s="269"/>
      <c r="E935" s="269"/>
      <c r="F935" s="269"/>
      <c r="G935" s="269"/>
      <c r="H935" s="269"/>
      <c r="I935" s="269"/>
      <c r="J935" s="269"/>
      <c r="K935" s="269"/>
      <c r="L935" s="269"/>
      <c r="M935" s="269"/>
      <c r="N935" s="269"/>
      <c r="O935" s="269"/>
      <c r="P935" s="269"/>
      <c r="Q935" s="269"/>
      <c r="R935" s="269"/>
      <c r="S935" s="269"/>
      <c r="T935" s="269"/>
      <c r="U935" s="269"/>
      <c r="V935" s="269"/>
      <c r="W935" s="269"/>
      <c r="X935" s="269"/>
      <c r="Y935" s="269"/>
      <c r="Z935" s="269"/>
    </row>
    <row r="936">
      <c r="A936" s="269"/>
      <c r="B936" s="269"/>
      <c r="C936" s="269"/>
      <c r="D936" s="269"/>
      <c r="E936" s="269"/>
      <c r="F936" s="269"/>
      <c r="G936" s="269"/>
      <c r="H936" s="269"/>
      <c r="I936" s="269"/>
      <c r="J936" s="269"/>
      <c r="K936" s="269"/>
      <c r="L936" s="269"/>
      <c r="M936" s="269"/>
      <c r="N936" s="269"/>
      <c r="O936" s="269"/>
      <c r="P936" s="269"/>
      <c r="Q936" s="269"/>
      <c r="R936" s="269"/>
      <c r="S936" s="269"/>
      <c r="T936" s="269"/>
      <c r="U936" s="269"/>
      <c r="V936" s="269"/>
      <c r="W936" s="269"/>
      <c r="X936" s="269"/>
      <c r="Y936" s="269"/>
      <c r="Z936" s="269"/>
    </row>
    <row r="937">
      <c r="A937" s="269"/>
      <c r="B937" s="269"/>
      <c r="C937" s="269"/>
      <c r="D937" s="269"/>
      <c r="E937" s="269"/>
      <c r="F937" s="269"/>
      <c r="G937" s="269"/>
      <c r="H937" s="269"/>
      <c r="I937" s="269"/>
      <c r="J937" s="269"/>
      <c r="K937" s="269"/>
      <c r="L937" s="269"/>
      <c r="M937" s="269"/>
      <c r="N937" s="269"/>
      <c r="O937" s="269"/>
      <c r="P937" s="269"/>
      <c r="Q937" s="269"/>
      <c r="R937" s="269"/>
      <c r="S937" s="269"/>
      <c r="T937" s="269"/>
      <c r="U937" s="269"/>
      <c r="V937" s="269"/>
      <c r="W937" s="269"/>
      <c r="X937" s="269"/>
      <c r="Y937" s="269"/>
      <c r="Z937" s="269"/>
    </row>
    <row r="938">
      <c r="A938" s="269"/>
      <c r="B938" s="269"/>
      <c r="C938" s="269"/>
      <c r="D938" s="269"/>
      <c r="E938" s="269"/>
      <c r="F938" s="269"/>
      <c r="G938" s="269"/>
      <c r="H938" s="269"/>
      <c r="I938" s="269"/>
      <c r="J938" s="269"/>
      <c r="K938" s="269"/>
      <c r="L938" s="269"/>
      <c r="M938" s="269"/>
      <c r="N938" s="269"/>
      <c r="O938" s="269"/>
      <c r="P938" s="269"/>
      <c r="Q938" s="269"/>
      <c r="R938" s="269"/>
      <c r="S938" s="269"/>
      <c r="T938" s="269"/>
      <c r="U938" s="269"/>
      <c r="V938" s="269"/>
      <c r="W938" s="269"/>
      <c r="X938" s="269"/>
      <c r="Y938" s="269"/>
      <c r="Z938" s="269"/>
    </row>
    <row r="939">
      <c r="A939" s="269"/>
      <c r="B939" s="269"/>
      <c r="C939" s="269"/>
      <c r="D939" s="269"/>
      <c r="E939" s="269"/>
      <c r="F939" s="269"/>
      <c r="G939" s="269"/>
      <c r="H939" s="269"/>
      <c r="I939" s="269"/>
      <c r="J939" s="269"/>
      <c r="K939" s="269"/>
      <c r="L939" s="269"/>
      <c r="M939" s="269"/>
      <c r="N939" s="269"/>
      <c r="O939" s="269"/>
      <c r="P939" s="269"/>
      <c r="Q939" s="269"/>
      <c r="R939" s="269"/>
      <c r="S939" s="269"/>
      <c r="T939" s="269"/>
      <c r="U939" s="269"/>
      <c r="V939" s="269"/>
      <c r="W939" s="269"/>
      <c r="X939" s="269"/>
      <c r="Y939" s="269"/>
      <c r="Z939" s="269"/>
    </row>
    <row r="940">
      <c r="A940" s="269"/>
      <c r="B940" s="269"/>
      <c r="C940" s="269"/>
      <c r="D940" s="269"/>
      <c r="E940" s="269"/>
      <c r="F940" s="269"/>
      <c r="G940" s="269"/>
      <c r="H940" s="269"/>
      <c r="I940" s="269"/>
      <c r="J940" s="269"/>
      <c r="K940" s="269"/>
      <c r="L940" s="269"/>
      <c r="M940" s="269"/>
      <c r="N940" s="269"/>
      <c r="O940" s="269"/>
      <c r="P940" s="269"/>
      <c r="Q940" s="269"/>
      <c r="R940" s="269"/>
      <c r="S940" s="269"/>
      <c r="T940" s="269"/>
      <c r="U940" s="269"/>
      <c r="V940" s="269"/>
      <c r="W940" s="269"/>
      <c r="X940" s="269"/>
      <c r="Y940" s="269"/>
      <c r="Z940" s="269"/>
    </row>
    <row r="941">
      <c r="A941" s="269"/>
      <c r="B941" s="269"/>
      <c r="C941" s="269"/>
      <c r="D941" s="269"/>
      <c r="E941" s="269"/>
      <c r="F941" s="269"/>
      <c r="G941" s="269"/>
      <c r="H941" s="269"/>
      <c r="I941" s="269"/>
      <c r="J941" s="269"/>
      <c r="K941" s="269"/>
      <c r="L941" s="269"/>
      <c r="M941" s="269"/>
      <c r="N941" s="269"/>
      <c r="O941" s="269"/>
      <c r="P941" s="269"/>
      <c r="Q941" s="269"/>
      <c r="R941" s="269"/>
      <c r="S941" s="269"/>
      <c r="T941" s="269"/>
      <c r="U941" s="269"/>
      <c r="V941" s="269"/>
      <c r="W941" s="269"/>
      <c r="X941" s="269"/>
      <c r="Y941" s="269"/>
      <c r="Z941" s="269"/>
    </row>
    <row r="942">
      <c r="A942" s="269"/>
      <c r="B942" s="269"/>
      <c r="C942" s="269"/>
      <c r="D942" s="269"/>
      <c r="E942" s="269"/>
      <c r="F942" s="269"/>
      <c r="G942" s="269"/>
      <c r="H942" s="269"/>
      <c r="I942" s="269"/>
      <c r="J942" s="269"/>
      <c r="K942" s="269"/>
      <c r="L942" s="269"/>
      <c r="M942" s="269"/>
      <c r="N942" s="269"/>
      <c r="O942" s="269"/>
      <c r="P942" s="269"/>
      <c r="Q942" s="269"/>
      <c r="R942" s="269"/>
      <c r="S942" s="269"/>
      <c r="T942" s="269"/>
      <c r="U942" s="269"/>
      <c r="V942" s="269"/>
      <c r="W942" s="269"/>
      <c r="X942" s="269"/>
      <c r="Y942" s="269"/>
      <c r="Z942" s="269"/>
    </row>
    <row r="943">
      <c r="A943" s="269"/>
      <c r="B943" s="269"/>
      <c r="C943" s="269"/>
      <c r="D943" s="269"/>
      <c r="E943" s="269"/>
      <c r="F943" s="269"/>
      <c r="G943" s="269"/>
      <c r="H943" s="269"/>
      <c r="I943" s="269"/>
      <c r="J943" s="269"/>
      <c r="K943" s="269"/>
      <c r="L943" s="269"/>
      <c r="M943" s="269"/>
      <c r="N943" s="269"/>
      <c r="O943" s="269"/>
      <c r="P943" s="269"/>
      <c r="Q943" s="269"/>
      <c r="R943" s="269"/>
      <c r="S943" s="269"/>
      <c r="T943" s="269"/>
      <c r="U943" s="269"/>
      <c r="V943" s="269"/>
      <c r="W943" s="269"/>
      <c r="X943" s="269"/>
      <c r="Y943" s="269"/>
      <c r="Z943" s="269"/>
    </row>
    <row r="944">
      <c r="A944" s="269"/>
      <c r="B944" s="269"/>
      <c r="C944" s="269"/>
      <c r="D944" s="269"/>
      <c r="E944" s="269"/>
      <c r="F944" s="269"/>
      <c r="G944" s="269"/>
      <c r="H944" s="269"/>
      <c r="I944" s="269"/>
      <c r="J944" s="269"/>
      <c r="K944" s="269"/>
      <c r="L944" s="269"/>
      <c r="M944" s="269"/>
      <c r="N944" s="269"/>
      <c r="O944" s="269"/>
      <c r="P944" s="269"/>
      <c r="Q944" s="269"/>
      <c r="R944" s="269"/>
      <c r="S944" s="269"/>
      <c r="T944" s="269"/>
      <c r="U944" s="269"/>
      <c r="V944" s="269"/>
      <c r="W944" s="269"/>
      <c r="X944" s="269"/>
      <c r="Y944" s="269"/>
      <c r="Z944" s="269"/>
    </row>
    <row r="945">
      <c r="A945" s="269"/>
      <c r="B945" s="269"/>
      <c r="C945" s="269"/>
      <c r="D945" s="269"/>
      <c r="E945" s="269"/>
      <c r="F945" s="269"/>
      <c r="G945" s="269"/>
      <c r="H945" s="269"/>
      <c r="I945" s="269"/>
      <c r="J945" s="269"/>
      <c r="K945" s="269"/>
      <c r="L945" s="269"/>
      <c r="M945" s="269"/>
      <c r="N945" s="269"/>
      <c r="O945" s="269"/>
      <c r="P945" s="269"/>
      <c r="Q945" s="269"/>
      <c r="R945" s="269"/>
      <c r="S945" s="269"/>
      <c r="T945" s="269"/>
      <c r="U945" s="269"/>
      <c r="V945" s="269"/>
      <c r="W945" s="269"/>
      <c r="X945" s="269"/>
      <c r="Y945" s="269"/>
      <c r="Z945" s="269"/>
    </row>
    <row r="946">
      <c r="A946" s="269"/>
      <c r="B946" s="269"/>
      <c r="C946" s="269"/>
      <c r="D946" s="269"/>
      <c r="E946" s="269"/>
      <c r="F946" s="269"/>
      <c r="G946" s="269"/>
      <c r="H946" s="269"/>
      <c r="I946" s="269"/>
      <c r="J946" s="269"/>
      <c r="K946" s="269"/>
      <c r="L946" s="269"/>
      <c r="M946" s="269"/>
      <c r="N946" s="269"/>
      <c r="O946" s="269"/>
      <c r="P946" s="269"/>
      <c r="Q946" s="269"/>
      <c r="R946" s="269"/>
      <c r="S946" s="269"/>
      <c r="T946" s="269"/>
      <c r="U946" s="269"/>
      <c r="V946" s="269"/>
      <c r="W946" s="269"/>
      <c r="X946" s="269"/>
      <c r="Y946" s="269"/>
      <c r="Z946" s="269"/>
    </row>
    <row r="947">
      <c r="A947" s="269"/>
      <c r="B947" s="269"/>
      <c r="C947" s="269"/>
      <c r="D947" s="269"/>
      <c r="E947" s="269"/>
      <c r="F947" s="269"/>
      <c r="G947" s="269"/>
      <c r="H947" s="269"/>
      <c r="I947" s="269"/>
      <c r="J947" s="269"/>
      <c r="K947" s="269"/>
      <c r="L947" s="269"/>
      <c r="M947" s="269"/>
      <c r="N947" s="269"/>
      <c r="O947" s="269"/>
      <c r="P947" s="269"/>
      <c r="Q947" s="269"/>
      <c r="R947" s="269"/>
      <c r="S947" s="269"/>
      <c r="T947" s="269"/>
      <c r="U947" s="269"/>
      <c r="V947" s="269"/>
      <c r="W947" s="269"/>
      <c r="X947" s="269"/>
      <c r="Y947" s="269"/>
      <c r="Z947" s="269"/>
    </row>
    <row r="948">
      <c r="A948" s="269"/>
      <c r="B948" s="269"/>
      <c r="C948" s="269"/>
      <c r="D948" s="269"/>
      <c r="E948" s="269"/>
      <c r="F948" s="269"/>
      <c r="G948" s="269"/>
      <c r="H948" s="269"/>
      <c r="I948" s="269"/>
      <c r="J948" s="269"/>
      <c r="K948" s="269"/>
      <c r="L948" s="269"/>
      <c r="M948" s="269"/>
      <c r="N948" s="269"/>
      <c r="O948" s="269"/>
      <c r="P948" s="269"/>
      <c r="Q948" s="269"/>
      <c r="R948" s="269"/>
      <c r="S948" s="269"/>
      <c r="T948" s="269"/>
      <c r="U948" s="269"/>
      <c r="V948" s="269"/>
      <c r="W948" s="269"/>
      <c r="X948" s="269"/>
      <c r="Y948" s="269"/>
      <c r="Z948" s="269"/>
    </row>
    <row r="949">
      <c r="A949" s="269"/>
      <c r="B949" s="269"/>
      <c r="C949" s="269"/>
      <c r="D949" s="269"/>
      <c r="E949" s="269"/>
      <c r="F949" s="269"/>
      <c r="G949" s="269"/>
      <c r="H949" s="269"/>
      <c r="I949" s="269"/>
      <c r="J949" s="269"/>
      <c r="K949" s="269"/>
      <c r="L949" s="269"/>
      <c r="M949" s="269"/>
      <c r="N949" s="269"/>
      <c r="O949" s="269"/>
      <c r="P949" s="269"/>
      <c r="Q949" s="269"/>
      <c r="R949" s="269"/>
      <c r="S949" s="269"/>
      <c r="T949" s="269"/>
      <c r="U949" s="269"/>
      <c r="V949" s="269"/>
      <c r="W949" s="269"/>
      <c r="X949" s="269"/>
      <c r="Y949" s="269"/>
      <c r="Z949" s="269"/>
    </row>
    <row r="950">
      <c r="A950" s="269"/>
      <c r="B950" s="269"/>
      <c r="C950" s="269"/>
      <c r="D950" s="269"/>
      <c r="E950" s="269"/>
      <c r="F950" s="269"/>
      <c r="G950" s="269"/>
      <c r="H950" s="269"/>
      <c r="I950" s="269"/>
      <c r="J950" s="269"/>
      <c r="K950" s="269"/>
      <c r="L950" s="269"/>
      <c r="M950" s="269"/>
      <c r="N950" s="269"/>
      <c r="O950" s="269"/>
      <c r="P950" s="269"/>
      <c r="Q950" s="269"/>
      <c r="R950" s="269"/>
      <c r="S950" s="269"/>
      <c r="T950" s="269"/>
      <c r="U950" s="269"/>
      <c r="V950" s="269"/>
      <c r="W950" s="269"/>
      <c r="X950" s="269"/>
      <c r="Y950" s="269"/>
      <c r="Z950" s="269"/>
    </row>
    <row r="951">
      <c r="A951" s="269"/>
      <c r="B951" s="269"/>
      <c r="C951" s="269"/>
      <c r="D951" s="269"/>
      <c r="E951" s="269"/>
      <c r="F951" s="269"/>
      <c r="G951" s="269"/>
      <c r="H951" s="269"/>
      <c r="I951" s="269"/>
      <c r="J951" s="269"/>
      <c r="K951" s="269"/>
      <c r="L951" s="269"/>
      <c r="M951" s="269"/>
      <c r="N951" s="269"/>
      <c r="O951" s="269"/>
      <c r="P951" s="269"/>
      <c r="Q951" s="269"/>
      <c r="R951" s="269"/>
      <c r="S951" s="269"/>
      <c r="T951" s="269"/>
      <c r="U951" s="269"/>
      <c r="V951" s="269"/>
      <c r="W951" s="269"/>
      <c r="X951" s="269"/>
      <c r="Y951" s="269"/>
      <c r="Z951" s="269"/>
    </row>
    <row r="952">
      <c r="A952" s="269"/>
      <c r="B952" s="269"/>
      <c r="C952" s="269"/>
      <c r="D952" s="269"/>
      <c r="E952" s="269"/>
      <c r="F952" s="269"/>
      <c r="G952" s="269"/>
      <c r="H952" s="269"/>
      <c r="I952" s="269"/>
      <c r="J952" s="269"/>
      <c r="K952" s="269"/>
      <c r="L952" s="269"/>
      <c r="M952" s="269"/>
      <c r="N952" s="269"/>
      <c r="O952" s="269"/>
      <c r="P952" s="269"/>
      <c r="Q952" s="269"/>
      <c r="R952" s="269"/>
      <c r="S952" s="269"/>
      <c r="T952" s="269"/>
      <c r="U952" s="269"/>
      <c r="V952" s="269"/>
      <c r="W952" s="269"/>
      <c r="X952" s="269"/>
      <c r="Y952" s="269"/>
      <c r="Z952" s="269"/>
    </row>
    <row r="953">
      <c r="A953" s="269"/>
      <c r="B953" s="269"/>
      <c r="C953" s="269"/>
      <c r="D953" s="269"/>
      <c r="E953" s="269"/>
      <c r="F953" s="269"/>
      <c r="G953" s="269"/>
      <c r="H953" s="269"/>
      <c r="I953" s="269"/>
      <c r="J953" s="269"/>
      <c r="K953" s="269"/>
      <c r="L953" s="269"/>
      <c r="M953" s="269"/>
      <c r="N953" s="269"/>
      <c r="O953" s="269"/>
      <c r="P953" s="269"/>
      <c r="Q953" s="269"/>
      <c r="R953" s="269"/>
      <c r="S953" s="269"/>
      <c r="T953" s="269"/>
      <c r="U953" s="269"/>
      <c r="V953" s="269"/>
      <c r="W953" s="269"/>
      <c r="X953" s="269"/>
      <c r="Y953" s="269"/>
      <c r="Z953" s="269"/>
    </row>
    <row r="954">
      <c r="A954" s="269"/>
      <c r="B954" s="269"/>
      <c r="C954" s="269"/>
      <c r="D954" s="269"/>
      <c r="E954" s="269"/>
      <c r="F954" s="269"/>
      <c r="G954" s="269"/>
      <c r="H954" s="269"/>
      <c r="I954" s="269"/>
      <c r="J954" s="269"/>
      <c r="K954" s="269"/>
      <c r="L954" s="269"/>
      <c r="M954" s="269"/>
      <c r="N954" s="269"/>
      <c r="O954" s="269"/>
      <c r="P954" s="269"/>
      <c r="Q954" s="269"/>
      <c r="R954" s="269"/>
      <c r="S954" s="269"/>
      <c r="T954" s="269"/>
      <c r="U954" s="269"/>
      <c r="V954" s="269"/>
      <c r="W954" s="269"/>
      <c r="X954" s="269"/>
      <c r="Y954" s="269"/>
      <c r="Z954" s="269"/>
    </row>
    <row r="955">
      <c r="A955" s="269"/>
      <c r="B955" s="269"/>
      <c r="C955" s="269"/>
      <c r="D955" s="269"/>
      <c r="E955" s="269"/>
      <c r="F955" s="269"/>
      <c r="G955" s="269"/>
      <c r="H955" s="269"/>
      <c r="I955" s="269"/>
      <c r="J955" s="269"/>
      <c r="K955" s="269"/>
      <c r="L955" s="269"/>
      <c r="M955" s="269"/>
      <c r="N955" s="269"/>
      <c r="O955" s="269"/>
      <c r="P955" s="269"/>
      <c r="Q955" s="269"/>
      <c r="R955" s="269"/>
      <c r="S955" s="269"/>
      <c r="T955" s="269"/>
      <c r="U955" s="269"/>
      <c r="V955" s="269"/>
      <c r="W955" s="269"/>
      <c r="X955" s="269"/>
      <c r="Y955" s="269"/>
      <c r="Z955" s="269"/>
    </row>
    <row r="956">
      <c r="A956" s="269"/>
      <c r="B956" s="269"/>
      <c r="C956" s="269"/>
      <c r="D956" s="269"/>
      <c r="E956" s="269"/>
      <c r="F956" s="269"/>
      <c r="G956" s="269"/>
      <c r="H956" s="269"/>
      <c r="I956" s="269"/>
      <c r="J956" s="269"/>
      <c r="K956" s="269"/>
      <c r="L956" s="269"/>
      <c r="M956" s="269"/>
      <c r="N956" s="269"/>
      <c r="O956" s="269"/>
      <c r="P956" s="269"/>
      <c r="Q956" s="269"/>
      <c r="R956" s="269"/>
      <c r="S956" s="269"/>
      <c r="T956" s="269"/>
      <c r="U956" s="269"/>
      <c r="V956" s="269"/>
      <c r="W956" s="269"/>
      <c r="X956" s="269"/>
      <c r="Y956" s="269"/>
      <c r="Z956" s="269"/>
    </row>
    <row r="957">
      <c r="A957" s="269"/>
      <c r="B957" s="269"/>
      <c r="C957" s="269"/>
      <c r="D957" s="269"/>
      <c r="E957" s="269"/>
      <c r="F957" s="269"/>
      <c r="G957" s="269"/>
      <c r="H957" s="269"/>
      <c r="I957" s="269"/>
      <c r="J957" s="269"/>
      <c r="K957" s="269"/>
      <c r="L957" s="269"/>
      <c r="M957" s="269"/>
      <c r="N957" s="269"/>
      <c r="O957" s="269"/>
      <c r="P957" s="269"/>
      <c r="Q957" s="269"/>
      <c r="R957" s="269"/>
      <c r="S957" s="269"/>
      <c r="T957" s="269"/>
      <c r="U957" s="269"/>
      <c r="V957" s="269"/>
      <c r="W957" s="269"/>
      <c r="X957" s="269"/>
      <c r="Y957" s="269"/>
      <c r="Z957" s="269"/>
    </row>
    <row r="958">
      <c r="A958" s="269"/>
      <c r="B958" s="269"/>
      <c r="C958" s="269"/>
      <c r="D958" s="269"/>
      <c r="E958" s="269"/>
      <c r="F958" s="269"/>
      <c r="G958" s="269"/>
      <c r="H958" s="269"/>
      <c r="I958" s="269"/>
      <c r="J958" s="269"/>
      <c r="K958" s="269"/>
      <c r="L958" s="269"/>
      <c r="M958" s="269"/>
      <c r="N958" s="269"/>
      <c r="O958" s="269"/>
      <c r="P958" s="269"/>
      <c r="Q958" s="269"/>
      <c r="R958" s="269"/>
      <c r="S958" s="269"/>
      <c r="T958" s="269"/>
      <c r="U958" s="269"/>
      <c r="V958" s="269"/>
      <c r="W958" s="269"/>
      <c r="X958" s="269"/>
      <c r="Y958" s="269"/>
      <c r="Z958" s="269"/>
    </row>
    <row r="959">
      <c r="A959" s="269"/>
      <c r="B959" s="269"/>
      <c r="C959" s="269"/>
      <c r="D959" s="269"/>
      <c r="E959" s="269"/>
      <c r="F959" s="269"/>
      <c r="G959" s="269"/>
      <c r="H959" s="269"/>
      <c r="I959" s="269"/>
      <c r="J959" s="269"/>
      <c r="K959" s="269"/>
      <c r="L959" s="269"/>
      <c r="M959" s="269"/>
      <c r="N959" s="269"/>
      <c r="O959" s="269"/>
      <c r="P959" s="269"/>
      <c r="Q959" s="269"/>
      <c r="R959" s="269"/>
      <c r="S959" s="269"/>
      <c r="T959" s="269"/>
      <c r="U959" s="269"/>
      <c r="V959" s="269"/>
      <c r="W959" s="269"/>
      <c r="X959" s="269"/>
      <c r="Y959" s="269"/>
      <c r="Z959" s="269"/>
    </row>
    <row r="960">
      <c r="A960" s="269"/>
      <c r="B960" s="269"/>
      <c r="C960" s="269"/>
      <c r="D960" s="269"/>
      <c r="E960" s="269"/>
      <c r="F960" s="269"/>
      <c r="G960" s="269"/>
      <c r="H960" s="269"/>
      <c r="I960" s="269"/>
      <c r="J960" s="269"/>
      <c r="K960" s="269"/>
      <c r="L960" s="269"/>
      <c r="M960" s="269"/>
      <c r="N960" s="269"/>
      <c r="O960" s="269"/>
      <c r="P960" s="269"/>
      <c r="Q960" s="269"/>
      <c r="R960" s="269"/>
      <c r="S960" s="269"/>
      <c r="T960" s="269"/>
      <c r="U960" s="269"/>
      <c r="V960" s="269"/>
      <c r="W960" s="269"/>
      <c r="X960" s="269"/>
      <c r="Y960" s="269"/>
      <c r="Z960" s="269"/>
    </row>
    <row r="961">
      <c r="A961" s="269"/>
      <c r="B961" s="269"/>
      <c r="C961" s="269"/>
      <c r="D961" s="269"/>
      <c r="E961" s="269"/>
      <c r="F961" s="269"/>
      <c r="G961" s="269"/>
      <c r="H961" s="269"/>
      <c r="I961" s="269"/>
      <c r="J961" s="269"/>
      <c r="K961" s="269"/>
      <c r="L961" s="269"/>
      <c r="M961" s="269"/>
      <c r="N961" s="269"/>
      <c r="O961" s="269"/>
      <c r="P961" s="269"/>
      <c r="Q961" s="269"/>
      <c r="R961" s="269"/>
      <c r="S961" s="269"/>
      <c r="T961" s="269"/>
      <c r="U961" s="269"/>
      <c r="V961" s="269"/>
      <c r="W961" s="269"/>
      <c r="X961" s="269"/>
      <c r="Y961" s="269"/>
      <c r="Z961" s="269"/>
    </row>
    <row r="962">
      <c r="A962" s="269"/>
      <c r="B962" s="269"/>
      <c r="C962" s="269"/>
      <c r="D962" s="269"/>
      <c r="E962" s="269"/>
      <c r="F962" s="269"/>
      <c r="G962" s="269"/>
      <c r="H962" s="269"/>
      <c r="I962" s="269"/>
      <c r="J962" s="269"/>
      <c r="K962" s="269"/>
      <c r="L962" s="269"/>
      <c r="M962" s="269"/>
      <c r="N962" s="269"/>
      <c r="O962" s="269"/>
      <c r="P962" s="269"/>
      <c r="Q962" s="269"/>
      <c r="R962" s="269"/>
      <c r="S962" s="269"/>
      <c r="T962" s="269"/>
      <c r="U962" s="269"/>
      <c r="V962" s="269"/>
      <c r="W962" s="269"/>
      <c r="X962" s="269"/>
      <c r="Y962" s="269"/>
      <c r="Z962" s="269"/>
    </row>
    <row r="963">
      <c r="A963" s="269"/>
      <c r="B963" s="269"/>
      <c r="C963" s="269"/>
      <c r="D963" s="269"/>
      <c r="E963" s="269"/>
      <c r="F963" s="269"/>
      <c r="G963" s="269"/>
      <c r="H963" s="269"/>
      <c r="I963" s="269"/>
      <c r="J963" s="269"/>
      <c r="K963" s="269"/>
      <c r="L963" s="269"/>
      <c r="M963" s="269"/>
      <c r="N963" s="269"/>
      <c r="O963" s="269"/>
      <c r="P963" s="269"/>
      <c r="Q963" s="269"/>
      <c r="R963" s="269"/>
      <c r="S963" s="269"/>
      <c r="T963" s="269"/>
      <c r="U963" s="269"/>
      <c r="V963" s="269"/>
      <c r="W963" s="269"/>
      <c r="X963" s="269"/>
      <c r="Y963" s="269"/>
      <c r="Z963" s="269"/>
    </row>
    <row r="964">
      <c r="A964" s="269"/>
      <c r="B964" s="269"/>
      <c r="C964" s="269"/>
      <c r="D964" s="269"/>
      <c r="E964" s="269"/>
      <c r="F964" s="269"/>
      <c r="G964" s="269"/>
      <c r="H964" s="269"/>
      <c r="I964" s="269"/>
      <c r="J964" s="269"/>
      <c r="K964" s="269"/>
      <c r="L964" s="269"/>
      <c r="M964" s="269"/>
      <c r="N964" s="269"/>
      <c r="O964" s="269"/>
      <c r="P964" s="269"/>
      <c r="Q964" s="269"/>
      <c r="R964" s="269"/>
      <c r="S964" s="269"/>
      <c r="T964" s="269"/>
      <c r="U964" s="269"/>
      <c r="V964" s="269"/>
      <c r="W964" s="269"/>
      <c r="X964" s="269"/>
      <c r="Y964" s="269"/>
      <c r="Z964" s="269"/>
    </row>
    <row r="965">
      <c r="A965" s="269"/>
      <c r="B965" s="269"/>
      <c r="C965" s="269"/>
      <c r="D965" s="269"/>
      <c r="E965" s="269"/>
      <c r="F965" s="269"/>
      <c r="G965" s="269"/>
      <c r="H965" s="269"/>
      <c r="I965" s="269"/>
      <c r="J965" s="269"/>
      <c r="K965" s="269"/>
      <c r="L965" s="269"/>
      <c r="M965" s="269"/>
      <c r="N965" s="269"/>
      <c r="O965" s="269"/>
      <c r="P965" s="269"/>
      <c r="Q965" s="269"/>
      <c r="R965" s="269"/>
      <c r="S965" s="269"/>
      <c r="T965" s="269"/>
      <c r="U965" s="269"/>
      <c r="V965" s="269"/>
      <c r="W965" s="269"/>
      <c r="X965" s="269"/>
      <c r="Y965" s="269"/>
      <c r="Z965" s="269"/>
    </row>
    <row r="966">
      <c r="A966" s="269"/>
      <c r="B966" s="269"/>
      <c r="C966" s="269"/>
      <c r="D966" s="269"/>
      <c r="E966" s="269"/>
      <c r="F966" s="269"/>
      <c r="G966" s="269"/>
      <c r="H966" s="269"/>
      <c r="I966" s="269"/>
      <c r="J966" s="269"/>
      <c r="K966" s="269"/>
      <c r="L966" s="269"/>
      <c r="M966" s="269"/>
      <c r="N966" s="269"/>
      <c r="O966" s="269"/>
      <c r="P966" s="269"/>
      <c r="Q966" s="269"/>
      <c r="R966" s="269"/>
      <c r="S966" s="269"/>
      <c r="T966" s="269"/>
      <c r="U966" s="269"/>
      <c r="V966" s="269"/>
      <c r="W966" s="269"/>
      <c r="X966" s="269"/>
      <c r="Y966" s="269"/>
      <c r="Z966" s="269"/>
    </row>
    <row r="967">
      <c r="A967" s="269"/>
      <c r="B967" s="269"/>
      <c r="C967" s="269"/>
      <c r="D967" s="269"/>
      <c r="E967" s="269"/>
      <c r="F967" s="269"/>
      <c r="G967" s="269"/>
      <c r="H967" s="269"/>
      <c r="I967" s="269"/>
      <c r="J967" s="269"/>
      <c r="K967" s="269"/>
      <c r="L967" s="269"/>
      <c r="M967" s="269"/>
      <c r="N967" s="269"/>
      <c r="O967" s="269"/>
      <c r="P967" s="269"/>
      <c r="Q967" s="269"/>
      <c r="R967" s="269"/>
      <c r="S967" s="269"/>
      <c r="T967" s="269"/>
      <c r="U967" s="269"/>
      <c r="V967" s="269"/>
      <c r="W967" s="269"/>
      <c r="X967" s="269"/>
      <c r="Y967" s="269"/>
      <c r="Z967" s="269"/>
    </row>
    <row r="968">
      <c r="A968" s="269"/>
      <c r="B968" s="269"/>
      <c r="C968" s="269"/>
      <c r="D968" s="269"/>
      <c r="E968" s="269"/>
      <c r="F968" s="269"/>
      <c r="G968" s="269"/>
      <c r="H968" s="269"/>
      <c r="I968" s="269"/>
      <c r="J968" s="269"/>
      <c r="K968" s="269"/>
      <c r="L968" s="269"/>
      <c r="M968" s="269"/>
      <c r="N968" s="269"/>
      <c r="O968" s="269"/>
      <c r="P968" s="269"/>
      <c r="Q968" s="269"/>
      <c r="R968" s="269"/>
      <c r="S968" s="269"/>
      <c r="T968" s="269"/>
      <c r="U968" s="269"/>
      <c r="V968" s="269"/>
      <c r="W968" s="269"/>
      <c r="X968" s="269"/>
      <c r="Y968" s="269"/>
      <c r="Z968" s="269"/>
    </row>
    <row r="969">
      <c r="A969" s="269"/>
      <c r="B969" s="269"/>
      <c r="C969" s="269"/>
      <c r="D969" s="269"/>
      <c r="E969" s="269"/>
      <c r="F969" s="269"/>
      <c r="G969" s="269"/>
      <c r="H969" s="269"/>
      <c r="I969" s="269"/>
      <c r="J969" s="269"/>
      <c r="K969" s="269"/>
      <c r="L969" s="269"/>
      <c r="M969" s="269"/>
      <c r="N969" s="269"/>
      <c r="O969" s="269"/>
      <c r="P969" s="269"/>
      <c r="Q969" s="269"/>
      <c r="R969" s="269"/>
      <c r="S969" s="269"/>
      <c r="T969" s="269"/>
      <c r="U969" s="269"/>
      <c r="V969" s="269"/>
      <c r="W969" s="269"/>
      <c r="X969" s="269"/>
      <c r="Y969" s="269"/>
      <c r="Z969" s="269"/>
    </row>
    <row r="970">
      <c r="A970" s="269"/>
      <c r="B970" s="269"/>
      <c r="C970" s="269"/>
      <c r="D970" s="269"/>
      <c r="E970" s="269"/>
      <c r="F970" s="269"/>
      <c r="G970" s="269"/>
      <c r="H970" s="269"/>
      <c r="I970" s="269"/>
      <c r="J970" s="269"/>
      <c r="K970" s="269"/>
      <c r="L970" s="269"/>
      <c r="M970" s="269"/>
      <c r="N970" s="269"/>
      <c r="O970" s="269"/>
      <c r="P970" s="269"/>
      <c r="Q970" s="269"/>
      <c r="R970" s="269"/>
      <c r="S970" s="269"/>
      <c r="T970" s="269"/>
      <c r="U970" s="269"/>
      <c r="V970" s="269"/>
      <c r="W970" s="269"/>
      <c r="X970" s="269"/>
      <c r="Y970" s="269"/>
      <c r="Z970" s="269"/>
    </row>
    <row r="971">
      <c r="A971" s="269"/>
      <c r="B971" s="269"/>
      <c r="C971" s="269"/>
      <c r="D971" s="269"/>
      <c r="E971" s="269"/>
      <c r="F971" s="269"/>
      <c r="G971" s="269"/>
      <c r="H971" s="269"/>
      <c r="I971" s="269"/>
      <c r="J971" s="269"/>
      <c r="K971" s="269"/>
      <c r="L971" s="269"/>
      <c r="M971" s="269"/>
      <c r="N971" s="269"/>
      <c r="O971" s="269"/>
      <c r="P971" s="269"/>
      <c r="Q971" s="269"/>
      <c r="R971" s="269"/>
      <c r="S971" s="269"/>
      <c r="T971" s="269"/>
      <c r="U971" s="269"/>
      <c r="V971" s="269"/>
      <c r="W971" s="269"/>
      <c r="X971" s="269"/>
      <c r="Y971" s="269"/>
      <c r="Z971" s="269"/>
    </row>
    <row r="972">
      <c r="A972" s="269"/>
      <c r="B972" s="269"/>
      <c r="C972" s="269"/>
      <c r="D972" s="269"/>
      <c r="E972" s="269"/>
      <c r="F972" s="269"/>
      <c r="G972" s="269"/>
      <c r="H972" s="269"/>
      <c r="I972" s="269"/>
      <c r="J972" s="269"/>
      <c r="K972" s="269"/>
      <c r="L972" s="269"/>
      <c r="M972" s="269"/>
      <c r="N972" s="269"/>
      <c r="O972" s="269"/>
      <c r="P972" s="269"/>
      <c r="Q972" s="269"/>
      <c r="R972" s="269"/>
      <c r="S972" s="269"/>
      <c r="T972" s="269"/>
      <c r="U972" s="269"/>
      <c r="V972" s="269"/>
      <c r="W972" s="269"/>
      <c r="X972" s="269"/>
      <c r="Y972" s="269"/>
      <c r="Z972" s="269"/>
    </row>
    <row r="973">
      <c r="A973" s="269"/>
      <c r="B973" s="269"/>
      <c r="C973" s="269"/>
      <c r="D973" s="269"/>
      <c r="E973" s="269"/>
      <c r="F973" s="269"/>
      <c r="G973" s="269"/>
      <c r="H973" s="269"/>
      <c r="I973" s="269"/>
      <c r="J973" s="269"/>
      <c r="K973" s="269"/>
      <c r="L973" s="269"/>
      <c r="M973" s="269"/>
      <c r="N973" s="269"/>
      <c r="O973" s="269"/>
      <c r="P973" s="269"/>
      <c r="Q973" s="269"/>
      <c r="R973" s="269"/>
      <c r="S973" s="269"/>
      <c r="T973" s="269"/>
      <c r="U973" s="269"/>
      <c r="V973" s="269"/>
      <c r="W973" s="269"/>
      <c r="X973" s="269"/>
      <c r="Y973" s="269"/>
      <c r="Z973" s="269"/>
    </row>
    <row r="974">
      <c r="A974" s="269"/>
      <c r="B974" s="269"/>
      <c r="C974" s="269"/>
      <c r="D974" s="269"/>
      <c r="E974" s="269"/>
      <c r="F974" s="269"/>
      <c r="G974" s="269"/>
      <c r="H974" s="269"/>
      <c r="I974" s="269"/>
      <c r="J974" s="269"/>
      <c r="K974" s="269"/>
      <c r="L974" s="269"/>
      <c r="M974" s="269"/>
      <c r="N974" s="269"/>
      <c r="O974" s="269"/>
      <c r="P974" s="269"/>
      <c r="Q974" s="269"/>
      <c r="R974" s="269"/>
      <c r="S974" s="269"/>
      <c r="T974" s="269"/>
      <c r="U974" s="269"/>
      <c r="V974" s="269"/>
      <c r="W974" s="269"/>
      <c r="X974" s="269"/>
      <c r="Y974" s="269"/>
      <c r="Z974" s="269"/>
    </row>
    <row r="975">
      <c r="A975" s="269"/>
      <c r="B975" s="269"/>
      <c r="C975" s="269"/>
      <c r="D975" s="269"/>
      <c r="E975" s="269"/>
      <c r="F975" s="269"/>
      <c r="G975" s="269"/>
      <c r="H975" s="269"/>
      <c r="I975" s="269"/>
      <c r="J975" s="269"/>
      <c r="K975" s="269"/>
      <c r="L975" s="269"/>
      <c r="M975" s="269"/>
      <c r="N975" s="269"/>
      <c r="O975" s="269"/>
      <c r="P975" s="269"/>
      <c r="Q975" s="269"/>
      <c r="R975" s="269"/>
      <c r="S975" s="269"/>
      <c r="T975" s="269"/>
      <c r="U975" s="269"/>
      <c r="V975" s="269"/>
      <c r="W975" s="269"/>
      <c r="X975" s="269"/>
      <c r="Y975" s="269"/>
      <c r="Z975" s="269"/>
    </row>
    <row r="976">
      <c r="A976" s="269"/>
      <c r="B976" s="269"/>
      <c r="C976" s="269"/>
      <c r="D976" s="269"/>
      <c r="E976" s="269"/>
      <c r="F976" s="269"/>
      <c r="G976" s="269"/>
      <c r="H976" s="269"/>
      <c r="I976" s="269"/>
      <c r="J976" s="269"/>
      <c r="K976" s="269"/>
      <c r="L976" s="269"/>
      <c r="M976" s="269"/>
      <c r="N976" s="269"/>
      <c r="O976" s="269"/>
      <c r="P976" s="269"/>
      <c r="Q976" s="269"/>
      <c r="R976" s="269"/>
      <c r="S976" s="269"/>
      <c r="T976" s="269"/>
      <c r="U976" s="269"/>
      <c r="V976" s="269"/>
      <c r="W976" s="269"/>
      <c r="X976" s="269"/>
      <c r="Y976" s="269"/>
      <c r="Z976" s="269"/>
    </row>
    <row r="977">
      <c r="A977" s="269"/>
      <c r="B977" s="269"/>
      <c r="C977" s="269"/>
      <c r="D977" s="269"/>
      <c r="E977" s="269"/>
      <c r="F977" s="269"/>
      <c r="G977" s="269"/>
      <c r="H977" s="269"/>
      <c r="I977" s="269"/>
      <c r="J977" s="269"/>
      <c r="K977" s="269"/>
      <c r="L977" s="269"/>
      <c r="M977" s="269"/>
      <c r="N977" s="269"/>
      <c r="O977" s="269"/>
      <c r="P977" s="269"/>
      <c r="Q977" s="269"/>
      <c r="R977" s="269"/>
      <c r="S977" s="269"/>
      <c r="T977" s="269"/>
      <c r="U977" s="269"/>
      <c r="V977" s="269"/>
      <c r="W977" s="269"/>
      <c r="X977" s="269"/>
      <c r="Y977" s="269"/>
      <c r="Z977" s="269"/>
    </row>
    <row r="978">
      <c r="A978" s="269"/>
      <c r="B978" s="269"/>
      <c r="C978" s="269"/>
      <c r="D978" s="269"/>
      <c r="E978" s="269"/>
      <c r="F978" s="269"/>
      <c r="G978" s="269"/>
      <c r="H978" s="269"/>
      <c r="I978" s="269"/>
      <c r="J978" s="269"/>
      <c r="K978" s="269"/>
      <c r="L978" s="269"/>
      <c r="M978" s="269"/>
      <c r="N978" s="269"/>
      <c r="O978" s="269"/>
      <c r="P978" s="269"/>
      <c r="Q978" s="269"/>
      <c r="R978" s="269"/>
      <c r="S978" s="269"/>
      <c r="T978" s="269"/>
      <c r="U978" s="269"/>
      <c r="V978" s="269"/>
      <c r="W978" s="269"/>
      <c r="X978" s="269"/>
      <c r="Y978" s="269"/>
      <c r="Z978" s="269"/>
    </row>
    <row r="979">
      <c r="A979" s="269"/>
      <c r="B979" s="269"/>
      <c r="C979" s="269"/>
      <c r="D979" s="269"/>
      <c r="E979" s="269"/>
      <c r="F979" s="269"/>
      <c r="G979" s="269"/>
      <c r="H979" s="269"/>
      <c r="I979" s="269"/>
      <c r="J979" s="269"/>
      <c r="K979" s="269"/>
      <c r="L979" s="269"/>
      <c r="M979" s="269"/>
      <c r="N979" s="269"/>
      <c r="O979" s="269"/>
      <c r="P979" s="269"/>
      <c r="Q979" s="269"/>
      <c r="R979" s="269"/>
      <c r="S979" s="269"/>
      <c r="T979" s="269"/>
      <c r="U979" s="269"/>
      <c r="V979" s="269"/>
      <c r="W979" s="269"/>
      <c r="X979" s="269"/>
      <c r="Y979" s="269"/>
      <c r="Z979" s="269"/>
    </row>
    <row r="980">
      <c r="A980" s="269"/>
      <c r="B980" s="269"/>
      <c r="C980" s="269"/>
      <c r="D980" s="269"/>
      <c r="E980" s="269"/>
      <c r="F980" s="269"/>
      <c r="G980" s="269"/>
      <c r="H980" s="269"/>
      <c r="I980" s="269"/>
      <c r="J980" s="269"/>
      <c r="K980" s="269"/>
      <c r="L980" s="269"/>
      <c r="M980" s="269"/>
      <c r="N980" s="269"/>
      <c r="O980" s="269"/>
      <c r="P980" s="269"/>
      <c r="Q980" s="269"/>
      <c r="R980" s="269"/>
      <c r="S980" s="269"/>
      <c r="T980" s="269"/>
      <c r="U980" s="269"/>
      <c r="V980" s="269"/>
      <c r="W980" s="269"/>
      <c r="X980" s="269"/>
      <c r="Y980" s="269"/>
      <c r="Z980" s="269"/>
    </row>
    <row r="981">
      <c r="A981" s="269"/>
      <c r="B981" s="269"/>
      <c r="C981" s="269"/>
      <c r="D981" s="269"/>
      <c r="E981" s="269"/>
      <c r="F981" s="269"/>
      <c r="G981" s="269"/>
      <c r="H981" s="269"/>
      <c r="I981" s="269"/>
      <c r="J981" s="269"/>
      <c r="K981" s="269"/>
      <c r="L981" s="269"/>
      <c r="M981" s="269"/>
      <c r="N981" s="269"/>
      <c r="O981" s="269"/>
      <c r="P981" s="269"/>
      <c r="Q981" s="269"/>
      <c r="R981" s="269"/>
      <c r="S981" s="269"/>
      <c r="T981" s="269"/>
      <c r="U981" s="269"/>
      <c r="V981" s="269"/>
      <c r="W981" s="269"/>
      <c r="X981" s="269"/>
      <c r="Y981" s="269"/>
      <c r="Z981" s="269"/>
    </row>
    <row r="982">
      <c r="A982" s="269"/>
      <c r="B982" s="269"/>
      <c r="C982" s="269"/>
      <c r="D982" s="269"/>
      <c r="E982" s="269"/>
      <c r="F982" s="269"/>
      <c r="G982" s="269"/>
      <c r="H982" s="269"/>
      <c r="I982" s="269"/>
      <c r="J982" s="269"/>
      <c r="K982" s="269"/>
      <c r="L982" s="269"/>
      <c r="M982" s="269"/>
      <c r="N982" s="269"/>
      <c r="O982" s="269"/>
      <c r="P982" s="269"/>
      <c r="Q982" s="269"/>
      <c r="R982" s="269"/>
      <c r="S982" s="269"/>
      <c r="T982" s="269"/>
      <c r="U982" s="269"/>
      <c r="V982" s="269"/>
      <c r="W982" s="269"/>
      <c r="X982" s="269"/>
      <c r="Y982" s="269"/>
      <c r="Z982" s="269"/>
    </row>
    <row r="983">
      <c r="A983" s="269"/>
      <c r="B983" s="269"/>
      <c r="C983" s="269"/>
      <c r="D983" s="269"/>
      <c r="E983" s="269"/>
      <c r="F983" s="269"/>
      <c r="G983" s="269"/>
      <c r="H983" s="269"/>
      <c r="I983" s="269"/>
      <c r="J983" s="269"/>
      <c r="K983" s="269"/>
      <c r="L983" s="269"/>
      <c r="M983" s="269"/>
      <c r="N983" s="269"/>
      <c r="O983" s="269"/>
      <c r="P983" s="269"/>
      <c r="Q983" s="269"/>
      <c r="R983" s="269"/>
      <c r="S983" s="269"/>
      <c r="T983" s="269"/>
      <c r="U983" s="269"/>
      <c r="V983" s="269"/>
      <c r="W983" s="269"/>
      <c r="X983" s="269"/>
      <c r="Y983" s="269"/>
      <c r="Z983" s="269"/>
    </row>
    <row r="984">
      <c r="A984" s="269"/>
      <c r="B984" s="269"/>
      <c r="C984" s="269"/>
      <c r="D984" s="269"/>
      <c r="E984" s="269"/>
      <c r="F984" s="269"/>
      <c r="G984" s="269"/>
      <c r="H984" s="269"/>
      <c r="I984" s="269"/>
      <c r="J984" s="269"/>
      <c r="K984" s="269"/>
      <c r="L984" s="269"/>
      <c r="M984" s="269"/>
      <c r="N984" s="269"/>
      <c r="O984" s="269"/>
      <c r="P984" s="269"/>
      <c r="Q984" s="269"/>
      <c r="R984" s="269"/>
      <c r="S984" s="269"/>
      <c r="T984" s="269"/>
      <c r="U984" s="269"/>
      <c r="V984" s="269"/>
      <c r="W984" s="269"/>
      <c r="X984" s="269"/>
      <c r="Y984" s="269"/>
      <c r="Z984" s="269"/>
    </row>
    <row r="985">
      <c r="A985" s="269"/>
      <c r="B985" s="269"/>
      <c r="C985" s="269"/>
      <c r="D985" s="269"/>
      <c r="E985" s="269"/>
      <c r="F985" s="269"/>
      <c r="G985" s="269"/>
      <c r="H985" s="269"/>
      <c r="I985" s="269"/>
      <c r="J985" s="269"/>
      <c r="K985" s="269"/>
      <c r="L985" s="269"/>
      <c r="M985" s="269"/>
      <c r="N985" s="269"/>
      <c r="O985" s="269"/>
      <c r="P985" s="269"/>
      <c r="Q985" s="269"/>
      <c r="R985" s="269"/>
      <c r="S985" s="269"/>
      <c r="T985" s="269"/>
      <c r="U985" s="269"/>
      <c r="V985" s="269"/>
      <c r="W985" s="269"/>
      <c r="X985" s="269"/>
      <c r="Y985" s="269"/>
      <c r="Z985" s="269"/>
    </row>
    <row r="986">
      <c r="A986" s="269"/>
      <c r="B986" s="269"/>
      <c r="C986" s="269"/>
      <c r="D986" s="269"/>
      <c r="E986" s="269"/>
      <c r="F986" s="269"/>
      <c r="G986" s="269"/>
      <c r="H986" s="269"/>
      <c r="I986" s="269"/>
      <c r="J986" s="269"/>
      <c r="K986" s="269"/>
      <c r="L986" s="269"/>
      <c r="M986" s="269"/>
      <c r="N986" s="269"/>
      <c r="O986" s="269"/>
      <c r="P986" s="269"/>
      <c r="Q986" s="269"/>
      <c r="R986" s="269"/>
      <c r="S986" s="269"/>
      <c r="T986" s="269"/>
      <c r="U986" s="269"/>
      <c r="V986" s="269"/>
      <c r="W986" s="269"/>
      <c r="X986" s="269"/>
      <c r="Y986" s="269"/>
      <c r="Z986" s="269"/>
    </row>
    <row r="987">
      <c r="A987" s="269"/>
      <c r="B987" s="269"/>
      <c r="C987" s="269"/>
      <c r="D987" s="269"/>
      <c r="E987" s="269"/>
      <c r="F987" s="269"/>
      <c r="G987" s="269"/>
      <c r="H987" s="269"/>
      <c r="I987" s="269"/>
      <c r="J987" s="269"/>
      <c r="K987" s="269"/>
      <c r="L987" s="269"/>
      <c r="M987" s="269"/>
      <c r="N987" s="269"/>
      <c r="O987" s="269"/>
      <c r="P987" s="269"/>
      <c r="Q987" s="269"/>
      <c r="R987" s="269"/>
      <c r="S987" s="269"/>
      <c r="T987" s="269"/>
      <c r="U987" s="269"/>
      <c r="V987" s="269"/>
      <c r="W987" s="269"/>
      <c r="X987" s="269"/>
      <c r="Y987" s="269"/>
      <c r="Z987" s="269"/>
    </row>
    <row r="988">
      <c r="A988" s="269"/>
      <c r="B988" s="269"/>
      <c r="C988" s="269"/>
      <c r="D988" s="269"/>
      <c r="E988" s="269"/>
      <c r="F988" s="269"/>
      <c r="G988" s="269"/>
      <c r="H988" s="269"/>
      <c r="I988" s="269"/>
      <c r="J988" s="269"/>
      <c r="K988" s="269"/>
      <c r="L988" s="269"/>
      <c r="M988" s="269"/>
      <c r="N988" s="269"/>
      <c r="O988" s="269"/>
      <c r="P988" s="269"/>
      <c r="Q988" s="269"/>
      <c r="R988" s="269"/>
      <c r="S988" s="269"/>
      <c r="T988" s="269"/>
      <c r="U988" s="269"/>
      <c r="V988" s="269"/>
      <c r="W988" s="269"/>
      <c r="X988" s="269"/>
      <c r="Y988" s="269"/>
      <c r="Z988" s="269"/>
    </row>
    <row r="989">
      <c r="A989" s="269"/>
      <c r="B989" s="269"/>
      <c r="C989" s="269"/>
      <c r="D989" s="269"/>
      <c r="E989" s="269"/>
      <c r="F989" s="269"/>
      <c r="G989" s="269"/>
      <c r="H989" s="269"/>
      <c r="I989" s="269"/>
      <c r="J989" s="269"/>
      <c r="K989" s="269"/>
      <c r="L989" s="269"/>
      <c r="M989" s="269"/>
      <c r="N989" s="269"/>
      <c r="O989" s="269"/>
      <c r="P989" s="269"/>
      <c r="Q989" s="269"/>
      <c r="R989" s="269"/>
      <c r="S989" s="269"/>
      <c r="T989" s="269"/>
      <c r="U989" s="269"/>
      <c r="V989" s="269"/>
      <c r="W989" s="269"/>
      <c r="X989" s="269"/>
      <c r="Y989" s="269"/>
      <c r="Z989" s="269"/>
    </row>
    <row r="990">
      <c r="A990" s="269"/>
      <c r="B990" s="269"/>
      <c r="C990" s="269"/>
      <c r="D990" s="269"/>
      <c r="E990" s="269"/>
      <c r="F990" s="269"/>
      <c r="G990" s="269"/>
      <c r="H990" s="269"/>
      <c r="I990" s="269"/>
      <c r="J990" s="269"/>
      <c r="K990" s="269"/>
      <c r="L990" s="269"/>
      <c r="M990" s="269"/>
      <c r="N990" s="269"/>
      <c r="O990" s="269"/>
      <c r="P990" s="269"/>
      <c r="Q990" s="269"/>
      <c r="R990" s="269"/>
      <c r="S990" s="269"/>
      <c r="T990" s="269"/>
      <c r="U990" s="269"/>
      <c r="V990" s="269"/>
      <c r="W990" s="269"/>
      <c r="X990" s="269"/>
      <c r="Y990" s="269"/>
      <c r="Z990" s="269"/>
    </row>
    <row r="991">
      <c r="A991" s="269"/>
      <c r="B991" s="269"/>
      <c r="C991" s="269"/>
      <c r="D991" s="269"/>
      <c r="E991" s="269"/>
      <c r="F991" s="269"/>
      <c r="G991" s="269"/>
      <c r="H991" s="269"/>
      <c r="I991" s="269"/>
      <c r="J991" s="269"/>
      <c r="K991" s="269"/>
      <c r="L991" s="269"/>
      <c r="M991" s="269"/>
      <c r="N991" s="269"/>
      <c r="O991" s="269"/>
      <c r="P991" s="269"/>
      <c r="Q991" s="269"/>
      <c r="R991" s="269"/>
      <c r="S991" s="269"/>
      <c r="T991" s="269"/>
      <c r="U991" s="269"/>
      <c r="V991" s="269"/>
      <c r="W991" s="269"/>
      <c r="X991" s="269"/>
      <c r="Y991" s="269"/>
      <c r="Z991" s="269"/>
    </row>
    <row r="992">
      <c r="A992" s="269"/>
      <c r="B992" s="269"/>
      <c r="C992" s="269"/>
      <c r="D992" s="269"/>
      <c r="E992" s="269"/>
      <c r="F992" s="269"/>
      <c r="G992" s="269"/>
      <c r="H992" s="269"/>
      <c r="I992" s="269"/>
      <c r="J992" s="269"/>
      <c r="K992" s="269"/>
      <c r="L992" s="269"/>
      <c r="M992" s="269"/>
      <c r="N992" s="269"/>
      <c r="O992" s="269"/>
      <c r="P992" s="269"/>
      <c r="Q992" s="269"/>
      <c r="R992" s="269"/>
      <c r="S992" s="269"/>
      <c r="T992" s="269"/>
      <c r="U992" s="269"/>
      <c r="V992" s="269"/>
      <c r="W992" s="269"/>
      <c r="X992" s="269"/>
      <c r="Y992" s="269"/>
      <c r="Z992" s="269"/>
    </row>
    <row r="993">
      <c r="A993" s="269"/>
      <c r="B993" s="269"/>
      <c r="C993" s="269"/>
      <c r="D993" s="269"/>
      <c r="E993" s="269"/>
      <c r="F993" s="269"/>
      <c r="G993" s="269"/>
      <c r="H993" s="269"/>
      <c r="I993" s="269"/>
      <c r="J993" s="269"/>
      <c r="K993" s="269"/>
      <c r="L993" s="269"/>
      <c r="M993" s="269"/>
      <c r="N993" s="269"/>
      <c r="O993" s="269"/>
      <c r="P993" s="269"/>
      <c r="Q993" s="269"/>
      <c r="R993" s="269"/>
      <c r="S993" s="269"/>
      <c r="T993" s="269"/>
      <c r="U993" s="269"/>
      <c r="V993" s="269"/>
      <c r="W993" s="269"/>
      <c r="X993" s="269"/>
      <c r="Y993" s="269"/>
      <c r="Z993" s="269"/>
    </row>
    <row r="994">
      <c r="A994" s="269"/>
      <c r="B994" s="269"/>
      <c r="C994" s="269"/>
      <c r="D994" s="269"/>
      <c r="E994" s="269"/>
      <c r="F994" s="269"/>
      <c r="G994" s="269"/>
      <c r="H994" s="269"/>
      <c r="I994" s="269"/>
      <c r="J994" s="269"/>
      <c r="K994" s="269"/>
      <c r="L994" s="269"/>
      <c r="M994" s="269"/>
      <c r="N994" s="269"/>
      <c r="O994" s="269"/>
      <c r="P994" s="269"/>
      <c r="Q994" s="269"/>
      <c r="R994" s="269"/>
      <c r="S994" s="269"/>
      <c r="T994" s="269"/>
      <c r="U994" s="269"/>
      <c r="V994" s="269"/>
      <c r="W994" s="269"/>
      <c r="X994" s="269"/>
      <c r="Y994" s="269"/>
      <c r="Z994" s="269"/>
    </row>
    <row r="995">
      <c r="A995" s="269"/>
      <c r="B995" s="269"/>
      <c r="C995" s="269"/>
      <c r="D995" s="269"/>
      <c r="E995" s="269"/>
      <c r="F995" s="269"/>
      <c r="G995" s="269"/>
      <c r="H995" s="269"/>
      <c r="I995" s="269"/>
      <c r="J995" s="269"/>
      <c r="K995" s="269"/>
      <c r="L995" s="269"/>
      <c r="M995" s="269"/>
      <c r="N995" s="269"/>
      <c r="O995" s="269"/>
      <c r="P995" s="269"/>
      <c r="Q995" s="269"/>
      <c r="R995" s="269"/>
      <c r="S995" s="269"/>
      <c r="T995" s="269"/>
      <c r="U995" s="269"/>
      <c r="V995" s="269"/>
      <c r="W995" s="269"/>
      <c r="X995" s="269"/>
      <c r="Y995" s="269"/>
      <c r="Z995" s="269"/>
    </row>
    <row r="996">
      <c r="A996" s="269"/>
      <c r="B996" s="269"/>
      <c r="C996" s="269"/>
      <c r="D996" s="269"/>
      <c r="E996" s="269"/>
      <c r="F996" s="269"/>
      <c r="G996" s="269"/>
      <c r="H996" s="269"/>
      <c r="I996" s="269"/>
      <c r="J996" s="269"/>
      <c r="K996" s="269"/>
      <c r="L996" s="269"/>
      <c r="M996" s="269"/>
      <c r="N996" s="269"/>
      <c r="O996" s="269"/>
      <c r="P996" s="269"/>
      <c r="Q996" s="269"/>
      <c r="R996" s="269"/>
      <c r="S996" s="269"/>
      <c r="T996" s="269"/>
      <c r="U996" s="269"/>
      <c r="V996" s="269"/>
      <c r="W996" s="269"/>
      <c r="X996" s="269"/>
      <c r="Y996" s="269"/>
      <c r="Z996" s="269"/>
    </row>
    <row r="997">
      <c r="A997" s="269"/>
      <c r="B997" s="269"/>
      <c r="C997" s="269"/>
      <c r="D997" s="269"/>
      <c r="E997" s="269"/>
      <c r="F997" s="269"/>
      <c r="G997" s="269"/>
      <c r="H997" s="269"/>
      <c r="I997" s="269"/>
      <c r="J997" s="269"/>
      <c r="K997" s="269"/>
      <c r="L997" s="269"/>
      <c r="M997" s="269"/>
      <c r="N997" s="269"/>
      <c r="O997" s="269"/>
      <c r="P997" s="269"/>
      <c r="Q997" s="269"/>
      <c r="R997" s="269"/>
      <c r="S997" s="269"/>
      <c r="T997" s="269"/>
      <c r="U997" s="269"/>
      <c r="V997" s="269"/>
      <c r="W997" s="269"/>
      <c r="X997" s="269"/>
      <c r="Y997" s="269"/>
      <c r="Z997" s="269"/>
    </row>
    <row r="998">
      <c r="A998" s="269"/>
      <c r="B998" s="269"/>
      <c r="C998" s="269"/>
      <c r="D998" s="269"/>
      <c r="E998" s="269"/>
      <c r="F998" s="269"/>
      <c r="G998" s="269"/>
      <c r="H998" s="269"/>
      <c r="I998" s="269"/>
      <c r="J998" s="269"/>
      <c r="K998" s="269"/>
      <c r="L998" s="269"/>
      <c r="M998" s="269"/>
      <c r="N998" s="269"/>
      <c r="O998" s="269"/>
      <c r="P998" s="269"/>
      <c r="Q998" s="269"/>
      <c r="R998" s="269"/>
      <c r="S998" s="269"/>
      <c r="T998" s="269"/>
      <c r="U998" s="269"/>
      <c r="V998" s="269"/>
      <c r="W998" s="269"/>
      <c r="X998" s="269"/>
      <c r="Y998" s="269"/>
      <c r="Z998" s="269"/>
    </row>
    <row r="999">
      <c r="A999" s="269"/>
      <c r="B999" s="269"/>
      <c r="C999" s="269"/>
      <c r="D999" s="269"/>
      <c r="E999" s="269"/>
      <c r="F999" s="269"/>
      <c r="G999" s="269"/>
      <c r="H999" s="269"/>
      <c r="I999" s="269"/>
      <c r="J999" s="269"/>
      <c r="K999" s="269"/>
      <c r="L999" s="269"/>
      <c r="M999" s="269"/>
      <c r="N999" s="269"/>
      <c r="O999" s="269"/>
      <c r="P999" s="269"/>
      <c r="Q999" s="269"/>
      <c r="R999" s="269"/>
      <c r="S999" s="269"/>
      <c r="T999" s="269"/>
      <c r="U999" s="269"/>
      <c r="V999" s="269"/>
      <c r="W999" s="269"/>
      <c r="X999" s="269"/>
      <c r="Y999" s="269"/>
      <c r="Z999" s="269"/>
    </row>
    <row r="1000">
      <c r="A1000" s="269"/>
      <c r="B1000" s="269"/>
      <c r="C1000" s="269"/>
      <c r="D1000" s="269"/>
      <c r="E1000" s="269"/>
      <c r="F1000" s="269"/>
      <c r="G1000" s="269"/>
      <c r="H1000" s="269"/>
      <c r="I1000" s="269"/>
      <c r="J1000" s="269"/>
      <c r="K1000" s="269"/>
      <c r="L1000" s="269"/>
      <c r="M1000" s="269"/>
      <c r="N1000" s="269"/>
      <c r="O1000" s="269"/>
      <c r="P1000" s="269"/>
      <c r="Q1000" s="269"/>
      <c r="R1000" s="269"/>
      <c r="S1000" s="269"/>
      <c r="T1000" s="269"/>
      <c r="U1000" s="269"/>
      <c r="V1000" s="269"/>
      <c r="W1000" s="269"/>
      <c r="X1000" s="269"/>
      <c r="Y1000" s="269"/>
      <c r="Z1000" s="269"/>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71"/>
    <col customWidth="1" min="2" max="2" width="21.0"/>
    <col customWidth="1" min="5" max="5" width="28.29"/>
  </cols>
  <sheetData>
    <row r="1">
      <c r="A1" s="269" t="str">
        <f>IFERROR(__xludf.DUMMYFUNCTION("ARRAYFORMULA(PROPER(IMPORTRANGE(""1xgDM68xiM34Lb7pPa9X0VaOqdhswjHKkl6KIk-vu_2Q"", ""Races!B:B"")))"),"Name")</f>
        <v>Name</v>
      </c>
      <c r="B1" s="269" t="str">
        <f>IFERROR(__xludf.DUMMYFUNCTION("IMPORTRANGE(""https://docs.google.com/spreadsheets/d/1xgDM68xiM34Lb7pPa9X0VaOqdhswjHKkl6KIk-vu_2Q/edit?gid=473092800#gid=473092800"", ""Subraces!B1:B70"")"),"Name")</f>
        <v>Name</v>
      </c>
      <c r="C1" s="270" t="s">
        <v>213</v>
      </c>
      <c r="D1" s="269"/>
      <c r="E1" s="269" t="str">
        <f t="array" ref="E1:E142">{PROPER(B1:B71); PROPER(C1:C71)}</f>
        <v>Name</v>
      </c>
      <c r="F1" s="269"/>
      <c r="G1" s="269"/>
      <c r="H1" s="269"/>
      <c r="I1" s="269"/>
      <c r="J1" s="269"/>
      <c r="K1" s="269"/>
      <c r="L1" s="269"/>
      <c r="M1" s="269"/>
      <c r="N1" s="269"/>
      <c r="O1" s="269"/>
      <c r="P1" s="269"/>
      <c r="Q1" s="269"/>
      <c r="R1" s="269"/>
      <c r="S1" s="269"/>
      <c r="T1" s="269"/>
      <c r="U1" s="269"/>
      <c r="V1" s="269"/>
      <c r="W1" s="269"/>
      <c r="X1" s="269"/>
      <c r="Y1" s="269"/>
      <c r="Z1" s="269"/>
    </row>
    <row r="2">
      <c r="A2" s="269" t="str">
        <f>IFERROR(__xludf.DUMMYFUNCTION("""COMPUTED_VALUE"""),"Chimera")</f>
        <v>Chimera</v>
      </c>
      <c r="B2" s="269" t="str">
        <f>IFERROR(__xludf.DUMMYFUNCTION("""COMPUTED_VALUE"""),"ANCIENT MARIONETTE")</f>
        <v>ANCIENT MARIONETTE</v>
      </c>
      <c r="C2" s="270" t="s">
        <v>214</v>
      </c>
      <c r="D2" s="269"/>
      <c r="E2" s="269" t="s">
        <v>215</v>
      </c>
      <c r="F2" s="269"/>
      <c r="G2" s="269"/>
      <c r="H2" s="269"/>
      <c r="I2" s="269"/>
      <c r="J2" s="269"/>
      <c r="K2" s="269"/>
      <c r="L2" s="269"/>
      <c r="M2" s="269"/>
      <c r="N2" s="269"/>
      <c r="O2" s="269"/>
      <c r="P2" s="269"/>
      <c r="Q2" s="269"/>
      <c r="R2" s="269"/>
      <c r="S2" s="269"/>
      <c r="T2" s="269"/>
      <c r="U2" s="269"/>
      <c r="V2" s="269"/>
      <c r="W2" s="269"/>
      <c r="X2" s="269"/>
      <c r="Y2" s="269"/>
      <c r="Z2" s="269"/>
    </row>
    <row r="3">
      <c r="A3" s="269" t="str">
        <f>IFERROR(__xludf.DUMMYFUNCTION("""COMPUTED_VALUE"""),"Demon")</f>
        <v>Demon</v>
      </c>
      <c r="B3" s="269" t="str">
        <f>IFERROR(__xludf.DUMMYFUNCTION("""COMPUTED_VALUE"""),"ANUBIS")</f>
        <v>ANUBIS</v>
      </c>
      <c r="C3" s="270" t="s">
        <v>216</v>
      </c>
      <c r="D3" s="269"/>
      <c r="E3" s="269" t="s">
        <v>217</v>
      </c>
      <c r="F3" s="269"/>
      <c r="G3" s="269"/>
      <c r="H3" s="269"/>
      <c r="I3" s="269"/>
      <c r="J3" s="269"/>
      <c r="K3" s="269"/>
      <c r="L3" s="269"/>
      <c r="M3" s="269"/>
      <c r="N3" s="269"/>
      <c r="O3" s="269"/>
      <c r="P3" s="269"/>
      <c r="Q3" s="269"/>
      <c r="R3" s="269"/>
      <c r="S3" s="269"/>
      <c r="T3" s="269"/>
      <c r="U3" s="269"/>
      <c r="V3" s="269"/>
      <c r="W3" s="269"/>
      <c r="X3" s="269"/>
      <c r="Y3" s="269"/>
      <c r="Z3" s="269"/>
    </row>
    <row r="4">
      <c r="A4" s="269" t="str">
        <f>IFERROR(__xludf.DUMMYFUNCTION("""COMPUTED_VALUE"""),"Fae")</f>
        <v>Fae</v>
      </c>
      <c r="B4" s="269" t="str">
        <f>IFERROR(__xludf.DUMMYFUNCTION("""COMPUTED_VALUE"""),"BEARFOLK")</f>
        <v>BEARFOLK</v>
      </c>
      <c r="C4" s="270" t="s">
        <v>218</v>
      </c>
      <c r="D4" s="269"/>
      <c r="E4" s="269" t="s">
        <v>219</v>
      </c>
      <c r="F4" s="269"/>
      <c r="G4" s="269"/>
      <c r="H4" s="269"/>
      <c r="I4" s="269"/>
      <c r="J4" s="269"/>
      <c r="K4" s="269"/>
      <c r="L4" s="269"/>
      <c r="M4" s="269"/>
      <c r="N4" s="269"/>
      <c r="O4" s="269"/>
      <c r="P4" s="269"/>
      <c r="Q4" s="269"/>
      <c r="R4" s="269"/>
      <c r="S4" s="269"/>
      <c r="T4" s="269"/>
      <c r="U4" s="269"/>
      <c r="V4" s="269"/>
      <c r="W4" s="269"/>
      <c r="X4" s="269"/>
      <c r="Y4" s="269"/>
      <c r="Z4" s="269"/>
    </row>
    <row r="5">
      <c r="A5" s="269" t="str">
        <f>IFERROR(__xludf.DUMMYFUNCTION("""COMPUTED_VALUE"""),"Human")</f>
        <v>Human</v>
      </c>
      <c r="B5" s="269" t="str">
        <f>IFERROR(__xludf.DUMMYFUNCTION("""COMPUTED_VALUE"""),"BULLFOLK")</f>
        <v>BULLFOLK</v>
      </c>
      <c r="C5" s="270" t="s">
        <v>220</v>
      </c>
      <c r="D5" s="269"/>
      <c r="E5" s="269" t="s">
        <v>221</v>
      </c>
      <c r="F5" s="269"/>
      <c r="G5" s="269"/>
      <c r="H5" s="269"/>
      <c r="I5" s="269"/>
      <c r="J5" s="269"/>
      <c r="K5" s="269"/>
      <c r="L5" s="269"/>
      <c r="M5" s="269"/>
      <c r="N5" s="269"/>
      <c r="O5" s="269"/>
      <c r="P5" s="269"/>
      <c r="Q5" s="269"/>
      <c r="R5" s="269"/>
      <c r="S5" s="269"/>
      <c r="T5" s="269"/>
      <c r="U5" s="269"/>
      <c r="V5" s="269"/>
      <c r="W5" s="269"/>
      <c r="X5" s="269"/>
      <c r="Y5" s="269"/>
      <c r="Z5" s="269"/>
    </row>
    <row r="6">
      <c r="A6" s="269" t="str">
        <f>IFERROR(__xludf.DUMMYFUNCTION("""COMPUTED_VALUE"""),"Youkai")</f>
        <v>Youkai</v>
      </c>
      <c r="B6" s="269" t="str">
        <f>IFERROR(__xludf.DUMMYFUNCTION("""COMPUTED_VALUE"""),"CAIT SITH")</f>
        <v>CAIT SITH</v>
      </c>
      <c r="C6" s="270" t="s">
        <v>222</v>
      </c>
      <c r="D6" s="269"/>
      <c r="E6" s="269" t="s">
        <v>223</v>
      </c>
      <c r="F6" s="269"/>
      <c r="G6" s="269"/>
      <c r="H6" s="269"/>
      <c r="I6" s="269"/>
      <c r="J6" s="269"/>
      <c r="K6" s="269"/>
      <c r="L6" s="269"/>
      <c r="M6" s="269"/>
      <c r="N6" s="269"/>
      <c r="O6" s="269"/>
      <c r="P6" s="269"/>
      <c r="Q6" s="269"/>
      <c r="R6" s="269"/>
      <c r="S6" s="269"/>
      <c r="T6" s="269"/>
      <c r="U6" s="269"/>
      <c r="V6" s="269"/>
      <c r="W6" s="269"/>
      <c r="X6" s="269"/>
      <c r="Y6" s="269"/>
      <c r="Z6" s="269"/>
    </row>
    <row r="7">
      <c r="A7" s="269" t="str">
        <f>IFERROR(__xludf.DUMMYFUNCTION("""COMPUTED_VALUE"""),"")</f>
        <v/>
      </c>
      <c r="B7" s="269" t="str">
        <f>IFERROR(__xludf.DUMMYFUNCTION("""COMPUTED_VALUE"""),"CATFOLK")</f>
        <v>CATFOLK</v>
      </c>
      <c r="C7" s="270" t="s">
        <v>224</v>
      </c>
      <c r="D7" s="269"/>
      <c r="E7" s="269" t="s">
        <v>225</v>
      </c>
      <c r="F7" s="269"/>
      <c r="G7" s="269"/>
      <c r="H7" s="269"/>
      <c r="I7" s="269"/>
      <c r="J7" s="269"/>
      <c r="K7" s="269"/>
      <c r="L7" s="269"/>
      <c r="M7" s="269"/>
      <c r="N7" s="269"/>
      <c r="O7" s="269"/>
      <c r="P7" s="269"/>
      <c r="Q7" s="269"/>
      <c r="R7" s="269"/>
      <c r="S7" s="269"/>
      <c r="T7" s="269"/>
      <c r="U7" s="269"/>
      <c r="V7" s="269"/>
      <c r="W7" s="269"/>
      <c r="X7" s="269"/>
      <c r="Y7" s="269"/>
      <c r="Z7" s="269"/>
    </row>
    <row r="8">
      <c r="A8" s="269" t="str">
        <f>IFERROR(__xludf.DUMMYFUNCTION("""COMPUTED_VALUE"""),"")</f>
        <v/>
      </c>
      <c r="B8" s="269" t="str">
        <f>IFERROR(__xludf.DUMMYFUNCTION("""COMPUTED_VALUE"""),"CENTAUR")</f>
        <v>CENTAUR</v>
      </c>
      <c r="C8" s="270" t="s">
        <v>226</v>
      </c>
      <c r="D8" s="269"/>
      <c r="E8" s="269" t="s">
        <v>227</v>
      </c>
      <c r="F8" s="269"/>
      <c r="G8" s="269"/>
      <c r="H8" s="269"/>
      <c r="I8" s="269"/>
      <c r="J8" s="269"/>
      <c r="K8" s="269"/>
      <c r="L8" s="269"/>
      <c r="M8" s="269"/>
      <c r="N8" s="269"/>
      <c r="O8" s="269"/>
      <c r="P8" s="269"/>
      <c r="Q8" s="269"/>
      <c r="R8" s="269"/>
      <c r="S8" s="269"/>
      <c r="T8" s="269"/>
      <c r="U8" s="269"/>
      <c r="V8" s="269"/>
      <c r="W8" s="269"/>
      <c r="X8" s="269"/>
      <c r="Y8" s="269"/>
      <c r="Z8" s="269"/>
    </row>
    <row r="9">
      <c r="A9" s="269" t="str">
        <f>IFERROR(__xludf.DUMMYFUNCTION("""COMPUTED_VALUE"""),"")</f>
        <v/>
      </c>
      <c r="B9" s="269" t="str">
        <f>IFERROR(__xludf.DUMMYFUNCTION("""COMPUTED_VALUE"""),"COWFOLK")</f>
        <v>COWFOLK</v>
      </c>
      <c r="C9" s="270" t="s">
        <v>228</v>
      </c>
      <c r="D9" s="269"/>
      <c r="E9" s="269" t="s">
        <v>229</v>
      </c>
      <c r="F9" s="269"/>
      <c r="G9" s="269"/>
      <c r="H9" s="269"/>
      <c r="I9" s="269"/>
      <c r="J9" s="269"/>
      <c r="K9" s="269"/>
      <c r="L9" s="269"/>
      <c r="M9" s="269"/>
      <c r="N9" s="269"/>
      <c r="O9" s="269"/>
      <c r="P9" s="269"/>
      <c r="Q9" s="269"/>
      <c r="R9" s="269"/>
      <c r="S9" s="269"/>
      <c r="T9" s="269"/>
      <c r="U9" s="269"/>
      <c r="V9" s="269"/>
      <c r="W9" s="269"/>
      <c r="X9" s="269"/>
      <c r="Y9" s="269"/>
      <c r="Z9" s="269"/>
    </row>
    <row r="10">
      <c r="A10" s="269" t="str">
        <f>IFERROR(__xludf.DUMMYFUNCTION("""COMPUTED_VALUE"""),"")</f>
        <v/>
      </c>
      <c r="B10" s="269" t="str">
        <f>IFERROR(__xludf.DUMMYFUNCTION("""COMPUTED_VALUE"""),"CU SITH")</f>
        <v>CU SITH</v>
      </c>
      <c r="C10" s="269"/>
      <c r="D10" s="269"/>
      <c r="E10" s="269" t="s">
        <v>230</v>
      </c>
      <c r="F10" s="269"/>
      <c r="G10" s="269"/>
      <c r="H10" s="269"/>
      <c r="I10" s="269"/>
      <c r="J10" s="269"/>
      <c r="K10" s="269"/>
      <c r="L10" s="269"/>
      <c r="M10" s="269"/>
      <c r="N10" s="269"/>
      <c r="O10" s="269"/>
      <c r="P10" s="269"/>
      <c r="Q10" s="269"/>
      <c r="R10" s="269"/>
      <c r="S10" s="269"/>
      <c r="T10" s="269"/>
      <c r="U10" s="269"/>
      <c r="V10" s="269"/>
      <c r="W10" s="269"/>
      <c r="X10" s="269"/>
      <c r="Y10" s="269"/>
      <c r="Z10" s="269"/>
    </row>
    <row r="11">
      <c r="A11" s="269" t="str">
        <f>IFERROR(__xludf.DUMMYFUNCTION("""COMPUTED_VALUE"""),"")</f>
        <v/>
      </c>
      <c r="B11" s="269" t="str">
        <f>IFERROR(__xludf.DUMMYFUNCTION("""COMPUTED_VALUE"""),"DOGFOLK")</f>
        <v>DOGFOLK</v>
      </c>
      <c r="C11" s="269"/>
      <c r="D11" s="269"/>
      <c r="E11" s="269" t="s">
        <v>231</v>
      </c>
      <c r="F11" s="269"/>
      <c r="G11" s="269"/>
      <c r="H11" s="269"/>
      <c r="I11" s="269"/>
      <c r="J11" s="269"/>
      <c r="K11" s="269"/>
      <c r="L11" s="269"/>
      <c r="M11" s="269"/>
      <c r="N11" s="269"/>
      <c r="O11" s="269"/>
      <c r="P11" s="269"/>
      <c r="Q11" s="269"/>
      <c r="R11" s="269"/>
      <c r="S11" s="269"/>
      <c r="T11" s="269"/>
      <c r="U11" s="269"/>
      <c r="V11" s="269"/>
      <c r="W11" s="269"/>
      <c r="X11" s="269"/>
      <c r="Y11" s="269"/>
      <c r="Z11" s="269"/>
    </row>
    <row r="12">
      <c r="A12" s="269" t="str">
        <f>IFERROR(__xludf.DUMMYFUNCTION("""COMPUTED_VALUE"""),"")</f>
        <v/>
      </c>
      <c r="B12" s="269" t="str">
        <f>IFERROR(__xludf.DUMMYFUNCTION("""COMPUTED_VALUE"""),"DRYAD")</f>
        <v>DRYAD</v>
      </c>
      <c r="C12" s="269"/>
      <c r="D12" s="269"/>
      <c r="E12" s="269" t="s">
        <v>232</v>
      </c>
      <c r="F12" s="269"/>
      <c r="G12" s="269"/>
      <c r="H12" s="269"/>
      <c r="I12" s="269"/>
      <c r="J12" s="269"/>
      <c r="K12" s="269"/>
      <c r="L12" s="269"/>
      <c r="M12" s="269"/>
      <c r="N12" s="269"/>
      <c r="O12" s="269"/>
      <c r="P12" s="269"/>
      <c r="Q12" s="269"/>
      <c r="R12" s="269"/>
      <c r="S12" s="269"/>
      <c r="T12" s="269"/>
      <c r="U12" s="269"/>
      <c r="V12" s="269"/>
      <c r="W12" s="269"/>
      <c r="X12" s="269"/>
      <c r="Y12" s="269"/>
      <c r="Z12" s="269"/>
    </row>
    <row r="13">
      <c r="A13" s="269" t="str">
        <f>IFERROR(__xludf.DUMMYFUNCTION("""COMPUTED_VALUE"""),"")</f>
        <v/>
      </c>
      <c r="B13" s="269" t="str">
        <f>IFERROR(__xludf.DUMMYFUNCTION("""COMPUTED_VALUE"""),"DULLAHAN")</f>
        <v>DULLAHAN</v>
      </c>
      <c r="C13" s="269"/>
      <c r="D13" s="269"/>
      <c r="E13" s="269" t="s">
        <v>233</v>
      </c>
      <c r="F13" s="269"/>
      <c r="G13" s="269"/>
      <c r="H13" s="269"/>
      <c r="I13" s="269"/>
      <c r="J13" s="269"/>
      <c r="K13" s="269"/>
      <c r="L13" s="269"/>
      <c r="M13" s="269"/>
      <c r="N13" s="269"/>
      <c r="O13" s="269"/>
      <c r="P13" s="269"/>
      <c r="Q13" s="269"/>
      <c r="R13" s="269"/>
      <c r="S13" s="269"/>
      <c r="T13" s="269"/>
      <c r="U13" s="269"/>
      <c r="V13" s="269"/>
      <c r="W13" s="269"/>
      <c r="X13" s="269"/>
      <c r="Y13" s="269"/>
      <c r="Z13" s="269"/>
    </row>
    <row r="14">
      <c r="A14" s="269" t="str">
        <f>IFERROR(__xludf.DUMMYFUNCTION("""COMPUTED_VALUE"""),"")</f>
        <v/>
      </c>
      <c r="B14" s="269" t="str">
        <f>IFERROR(__xludf.DUMMYFUNCTION("""COMPUTED_VALUE"""),"GNOME")</f>
        <v>GNOME</v>
      </c>
      <c r="C14" s="269"/>
      <c r="D14" s="269"/>
      <c r="E14" s="269" t="s">
        <v>234</v>
      </c>
      <c r="F14" s="269"/>
      <c r="G14" s="269"/>
      <c r="H14" s="269"/>
      <c r="I14" s="269"/>
      <c r="J14" s="269"/>
      <c r="K14" s="269"/>
      <c r="L14" s="269"/>
      <c r="M14" s="269"/>
      <c r="N14" s="269"/>
      <c r="O14" s="269"/>
      <c r="P14" s="269"/>
      <c r="Q14" s="269"/>
      <c r="R14" s="269"/>
      <c r="S14" s="269"/>
      <c r="T14" s="269"/>
      <c r="U14" s="269"/>
      <c r="V14" s="269"/>
      <c r="W14" s="269"/>
      <c r="X14" s="269"/>
      <c r="Y14" s="269"/>
      <c r="Z14" s="269"/>
    </row>
    <row r="15">
      <c r="A15" s="269" t="str">
        <f>IFERROR(__xludf.DUMMYFUNCTION("""COMPUTED_VALUE"""),"")</f>
        <v/>
      </c>
      <c r="B15" s="269" t="str">
        <f>IFERROR(__xludf.DUMMYFUNCTION("""COMPUTED_VALUE"""),"HARPY")</f>
        <v>HARPY</v>
      </c>
      <c r="C15" s="269"/>
      <c r="D15" s="269"/>
      <c r="E15" s="269" t="s">
        <v>235</v>
      </c>
      <c r="F15" s="269"/>
      <c r="G15" s="269"/>
      <c r="H15" s="269"/>
      <c r="I15" s="269"/>
      <c r="J15" s="269"/>
      <c r="K15" s="269"/>
      <c r="L15" s="269"/>
      <c r="M15" s="269"/>
      <c r="N15" s="269"/>
      <c r="O15" s="269"/>
      <c r="P15" s="269"/>
      <c r="Q15" s="269"/>
      <c r="R15" s="269"/>
      <c r="S15" s="269"/>
      <c r="T15" s="269"/>
      <c r="U15" s="269"/>
      <c r="V15" s="269"/>
      <c r="W15" s="269"/>
      <c r="X15" s="269"/>
      <c r="Y15" s="269"/>
      <c r="Z15" s="269"/>
    </row>
    <row r="16">
      <c r="A16" s="269" t="str">
        <f>IFERROR(__xludf.DUMMYFUNCTION("""COMPUTED_VALUE"""),"")</f>
        <v/>
      </c>
      <c r="B16" s="269" t="str">
        <f>IFERROR(__xludf.DUMMYFUNCTION("""COMPUTED_VALUE"""),"HIGH FAE")</f>
        <v>HIGH FAE</v>
      </c>
      <c r="C16" s="269"/>
      <c r="D16" s="269"/>
      <c r="E16" s="269" t="s">
        <v>236</v>
      </c>
      <c r="F16" s="269"/>
      <c r="G16" s="269"/>
      <c r="H16" s="269"/>
      <c r="I16" s="269"/>
      <c r="J16" s="269"/>
      <c r="K16" s="269"/>
      <c r="L16" s="269"/>
      <c r="M16" s="269"/>
      <c r="N16" s="269"/>
      <c r="O16" s="269"/>
      <c r="P16" s="269"/>
      <c r="Q16" s="269"/>
      <c r="R16" s="269"/>
      <c r="S16" s="269"/>
      <c r="T16" s="269"/>
      <c r="U16" s="269"/>
      <c r="V16" s="269"/>
      <c r="W16" s="269"/>
      <c r="X16" s="269"/>
      <c r="Y16" s="269"/>
      <c r="Z16" s="269"/>
    </row>
    <row r="17">
      <c r="A17" s="269" t="str">
        <f>IFERROR(__xludf.DUMMYFUNCTION("""COMPUTED_VALUE"""),"")</f>
        <v/>
      </c>
      <c r="B17" s="269" t="str">
        <f>IFERROR(__xludf.DUMMYFUNCTION("""COMPUTED_VALUE"""),"HORSE-FOLK")</f>
        <v>HORSE-FOLK</v>
      </c>
      <c r="C17" s="269"/>
      <c r="D17" s="269"/>
      <c r="E17" s="269" t="s">
        <v>237</v>
      </c>
      <c r="F17" s="269"/>
      <c r="G17" s="269"/>
      <c r="H17" s="269"/>
      <c r="I17" s="269"/>
      <c r="J17" s="269"/>
      <c r="K17" s="269"/>
      <c r="L17" s="269"/>
      <c r="M17" s="269"/>
      <c r="N17" s="269"/>
      <c r="O17" s="269"/>
      <c r="P17" s="269"/>
      <c r="Q17" s="269"/>
      <c r="R17" s="269"/>
      <c r="S17" s="269"/>
      <c r="T17" s="269"/>
      <c r="U17" s="269"/>
      <c r="V17" s="269"/>
      <c r="W17" s="269"/>
      <c r="X17" s="269"/>
      <c r="Y17" s="269"/>
      <c r="Z17" s="269"/>
    </row>
    <row r="18">
      <c r="A18" s="269" t="str">
        <f>IFERROR(__xludf.DUMMYFUNCTION("""COMPUTED_VALUE"""),"")</f>
        <v/>
      </c>
      <c r="B18" s="269" t="str">
        <f>IFERROR(__xludf.DUMMYFUNCTION("""COMPUTED_VALUE"""),"JIANGSHI")</f>
        <v>JIANGSHI</v>
      </c>
      <c r="C18" s="269"/>
      <c r="D18" s="269"/>
      <c r="E18" s="269" t="s">
        <v>238</v>
      </c>
      <c r="F18" s="269"/>
      <c r="G18" s="269"/>
      <c r="H18" s="269"/>
      <c r="I18" s="269"/>
      <c r="J18" s="269"/>
      <c r="K18" s="269"/>
      <c r="L18" s="269"/>
      <c r="M18" s="269"/>
      <c r="N18" s="269"/>
      <c r="O18" s="269"/>
      <c r="P18" s="269"/>
      <c r="Q18" s="269"/>
      <c r="R18" s="269"/>
      <c r="S18" s="269"/>
      <c r="T18" s="269"/>
      <c r="U18" s="269"/>
      <c r="V18" s="269"/>
      <c r="W18" s="269"/>
      <c r="X18" s="269"/>
      <c r="Y18" s="269"/>
      <c r="Z18" s="269"/>
    </row>
    <row r="19">
      <c r="A19" s="269" t="str">
        <f>IFERROR(__xludf.DUMMYFUNCTION("""COMPUTED_VALUE"""),"")</f>
        <v/>
      </c>
      <c r="B19" s="269" t="str">
        <f>IFERROR(__xludf.DUMMYFUNCTION("""COMPUTED_VALUE"""),"KITSUNE")</f>
        <v>KITSUNE</v>
      </c>
      <c r="C19" s="269"/>
      <c r="D19" s="269"/>
      <c r="E19" s="269" t="s">
        <v>239</v>
      </c>
      <c r="F19" s="269"/>
      <c r="G19" s="269"/>
      <c r="H19" s="269"/>
      <c r="I19" s="269"/>
      <c r="J19" s="269"/>
      <c r="K19" s="269"/>
      <c r="L19" s="269"/>
      <c r="M19" s="269"/>
      <c r="N19" s="269"/>
      <c r="O19" s="269"/>
      <c r="P19" s="269"/>
      <c r="Q19" s="269"/>
      <c r="R19" s="269"/>
      <c r="S19" s="269"/>
      <c r="T19" s="269"/>
      <c r="U19" s="269"/>
      <c r="V19" s="269"/>
      <c r="W19" s="269"/>
      <c r="X19" s="269"/>
      <c r="Y19" s="269"/>
      <c r="Z19" s="269"/>
    </row>
    <row r="20">
      <c r="A20" s="269" t="str">
        <f>IFERROR(__xludf.DUMMYFUNCTION("""COMPUTED_VALUE"""),"")</f>
        <v/>
      </c>
      <c r="B20" s="269" t="str">
        <f>IFERROR(__xludf.DUMMYFUNCTION("""COMPUTED_VALUE"""),"LAMIAFOLK")</f>
        <v>LAMIAFOLK</v>
      </c>
      <c r="C20" s="269"/>
      <c r="D20" s="269"/>
      <c r="E20" s="269" t="s">
        <v>240</v>
      </c>
      <c r="F20" s="269"/>
      <c r="G20" s="269"/>
      <c r="H20" s="269"/>
      <c r="I20" s="269"/>
      <c r="J20" s="269"/>
      <c r="K20" s="269"/>
      <c r="L20" s="269"/>
      <c r="M20" s="269"/>
      <c r="N20" s="269"/>
      <c r="O20" s="269"/>
      <c r="P20" s="269"/>
      <c r="Q20" s="269"/>
      <c r="R20" s="269"/>
      <c r="S20" s="269"/>
      <c r="T20" s="269"/>
      <c r="U20" s="269"/>
      <c r="V20" s="269"/>
      <c r="W20" s="269"/>
      <c r="X20" s="269"/>
      <c r="Y20" s="269"/>
      <c r="Z20" s="269"/>
    </row>
    <row r="21">
      <c r="A21" s="269" t="str">
        <f>IFERROR(__xludf.DUMMYFUNCTION("""COMPUTED_VALUE"""),"")</f>
        <v/>
      </c>
      <c r="B21" s="269" t="str">
        <f>IFERROR(__xludf.DUMMYFUNCTION("""COMPUTED_VALUE"""),"LIZARDFOLK")</f>
        <v>LIZARDFOLK</v>
      </c>
      <c r="C21" s="269"/>
      <c r="D21" s="269"/>
      <c r="E21" s="269" t="s">
        <v>241</v>
      </c>
      <c r="F21" s="269"/>
      <c r="G21" s="269"/>
      <c r="H21" s="269"/>
      <c r="I21" s="269"/>
      <c r="J21" s="269"/>
      <c r="K21" s="269"/>
      <c r="L21" s="269"/>
      <c r="M21" s="269"/>
      <c r="N21" s="269"/>
      <c r="O21" s="269"/>
      <c r="P21" s="269"/>
      <c r="Q21" s="269"/>
      <c r="R21" s="269"/>
      <c r="S21" s="269"/>
      <c r="T21" s="269"/>
      <c r="U21" s="269"/>
      <c r="V21" s="269"/>
      <c r="W21" s="269"/>
      <c r="X21" s="269"/>
      <c r="Y21" s="269"/>
      <c r="Z21" s="269"/>
    </row>
    <row r="22">
      <c r="A22" s="269" t="str">
        <f>IFERROR(__xludf.DUMMYFUNCTION("""COMPUTED_VALUE"""),"")</f>
        <v/>
      </c>
      <c r="B22" s="269" t="str">
        <f>IFERROR(__xludf.DUMMYFUNCTION("""COMPUTED_VALUE"""),"MOTHFOLK")</f>
        <v>MOTHFOLK</v>
      </c>
      <c r="C22" s="269"/>
      <c r="D22" s="269"/>
      <c r="E22" s="269" t="s">
        <v>242</v>
      </c>
      <c r="F22" s="269"/>
      <c r="G22" s="269"/>
      <c r="H22" s="269"/>
      <c r="I22" s="269"/>
      <c r="J22" s="269"/>
      <c r="K22" s="269"/>
      <c r="L22" s="269"/>
      <c r="M22" s="269"/>
      <c r="N22" s="269"/>
      <c r="O22" s="269"/>
      <c r="P22" s="269"/>
      <c r="Q22" s="269"/>
      <c r="R22" s="269"/>
      <c r="S22" s="269"/>
      <c r="T22" s="269"/>
      <c r="U22" s="269"/>
      <c r="V22" s="269"/>
      <c r="W22" s="269"/>
      <c r="X22" s="269"/>
      <c r="Y22" s="269"/>
      <c r="Z22" s="269"/>
    </row>
    <row r="23">
      <c r="A23" s="269" t="str">
        <f>IFERROR(__xludf.DUMMYFUNCTION("""COMPUTED_VALUE"""),"")</f>
        <v/>
      </c>
      <c r="B23" s="269" t="str">
        <f>IFERROR(__xludf.DUMMYFUNCTION("""COMPUTED_VALUE"""),"NEKOMATA")</f>
        <v>NEKOMATA</v>
      </c>
      <c r="C23" s="269"/>
      <c r="D23" s="269"/>
      <c r="E23" s="269" t="s">
        <v>243</v>
      </c>
      <c r="F23" s="269"/>
      <c r="G23" s="269"/>
      <c r="H23" s="269"/>
      <c r="I23" s="269"/>
      <c r="J23" s="269"/>
      <c r="K23" s="269"/>
      <c r="L23" s="269"/>
      <c r="M23" s="269"/>
      <c r="N23" s="269"/>
      <c r="O23" s="269"/>
      <c r="P23" s="269"/>
      <c r="Q23" s="269"/>
      <c r="R23" s="269"/>
      <c r="S23" s="269"/>
      <c r="T23" s="269"/>
      <c r="U23" s="269"/>
      <c r="V23" s="269"/>
      <c r="W23" s="269"/>
      <c r="X23" s="269"/>
      <c r="Y23" s="269"/>
      <c r="Z23" s="269"/>
    </row>
    <row r="24">
      <c r="A24" s="269" t="str">
        <f>IFERROR(__xludf.DUMMYFUNCTION("""COMPUTED_VALUE"""),"")</f>
        <v/>
      </c>
      <c r="B24" s="269" t="str">
        <f>IFERROR(__xludf.DUMMYFUNCTION("""COMPUTED_VALUE"""),"NIO")</f>
        <v>NIO</v>
      </c>
      <c r="C24" s="269"/>
      <c r="D24" s="269"/>
      <c r="E24" s="269" t="s">
        <v>244</v>
      </c>
      <c r="F24" s="269"/>
      <c r="G24" s="269"/>
      <c r="H24" s="269"/>
      <c r="I24" s="269"/>
      <c r="J24" s="269"/>
      <c r="K24" s="269"/>
      <c r="L24" s="269"/>
      <c r="M24" s="269"/>
      <c r="N24" s="269"/>
      <c r="O24" s="269"/>
      <c r="P24" s="269"/>
      <c r="Q24" s="269"/>
      <c r="R24" s="269"/>
      <c r="S24" s="269"/>
      <c r="T24" s="269"/>
      <c r="U24" s="269"/>
      <c r="V24" s="269"/>
      <c r="W24" s="269"/>
      <c r="X24" s="269"/>
      <c r="Y24" s="269"/>
      <c r="Z24" s="269"/>
    </row>
    <row r="25">
      <c r="A25" s="269" t="str">
        <f>IFERROR(__xludf.DUMMYFUNCTION("""COMPUTED_VALUE"""),"")</f>
        <v/>
      </c>
      <c r="B25" s="269" t="str">
        <f>IFERROR(__xludf.DUMMYFUNCTION("""COMPUTED_VALUE"""),"ONI")</f>
        <v>ONI</v>
      </c>
      <c r="C25" s="269"/>
      <c r="D25" s="269"/>
      <c r="E25" s="269" t="s">
        <v>245</v>
      </c>
      <c r="F25" s="269"/>
      <c r="G25" s="269"/>
      <c r="H25" s="269"/>
      <c r="I25" s="269"/>
      <c r="J25" s="269"/>
      <c r="K25" s="269"/>
      <c r="L25" s="269"/>
      <c r="M25" s="269"/>
      <c r="N25" s="269"/>
      <c r="O25" s="269"/>
      <c r="P25" s="269"/>
      <c r="Q25" s="269"/>
      <c r="R25" s="269"/>
      <c r="S25" s="269"/>
      <c r="T25" s="269"/>
      <c r="U25" s="269"/>
      <c r="V25" s="269"/>
      <c r="W25" s="269"/>
      <c r="X25" s="269"/>
      <c r="Y25" s="269"/>
      <c r="Z25" s="269"/>
    </row>
    <row r="26">
      <c r="A26" s="269" t="str">
        <f>IFERROR(__xludf.DUMMYFUNCTION("""COMPUTED_VALUE"""),"")</f>
        <v/>
      </c>
      <c r="B26" s="269" t="str">
        <f>IFERROR(__xludf.DUMMYFUNCTION("""COMPUTED_VALUE"""),"PHOENIX")</f>
        <v>PHOENIX</v>
      </c>
      <c r="C26" s="269"/>
      <c r="D26" s="269"/>
      <c r="E26" s="269" t="s">
        <v>246</v>
      </c>
      <c r="F26" s="269"/>
      <c r="G26" s="269"/>
      <c r="H26" s="269"/>
      <c r="I26" s="269"/>
      <c r="J26" s="269"/>
      <c r="K26" s="269"/>
      <c r="L26" s="269"/>
      <c r="M26" s="269"/>
      <c r="N26" s="269"/>
      <c r="O26" s="269"/>
      <c r="P26" s="269"/>
      <c r="Q26" s="269"/>
      <c r="R26" s="269"/>
      <c r="S26" s="269"/>
      <c r="T26" s="269"/>
      <c r="U26" s="269"/>
      <c r="V26" s="269"/>
      <c r="W26" s="269"/>
      <c r="X26" s="269"/>
      <c r="Y26" s="269"/>
      <c r="Z26" s="269"/>
    </row>
    <row r="27">
      <c r="A27" s="269" t="str">
        <f>IFERROR(__xludf.DUMMYFUNCTION("""COMPUTED_VALUE"""),"")</f>
        <v/>
      </c>
      <c r="B27" s="269" t="str">
        <f>IFERROR(__xludf.DUMMYFUNCTION("""COMPUTED_VALUE"""),"PIXIE")</f>
        <v>PIXIE</v>
      </c>
      <c r="C27" s="269"/>
      <c r="D27" s="269"/>
      <c r="E27" s="269" t="s">
        <v>247</v>
      </c>
      <c r="F27" s="269"/>
      <c r="G27" s="269"/>
      <c r="H27" s="269"/>
      <c r="I27" s="269"/>
      <c r="J27" s="269"/>
      <c r="K27" s="269"/>
      <c r="L27" s="269"/>
      <c r="M27" s="269"/>
      <c r="N27" s="269"/>
      <c r="O27" s="269"/>
      <c r="P27" s="269"/>
      <c r="Q27" s="269"/>
      <c r="R27" s="269"/>
      <c r="S27" s="269"/>
      <c r="T27" s="269"/>
      <c r="U27" s="269"/>
      <c r="V27" s="269"/>
      <c r="W27" s="269"/>
      <c r="X27" s="269"/>
      <c r="Y27" s="269"/>
      <c r="Z27" s="269"/>
    </row>
    <row r="28">
      <c r="A28" s="269" t="str">
        <f>IFERROR(__xludf.DUMMYFUNCTION("""COMPUTED_VALUE"""),"")</f>
        <v/>
      </c>
      <c r="B28" s="269" t="str">
        <f>IFERROR(__xludf.DUMMYFUNCTION("""COMPUTED_VALUE"""),"RABBITFOLK")</f>
        <v>RABBITFOLK</v>
      </c>
      <c r="C28" s="269"/>
      <c r="D28" s="269"/>
      <c r="E28" s="269" t="s">
        <v>248</v>
      </c>
      <c r="F28" s="269"/>
      <c r="G28" s="269"/>
      <c r="H28" s="269"/>
      <c r="I28" s="269"/>
      <c r="J28" s="269"/>
      <c r="K28" s="269"/>
      <c r="L28" s="269"/>
      <c r="M28" s="269"/>
      <c r="N28" s="269"/>
      <c r="O28" s="269"/>
      <c r="P28" s="269"/>
      <c r="Q28" s="269"/>
      <c r="R28" s="269"/>
      <c r="S28" s="269"/>
      <c r="T28" s="269"/>
      <c r="U28" s="269"/>
      <c r="V28" s="269"/>
      <c r="W28" s="269"/>
      <c r="X28" s="269"/>
      <c r="Y28" s="269"/>
      <c r="Z28" s="269"/>
    </row>
    <row r="29">
      <c r="A29" s="269" t="str">
        <f>IFERROR(__xludf.DUMMYFUNCTION("""COMPUTED_VALUE"""),"")</f>
        <v/>
      </c>
      <c r="B29" s="269" t="str">
        <f>IFERROR(__xludf.DUMMYFUNCTION("""COMPUTED_VALUE"""),"RAIJIN")</f>
        <v>RAIJIN</v>
      </c>
      <c r="C29" s="269"/>
      <c r="D29" s="269"/>
      <c r="E29" s="269" t="s">
        <v>249</v>
      </c>
      <c r="F29" s="269"/>
      <c r="G29" s="269"/>
      <c r="H29" s="269"/>
      <c r="I29" s="269"/>
      <c r="J29" s="269"/>
      <c r="K29" s="269"/>
      <c r="L29" s="269"/>
      <c r="M29" s="269"/>
      <c r="N29" s="269"/>
      <c r="O29" s="269"/>
      <c r="P29" s="269"/>
      <c r="Q29" s="269"/>
      <c r="R29" s="269"/>
      <c r="S29" s="269"/>
      <c r="T29" s="269"/>
      <c r="U29" s="269"/>
      <c r="V29" s="269"/>
      <c r="W29" s="269"/>
      <c r="X29" s="269"/>
      <c r="Y29" s="269"/>
      <c r="Z29" s="269"/>
    </row>
    <row r="30">
      <c r="A30" s="269" t="str">
        <f>IFERROR(__xludf.DUMMYFUNCTION("""COMPUTED_VALUE"""),"")</f>
        <v/>
      </c>
      <c r="B30" s="269" t="str">
        <f>IFERROR(__xludf.DUMMYFUNCTION("""COMPUTED_VALUE"""),"RATFOLK")</f>
        <v>RATFOLK</v>
      </c>
      <c r="C30" s="269"/>
      <c r="D30" s="269"/>
      <c r="E30" s="269" t="s">
        <v>250</v>
      </c>
      <c r="F30" s="269"/>
      <c r="G30" s="269"/>
      <c r="H30" s="269"/>
      <c r="I30" s="269"/>
      <c r="J30" s="269"/>
      <c r="K30" s="269"/>
      <c r="L30" s="269"/>
      <c r="M30" s="269"/>
      <c r="N30" s="269"/>
      <c r="O30" s="269"/>
      <c r="P30" s="269"/>
      <c r="Q30" s="269"/>
      <c r="R30" s="269"/>
      <c r="S30" s="269"/>
      <c r="T30" s="269"/>
      <c r="U30" s="269"/>
      <c r="V30" s="269"/>
      <c r="W30" s="269"/>
      <c r="X30" s="269"/>
      <c r="Y30" s="269"/>
      <c r="Z30" s="269"/>
    </row>
    <row r="31">
      <c r="A31" s="269" t="str">
        <f>IFERROR(__xludf.DUMMYFUNCTION("""COMPUTED_VALUE"""),"")</f>
        <v/>
      </c>
      <c r="B31" s="269" t="str">
        <f>IFERROR(__xludf.DUMMYFUNCTION("""COMPUTED_VALUE"""),"RED PANDAFOLK")</f>
        <v>RED PANDAFOLK</v>
      </c>
      <c r="C31" s="269"/>
      <c r="D31" s="269"/>
      <c r="E31" s="269" t="s">
        <v>251</v>
      </c>
      <c r="F31" s="269"/>
      <c r="G31" s="269"/>
      <c r="H31" s="269"/>
      <c r="I31" s="269"/>
      <c r="J31" s="269"/>
      <c r="K31" s="269"/>
      <c r="L31" s="269"/>
      <c r="M31" s="269"/>
      <c r="N31" s="269"/>
      <c r="O31" s="269"/>
      <c r="P31" s="269"/>
      <c r="Q31" s="269"/>
      <c r="R31" s="269"/>
      <c r="S31" s="269"/>
      <c r="T31" s="269"/>
      <c r="U31" s="269"/>
      <c r="V31" s="269"/>
      <c r="W31" s="269"/>
      <c r="X31" s="269"/>
      <c r="Y31" s="269"/>
      <c r="Z31" s="269"/>
    </row>
    <row r="32">
      <c r="A32" s="269" t="str">
        <f>IFERROR(__xludf.DUMMYFUNCTION("""COMPUTED_VALUE"""),"")</f>
        <v/>
      </c>
      <c r="B32" s="269" t="str">
        <f>IFERROR(__xludf.DUMMYFUNCTION("""COMPUTED_VALUE"""),"RYUJIN")</f>
        <v>RYUJIN</v>
      </c>
      <c r="C32" s="269"/>
      <c r="D32" s="269"/>
      <c r="E32" s="269" t="s">
        <v>252</v>
      </c>
      <c r="F32" s="269"/>
      <c r="G32" s="269"/>
      <c r="H32" s="269"/>
      <c r="I32" s="269"/>
      <c r="J32" s="269"/>
      <c r="K32" s="269"/>
      <c r="L32" s="269"/>
      <c r="M32" s="269"/>
      <c r="N32" s="269"/>
      <c r="O32" s="269"/>
      <c r="P32" s="269"/>
      <c r="Q32" s="269"/>
      <c r="R32" s="269"/>
      <c r="S32" s="269"/>
      <c r="T32" s="269"/>
      <c r="U32" s="269"/>
      <c r="V32" s="269"/>
      <c r="W32" s="269"/>
      <c r="X32" s="269"/>
      <c r="Y32" s="269"/>
      <c r="Z32" s="269"/>
    </row>
    <row r="33">
      <c r="A33" s="269" t="str">
        <f>IFERROR(__xludf.DUMMYFUNCTION("""COMPUTED_VALUE"""),"")</f>
        <v/>
      </c>
      <c r="B33" s="269" t="str">
        <f>IFERROR(__xludf.DUMMYFUNCTION("""COMPUTED_VALUE"""),"SALAMANDER")</f>
        <v>SALAMANDER</v>
      </c>
      <c r="C33" s="269"/>
      <c r="D33" s="269"/>
      <c r="E33" s="269" t="s">
        <v>253</v>
      </c>
      <c r="F33" s="269"/>
      <c r="G33" s="269"/>
      <c r="H33" s="269"/>
      <c r="I33" s="269"/>
      <c r="J33" s="269"/>
      <c r="K33" s="269"/>
      <c r="L33" s="269"/>
      <c r="M33" s="269"/>
      <c r="N33" s="269"/>
      <c r="O33" s="269"/>
      <c r="P33" s="269"/>
      <c r="Q33" s="269"/>
      <c r="R33" s="269"/>
      <c r="S33" s="269"/>
      <c r="T33" s="269"/>
      <c r="U33" s="269"/>
      <c r="V33" s="269"/>
      <c r="W33" s="269"/>
      <c r="X33" s="269"/>
      <c r="Y33" s="269"/>
      <c r="Z33" s="269"/>
    </row>
    <row r="34">
      <c r="A34" s="269" t="str">
        <f>IFERROR(__xludf.DUMMYFUNCTION("""COMPUTED_VALUE"""),"")</f>
        <v/>
      </c>
      <c r="B34" s="269" t="str">
        <f>IFERROR(__xludf.DUMMYFUNCTION("""COMPUTED_VALUE"""),"SELKIE")</f>
        <v>SELKIE</v>
      </c>
      <c r="C34" s="269"/>
      <c r="D34" s="269"/>
      <c r="E34" s="269" t="s">
        <v>254</v>
      </c>
      <c r="F34" s="269"/>
      <c r="G34" s="269"/>
      <c r="H34" s="269"/>
      <c r="I34" s="269"/>
      <c r="J34" s="269"/>
      <c r="K34" s="269"/>
      <c r="L34" s="269"/>
      <c r="M34" s="269"/>
      <c r="N34" s="269"/>
      <c r="O34" s="269"/>
      <c r="P34" s="269"/>
      <c r="Q34" s="269"/>
      <c r="R34" s="269"/>
      <c r="S34" s="269"/>
      <c r="T34" s="269"/>
      <c r="U34" s="269"/>
      <c r="V34" s="269"/>
      <c r="W34" s="269"/>
      <c r="X34" s="269"/>
      <c r="Y34" s="269"/>
      <c r="Z34" s="269"/>
    </row>
    <row r="35">
      <c r="A35" s="269" t="str">
        <f>IFERROR(__xludf.DUMMYFUNCTION("""COMPUTED_VALUE"""),"")</f>
        <v/>
      </c>
      <c r="B35" s="269" t="str">
        <f>IFERROR(__xludf.DUMMYFUNCTION("""COMPUTED_VALUE"""),"SHEEPFOLK")</f>
        <v>SHEEPFOLK</v>
      </c>
      <c r="C35" s="269"/>
      <c r="D35" s="269"/>
      <c r="E35" s="269" t="s">
        <v>255</v>
      </c>
      <c r="F35" s="269"/>
      <c r="G35" s="269"/>
      <c r="H35" s="269"/>
      <c r="I35" s="269"/>
      <c r="J35" s="269"/>
      <c r="K35" s="269"/>
      <c r="L35" s="269"/>
      <c r="M35" s="269"/>
      <c r="N35" s="269"/>
      <c r="O35" s="269"/>
      <c r="P35" s="269"/>
      <c r="Q35" s="269"/>
      <c r="R35" s="269"/>
      <c r="S35" s="269"/>
      <c r="T35" s="269"/>
      <c r="U35" s="269"/>
      <c r="V35" s="269"/>
      <c r="W35" s="269"/>
      <c r="X35" s="269"/>
      <c r="Y35" s="269"/>
      <c r="Z35" s="269"/>
    </row>
    <row r="36">
      <c r="A36" s="269" t="str">
        <f>IFERROR(__xludf.DUMMYFUNCTION("""COMPUTED_VALUE"""),"")</f>
        <v/>
      </c>
      <c r="B36" s="269" t="str">
        <f>IFERROR(__xludf.DUMMYFUNCTION("""COMPUTED_VALUE"""),"SLIMEFOLK")</f>
        <v>SLIMEFOLK</v>
      </c>
      <c r="C36" s="269"/>
      <c r="D36" s="269"/>
      <c r="E36" s="269" t="s">
        <v>256</v>
      </c>
      <c r="F36" s="269"/>
      <c r="G36" s="269"/>
      <c r="H36" s="269"/>
      <c r="I36" s="269"/>
      <c r="J36" s="269"/>
      <c r="K36" s="269"/>
      <c r="L36" s="269"/>
      <c r="M36" s="269"/>
      <c r="N36" s="269"/>
      <c r="O36" s="269"/>
      <c r="P36" s="269"/>
      <c r="Q36" s="269"/>
      <c r="R36" s="269"/>
      <c r="S36" s="269"/>
      <c r="T36" s="269"/>
      <c r="U36" s="269"/>
      <c r="V36" s="269"/>
      <c r="W36" s="269"/>
      <c r="X36" s="269"/>
      <c r="Y36" s="269"/>
      <c r="Z36" s="269"/>
    </row>
    <row r="37">
      <c r="A37" s="269" t="str">
        <f>IFERROR(__xludf.DUMMYFUNCTION("""COMPUTED_VALUE"""),"")</f>
        <v/>
      </c>
      <c r="B37" s="269" t="str">
        <f>IFERROR(__xludf.DUMMYFUNCTION("""COMPUTED_VALUE"""),"SPIDERFOLK")</f>
        <v>SPIDERFOLK</v>
      </c>
      <c r="C37" s="269"/>
      <c r="D37" s="269"/>
      <c r="E37" s="269" t="s">
        <v>257</v>
      </c>
      <c r="F37" s="269"/>
      <c r="G37" s="269"/>
      <c r="H37" s="269"/>
      <c r="I37" s="269"/>
      <c r="J37" s="269"/>
      <c r="K37" s="269"/>
      <c r="L37" s="269"/>
      <c r="M37" s="269"/>
      <c r="N37" s="269"/>
      <c r="O37" s="269"/>
      <c r="P37" s="269"/>
      <c r="Q37" s="269"/>
      <c r="R37" s="269"/>
      <c r="S37" s="269"/>
      <c r="T37" s="269"/>
      <c r="U37" s="269"/>
      <c r="V37" s="269"/>
      <c r="W37" s="269"/>
      <c r="X37" s="269"/>
      <c r="Y37" s="269"/>
      <c r="Z37" s="269"/>
    </row>
    <row r="38">
      <c r="A38" s="269" t="str">
        <f>IFERROR(__xludf.DUMMYFUNCTION("""COMPUTED_VALUE"""),"")</f>
        <v/>
      </c>
      <c r="B38" s="269" t="str">
        <f>IFERROR(__xludf.DUMMYFUNCTION("""COMPUTED_VALUE"""),"SURYAN")</f>
        <v>SURYAN</v>
      </c>
      <c r="C38" s="269"/>
      <c r="D38" s="269"/>
      <c r="E38" s="269" t="s">
        <v>258</v>
      </c>
      <c r="F38" s="269"/>
      <c r="G38" s="269"/>
      <c r="H38" s="269"/>
      <c r="I38" s="269"/>
      <c r="J38" s="269"/>
      <c r="K38" s="269"/>
      <c r="L38" s="269"/>
      <c r="M38" s="269"/>
      <c r="N38" s="269"/>
      <c r="O38" s="269"/>
      <c r="P38" s="269"/>
      <c r="Q38" s="269"/>
      <c r="R38" s="269"/>
      <c r="S38" s="269"/>
      <c r="T38" s="269"/>
      <c r="U38" s="269"/>
      <c r="V38" s="269"/>
      <c r="W38" s="269"/>
      <c r="X38" s="269"/>
      <c r="Y38" s="269"/>
      <c r="Z38" s="269"/>
    </row>
    <row r="39">
      <c r="A39" s="269" t="str">
        <f>IFERROR(__xludf.DUMMYFUNCTION("""COMPUTED_VALUE"""),"")</f>
        <v/>
      </c>
      <c r="B39" s="269" t="str">
        <f>IFERROR(__xludf.DUMMYFUNCTION("""COMPUTED_VALUE"""),"SYLPH")</f>
        <v>SYLPH</v>
      </c>
      <c r="C39" s="269"/>
      <c r="D39" s="269"/>
      <c r="E39" s="269" t="s">
        <v>259</v>
      </c>
      <c r="F39" s="269"/>
      <c r="G39" s="269"/>
      <c r="H39" s="269"/>
      <c r="I39" s="269"/>
      <c r="J39" s="269"/>
      <c r="K39" s="269"/>
      <c r="L39" s="269"/>
      <c r="M39" s="269"/>
      <c r="N39" s="269"/>
      <c r="O39" s="269"/>
      <c r="P39" s="269"/>
      <c r="Q39" s="269"/>
      <c r="R39" s="269"/>
      <c r="S39" s="269"/>
      <c r="T39" s="269"/>
      <c r="U39" s="269"/>
      <c r="V39" s="269"/>
      <c r="W39" s="269"/>
      <c r="X39" s="269"/>
      <c r="Y39" s="269"/>
      <c r="Z39" s="269"/>
    </row>
    <row r="40">
      <c r="A40" s="269" t="str">
        <f>IFERROR(__xludf.DUMMYFUNCTION("""COMPUTED_VALUE"""),"")</f>
        <v/>
      </c>
      <c r="B40" s="269" t="str">
        <f>IFERROR(__xludf.DUMMYFUNCTION("""COMPUTED_VALUE"""),"TENGU")</f>
        <v>TENGU</v>
      </c>
      <c r="C40" s="269"/>
      <c r="D40" s="269"/>
      <c r="E40" s="269" t="s">
        <v>260</v>
      </c>
      <c r="F40" s="269"/>
      <c r="G40" s="269"/>
      <c r="H40" s="269"/>
      <c r="I40" s="269"/>
      <c r="J40" s="269"/>
      <c r="K40" s="269"/>
      <c r="L40" s="269"/>
      <c r="M40" s="269"/>
      <c r="N40" s="269"/>
      <c r="O40" s="269"/>
      <c r="P40" s="269"/>
      <c r="Q40" s="269"/>
      <c r="R40" s="269"/>
      <c r="S40" s="269"/>
      <c r="T40" s="269"/>
      <c r="U40" s="269"/>
      <c r="V40" s="269"/>
      <c r="W40" s="269"/>
      <c r="X40" s="269"/>
      <c r="Y40" s="269"/>
      <c r="Z40" s="269"/>
    </row>
    <row r="41">
      <c r="A41" s="269" t="str">
        <f>IFERROR(__xludf.DUMMYFUNCTION("""COMPUTED_VALUE"""),"")</f>
        <v/>
      </c>
      <c r="B41" s="269" t="str">
        <f>IFERROR(__xludf.DUMMYFUNCTION("""COMPUTED_VALUE"""),"UNSEELIE")</f>
        <v>UNSEELIE</v>
      </c>
      <c r="C41" s="269"/>
      <c r="D41" s="269"/>
      <c r="E41" s="269" t="s">
        <v>261</v>
      </c>
      <c r="F41" s="269"/>
      <c r="G41" s="269"/>
      <c r="H41" s="269"/>
      <c r="I41" s="269"/>
      <c r="J41" s="269"/>
      <c r="K41" s="269"/>
      <c r="L41" s="269"/>
      <c r="M41" s="269"/>
      <c r="N41" s="269"/>
      <c r="O41" s="269"/>
      <c r="P41" s="269"/>
      <c r="Q41" s="269"/>
      <c r="R41" s="269"/>
      <c r="S41" s="269"/>
      <c r="T41" s="269"/>
      <c r="U41" s="269"/>
      <c r="V41" s="269"/>
      <c r="W41" s="269"/>
      <c r="X41" s="269"/>
      <c r="Y41" s="269"/>
      <c r="Z41" s="269"/>
    </row>
    <row r="42">
      <c r="A42" s="269" t="str">
        <f>IFERROR(__xludf.DUMMYFUNCTION("""COMPUTED_VALUE"""),"")</f>
        <v/>
      </c>
      <c r="B42" s="269" t="str">
        <f>IFERROR(__xludf.DUMMYFUNCTION("""COMPUTED_VALUE"""),"WILLO WISP")</f>
        <v>WILLO WISP</v>
      </c>
      <c r="C42" s="269"/>
      <c r="D42" s="269"/>
      <c r="E42" s="269" t="s">
        <v>262</v>
      </c>
      <c r="F42" s="269"/>
      <c r="G42" s="269"/>
      <c r="H42" s="269"/>
      <c r="I42" s="269"/>
      <c r="J42" s="269"/>
      <c r="K42" s="269"/>
      <c r="L42" s="269"/>
      <c r="M42" s="269"/>
      <c r="N42" s="269"/>
      <c r="O42" s="269"/>
      <c r="P42" s="269"/>
      <c r="Q42" s="269"/>
      <c r="R42" s="269"/>
      <c r="S42" s="269"/>
      <c r="T42" s="269"/>
      <c r="U42" s="269"/>
      <c r="V42" s="269"/>
      <c r="W42" s="269"/>
      <c r="X42" s="269"/>
      <c r="Y42" s="269"/>
      <c r="Z42" s="269"/>
    </row>
    <row r="43">
      <c r="A43" s="269" t="str">
        <f>IFERROR(__xludf.DUMMYFUNCTION("""COMPUTED_VALUE"""),"")</f>
        <v/>
      </c>
      <c r="B43" s="269" t="str">
        <f>IFERROR(__xludf.DUMMYFUNCTION("""COMPUTED_VALUE"""),"WOLF-FOLK")</f>
        <v>WOLF-FOLK</v>
      </c>
      <c r="C43" s="269"/>
      <c r="D43" s="269"/>
      <c r="E43" s="269" t="s">
        <v>263</v>
      </c>
      <c r="F43" s="269"/>
      <c r="G43" s="269"/>
      <c r="H43" s="269"/>
      <c r="I43" s="269"/>
      <c r="J43" s="269"/>
      <c r="K43" s="269"/>
      <c r="L43" s="269"/>
      <c r="M43" s="269"/>
      <c r="N43" s="269"/>
      <c r="O43" s="269"/>
      <c r="P43" s="269"/>
      <c r="Q43" s="269"/>
      <c r="R43" s="269"/>
      <c r="S43" s="269"/>
      <c r="T43" s="269"/>
      <c r="U43" s="269"/>
      <c r="V43" s="269"/>
      <c r="W43" s="269"/>
      <c r="X43" s="269"/>
      <c r="Y43" s="269"/>
      <c r="Z43" s="269"/>
    </row>
    <row r="44">
      <c r="A44" s="269" t="str">
        <f>IFERROR(__xludf.DUMMYFUNCTION("""COMPUTED_VALUE"""),"")</f>
        <v/>
      </c>
      <c r="B44" s="269" t="str">
        <f>IFERROR(__xludf.DUMMYFUNCTION("""COMPUTED_VALUE"""),"YUKI-ONNA")</f>
        <v>YUKI-ONNA</v>
      </c>
      <c r="C44" s="269"/>
      <c r="D44" s="269"/>
      <c r="E44" s="269" t="s">
        <v>264</v>
      </c>
      <c r="F44" s="269"/>
      <c r="G44" s="269"/>
      <c r="H44" s="269"/>
      <c r="I44" s="269"/>
      <c r="J44" s="269"/>
      <c r="K44" s="269"/>
      <c r="L44" s="269"/>
      <c r="M44" s="269"/>
      <c r="N44" s="269"/>
      <c r="O44" s="269"/>
      <c r="P44" s="269"/>
      <c r="Q44" s="269"/>
      <c r="R44" s="269"/>
      <c r="S44" s="269"/>
      <c r="T44" s="269"/>
      <c r="U44" s="269"/>
      <c r="V44" s="269"/>
      <c r="W44" s="269"/>
      <c r="X44" s="269"/>
      <c r="Y44" s="269"/>
      <c r="Z44" s="269"/>
    </row>
    <row r="45">
      <c r="A45" s="269" t="str">
        <f>IFERROR(__xludf.DUMMYFUNCTION("""COMPUTED_VALUE"""),"")</f>
        <v/>
      </c>
      <c r="B45" s="269"/>
      <c r="C45" s="269"/>
      <c r="D45" s="269"/>
      <c r="E45" s="269" t="s">
        <v>265</v>
      </c>
      <c r="F45" s="269"/>
      <c r="G45" s="269"/>
      <c r="H45" s="269"/>
      <c r="I45" s="269"/>
      <c r="J45" s="269"/>
      <c r="K45" s="269"/>
      <c r="L45" s="269"/>
      <c r="M45" s="269"/>
      <c r="N45" s="269"/>
      <c r="O45" s="269"/>
      <c r="P45" s="269"/>
      <c r="Q45" s="269"/>
      <c r="R45" s="269"/>
      <c r="S45" s="269"/>
      <c r="T45" s="269"/>
      <c r="U45" s="269"/>
      <c r="V45" s="269"/>
      <c r="W45" s="269"/>
      <c r="X45" s="269"/>
      <c r="Y45" s="269"/>
      <c r="Z45" s="269"/>
    </row>
    <row r="46">
      <c r="A46" s="269" t="str">
        <f>IFERROR(__xludf.DUMMYFUNCTION("""COMPUTED_VALUE"""),"")</f>
        <v/>
      </c>
      <c r="B46" s="269"/>
      <c r="C46" s="269"/>
      <c r="D46" s="269"/>
      <c r="E46" s="269" t="s">
        <v>265</v>
      </c>
      <c r="F46" s="269"/>
      <c r="G46" s="269"/>
      <c r="H46" s="269"/>
      <c r="I46" s="269"/>
      <c r="J46" s="269"/>
      <c r="K46" s="269"/>
      <c r="L46" s="269"/>
      <c r="M46" s="269"/>
      <c r="N46" s="269"/>
      <c r="O46" s="269"/>
      <c r="P46" s="269"/>
      <c r="Q46" s="269"/>
      <c r="R46" s="269"/>
      <c r="S46" s="269"/>
      <c r="T46" s="269"/>
      <c r="U46" s="269"/>
      <c r="V46" s="269"/>
      <c r="W46" s="269"/>
      <c r="X46" s="269"/>
      <c r="Y46" s="269"/>
      <c r="Z46" s="269"/>
    </row>
    <row r="47">
      <c r="A47" s="269" t="str">
        <f>IFERROR(__xludf.DUMMYFUNCTION("""COMPUTED_VALUE"""),"")</f>
        <v/>
      </c>
      <c r="B47" s="269"/>
      <c r="C47" s="269"/>
      <c r="D47" s="269"/>
      <c r="E47" s="269" t="s">
        <v>265</v>
      </c>
      <c r="F47" s="269"/>
      <c r="G47" s="269"/>
      <c r="H47" s="269"/>
      <c r="I47" s="269"/>
      <c r="J47" s="269"/>
      <c r="K47" s="269"/>
      <c r="L47" s="269"/>
      <c r="M47" s="269"/>
      <c r="N47" s="269"/>
      <c r="O47" s="269"/>
      <c r="P47" s="269"/>
      <c r="Q47" s="269"/>
      <c r="R47" s="269"/>
      <c r="S47" s="269"/>
      <c r="T47" s="269"/>
      <c r="U47" s="269"/>
      <c r="V47" s="269"/>
      <c r="W47" s="269"/>
      <c r="X47" s="269"/>
      <c r="Y47" s="269"/>
      <c r="Z47" s="269"/>
    </row>
    <row r="48">
      <c r="A48" s="269" t="str">
        <f>IFERROR(__xludf.DUMMYFUNCTION("""COMPUTED_VALUE"""),"")</f>
        <v/>
      </c>
      <c r="B48" s="269"/>
      <c r="C48" s="269"/>
      <c r="D48" s="269"/>
      <c r="E48" s="269" t="s">
        <v>265</v>
      </c>
      <c r="F48" s="269"/>
      <c r="G48" s="269"/>
      <c r="H48" s="269"/>
      <c r="I48" s="269"/>
      <c r="J48" s="269"/>
      <c r="K48" s="269"/>
      <c r="L48" s="269"/>
      <c r="M48" s="269"/>
      <c r="N48" s="269"/>
      <c r="O48" s="269"/>
      <c r="P48" s="269"/>
      <c r="Q48" s="269"/>
      <c r="R48" s="269"/>
      <c r="S48" s="269"/>
      <c r="T48" s="269"/>
      <c r="U48" s="269"/>
      <c r="V48" s="269"/>
      <c r="W48" s="269"/>
      <c r="X48" s="269"/>
      <c r="Y48" s="269"/>
      <c r="Z48" s="269"/>
    </row>
    <row r="49">
      <c r="A49" s="269" t="str">
        <f>IFERROR(__xludf.DUMMYFUNCTION("""COMPUTED_VALUE"""),"")</f>
        <v/>
      </c>
      <c r="B49" s="269"/>
      <c r="C49" s="269"/>
      <c r="D49" s="269"/>
      <c r="E49" s="269" t="s">
        <v>265</v>
      </c>
      <c r="F49" s="269"/>
      <c r="G49" s="269"/>
      <c r="H49" s="269"/>
      <c r="I49" s="269"/>
      <c r="J49" s="269"/>
      <c r="K49" s="269"/>
      <c r="L49" s="269"/>
      <c r="M49" s="269"/>
      <c r="N49" s="269"/>
      <c r="O49" s="269"/>
      <c r="P49" s="269"/>
      <c r="Q49" s="269"/>
      <c r="R49" s="269"/>
      <c r="S49" s="269"/>
      <c r="T49" s="269"/>
      <c r="U49" s="269"/>
      <c r="V49" s="269"/>
      <c r="W49" s="269"/>
      <c r="X49" s="269"/>
      <c r="Y49" s="269"/>
      <c r="Z49" s="269"/>
    </row>
    <row r="50">
      <c r="A50" s="269" t="str">
        <f>IFERROR(__xludf.DUMMYFUNCTION("""COMPUTED_VALUE"""),"")</f>
        <v/>
      </c>
      <c r="B50" s="269"/>
      <c r="C50" s="269"/>
      <c r="D50" s="269"/>
      <c r="E50" s="269" t="s">
        <v>265</v>
      </c>
      <c r="F50" s="269"/>
      <c r="G50" s="269"/>
      <c r="H50" s="269"/>
      <c r="I50" s="269"/>
      <c r="J50" s="269"/>
      <c r="K50" s="269"/>
      <c r="L50" s="269"/>
      <c r="M50" s="269"/>
      <c r="N50" s="269"/>
      <c r="O50" s="269"/>
      <c r="P50" s="269"/>
      <c r="Q50" s="269"/>
      <c r="R50" s="269"/>
      <c r="S50" s="269"/>
      <c r="T50" s="269"/>
      <c r="U50" s="269"/>
      <c r="V50" s="269"/>
      <c r="W50" s="269"/>
      <c r="X50" s="269"/>
      <c r="Y50" s="269"/>
      <c r="Z50" s="269"/>
    </row>
    <row r="51">
      <c r="A51" s="269" t="str">
        <f>IFERROR(__xludf.DUMMYFUNCTION("""COMPUTED_VALUE"""),"")</f>
        <v/>
      </c>
      <c r="B51" s="270"/>
      <c r="C51" s="269"/>
      <c r="D51" s="269"/>
      <c r="E51" s="269" t="s">
        <v>265</v>
      </c>
      <c r="F51" s="269"/>
      <c r="G51" s="269"/>
      <c r="H51" s="269"/>
      <c r="I51" s="269"/>
      <c r="J51" s="269"/>
      <c r="K51" s="269"/>
      <c r="L51" s="269"/>
      <c r="M51" s="269"/>
      <c r="N51" s="269"/>
      <c r="O51" s="269"/>
      <c r="P51" s="269"/>
      <c r="Q51" s="269"/>
      <c r="R51" s="269"/>
      <c r="S51" s="269"/>
      <c r="T51" s="269"/>
      <c r="U51" s="269"/>
      <c r="V51" s="269"/>
      <c r="W51" s="269"/>
      <c r="X51" s="269"/>
      <c r="Y51" s="269"/>
      <c r="Z51" s="269"/>
    </row>
    <row r="52">
      <c r="A52" s="269" t="str">
        <f>IFERROR(__xludf.DUMMYFUNCTION("""COMPUTED_VALUE"""),"")</f>
        <v/>
      </c>
      <c r="B52" s="269"/>
      <c r="C52" s="269"/>
      <c r="D52" s="269"/>
      <c r="E52" s="269" t="s">
        <v>265</v>
      </c>
      <c r="F52" s="269"/>
      <c r="G52" s="269"/>
      <c r="H52" s="269"/>
      <c r="I52" s="269"/>
      <c r="J52" s="269"/>
      <c r="K52" s="269"/>
      <c r="L52" s="269"/>
      <c r="M52" s="269"/>
      <c r="N52" s="269"/>
      <c r="O52" s="269"/>
      <c r="P52" s="269"/>
      <c r="Q52" s="269"/>
      <c r="R52" s="269"/>
      <c r="S52" s="269"/>
      <c r="T52" s="269"/>
      <c r="U52" s="269"/>
      <c r="V52" s="269"/>
      <c r="W52" s="269"/>
      <c r="X52" s="269"/>
      <c r="Y52" s="269"/>
      <c r="Z52" s="269"/>
    </row>
    <row r="53">
      <c r="A53" s="269" t="str">
        <f>IFERROR(__xludf.DUMMYFUNCTION("""COMPUTED_VALUE"""),"")</f>
        <v/>
      </c>
      <c r="B53" s="269"/>
      <c r="C53" s="269"/>
      <c r="D53" s="269"/>
      <c r="E53" s="269" t="s">
        <v>265</v>
      </c>
      <c r="F53" s="269"/>
      <c r="G53" s="269"/>
      <c r="H53" s="269"/>
      <c r="I53" s="269"/>
      <c r="J53" s="269"/>
      <c r="K53" s="269"/>
      <c r="L53" s="269"/>
      <c r="M53" s="269"/>
      <c r="N53" s="269"/>
      <c r="O53" s="269"/>
      <c r="P53" s="269"/>
      <c r="Q53" s="269"/>
      <c r="R53" s="269"/>
      <c r="S53" s="269"/>
      <c r="T53" s="269"/>
      <c r="U53" s="269"/>
      <c r="V53" s="269"/>
      <c r="W53" s="269"/>
      <c r="X53" s="269"/>
      <c r="Y53" s="269"/>
      <c r="Z53" s="269"/>
    </row>
    <row r="54">
      <c r="A54" s="269" t="str">
        <f>IFERROR(__xludf.DUMMYFUNCTION("""COMPUTED_VALUE"""),"")</f>
        <v/>
      </c>
      <c r="B54" s="269"/>
      <c r="C54" s="269"/>
      <c r="D54" s="269"/>
      <c r="E54" s="269" t="s">
        <v>265</v>
      </c>
      <c r="F54" s="269"/>
      <c r="G54" s="269"/>
      <c r="H54" s="269"/>
      <c r="I54" s="269"/>
      <c r="J54" s="269"/>
      <c r="K54" s="269"/>
      <c r="L54" s="269"/>
      <c r="M54" s="269"/>
      <c r="N54" s="269"/>
      <c r="O54" s="269"/>
      <c r="P54" s="269"/>
      <c r="Q54" s="269"/>
      <c r="R54" s="269"/>
      <c r="S54" s="269"/>
      <c r="T54" s="269"/>
      <c r="U54" s="269"/>
      <c r="V54" s="269"/>
      <c r="W54" s="269"/>
      <c r="X54" s="269"/>
      <c r="Y54" s="269"/>
      <c r="Z54" s="269"/>
    </row>
    <row r="55">
      <c r="A55" s="269" t="str">
        <f>IFERROR(__xludf.DUMMYFUNCTION("""COMPUTED_VALUE"""),"")</f>
        <v/>
      </c>
      <c r="B55" s="269"/>
      <c r="C55" s="269"/>
      <c r="D55" s="269"/>
      <c r="E55" s="269" t="s">
        <v>265</v>
      </c>
      <c r="F55" s="269"/>
      <c r="G55" s="269"/>
      <c r="H55" s="269"/>
      <c r="I55" s="269"/>
      <c r="J55" s="269"/>
      <c r="K55" s="269"/>
      <c r="L55" s="269"/>
      <c r="M55" s="269"/>
      <c r="N55" s="269"/>
      <c r="O55" s="269"/>
      <c r="P55" s="269"/>
      <c r="Q55" s="269"/>
      <c r="R55" s="269"/>
      <c r="S55" s="269"/>
      <c r="T55" s="269"/>
      <c r="U55" s="269"/>
      <c r="V55" s="269"/>
      <c r="W55" s="269"/>
      <c r="X55" s="269"/>
      <c r="Y55" s="269"/>
      <c r="Z55" s="269"/>
    </row>
    <row r="56">
      <c r="A56" s="269" t="str">
        <f>IFERROR(__xludf.DUMMYFUNCTION("""COMPUTED_VALUE"""),"")</f>
        <v/>
      </c>
      <c r="B56" s="269"/>
      <c r="C56" s="269"/>
      <c r="D56" s="269"/>
      <c r="E56" s="269" t="s">
        <v>265</v>
      </c>
      <c r="F56" s="269"/>
      <c r="G56" s="269"/>
      <c r="H56" s="269"/>
      <c r="I56" s="269"/>
      <c r="J56" s="269"/>
      <c r="K56" s="269"/>
      <c r="L56" s="269"/>
      <c r="M56" s="269"/>
      <c r="N56" s="269"/>
      <c r="O56" s="269"/>
      <c r="P56" s="269"/>
      <c r="Q56" s="269"/>
      <c r="R56" s="269"/>
      <c r="S56" s="269"/>
      <c r="T56" s="269"/>
      <c r="U56" s="269"/>
      <c r="V56" s="269"/>
      <c r="W56" s="269"/>
      <c r="X56" s="269"/>
      <c r="Y56" s="269"/>
      <c r="Z56" s="269"/>
    </row>
    <row r="57">
      <c r="A57" s="269" t="str">
        <f>IFERROR(__xludf.DUMMYFUNCTION("""COMPUTED_VALUE"""),"")</f>
        <v/>
      </c>
      <c r="B57" s="269"/>
      <c r="C57" s="269"/>
      <c r="D57" s="269"/>
      <c r="E57" s="269" t="s">
        <v>265</v>
      </c>
      <c r="F57" s="269"/>
      <c r="G57" s="269"/>
      <c r="H57" s="269"/>
      <c r="I57" s="269"/>
      <c r="J57" s="269"/>
      <c r="K57" s="269"/>
      <c r="L57" s="269"/>
      <c r="M57" s="269"/>
      <c r="N57" s="269"/>
      <c r="O57" s="269"/>
      <c r="P57" s="269"/>
      <c r="Q57" s="269"/>
      <c r="R57" s="269"/>
      <c r="S57" s="269"/>
      <c r="T57" s="269"/>
      <c r="U57" s="269"/>
      <c r="V57" s="269"/>
      <c r="W57" s="269"/>
      <c r="X57" s="269"/>
      <c r="Y57" s="269"/>
      <c r="Z57" s="269"/>
    </row>
    <row r="58">
      <c r="A58" s="269" t="str">
        <f>IFERROR(__xludf.DUMMYFUNCTION("""COMPUTED_VALUE"""),"")</f>
        <v/>
      </c>
      <c r="B58" s="269"/>
      <c r="C58" s="269"/>
      <c r="D58" s="269"/>
      <c r="E58" s="269" t="s">
        <v>265</v>
      </c>
      <c r="F58" s="269"/>
      <c r="G58" s="269"/>
      <c r="H58" s="269"/>
      <c r="I58" s="269"/>
      <c r="J58" s="269"/>
      <c r="K58" s="269"/>
      <c r="L58" s="269"/>
      <c r="M58" s="269"/>
      <c r="N58" s="269"/>
      <c r="O58" s="269"/>
      <c r="P58" s="269"/>
      <c r="Q58" s="269"/>
      <c r="R58" s="269"/>
      <c r="S58" s="269"/>
      <c r="T58" s="269"/>
      <c r="U58" s="269"/>
      <c r="V58" s="269"/>
      <c r="W58" s="269"/>
      <c r="X58" s="269"/>
      <c r="Y58" s="269"/>
      <c r="Z58" s="269"/>
    </row>
    <row r="59">
      <c r="A59" s="269" t="str">
        <f>IFERROR(__xludf.DUMMYFUNCTION("""COMPUTED_VALUE"""),"")</f>
        <v/>
      </c>
      <c r="B59" s="269"/>
      <c r="C59" s="269"/>
      <c r="D59" s="269"/>
      <c r="E59" s="269" t="s">
        <v>265</v>
      </c>
      <c r="F59" s="269"/>
      <c r="G59" s="269"/>
      <c r="H59" s="269"/>
      <c r="I59" s="269"/>
      <c r="J59" s="269"/>
      <c r="K59" s="269"/>
      <c r="L59" s="269"/>
      <c r="M59" s="269"/>
      <c r="N59" s="269"/>
      <c r="O59" s="269"/>
      <c r="P59" s="269"/>
      <c r="Q59" s="269"/>
      <c r="R59" s="269"/>
      <c r="S59" s="269"/>
      <c r="T59" s="269"/>
      <c r="U59" s="269"/>
      <c r="V59" s="269"/>
      <c r="W59" s="269"/>
      <c r="X59" s="269"/>
      <c r="Y59" s="269"/>
      <c r="Z59" s="269"/>
    </row>
    <row r="60">
      <c r="A60" s="269" t="str">
        <f>IFERROR(__xludf.DUMMYFUNCTION("""COMPUTED_VALUE"""),"")</f>
        <v/>
      </c>
      <c r="B60" s="269"/>
      <c r="C60" s="269"/>
      <c r="D60" s="269"/>
      <c r="E60" s="269" t="s">
        <v>265</v>
      </c>
      <c r="F60" s="269"/>
      <c r="G60" s="269"/>
      <c r="H60" s="269"/>
      <c r="I60" s="269"/>
      <c r="J60" s="269"/>
      <c r="K60" s="269"/>
      <c r="L60" s="269"/>
      <c r="M60" s="269"/>
      <c r="N60" s="269"/>
      <c r="O60" s="269"/>
      <c r="P60" s="269"/>
      <c r="Q60" s="269"/>
      <c r="R60" s="269"/>
      <c r="S60" s="269"/>
      <c r="T60" s="269"/>
      <c r="U60" s="269"/>
      <c r="V60" s="269"/>
      <c r="W60" s="269"/>
      <c r="X60" s="269"/>
      <c r="Y60" s="269"/>
      <c r="Z60" s="269"/>
    </row>
    <row r="61">
      <c r="A61" s="269" t="str">
        <f>IFERROR(__xludf.DUMMYFUNCTION("""COMPUTED_VALUE"""),"")</f>
        <v/>
      </c>
      <c r="B61" s="269"/>
      <c r="C61" s="269"/>
      <c r="D61" s="269"/>
      <c r="E61" s="269" t="s">
        <v>265</v>
      </c>
      <c r="F61" s="269"/>
      <c r="G61" s="269"/>
      <c r="H61" s="269"/>
      <c r="I61" s="269"/>
      <c r="J61" s="269"/>
      <c r="K61" s="269"/>
      <c r="L61" s="269"/>
      <c r="M61" s="269"/>
      <c r="N61" s="269"/>
      <c r="O61" s="269"/>
      <c r="P61" s="269"/>
      <c r="Q61" s="269"/>
      <c r="R61" s="269"/>
      <c r="S61" s="269"/>
      <c r="T61" s="269"/>
      <c r="U61" s="269"/>
      <c r="V61" s="269"/>
      <c r="W61" s="269"/>
      <c r="X61" s="269"/>
      <c r="Y61" s="269"/>
      <c r="Z61" s="269"/>
    </row>
    <row r="62">
      <c r="A62" s="269" t="str">
        <f>IFERROR(__xludf.DUMMYFUNCTION("""COMPUTED_VALUE"""),"")</f>
        <v/>
      </c>
      <c r="B62" s="269"/>
      <c r="C62" s="269"/>
      <c r="D62" s="269"/>
      <c r="E62" s="269" t="s">
        <v>265</v>
      </c>
      <c r="F62" s="269"/>
      <c r="G62" s="269"/>
      <c r="H62" s="269"/>
      <c r="I62" s="269"/>
      <c r="J62" s="269"/>
      <c r="K62" s="269"/>
      <c r="L62" s="269"/>
      <c r="M62" s="269"/>
      <c r="N62" s="269"/>
      <c r="O62" s="269"/>
      <c r="P62" s="269"/>
      <c r="Q62" s="269"/>
      <c r="R62" s="269"/>
      <c r="S62" s="269"/>
      <c r="T62" s="269"/>
      <c r="U62" s="269"/>
      <c r="V62" s="269"/>
      <c r="W62" s="269"/>
      <c r="X62" s="269"/>
      <c r="Y62" s="269"/>
      <c r="Z62" s="269"/>
    </row>
    <row r="63">
      <c r="A63" s="269" t="str">
        <f>IFERROR(__xludf.DUMMYFUNCTION("""COMPUTED_VALUE"""),"")</f>
        <v/>
      </c>
      <c r="B63" s="269"/>
      <c r="C63" s="269"/>
      <c r="D63" s="269"/>
      <c r="E63" s="269" t="s">
        <v>265</v>
      </c>
      <c r="F63" s="269"/>
      <c r="G63" s="269"/>
      <c r="H63" s="269"/>
      <c r="I63" s="269"/>
      <c r="J63" s="269"/>
      <c r="K63" s="269"/>
      <c r="L63" s="269"/>
      <c r="M63" s="269"/>
      <c r="N63" s="269"/>
      <c r="O63" s="269"/>
      <c r="P63" s="269"/>
      <c r="Q63" s="269"/>
      <c r="R63" s="269"/>
      <c r="S63" s="269"/>
      <c r="T63" s="269"/>
      <c r="U63" s="269"/>
      <c r="V63" s="269"/>
      <c r="W63" s="269"/>
      <c r="X63" s="269"/>
      <c r="Y63" s="269"/>
      <c r="Z63" s="269"/>
    </row>
    <row r="64">
      <c r="A64" s="269" t="str">
        <f>IFERROR(__xludf.DUMMYFUNCTION("""COMPUTED_VALUE"""),"")</f>
        <v/>
      </c>
      <c r="B64" s="269"/>
      <c r="C64" s="269"/>
      <c r="D64" s="269"/>
      <c r="E64" s="269" t="s">
        <v>265</v>
      </c>
      <c r="F64" s="269"/>
      <c r="G64" s="269"/>
      <c r="H64" s="269"/>
      <c r="I64" s="269"/>
      <c r="J64" s="269"/>
      <c r="K64" s="269"/>
      <c r="L64" s="269"/>
      <c r="M64" s="269"/>
      <c r="N64" s="269"/>
      <c r="O64" s="269"/>
      <c r="P64" s="269"/>
      <c r="Q64" s="269"/>
      <c r="R64" s="269"/>
      <c r="S64" s="269"/>
      <c r="T64" s="269"/>
      <c r="U64" s="269"/>
      <c r="V64" s="269"/>
      <c r="W64" s="269"/>
      <c r="X64" s="269"/>
      <c r="Y64" s="269"/>
      <c r="Z64" s="269"/>
    </row>
    <row r="65">
      <c r="A65" s="269" t="str">
        <f>IFERROR(__xludf.DUMMYFUNCTION("""COMPUTED_VALUE"""),"")</f>
        <v/>
      </c>
      <c r="B65" s="269"/>
      <c r="C65" s="269"/>
      <c r="D65" s="269"/>
      <c r="E65" s="269" t="s">
        <v>265</v>
      </c>
      <c r="F65" s="269"/>
      <c r="G65" s="269"/>
      <c r="H65" s="269"/>
      <c r="I65" s="269"/>
      <c r="J65" s="269"/>
      <c r="K65" s="269"/>
      <c r="L65" s="269"/>
      <c r="M65" s="269"/>
      <c r="N65" s="269"/>
      <c r="O65" s="269"/>
      <c r="P65" s="269"/>
      <c r="Q65" s="269"/>
      <c r="R65" s="269"/>
      <c r="S65" s="269"/>
      <c r="T65" s="269"/>
      <c r="U65" s="269"/>
      <c r="V65" s="269"/>
      <c r="W65" s="269"/>
      <c r="X65" s="269"/>
      <c r="Y65" s="269"/>
      <c r="Z65" s="269"/>
    </row>
    <row r="66">
      <c r="A66" s="269" t="str">
        <f>IFERROR(__xludf.DUMMYFUNCTION("""COMPUTED_VALUE"""),"")</f>
        <v/>
      </c>
      <c r="B66" s="269"/>
      <c r="C66" s="269"/>
      <c r="D66" s="269"/>
      <c r="E66" s="269" t="s">
        <v>265</v>
      </c>
      <c r="F66" s="269"/>
      <c r="G66" s="269"/>
      <c r="H66" s="269"/>
      <c r="I66" s="269"/>
      <c r="J66" s="269"/>
      <c r="K66" s="269"/>
      <c r="L66" s="269"/>
      <c r="M66" s="269"/>
      <c r="N66" s="269"/>
      <c r="O66" s="269"/>
      <c r="P66" s="269"/>
      <c r="Q66" s="269"/>
      <c r="R66" s="269"/>
      <c r="S66" s="269"/>
      <c r="T66" s="269"/>
      <c r="U66" s="269"/>
      <c r="V66" s="269"/>
      <c r="W66" s="269"/>
      <c r="X66" s="269"/>
      <c r="Y66" s="269"/>
      <c r="Z66" s="269"/>
    </row>
    <row r="67">
      <c r="A67" s="269" t="str">
        <f>IFERROR(__xludf.DUMMYFUNCTION("""COMPUTED_VALUE"""),"")</f>
        <v/>
      </c>
      <c r="B67" s="269"/>
      <c r="C67" s="269"/>
      <c r="D67" s="269"/>
      <c r="E67" s="269" t="s">
        <v>265</v>
      </c>
      <c r="F67" s="269"/>
      <c r="G67" s="269"/>
      <c r="H67" s="269"/>
      <c r="I67" s="269"/>
      <c r="J67" s="269"/>
      <c r="K67" s="269"/>
      <c r="L67" s="269"/>
      <c r="M67" s="269"/>
      <c r="N67" s="269"/>
      <c r="O67" s="269"/>
      <c r="P67" s="269"/>
      <c r="Q67" s="269"/>
      <c r="R67" s="269"/>
      <c r="S67" s="269"/>
      <c r="T67" s="269"/>
      <c r="U67" s="269"/>
      <c r="V67" s="269"/>
      <c r="W67" s="269"/>
      <c r="X67" s="269"/>
      <c r="Y67" s="269"/>
      <c r="Z67" s="269"/>
    </row>
    <row r="68">
      <c r="A68" s="269" t="str">
        <f>IFERROR(__xludf.DUMMYFUNCTION("""COMPUTED_VALUE"""),"")</f>
        <v/>
      </c>
      <c r="B68" s="269"/>
      <c r="C68" s="269"/>
      <c r="D68" s="269"/>
      <c r="E68" s="269" t="s">
        <v>265</v>
      </c>
      <c r="F68" s="269"/>
      <c r="G68" s="269"/>
      <c r="H68" s="269"/>
      <c r="I68" s="269"/>
      <c r="J68" s="269"/>
      <c r="K68" s="269"/>
      <c r="L68" s="269"/>
      <c r="M68" s="269"/>
      <c r="N68" s="269"/>
      <c r="O68" s="269"/>
      <c r="P68" s="269"/>
      <c r="Q68" s="269"/>
      <c r="R68" s="269"/>
      <c r="S68" s="269"/>
      <c r="T68" s="269"/>
      <c r="U68" s="269"/>
      <c r="V68" s="269"/>
      <c r="W68" s="269"/>
      <c r="X68" s="269"/>
      <c r="Y68" s="269"/>
      <c r="Z68" s="269"/>
    </row>
    <row r="69">
      <c r="A69" s="269" t="str">
        <f>IFERROR(__xludf.DUMMYFUNCTION("""COMPUTED_VALUE"""),"")</f>
        <v/>
      </c>
      <c r="B69" s="269"/>
      <c r="C69" s="269"/>
      <c r="D69" s="269"/>
      <c r="E69" s="269" t="s">
        <v>265</v>
      </c>
      <c r="F69" s="269"/>
      <c r="G69" s="269"/>
      <c r="H69" s="269"/>
      <c r="I69" s="269"/>
      <c r="J69" s="269"/>
      <c r="K69" s="269"/>
      <c r="L69" s="269"/>
      <c r="M69" s="269"/>
      <c r="N69" s="269"/>
      <c r="O69" s="269"/>
      <c r="P69" s="269"/>
      <c r="Q69" s="269"/>
      <c r="R69" s="269"/>
      <c r="S69" s="269"/>
      <c r="T69" s="269"/>
      <c r="U69" s="269"/>
      <c r="V69" s="269"/>
      <c r="W69" s="269"/>
      <c r="X69" s="269"/>
      <c r="Y69" s="269"/>
      <c r="Z69" s="269"/>
    </row>
    <row r="70">
      <c r="A70" s="269" t="str">
        <f>IFERROR(__xludf.DUMMYFUNCTION("""COMPUTED_VALUE"""),"")</f>
        <v/>
      </c>
      <c r="B70" s="269"/>
      <c r="C70" s="269"/>
      <c r="D70" s="269"/>
      <c r="E70" s="269" t="s">
        <v>265</v>
      </c>
      <c r="F70" s="269"/>
      <c r="G70" s="269"/>
      <c r="H70" s="269"/>
      <c r="I70" s="269"/>
      <c r="J70" s="269"/>
      <c r="K70" s="269"/>
      <c r="L70" s="269"/>
      <c r="M70" s="269"/>
      <c r="N70" s="269"/>
      <c r="O70" s="269"/>
      <c r="P70" s="269"/>
      <c r="Q70" s="269"/>
      <c r="R70" s="269"/>
      <c r="S70" s="269"/>
      <c r="T70" s="269"/>
      <c r="U70" s="269"/>
      <c r="V70" s="269"/>
      <c r="W70" s="269"/>
      <c r="X70" s="269"/>
      <c r="Y70" s="269"/>
      <c r="Z70" s="269"/>
    </row>
    <row r="71">
      <c r="A71" s="269" t="str">
        <f>IFERROR(__xludf.DUMMYFUNCTION("""COMPUTED_VALUE"""),"")</f>
        <v/>
      </c>
      <c r="B71" s="269" t="s">
        <v>266</v>
      </c>
      <c r="C71" s="269"/>
      <c r="D71" s="269"/>
      <c r="E71" s="269" t="s">
        <v>267</v>
      </c>
      <c r="F71" s="269"/>
      <c r="G71" s="269"/>
      <c r="H71" s="269"/>
      <c r="I71" s="269"/>
      <c r="J71" s="269"/>
      <c r="K71" s="269"/>
      <c r="L71" s="269"/>
      <c r="M71" s="269"/>
      <c r="N71" s="269"/>
      <c r="O71" s="269"/>
      <c r="P71" s="269"/>
      <c r="Q71" s="269"/>
      <c r="R71" s="269"/>
      <c r="S71" s="269"/>
      <c r="T71" s="269"/>
      <c r="U71" s="269"/>
      <c r="V71" s="269"/>
      <c r="W71" s="269"/>
      <c r="X71" s="269"/>
      <c r="Y71" s="269"/>
      <c r="Z71" s="269"/>
    </row>
    <row r="72">
      <c r="A72" s="269" t="str">
        <f>IFERROR(__xludf.DUMMYFUNCTION("""COMPUTED_VALUE"""),"")</f>
        <v/>
      </c>
      <c r="B72" s="269"/>
      <c r="C72" s="269"/>
      <c r="D72" s="269"/>
      <c r="E72" s="269" t="s">
        <v>268</v>
      </c>
      <c r="F72" s="269"/>
      <c r="G72" s="269"/>
      <c r="H72" s="269"/>
      <c r="I72" s="269"/>
      <c r="J72" s="269"/>
      <c r="K72" s="269"/>
      <c r="L72" s="269"/>
      <c r="M72" s="269"/>
      <c r="N72" s="269"/>
      <c r="O72" s="269"/>
      <c r="P72" s="269"/>
      <c r="Q72" s="269"/>
      <c r="R72" s="269"/>
      <c r="S72" s="269"/>
      <c r="T72" s="269"/>
      <c r="U72" s="269"/>
      <c r="V72" s="269"/>
      <c r="W72" s="269"/>
      <c r="X72" s="269"/>
      <c r="Y72" s="269"/>
      <c r="Z72" s="269"/>
    </row>
    <row r="73">
      <c r="A73" s="269" t="str">
        <f>IFERROR(__xludf.DUMMYFUNCTION("""COMPUTED_VALUE"""),"")</f>
        <v/>
      </c>
      <c r="B73" s="269"/>
      <c r="C73" s="269"/>
      <c r="D73" s="269"/>
      <c r="E73" s="269" t="s">
        <v>269</v>
      </c>
      <c r="F73" s="269"/>
      <c r="G73" s="269"/>
      <c r="H73" s="269"/>
      <c r="I73" s="269"/>
      <c r="J73" s="269"/>
      <c r="K73" s="269"/>
      <c r="L73" s="269"/>
      <c r="M73" s="269"/>
      <c r="N73" s="269"/>
      <c r="O73" s="269"/>
      <c r="P73" s="269"/>
      <c r="Q73" s="269"/>
      <c r="R73" s="269"/>
      <c r="S73" s="269"/>
      <c r="T73" s="269"/>
      <c r="U73" s="269"/>
      <c r="V73" s="269"/>
      <c r="W73" s="269"/>
      <c r="X73" s="269"/>
      <c r="Y73" s="269"/>
      <c r="Z73" s="269"/>
    </row>
    <row r="74">
      <c r="A74" s="269" t="str">
        <f>IFERROR(__xludf.DUMMYFUNCTION("""COMPUTED_VALUE"""),"")</f>
        <v/>
      </c>
      <c r="B74" s="269"/>
      <c r="C74" s="269"/>
      <c r="D74" s="269"/>
      <c r="E74" s="269" t="s">
        <v>216</v>
      </c>
      <c r="F74" s="269"/>
      <c r="G74" s="269"/>
      <c r="H74" s="269"/>
      <c r="I74" s="269"/>
      <c r="J74" s="269"/>
      <c r="K74" s="269"/>
      <c r="L74" s="269"/>
      <c r="M74" s="269"/>
      <c r="N74" s="269"/>
      <c r="O74" s="269"/>
      <c r="P74" s="269"/>
      <c r="Q74" s="269"/>
      <c r="R74" s="269"/>
      <c r="S74" s="269"/>
      <c r="T74" s="269"/>
      <c r="U74" s="269"/>
      <c r="V74" s="269"/>
      <c r="W74" s="269"/>
      <c r="X74" s="269"/>
      <c r="Y74" s="269"/>
      <c r="Z74" s="269"/>
    </row>
    <row r="75">
      <c r="A75" s="269" t="str">
        <f>IFERROR(__xludf.DUMMYFUNCTION("""COMPUTED_VALUE"""),"")</f>
        <v/>
      </c>
      <c r="B75" s="269"/>
      <c r="C75" s="269"/>
      <c r="D75" s="269"/>
      <c r="E75" s="269" t="s">
        <v>270</v>
      </c>
      <c r="F75" s="269"/>
      <c r="G75" s="269"/>
      <c r="H75" s="269"/>
      <c r="I75" s="269"/>
      <c r="J75" s="269"/>
      <c r="K75" s="269"/>
      <c r="L75" s="269"/>
      <c r="M75" s="269"/>
      <c r="N75" s="269"/>
      <c r="O75" s="269"/>
      <c r="P75" s="269"/>
      <c r="Q75" s="269"/>
      <c r="R75" s="269"/>
      <c r="S75" s="269"/>
      <c r="T75" s="269"/>
      <c r="U75" s="269"/>
      <c r="V75" s="269"/>
      <c r="W75" s="269"/>
      <c r="X75" s="269"/>
      <c r="Y75" s="269"/>
      <c r="Z75" s="269"/>
    </row>
    <row r="76">
      <c r="A76" s="269" t="str">
        <f>IFERROR(__xludf.DUMMYFUNCTION("""COMPUTED_VALUE"""),"")</f>
        <v/>
      </c>
      <c r="B76" s="269"/>
      <c r="C76" s="269"/>
      <c r="D76" s="269"/>
      <c r="E76" s="269" t="s">
        <v>271</v>
      </c>
      <c r="F76" s="269"/>
      <c r="G76" s="269"/>
      <c r="H76" s="269"/>
      <c r="I76" s="269"/>
      <c r="J76" s="269"/>
      <c r="K76" s="269"/>
      <c r="L76" s="269"/>
      <c r="M76" s="269"/>
      <c r="N76" s="269"/>
      <c r="O76" s="269"/>
      <c r="P76" s="269"/>
      <c r="Q76" s="269"/>
      <c r="R76" s="269"/>
      <c r="S76" s="269"/>
      <c r="T76" s="269"/>
      <c r="U76" s="269"/>
      <c r="V76" s="269"/>
      <c r="W76" s="269"/>
      <c r="X76" s="269"/>
      <c r="Y76" s="269"/>
      <c r="Z76" s="269"/>
    </row>
    <row r="77">
      <c r="A77" s="269" t="str">
        <f>IFERROR(__xludf.DUMMYFUNCTION("""COMPUTED_VALUE"""),"")</f>
        <v/>
      </c>
      <c r="B77" s="269"/>
      <c r="C77" s="269"/>
      <c r="D77" s="269"/>
      <c r="E77" s="269" t="s">
        <v>272</v>
      </c>
      <c r="F77" s="269"/>
      <c r="G77" s="269"/>
      <c r="H77" s="269"/>
      <c r="I77" s="269"/>
      <c r="J77" s="269"/>
      <c r="K77" s="269"/>
      <c r="L77" s="269"/>
      <c r="M77" s="269"/>
      <c r="N77" s="269"/>
      <c r="O77" s="269"/>
      <c r="P77" s="269"/>
      <c r="Q77" s="269"/>
      <c r="R77" s="269"/>
      <c r="S77" s="269"/>
      <c r="T77" s="269"/>
      <c r="U77" s="269"/>
      <c r="V77" s="269"/>
      <c r="W77" s="269"/>
      <c r="X77" s="269"/>
      <c r="Y77" s="269"/>
      <c r="Z77" s="269"/>
    </row>
    <row r="78">
      <c r="A78" s="269" t="str">
        <f>IFERROR(__xludf.DUMMYFUNCTION("""COMPUTED_VALUE"""),"")</f>
        <v/>
      </c>
      <c r="B78" s="269"/>
      <c r="C78" s="269"/>
      <c r="D78" s="269"/>
      <c r="E78" s="269" t="s">
        <v>273</v>
      </c>
      <c r="F78" s="269"/>
      <c r="G78" s="269"/>
      <c r="H78" s="269"/>
      <c r="I78" s="269"/>
      <c r="J78" s="269"/>
      <c r="K78" s="269"/>
      <c r="L78" s="269"/>
      <c r="M78" s="269"/>
      <c r="N78" s="269"/>
      <c r="O78" s="269"/>
      <c r="P78" s="269"/>
      <c r="Q78" s="269"/>
      <c r="R78" s="269"/>
      <c r="S78" s="269"/>
      <c r="T78" s="269"/>
      <c r="U78" s="269"/>
      <c r="V78" s="269"/>
      <c r="W78" s="269"/>
      <c r="X78" s="269"/>
      <c r="Y78" s="269"/>
      <c r="Z78" s="269"/>
    </row>
    <row r="79">
      <c r="A79" s="269" t="str">
        <f>IFERROR(__xludf.DUMMYFUNCTION("""COMPUTED_VALUE"""),"")</f>
        <v/>
      </c>
      <c r="B79" s="269"/>
      <c r="C79" s="269"/>
      <c r="D79" s="269"/>
      <c r="E79" s="269" t="s">
        <v>274</v>
      </c>
      <c r="F79" s="269"/>
      <c r="G79" s="269"/>
      <c r="H79" s="269"/>
      <c r="I79" s="269"/>
      <c r="J79" s="269"/>
      <c r="K79" s="269"/>
      <c r="L79" s="269"/>
      <c r="M79" s="269"/>
      <c r="N79" s="269"/>
      <c r="O79" s="269"/>
      <c r="P79" s="269"/>
      <c r="Q79" s="269"/>
      <c r="R79" s="269"/>
      <c r="S79" s="269"/>
      <c r="T79" s="269"/>
      <c r="U79" s="269"/>
      <c r="V79" s="269"/>
      <c r="W79" s="269"/>
      <c r="X79" s="269"/>
      <c r="Y79" s="269"/>
      <c r="Z79" s="269"/>
    </row>
    <row r="80">
      <c r="A80" s="269" t="str">
        <f>IFERROR(__xludf.DUMMYFUNCTION("""COMPUTED_VALUE"""),"")</f>
        <v/>
      </c>
      <c r="B80" s="269"/>
      <c r="C80" s="269"/>
      <c r="D80" s="269"/>
      <c r="E80" s="269" t="s">
        <v>275</v>
      </c>
      <c r="F80" s="269"/>
      <c r="G80" s="269"/>
      <c r="H80" s="269"/>
      <c r="I80" s="269"/>
      <c r="J80" s="269"/>
      <c r="K80" s="269"/>
      <c r="L80" s="269"/>
      <c r="M80" s="269"/>
      <c r="N80" s="269"/>
      <c r="O80" s="269"/>
      <c r="P80" s="269"/>
      <c r="Q80" s="269"/>
      <c r="R80" s="269"/>
      <c r="S80" s="269"/>
      <c r="T80" s="269"/>
      <c r="U80" s="269"/>
      <c r="V80" s="269"/>
      <c r="W80" s="269"/>
      <c r="X80" s="269"/>
      <c r="Y80" s="269"/>
      <c r="Z80" s="269"/>
    </row>
    <row r="81">
      <c r="A81" s="269" t="str">
        <f>IFERROR(__xludf.DUMMYFUNCTION("""COMPUTED_VALUE"""),"")</f>
        <v/>
      </c>
      <c r="B81" s="269"/>
      <c r="C81" s="269"/>
      <c r="D81" s="269"/>
      <c r="E81" s="269" t="s">
        <v>265</v>
      </c>
      <c r="F81" s="269"/>
      <c r="G81" s="269"/>
      <c r="H81" s="269"/>
      <c r="I81" s="269"/>
      <c r="J81" s="269"/>
      <c r="K81" s="269"/>
      <c r="L81" s="269"/>
      <c r="M81" s="269"/>
      <c r="N81" s="269"/>
      <c r="O81" s="269"/>
      <c r="P81" s="269"/>
      <c r="Q81" s="269"/>
      <c r="R81" s="269"/>
      <c r="S81" s="269"/>
      <c r="T81" s="269"/>
      <c r="U81" s="269"/>
      <c r="V81" s="269"/>
      <c r="W81" s="269"/>
      <c r="X81" s="269"/>
      <c r="Y81" s="269"/>
      <c r="Z81" s="269"/>
    </row>
    <row r="82">
      <c r="A82" s="269" t="str">
        <f>IFERROR(__xludf.DUMMYFUNCTION("""COMPUTED_VALUE"""),"")</f>
        <v/>
      </c>
      <c r="B82" s="269"/>
      <c r="C82" s="269"/>
      <c r="D82" s="269"/>
      <c r="E82" s="269" t="s">
        <v>265</v>
      </c>
      <c r="F82" s="269"/>
      <c r="G82" s="269"/>
      <c r="H82" s="269"/>
      <c r="I82" s="269"/>
      <c r="J82" s="269"/>
      <c r="K82" s="269"/>
      <c r="L82" s="269"/>
      <c r="M82" s="269"/>
      <c r="N82" s="269"/>
      <c r="O82" s="269"/>
      <c r="P82" s="269"/>
      <c r="Q82" s="269"/>
      <c r="R82" s="269"/>
      <c r="S82" s="269"/>
      <c r="T82" s="269"/>
      <c r="U82" s="269"/>
      <c r="V82" s="269"/>
      <c r="W82" s="269"/>
      <c r="X82" s="269"/>
      <c r="Y82" s="269"/>
      <c r="Z82" s="269"/>
    </row>
    <row r="83">
      <c r="A83" s="269" t="str">
        <f>IFERROR(__xludf.DUMMYFUNCTION("""COMPUTED_VALUE"""),"")</f>
        <v/>
      </c>
      <c r="B83" s="269"/>
      <c r="C83" s="269"/>
      <c r="D83" s="269"/>
      <c r="E83" s="269" t="s">
        <v>265</v>
      </c>
      <c r="F83" s="269"/>
      <c r="G83" s="269"/>
      <c r="H83" s="269"/>
      <c r="I83" s="269"/>
      <c r="J83" s="269"/>
      <c r="K83" s="269"/>
      <c r="L83" s="269"/>
      <c r="M83" s="269"/>
      <c r="N83" s="269"/>
      <c r="O83" s="269"/>
      <c r="P83" s="269"/>
      <c r="Q83" s="269"/>
      <c r="R83" s="269"/>
      <c r="S83" s="269"/>
      <c r="T83" s="269"/>
      <c r="U83" s="269"/>
      <c r="V83" s="269"/>
      <c r="W83" s="269"/>
      <c r="X83" s="269"/>
      <c r="Y83" s="269"/>
      <c r="Z83" s="269"/>
    </row>
    <row r="84">
      <c r="A84" s="269" t="str">
        <f>IFERROR(__xludf.DUMMYFUNCTION("""COMPUTED_VALUE"""),"")</f>
        <v/>
      </c>
      <c r="B84" s="269"/>
      <c r="C84" s="269"/>
      <c r="D84" s="269"/>
      <c r="E84" s="269" t="s">
        <v>265</v>
      </c>
      <c r="F84" s="269"/>
      <c r="G84" s="269"/>
      <c r="H84" s="269"/>
      <c r="I84" s="269"/>
      <c r="J84" s="269"/>
      <c r="K84" s="269"/>
      <c r="L84" s="269"/>
      <c r="M84" s="269"/>
      <c r="N84" s="269"/>
      <c r="O84" s="269"/>
      <c r="P84" s="269"/>
      <c r="Q84" s="269"/>
      <c r="R84" s="269"/>
      <c r="S84" s="269"/>
      <c r="T84" s="269"/>
      <c r="U84" s="269"/>
      <c r="V84" s="269"/>
      <c r="W84" s="269"/>
      <c r="X84" s="269"/>
      <c r="Y84" s="269"/>
      <c r="Z84" s="269"/>
    </row>
    <row r="85">
      <c r="A85" s="269" t="str">
        <f>IFERROR(__xludf.DUMMYFUNCTION("""COMPUTED_VALUE"""),"")</f>
        <v/>
      </c>
      <c r="B85" s="269"/>
      <c r="C85" s="269"/>
      <c r="D85" s="269"/>
      <c r="E85" s="269" t="s">
        <v>265</v>
      </c>
      <c r="F85" s="269"/>
      <c r="G85" s="269"/>
      <c r="H85" s="269"/>
      <c r="I85" s="269"/>
      <c r="J85" s="269"/>
      <c r="K85" s="269"/>
      <c r="L85" s="269"/>
      <c r="M85" s="269"/>
      <c r="N85" s="269"/>
      <c r="O85" s="269"/>
      <c r="P85" s="269"/>
      <c r="Q85" s="269"/>
      <c r="R85" s="269"/>
      <c r="S85" s="269"/>
      <c r="T85" s="269"/>
      <c r="U85" s="269"/>
      <c r="V85" s="269"/>
      <c r="W85" s="269"/>
      <c r="X85" s="269"/>
      <c r="Y85" s="269"/>
      <c r="Z85" s="269"/>
    </row>
    <row r="86">
      <c r="A86" s="269" t="str">
        <f>IFERROR(__xludf.DUMMYFUNCTION("""COMPUTED_VALUE"""),"")</f>
        <v/>
      </c>
      <c r="B86" s="269"/>
      <c r="C86" s="269"/>
      <c r="D86" s="269"/>
      <c r="E86" s="269" t="s">
        <v>265</v>
      </c>
      <c r="F86" s="269"/>
      <c r="G86" s="269"/>
      <c r="H86" s="269"/>
      <c r="I86" s="269"/>
      <c r="J86" s="269"/>
      <c r="K86" s="269"/>
      <c r="L86" s="269"/>
      <c r="M86" s="269"/>
      <c r="N86" s="269"/>
      <c r="O86" s="269"/>
      <c r="P86" s="269"/>
      <c r="Q86" s="269"/>
      <c r="R86" s="269"/>
      <c r="S86" s="269"/>
      <c r="T86" s="269"/>
      <c r="U86" s="269"/>
      <c r="V86" s="269"/>
      <c r="W86" s="269"/>
      <c r="X86" s="269"/>
      <c r="Y86" s="269"/>
      <c r="Z86" s="269"/>
    </row>
    <row r="87">
      <c r="A87" s="269" t="str">
        <f>IFERROR(__xludf.DUMMYFUNCTION("""COMPUTED_VALUE"""),"")</f>
        <v/>
      </c>
      <c r="B87" s="269"/>
      <c r="C87" s="269"/>
      <c r="D87" s="269"/>
      <c r="E87" s="269" t="s">
        <v>265</v>
      </c>
      <c r="F87" s="269"/>
      <c r="G87" s="269"/>
      <c r="H87" s="269"/>
      <c r="I87" s="269"/>
      <c r="J87" s="269"/>
      <c r="K87" s="269"/>
      <c r="L87" s="269"/>
      <c r="M87" s="269"/>
      <c r="N87" s="269"/>
      <c r="O87" s="269"/>
      <c r="P87" s="269"/>
      <c r="Q87" s="269"/>
      <c r="R87" s="269"/>
      <c r="S87" s="269"/>
      <c r="T87" s="269"/>
      <c r="U87" s="269"/>
      <c r="V87" s="269"/>
      <c r="W87" s="269"/>
      <c r="X87" s="269"/>
      <c r="Y87" s="269"/>
      <c r="Z87" s="269"/>
    </row>
    <row r="88">
      <c r="A88" s="269" t="str">
        <f>IFERROR(__xludf.DUMMYFUNCTION("""COMPUTED_VALUE"""),"")</f>
        <v/>
      </c>
      <c r="B88" s="269"/>
      <c r="C88" s="269"/>
      <c r="D88" s="269"/>
      <c r="E88" s="269" t="s">
        <v>265</v>
      </c>
      <c r="F88" s="269"/>
      <c r="G88" s="269"/>
      <c r="H88" s="269"/>
      <c r="I88" s="269"/>
      <c r="J88" s="269"/>
      <c r="K88" s="269"/>
      <c r="L88" s="269"/>
      <c r="M88" s="269"/>
      <c r="N88" s="269"/>
      <c r="O88" s="269"/>
      <c r="P88" s="269"/>
      <c r="Q88" s="269"/>
      <c r="R88" s="269"/>
      <c r="S88" s="269"/>
      <c r="T88" s="269"/>
      <c r="U88" s="269"/>
      <c r="V88" s="269"/>
      <c r="W88" s="269"/>
      <c r="X88" s="269"/>
      <c r="Y88" s="269"/>
      <c r="Z88" s="269"/>
    </row>
    <row r="89">
      <c r="A89" s="269" t="str">
        <f>IFERROR(__xludf.DUMMYFUNCTION("""COMPUTED_VALUE"""),"")</f>
        <v/>
      </c>
      <c r="B89" s="269"/>
      <c r="C89" s="269"/>
      <c r="D89" s="269"/>
      <c r="E89" s="269" t="s">
        <v>265</v>
      </c>
      <c r="F89" s="269"/>
      <c r="G89" s="269"/>
      <c r="H89" s="269"/>
      <c r="I89" s="269"/>
      <c r="J89" s="269"/>
      <c r="K89" s="269"/>
      <c r="L89" s="269"/>
      <c r="M89" s="269"/>
      <c r="N89" s="269"/>
      <c r="O89" s="269"/>
      <c r="P89" s="269"/>
      <c r="Q89" s="269"/>
      <c r="R89" s="269"/>
      <c r="S89" s="269"/>
      <c r="T89" s="269"/>
      <c r="U89" s="269"/>
      <c r="V89" s="269"/>
      <c r="W89" s="269"/>
      <c r="X89" s="269"/>
      <c r="Y89" s="269"/>
      <c r="Z89" s="269"/>
    </row>
    <row r="90">
      <c r="A90" s="269" t="str">
        <f>IFERROR(__xludf.DUMMYFUNCTION("""COMPUTED_VALUE"""),"")</f>
        <v/>
      </c>
      <c r="B90" s="269"/>
      <c r="C90" s="269"/>
      <c r="D90" s="269"/>
      <c r="E90" s="269" t="s">
        <v>265</v>
      </c>
      <c r="F90" s="269"/>
      <c r="G90" s="269"/>
      <c r="H90" s="269"/>
      <c r="I90" s="269"/>
      <c r="J90" s="269"/>
      <c r="K90" s="269"/>
      <c r="L90" s="269"/>
      <c r="M90" s="269"/>
      <c r="N90" s="269"/>
      <c r="O90" s="269"/>
      <c r="P90" s="269"/>
      <c r="Q90" s="269"/>
      <c r="R90" s="269"/>
      <c r="S90" s="269"/>
      <c r="T90" s="269"/>
      <c r="U90" s="269"/>
      <c r="V90" s="269"/>
      <c r="W90" s="269"/>
      <c r="X90" s="269"/>
      <c r="Y90" s="269"/>
      <c r="Z90" s="269"/>
    </row>
    <row r="91">
      <c r="A91" s="269" t="str">
        <f>IFERROR(__xludf.DUMMYFUNCTION("""COMPUTED_VALUE"""),"")</f>
        <v/>
      </c>
      <c r="B91" s="269"/>
      <c r="C91" s="269"/>
      <c r="D91" s="269"/>
      <c r="E91" s="269" t="s">
        <v>265</v>
      </c>
      <c r="F91" s="269"/>
      <c r="G91" s="269"/>
      <c r="H91" s="269"/>
      <c r="I91" s="269"/>
      <c r="J91" s="269"/>
      <c r="K91" s="269"/>
      <c r="L91" s="269"/>
      <c r="M91" s="269"/>
      <c r="N91" s="269"/>
      <c r="O91" s="269"/>
      <c r="P91" s="269"/>
      <c r="Q91" s="269"/>
      <c r="R91" s="269"/>
      <c r="S91" s="269"/>
      <c r="T91" s="269"/>
      <c r="U91" s="269"/>
      <c r="V91" s="269"/>
      <c r="W91" s="269"/>
      <c r="X91" s="269"/>
      <c r="Y91" s="269"/>
      <c r="Z91" s="269"/>
    </row>
    <row r="92">
      <c r="A92" s="269" t="str">
        <f>IFERROR(__xludf.DUMMYFUNCTION("""COMPUTED_VALUE"""),"")</f>
        <v/>
      </c>
      <c r="B92" s="269"/>
      <c r="C92" s="269"/>
      <c r="D92" s="269"/>
      <c r="E92" s="269" t="s">
        <v>265</v>
      </c>
      <c r="F92" s="269"/>
      <c r="G92" s="269"/>
      <c r="H92" s="269"/>
      <c r="I92" s="269"/>
      <c r="J92" s="269"/>
      <c r="K92" s="269"/>
      <c r="L92" s="269"/>
      <c r="M92" s="269"/>
      <c r="N92" s="269"/>
      <c r="O92" s="269"/>
      <c r="P92" s="269"/>
      <c r="Q92" s="269"/>
      <c r="R92" s="269"/>
      <c r="S92" s="269"/>
      <c r="T92" s="269"/>
      <c r="U92" s="269"/>
      <c r="V92" s="269"/>
      <c r="W92" s="269"/>
      <c r="X92" s="269"/>
      <c r="Y92" s="269"/>
      <c r="Z92" s="269"/>
    </row>
    <row r="93">
      <c r="A93" s="269" t="str">
        <f>IFERROR(__xludf.DUMMYFUNCTION("""COMPUTED_VALUE"""),"")</f>
        <v/>
      </c>
      <c r="B93" s="269"/>
      <c r="C93" s="269"/>
      <c r="D93" s="269"/>
      <c r="E93" s="269" t="s">
        <v>265</v>
      </c>
      <c r="F93" s="269"/>
      <c r="G93" s="269"/>
      <c r="H93" s="269"/>
      <c r="I93" s="269"/>
      <c r="J93" s="269"/>
      <c r="K93" s="269"/>
      <c r="L93" s="269"/>
      <c r="M93" s="269"/>
      <c r="N93" s="269"/>
      <c r="O93" s="269"/>
      <c r="P93" s="269"/>
      <c r="Q93" s="269"/>
      <c r="R93" s="269"/>
      <c r="S93" s="269"/>
      <c r="T93" s="269"/>
      <c r="U93" s="269"/>
      <c r="V93" s="269"/>
      <c r="W93" s="269"/>
      <c r="X93" s="269"/>
      <c r="Y93" s="269"/>
      <c r="Z93" s="269"/>
    </row>
    <row r="94">
      <c r="A94" s="269" t="str">
        <f>IFERROR(__xludf.DUMMYFUNCTION("""COMPUTED_VALUE"""),"")</f>
        <v/>
      </c>
      <c r="B94" s="269"/>
      <c r="C94" s="269"/>
      <c r="D94" s="269"/>
      <c r="E94" s="269" t="s">
        <v>265</v>
      </c>
      <c r="F94" s="269"/>
      <c r="G94" s="269"/>
      <c r="H94" s="269"/>
      <c r="I94" s="269"/>
      <c r="J94" s="269"/>
      <c r="K94" s="269"/>
      <c r="L94" s="269"/>
      <c r="M94" s="269"/>
      <c r="N94" s="269"/>
      <c r="O94" s="269"/>
      <c r="P94" s="269"/>
      <c r="Q94" s="269"/>
      <c r="R94" s="269"/>
      <c r="S94" s="269"/>
      <c r="T94" s="269"/>
      <c r="U94" s="269"/>
      <c r="V94" s="269"/>
      <c r="W94" s="269"/>
      <c r="X94" s="269"/>
      <c r="Y94" s="269"/>
      <c r="Z94" s="269"/>
    </row>
    <row r="95">
      <c r="A95" s="269" t="str">
        <f>IFERROR(__xludf.DUMMYFUNCTION("""COMPUTED_VALUE"""),"")</f>
        <v/>
      </c>
      <c r="B95" s="269"/>
      <c r="C95" s="269"/>
      <c r="D95" s="269"/>
      <c r="E95" s="269" t="s">
        <v>265</v>
      </c>
      <c r="F95" s="269"/>
      <c r="G95" s="269"/>
      <c r="H95" s="269"/>
      <c r="I95" s="269"/>
      <c r="J95" s="269"/>
      <c r="K95" s="269"/>
      <c r="L95" s="269"/>
      <c r="M95" s="269"/>
      <c r="N95" s="269"/>
      <c r="O95" s="269"/>
      <c r="P95" s="269"/>
      <c r="Q95" s="269"/>
      <c r="R95" s="269"/>
      <c r="S95" s="269"/>
      <c r="T95" s="269"/>
      <c r="U95" s="269"/>
      <c r="V95" s="269"/>
      <c r="W95" s="269"/>
      <c r="X95" s="269"/>
      <c r="Y95" s="269"/>
      <c r="Z95" s="269"/>
    </row>
    <row r="96">
      <c r="A96" s="269" t="str">
        <f>IFERROR(__xludf.DUMMYFUNCTION("""COMPUTED_VALUE"""),"")</f>
        <v/>
      </c>
      <c r="B96" s="269"/>
      <c r="C96" s="269"/>
      <c r="D96" s="269"/>
      <c r="E96" s="269" t="s">
        <v>265</v>
      </c>
      <c r="F96" s="269"/>
      <c r="G96" s="269"/>
      <c r="H96" s="269"/>
      <c r="I96" s="269"/>
      <c r="J96" s="269"/>
      <c r="K96" s="269"/>
      <c r="L96" s="269"/>
      <c r="M96" s="269"/>
      <c r="N96" s="269"/>
      <c r="O96" s="269"/>
      <c r="P96" s="269"/>
      <c r="Q96" s="269"/>
      <c r="R96" s="269"/>
      <c r="S96" s="269"/>
      <c r="T96" s="269"/>
      <c r="U96" s="269"/>
      <c r="V96" s="269"/>
      <c r="W96" s="269"/>
      <c r="X96" s="269"/>
      <c r="Y96" s="269"/>
      <c r="Z96" s="269"/>
    </row>
    <row r="97">
      <c r="A97" s="269" t="str">
        <f>IFERROR(__xludf.DUMMYFUNCTION("""COMPUTED_VALUE"""),"")</f>
        <v/>
      </c>
      <c r="B97" s="269"/>
      <c r="C97" s="269"/>
      <c r="D97" s="269"/>
      <c r="E97" s="269" t="s">
        <v>265</v>
      </c>
      <c r="F97" s="269"/>
      <c r="G97" s="269"/>
      <c r="H97" s="269"/>
      <c r="I97" s="269"/>
      <c r="J97" s="269"/>
      <c r="K97" s="269"/>
      <c r="L97" s="269"/>
      <c r="M97" s="269"/>
      <c r="N97" s="269"/>
      <c r="O97" s="269"/>
      <c r="P97" s="269"/>
      <c r="Q97" s="269"/>
      <c r="R97" s="269"/>
      <c r="S97" s="269"/>
      <c r="T97" s="269"/>
      <c r="U97" s="269"/>
      <c r="V97" s="269"/>
      <c r="W97" s="269"/>
      <c r="X97" s="269"/>
      <c r="Y97" s="269"/>
      <c r="Z97" s="269"/>
    </row>
    <row r="98">
      <c r="A98" s="269" t="str">
        <f>IFERROR(__xludf.DUMMYFUNCTION("""COMPUTED_VALUE"""),"")</f>
        <v/>
      </c>
      <c r="B98" s="269"/>
      <c r="C98" s="269"/>
      <c r="D98" s="269"/>
      <c r="E98" s="269" t="s">
        <v>265</v>
      </c>
      <c r="F98" s="269"/>
      <c r="G98" s="269"/>
      <c r="H98" s="269"/>
      <c r="I98" s="269"/>
      <c r="J98" s="269"/>
      <c r="K98" s="269"/>
      <c r="L98" s="269"/>
      <c r="M98" s="269"/>
      <c r="N98" s="269"/>
      <c r="O98" s="269"/>
      <c r="P98" s="269"/>
      <c r="Q98" s="269"/>
      <c r="R98" s="269"/>
      <c r="S98" s="269"/>
      <c r="T98" s="269"/>
      <c r="U98" s="269"/>
      <c r="V98" s="269"/>
      <c r="W98" s="269"/>
      <c r="X98" s="269"/>
      <c r="Y98" s="269"/>
      <c r="Z98" s="269"/>
    </row>
    <row r="99">
      <c r="A99" s="269" t="str">
        <f>IFERROR(__xludf.DUMMYFUNCTION("""COMPUTED_VALUE"""),"")</f>
        <v/>
      </c>
      <c r="B99" s="269"/>
      <c r="C99" s="269"/>
      <c r="D99" s="269"/>
      <c r="E99" s="269" t="s">
        <v>265</v>
      </c>
      <c r="F99" s="269"/>
      <c r="G99" s="269"/>
      <c r="H99" s="269"/>
      <c r="I99" s="269"/>
      <c r="J99" s="269"/>
      <c r="K99" s="269"/>
      <c r="L99" s="269"/>
      <c r="M99" s="269"/>
      <c r="N99" s="269"/>
      <c r="O99" s="269"/>
      <c r="P99" s="269"/>
      <c r="Q99" s="269"/>
      <c r="R99" s="269"/>
      <c r="S99" s="269"/>
      <c r="T99" s="269"/>
      <c r="U99" s="269"/>
      <c r="V99" s="269"/>
      <c r="W99" s="269"/>
      <c r="X99" s="269"/>
      <c r="Y99" s="269"/>
      <c r="Z99" s="269"/>
    </row>
    <row r="100">
      <c r="A100" s="269" t="str">
        <f>IFERROR(__xludf.DUMMYFUNCTION("""COMPUTED_VALUE"""),"")</f>
        <v/>
      </c>
      <c r="B100" s="269"/>
      <c r="C100" s="269"/>
      <c r="D100" s="269"/>
      <c r="E100" s="269" t="s">
        <v>265</v>
      </c>
      <c r="F100" s="269"/>
      <c r="G100" s="269"/>
      <c r="H100" s="269"/>
      <c r="I100" s="269"/>
      <c r="J100" s="269"/>
      <c r="K100" s="269"/>
      <c r="L100" s="269"/>
      <c r="M100" s="269"/>
      <c r="N100" s="269"/>
      <c r="O100" s="269"/>
      <c r="P100" s="269"/>
      <c r="Q100" s="269"/>
      <c r="R100" s="269"/>
      <c r="S100" s="269"/>
      <c r="T100" s="269"/>
      <c r="U100" s="269"/>
      <c r="V100" s="269"/>
      <c r="W100" s="269"/>
      <c r="X100" s="269"/>
      <c r="Y100" s="269"/>
      <c r="Z100" s="269"/>
    </row>
    <row r="101">
      <c r="A101" s="269" t="str">
        <f>IFERROR(__xludf.DUMMYFUNCTION("""COMPUTED_VALUE"""),"")</f>
        <v/>
      </c>
      <c r="B101" s="269"/>
      <c r="C101" s="269"/>
      <c r="D101" s="269"/>
      <c r="E101" s="269" t="s">
        <v>265</v>
      </c>
      <c r="F101" s="269"/>
      <c r="G101" s="269"/>
      <c r="H101" s="269"/>
      <c r="I101" s="269"/>
      <c r="J101" s="269"/>
      <c r="K101" s="269"/>
      <c r="L101" s="269"/>
      <c r="M101" s="269"/>
      <c r="N101" s="269"/>
      <c r="O101" s="269"/>
      <c r="P101" s="269"/>
      <c r="Q101" s="269"/>
      <c r="R101" s="269"/>
      <c r="S101" s="269"/>
      <c r="T101" s="269"/>
      <c r="U101" s="269"/>
      <c r="V101" s="269"/>
      <c r="W101" s="269"/>
      <c r="X101" s="269"/>
      <c r="Y101" s="269"/>
      <c r="Z101" s="269"/>
    </row>
    <row r="102">
      <c r="A102" s="269" t="str">
        <f>IFERROR(__xludf.DUMMYFUNCTION("""COMPUTED_VALUE"""),"")</f>
        <v/>
      </c>
      <c r="B102" s="269"/>
      <c r="C102" s="269"/>
      <c r="D102" s="269"/>
      <c r="E102" s="269" t="s">
        <v>265</v>
      </c>
      <c r="F102" s="269"/>
      <c r="G102" s="269"/>
      <c r="H102" s="269"/>
      <c r="I102" s="269"/>
      <c r="J102" s="269"/>
      <c r="K102" s="269"/>
      <c r="L102" s="269"/>
      <c r="M102" s="269"/>
      <c r="N102" s="269"/>
      <c r="O102" s="269"/>
      <c r="P102" s="269"/>
      <c r="Q102" s="269"/>
      <c r="R102" s="269"/>
      <c r="S102" s="269"/>
      <c r="T102" s="269"/>
      <c r="U102" s="269"/>
      <c r="V102" s="269"/>
      <c r="W102" s="269"/>
      <c r="X102" s="269"/>
      <c r="Y102" s="269"/>
      <c r="Z102" s="269"/>
    </row>
    <row r="103">
      <c r="A103" s="269" t="str">
        <f>IFERROR(__xludf.DUMMYFUNCTION("""COMPUTED_VALUE"""),"")</f>
        <v/>
      </c>
      <c r="B103" s="269"/>
      <c r="C103" s="269"/>
      <c r="D103" s="269"/>
      <c r="E103" s="269" t="s">
        <v>265</v>
      </c>
      <c r="F103" s="269"/>
      <c r="G103" s="269"/>
      <c r="H103" s="269"/>
      <c r="I103" s="269"/>
      <c r="J103" s="269"/>
      <c r="K103" s="269"/>
      <c r="L103" s="269"/>
      <c r="M103" s="269"/>
      <c r="N103" s="269"/>
      <c r="O103" s="269"/>
      <c r="P103" s="269"/>
      <c r="Q103" s="269"/>
      <c r="R103" s="269"/>
      <c r="S103" s="269"/>
      <c r="T103" s="269"/>
      <c r="U103" s="269"/>
      <c r="V103" s="269"/>
      <c r="W103" s="269"/>
      <c r="X103" s="269"/>
      <c r="Y103" s="269"/>
      <c r="Z103" s="269"/>
    </row>
    <row r="104">
      <c r="A104" s="269" t="str">
        <f>IFERROR(__xludf.DUMMYFUNCTION("""COMPUTED_VALUE"""),"")</f>
        <v/>
      </c>
      <c r="B104" s="269"/>
      <c r="C104" s="269"/>
      <c r="D104" s="269"/>
      <c r="E104" s="269" t="s">
        <v>265</v>
      </c>
      <c r="F104" s="269"/>
      <c r="G104" s="269"/>
      <c r="H104" s="269"/>
      <c r="I104" s="269"/>
      <c r="J104" s="269"/>
      <c r="K104" s="269"/>
      <c r="L104" s="269"/>
      <c r="M104" s="269"/>
      <c r="N104" s="269"/>
      <c r="O104" s="269"/>
      <c r="P104" s="269"/>
      <c r="Q104" s="269"/>
      <c r="R104" s="269"/>
      <c r="S104" s="269"/>
      <c r="T104" s="269"/>
      <c r="U104" s="269"/>
      <c r="V104" s="269"/>
      <c r="W104" s="269"/>
      <c r="X104" s="269"/>
      <c r="Y104" s="269"/>
      <c r="Z104" s="269"/>
    </row>
    <row r="105">
      <c r="A105" s="269" t="str">
        <f>IFERROR(__xludf.DUMMYFUNCTION("""COMPUTED_VALUE"""),"")</f>
        <v/>
      </c>
      <c r="B105" s="269"/>
      <c r="C105" s="269"/>
      <c r="D105" s="269"/>
      <c r="E105" s="269" t="s">
        <v>265</v>
      </c>
      <c r="F105" s="269"/>
      <c r="G105" s="269"/>
      <c r="H105" s="269"/>
      <c r="I105" s="269"/>
      <c r="J105" s="269"/>
      <c r="K105" s="269"/>
      <c r="L105" s="269"/>
      <c r="M105" s="269"/>
      <c r="N105" s="269"/>
      <c r="O105" s="269"/>
      <c r="P105" s="269"/>
      <c r="Q105" s="269"/>
      <c r="R105" s="269"/>
      <c r="S105" s="269"/>
      <c r="T105" s="269"/>
      <c r="U105" s="269"/>
      <c r="V105" s="269"/>
      <c r="W105" s="269"/>
      <c r="X105" s="269"/>
      <c r="Y105" s="269"/>
      <c r="Z105" s="269"/>
    </row>
    <row r="106">
      <c r="A106" s="269" t="str">
        <f>IFERROR(__xludf.DUMMYFUNCTION("""COMPUTED_VALUE"""),"")</f>
        <v/>
      </c>
      <c r="B106" s="269"/>
      <c r="C106" s="269"/>
      <c r="D106" s="269"/>
      <c r="E106" s="269" t="s">
        <v>265</v>
      </c>
      <c r="F106" s="269"/>
      <c r="G106" s="269"/>
      <c r="H106" s="269"/>
      <c r="I106" s="269"/>
      <c r="J106" s="269"/>
      <c r="K106" s="269"/>
      <c r="L106" s="269"/>
      <c r="M106" s="269"/>
      <c r="N106" s="269"/>
      <c r="O106" s="269"/>
      <c r="P106" s="269"/>
      <c r="Q106" s="269"/>
      <c r="R106" s="269"/>
      <c r="S106" s="269"/>
      <c r="T106" s="269"/>
      <c r="U106" s="269"/>
      <c r="V106" s="269"/>
      <c r="W106" s="269"/>
      <c r="X106" s="269"/>
      <c r="Y106" s="269"/>
      <c r="Z106" s="269"/>
    </row>
    <row r="107">
      <c r="A107" s="269" t="str">
        <f>IFERROR(__xludf.DUMMYFUNCTION("""COMPUTED_VALUE"""),"")</f>
        <v/>
      </c>
      <c r="B107" s="269"/>
      <c r="C107" s="269"/>
      <c r="D107" s="269"/>
      <c r="E107" s="269" t="s">
        <v>265</v>
      </c>
      <c r="F107" s="269"/>
      <c r="G107" s="269"/>
      <c r="H107" s="269"/>
      <c r="I107" s="269"/>
      <c r="J107" s="269"/>
      <c r="K107" s="269"/>
      <c r="L107" s="269"/>
      <c r="M107" s="269"/>
      <c r="N107" s="269"/>
      <c r="O107" s="269"/>
      <c r="P107" s="269"/>
      <c r="Q107" s="269"/>
      <c r="R107" s="269"/>
      <c r="S107" s="269"/>
      <c r="T107" s="269"/>
      <c r="U107" s="269"/>
      <c r="V107" s="269"/>
      <c r="W107" s="269"/>
      <c r="X107" s="269"/>
      <c r="Y107" s="269"/>
      <c r="Z107" s="269"/>
    </row>
    <row r="108">
      <c r="A108" s="269" t="str">
        <f>IFERROR(__xludf.DUMMYFUNCTION("""COMPUTED_VALUE"""),"")</f>
        <v/>
      </c>
      <c r="B108" s="269"/>
      <c r="C108" s="269"/>
      <c r="D108" s="269"/>
      <c r="E108" s="269" t="s">
        <v>265</v>
      </c>
      <c r="F108" s="269"/>
      <c r="G108" s="269"/>
      <c r="H108" s="269"/>
      <c r="I108" s="269"/>
      <c r="J108" s="269"/>
      <c r="K108" s="269"/>
      <c r="L108" s="269"/>
      <c r="M108" s="269"/>
      <c r="N108" s="269"/>
      <c r="O108" s="269"/>
      <c r="P108" s="269"/>
      <c r="Q108" s="269"/>
      <c r="R108" s="269"/>
      <c r="S108" s="269"/>
      <c r="T108" s="269"/>
      <c r="U108" s="269"/>
      <c r="V108" s="269"/>
      <c r="W108" s="269"/>
      <c r="X108" s="269"/>
      <c r="Y108" s="269"/>
      <c r="Z108" s="269"/>
    </row>
    <row r="109">
      <c r="A109" s="269" t="str">
        <f>IFERROR(__xludf.DUMMYFUNCTION("""COMPUTED_VALUE"""),"")</f>
        <v/>
      </c>
      <c r="B109" s="269"/>
      <c r="C109" s="269"/>
      <c r="D109" s="269"/>
      <c r="E109" s="269" t="s">
        <v>265</v>
      </c>
      <c r="F109" s="269"/>
      <c r="G109" s="269"/>
      <c r="H109" s="269"/>
      <c r="I109" s="269"/>
      <c r="J109" s="269"/>
      <c r="K109" s="269"/>
      <c r="L109" s="269"/>
      <c r="M109" s="269"/>
      <c r="N109" s="269"/>
      <c r="O109" s="269"/>
      <c r="P109" s="269"/>
      <c r="Q109" s="269"/>
      <c r="R109" s="269"/>
      <c r="S109" s="269"/>
      <c r="T109" s="269"/>
      <c r="U109" s="269"/>
      <c r="V109" s="269"/>
      <c r="W109" s="269"/>
      <c r="X109" s="269"/>
      <c r="Y109" s="269"/>
      <c r="Z109" s="269"/>
    </row>
    <row r="110">
      <c r="A110" s="269" t="str">
        <f>IFERROR(__xludf.DUMMYFUNCTION("""COMPUTED_VALUE"""),"")</f>
        <v/>
      </c>
      <c r="B110" s="269"/>
      <c r="C110" s="269"/>
      <c r="D110" s="269"/>
      <c r="E110" s="269" t="s">
        <v>265</v>
      </c>
      <c r="F110" s="269"/>
      <c r="G110" s="269"/>
      <c r="H110" s="269"/>
      <c r="I110" s="269"/>
      <c r="J110" s="269"/>
      <c r="K110" s="269"/>
      <c r="L110" s="269"/>
      <c r="M110" s="269"/>
      <c r="N110" s="269"/>
      <c r="O110" s="269"/>
      <c r="P110" s="269"/>
      <c r="Q110" s="269"/>
      <c r="R110" s="269"/>
      <c r="S110" s="269"/>
      <c r="T110" s="269"/>
      <c r="U110" s="269"/>
      <c r="V110" s="269"/>
      <c r="W110" s="269"/>
      <c r="X110" s="269"/>
      <c r="Y110" s="269"/>
      <c r="Z110" s="269"/>
    </row>
    <row r="111">
      <c r="A111" s="269" t="str">
        <f>IFERROR(__xludf.DUMMYFUNCTION("""COMPUTED_VALUE"""),"")</f>
        <v/>
      </c>
      <c r="B111" s="269"/>
      <c r="C111" s="269"/>
      <c r="D111" s="269"/>
      <c r="E111" s="269" t="s">
        <v>265</v>
      </c>
      <c r="F111" s="269"/>
      <c r="G111" s="269"/>
      <c r="H111" s="269"/>
      <c r="I111" s="269"/>
      <c r="J111" s="269"/>
      <c r="K111" s="269"/>
      <c r="L111" s="269"/>
      <c r="M111" s="269"/>
      <c r="N111" s="269"/>
      <c r="O111" s="269"/>
      <c r="P111" s="269"/>
      <c r="Q111" s="269"/>
      <c r="R111" s="269"/>
      <c r="S111" s="269"/>
      <c r="T111" s="269"/>
      <c r="U111" s="269"/>
      <c r="V111" s="269"/>
      <c r="W111" s="269"/>
      <c r="X111" s="269"/>
      <c r="Y111" s="269"/>
      <c r="Z111" s="269"/>
    </row>
    <row r="112">
      <c r="A112" s="269" t="str">
        <f>IFERROR(__xludf.DUMMYFUNCTION("""COMPUTED_VALUE"""),"")</f>
        <v/>
      </c>
      <c r="B112" s="269"/>
      <c r="C112" s="269"/>
      <c r="D112" s="269"/>
      <c r="E112" s="269" t="s">
        <v>265</v>
      </c>
      <c r="F112" s="269"/>
      <c r="G112" s="269"/>
      <c r="H112" s="269"/>
      <c r="I112" s="269"/>
      <c r="J112" s="269"/>
      <c r="K112" s="269"/>
      <c r="L112" s="269"/>
      <c r="M112" s="269"/>
      <c r="N112" s="269"/>
      <c r="O112" s="269"/>
      <c r="P112" s="269"/>
      <c r="Q112" s="269"/>
      <c r="R112" s="269"/>
      <c r="S112" s="269"/>
      <c r="T112" s="269"/>
      <c r="U112" s="269"/>
      <c r="V112" s="269"/>
      <c r="W112" s="269"/>
      <c r="X112" s="269"/>
      <c r="Y112" s="269"/>
      <c r="Z112" s="269"/>
    </row>
    <row r="113">
      <c r="A113" s="269" t="str">
        <f>IFERROR(__xludf.DUMMYFUNCTION("""COMPUTED_VALUE"""),"")</f>
        <v/>
      </c>
      <c r="B113" s="269"/>
      <c r="C113" s="269"/>
      <c r="D113" s="269"/>
      <c r="E113" s="269" t="s">
        <v>265</v>
      </c>
      <c r="F113" s="269"/>
      <c r="G113" s="269"/>
      <c r="H113" s="269"/>
      <c r="I113" s="269"/>
      <c r="J113" s="269"/>
      <c r="K113" s="269"/>
      <c r="L113" s="269"/>
      <c r="M113" s="269"/>
      <c r="N113" s="269"/>
      <c r="O113" s="269"/>
      <c r="P113" s="269"/>
      <c r="Q113" s="269"/>
      <c r="R113" s="269"/>
      <c r="S113" s="269"/>
      <c r="T113" s="269"/>
      <c r="U113" s="269"/>
      <c r="V113" s="269"/>
      <c r="W113" s="269"/>
      <c r="X113" s="269"/>
      <c r="Y113" s="269"/>
      <c r="Z113" s="269"/>
    </row>
    <row r="114">
      <c r="A114" s="269" t="str">
        <f>IFERROR(__xludf.DUMMYFUNCTION("""COMPUTED_VALUE"""),"")</f>
        <v/>
      </c>
      <c r="B114" s="269"/>
      <c r="C114" s="269"/>
      <c r="D114" s="269"/>
      <c r="E114" s="269" t="s">
        <v>265</v>
      </c>
      <c r="F114" s="269"/>
      <c r="G114" s="269"/>
      <c r="H114" s="269"/>
      <c r="I114" s="269"/>
      <c r="J114" s="269"/>
      <c r="K114" s="269"/>
      <c r="L114" s="269"/>
      <c r="M114" s="269"/>
      <c r="N114" s="269"/>
      <c r="O114" s="269"/>
      <c r="P114" s="269"/>
      <c r="Q114" s="269"/>
      <c r="R114" s="269"/>
      <c r="S114" s="269"/>
      <c r="T114" s="269"/>
      <c r="U114" s="269"/>
      <c r="V114" s="269"/>
      <c r="W114" s="269"/>
      <c r="X114" s="269"/>
      <c r="Y114" s="269"/>
      <c r="Z114" s="269"/>
    </row>
    <row r="115">
      <c r="A115" s="269" t="str">
        <f>IFERROR(__xludf.DUMMYFUNCTION("""COMPUTED_VALUE"""),"")</f>
        <v/>
      </c>
      <c r="B115" s="269"/>
      <c r="C115" s="269"/>
      <c r="D115" s="269"/>
      <c r="E115" s="269" t="s">
        <v>265</v>
      </c>
      <c r="F115" s="269"/>
      <c r="G115" s="269"/>
      <c r="H115" s="269"/>
      <c r="I115" s="269"/>
      <c r="J115" s="269"/>
      <c r="K115" s="269"/>
      <c r="L115" s="269"/>
      <c r="M115" s="269"/>
      <c r="N115" s="269"/>
      <c r="O115" s="269"/>
      <c r="P115" s="269"/>
      <c r="Q115" s="269"/>
      <c r="R115" s="269"/>
      <c r="S115" s="269"/>
      <c r="T115" s="269"/>
      <c r="U115" s="269"/>
      <c r="V115" s="269"/>
      <c r="W115" s="269"/>
      <c r="X115" s="269"/>
      <c r="Y115" s="269"/>
      <c r="Z115" s="269"/>
    </row>
    <row r="116">
      <c r="A116" s="269" t="str">
        <f>IFERROR(__xludf.DUMMYFUNCTION("""COMPUTED_VALUE"""),"")</f>
        <v/>
      </c>
      <c r="B116" s="269"/>
      <c r="C116" s="269"/>
      <c r="D116" s="269"/>
      <c r="E116" s="269" t="s">
        <v>265</v>
      </c>
      <c r="F116" s="269"/>
      <c r="G116" s="269"/>
      <c r="H116" s="269"/>
      <c r="I116" s="269"/>
      <c r="J116" s="269"/>
      <c r="K116" s="269"/>
      <c r="L116" s="269"/>
      <c r="M116" s="269"/>
      <c r="N116" s="269"/>
      <c r="O116" s="269"/>
      <c r="P116" s="269"/>
      <c r="Q116" s="269"/>
      <c r="R116" s="269"/>
      <c r="S116" s="269"/>
      <c r="T116" s="269"/>
      <c r="U116" s="269"/>
      <c r="V116" s="269"/>
      <c r="W116" s="269"/>
      <c r="X116" s="269"/>
      <c r="Y116" s="269"/>
      <c r="Z116" s="269"/>
    </row>
    <row r="117">
      <c r="A117" s="269" t="str">
        <f>IFERROR(__xludf.DUMMYFUNCTION("""COMPUTED_VALUE"""),"")</f>
        <v/>
      </c>
      <c r="B117" s="269"/>
      <c r="C117" s="269"/>
      <c r="D117" s="269"/>
      <c r="E117" s="269" t="s">
        <v>265</v>
      </c>
      <c r="F117" s="269"/>
      <c r="G117" s="269"/>
      <c r="H117" s="269"/>
      <c r="I117" s="269"/>
      <c r="J117" s="269"/>
      <c r="K117" s="269"/>
      <c r="L117" s="269"/>
      <c r="M117" s="269"/>
      <c r="N117" s="269"/>
      <c r="O117" s="269"/>
      <c r="P117" s="269"/>
      <c r="Q117" s="269"/>
      <c r="R117" s="269"/>
      <c r="S117" s="269"/>
      <c r="T117" s="269"/>
      <c r="U117" s="269"/>
      <c r="V117" s="269"/>
      <c r="W117" s="269"/>
      <c r="X117" s="269"/>
      <c r="Y117" s="269"/>
      <c r="Z117" s="269"/>
    </row>
    <row r="118">
      <c r="A118" s="269" t="str">
        <f>IFERROR(__xludf.DUMMYFUNCTION("""COMPUTED_VALUE"""),"")</f>
        <v/>
      </c>
      <c r="B118" s="269"/>
      <c r="C118" s="269"/>
      <c r="D118" s="269"/>
      <c r="E118" s="269" t="s">
        <v>265</v>
      </c>
      <c r="F118" s="269"/>
      <c r="G118" s="269"/>
      <c r="H118" s="269"/>
      <c r="I118" s="269"/>
      <c r="J118" s="269"/>
      <c r="K118" s="269"/>
      <c r="L118" s="269"/>
      <c r="M118" s="269"/>
      <c r="N118" s="269"/>
      <c r="O118" s="269"/>
      <c r="P118" s="269"/>
      <c r="Q118" s="269"/>
      <c r="R118" s="269"/>
      <c r="S118" s="269"/>
      <c r="T118" s="269"/>
      <c r="U118" s="269"/>
      <c r="V118" s="269"/>
      <c r="W118" s="269"/>
      <c r="X118" s="269"/>
      <c r="Y118" s="269"/>
      <c r="Z118" s="269"/>
    </row>
    <row r="119">
      <c r="A119" s="269" t="str">
        <f>IFERROR(__xludf.DUMMYFUNCTION("""COMPUTED_VALUE"""),"")</f>
        <v/>
      </c>
      <c r="B119" s="269"/>
      <c r="C119" s="269"/>
      <c r="D119" s="269"/>
      <c r="E119" s="269" t="s">
        <v>265</v>
      </c>
      <c r="F119" s="269"/>
      <c r="G119" s="269"/>
      <c r="H119" s="269"/>
      <c r="I119" s="269"/>
      <c r="J119" s="269"/>
      <c r="K119" s="269"/>
      <c r="L119" s="269"/>
      <c r="M119" s="269"/>
      <c r="N119" s="269"/>
      <c r="O119" s="269"/>
      <c r="P119" s="269"/>
      <c r="Q119" s="269"/>
      <c r="R119" s="269"/>
      <c r="S119" s="269"/>
      <c r="T119" s="269"/>
      <c r="U119" s="269"/>
      <c r="V119" s="269"/>
      <c r="W119" s="269"/>
      <c r="X119" s="269"/>
      <c r="Y119" s="269"/>
      <c r="Z119" s="269"/>
    </row>
    <row r="120">
      <c r="A120" s="269" t="str">
        <f>IFERROR(__xludf.DUMMYFUNCTION("""COMPUTED_VALUE"""),"")</f>
        <v/>
      </c>
      <c r="B120" s="269"/>
      <c r="C120" s="269"/>
      <c r="D120" s="269"/>
      <c r="E120" s="269" t="s">
        <v>265</v>
      </c>
      <c r="F120" s="269"/>
      <c r="G120" s="269"/>
      <c r="H120" s="269"/>
      <c r="I120" s="269"/>
      <c r="J120" s="269"/>
      <c r="K120" s="269"/>
      <c r="L120" s="269"/>
      <c r="M120" s="269"/>
      <c r="N120" s="269"/>
      <c r="O120" s="269"/>
      <c r="P120" s="269"/>
      <c r="Q120" s="269"/>
      <c r="R120" s="269"/>
      <c r="S120" s="269"/>
      <c r="T120" s="269"/>
      <c r="U120" s="269"/>
      <c r="V120" s="269"/>
      <c r="W120" s="269"/>
      <c r="X120" s="269"/>
      <c r="Y120" s="269"/>
      <c r="Z120" s="269"/>
    </row>
    <row r="121">
      <c r="A121" s="269" t="str">
        <f>IFERROR(__xludf.DUMMYFUNCTION("""COMPUTED_VALUE"""),"")</f>
        <v/>
      </c>
      <c r="B121" s="269"/>
      <c r="C121" s="269"/>
      <c r="D121" s="269"/>
      <c r="E121" s="269" t="s">
        <v>265</v>
      </c>
      <c r="F121" s="269"/>
      <c r="G121" s="269"/>
      <c r="H121" s="269"/>
      <c r="I121" s="269"/>
      <c r="J121" s="269"/>
      <c r="K121" s="269"/>
      <c r="L121" s="269"/>
      <c r="M121" s="269"/>
      <c r="N121" s="269"/>
      <c r="O121" s="269"/>
      <c r="P121" s="269"/>
      <c r="Q121" s="269"/>
      <c r="R121" s="269"/>
      <c r="S121" s="269"/>
      <c r="T121" s="269"/>
      <c r="U121" s="269"/>
      <c r="V121" s="269"/>
      <c r="W121" s="269"/>
      <c r="X121" s="269"/>
      <c r="Y121" s="269"/>
      <c r="Z121" s="269"/>
    </row>
    <row r="122">
      <c r="A122" s="269" t="str">
        <f>IFERROR(__xludf.DUMMYFUNCTION("""COMPUTED_VALUE"""),"")</f>
        <v/>
      </c>
      <c r="B122" s="269"/>
      <c r="C122" s="269"/>
      <c r="D122" s="269"/>
      <c r="E122" s="269" t="s">
        <v>265</v>
      </c>
      <c r="F122" s="269"/>
      <c r="G122" s="269"/>
      <c r="H122" s="269"/>
      <c r="I122" s="269"/>
      <c r="J122" s="269"/>
      <c r="K122" s="269"/>
      <c r="L122" s="269"/>
      <c r="M122" s="269"/>
      <c r="N122" s="269"/>
      <c r="O122" s="269"/>
      <c r="P122" s="269"/>
      <c r="Q122" s="269"/>
      <c r="R122" s="269"/>
      <c r="S122" s="269"/>
      <c r="T122" s="269"/>
      <c r="U122" s="269"/>
      <c r="V122" s="269"/>
      <c r="W122" s="269"/>
      <c r="X122" s="269"/>
      <c r="Y122" s="269"/>
      <c r="Z122" s="269"/>
    </row>
    <row r="123">
      <c r="A123" s="269" t="str">
        <f>IFERROR(__xludf.DUMMYFUNCTION("""COMPUTED_VALUE"""),"")</f>
        <v/>
      </c>
      <c r="B123" s="269"/>
      <c r="C123" s="269"/>
      <c r="D123" s="269"/>
      <c r="E123" s="269" t="s">
        <v>265</v>
      </c>
      <c r="F123" s="269"/>
      <c r="G123" s="269"/>
      <c r="H123" s="269"/>
      <c r="I123" s="269"/>
      <c r="J123" s="269"/>
      <c r="K123" s="269"/>
      <c r="L123" s="269"/>
      <c r="M123" s="269"/>
      <c r="N123" s="269"/>
      <c r="O123" s="269"/>
      <c r="P123" s="269"/>
      <c r="Q123" s="269"/>
      <c r="R123" s="269"/>
      <c r="S123" s="269"/>
      <c r="T123" s="269"/>
      <c r="U123" s="269"/>
      <c r="V123" s="269"/>
      <c r="W123" s="269"/>
      <c r="X123" s="269"/>
      <c r="Y123" s="269"/>
      <c r="Z123" s="269"/>
    </row>
    <row r="124">
      <c r="A124" s="269" t="str">
        <f>IFERROR(__xludf.DUMMYFUNCTION("""COMPUTED_VALUE"""),"")</f>
        <v/>
      </c>
      <c r="B124" s="269"/>
      <c r="C124" s="269"/>
      <c r="D124" s="269"/>
      <c r="E124" s="269" t="s">
        <v>265</v>
      </c>
      <c r="F124" s="269"/>
      <c r="G124" s="269"/>
      <c r="H124" s="269"/>
      <c r="I124" s="269"/>
      <c r="J124" s="269"/>
      <c r="K124" s="269"/>
      <c r="L124" s="269"/>
      <c r="M124" s="269"/>
      <c r="N124" s="269"/>
      <c r="O124" s="269"/>
      <c r="P124" s="269"/>
      <c r="Q124" s="269"/>
      <c r="R124" s="269"/>
      <c r="S124" s="269"/>
      <c r="T124" s="269"/>
      <c r="U124" s="269"/>
      <c r="V124" s="269"/>
      <c r="W124" s="269"/>
      <c r="X124" s="269"/>
      <c r="Y124" s="269"/>
      <c r="Z124" s="269"/>
    </row>
    <row r="125">
      <c r="A125" s="269" t="str">
        <f>IFERROR(__xludf.DUMMYFUNCTION("""COMPUTED_VALUE"""),"")</f>
        <v/>
      </c>
      <c r="B125" s="269"/>
      <c r="C125" s="269"/>
      <c r="D125" s="269"/>
      <c r="E125" s="269" t="s">
        <v>265</v>
      </c>
      <c r="F125" s="269"/>
      <c r="G125" s="269"/>
      <c r="H125" s="269"/>
      <c r="I125" s="269"/>
      <c r="J125" s="269"/>
      <c r="K125" s="269"/>
      <c r="L125" s="269"/>
      <c r="M125" s="269"/>
      <c r="N125" s="269"/>
      <c r="O125" s="269"/>
      <c r="P125" s="269"/>
      <c r="Q125" s="269"/>
      <c r="R125" s="269"/>
      <c r="S125" s="269"/>
      <c r="T125" s="269"/>
      <c r="U125" s="269"/>
      <c r="V125" s="269"/>
      <c r="W125" s="269"/>
      <c r="X125" s="269"/>
      <c r="Y125" s="269"/>
      <c r="Z125" s="269"/>
    </row>
    <row r="126">
      <c r="A126" s="269" t="str">
        <f>IFERROR(__xludf.DUMMYFUNCTION("""COMPUTED_VALUE"""),"")</f>
        <v/>
      </c>
      <c r="B126" s="269"/>
      <c r="C126" s="269"/>
      <c r="D126" s="269"/>
      <c r="E126" s="269" t="s">
        <v>265</v>
      </c>
      <c r="F126" s="269"/>
      <c r="G126" s="269"/>
      <c r="H126" s="269"/>
      <c r="I126" s="269"/>
      <c r="J126" s="269"/>
      <c r="K126" s="269"/>
      <c r="L126" s="269"/>
      <c r="M126" s="269"/>
      <c r="N126" s="269"/>
      <c r="O126" s="269"/>
      <c r="P126" s="269"/>
      <c r="Q126" s="269"/>
      <c r="R126" s="269"/>
      <c r="S126" s="269"/>
      <c r="T126" s="269"/>
      <c r="U126" s="269"/>
      <c r="V126" s="269"/>
      <c r="W126" s="269"/>
      <c r="X126" s="269"/>
      <c r="Y126" s="269"/>
      <c r="Z126" s="269"/>
    </row>
    <row r="127">
      <c r="A127" s="269" t="str">
        <f>IFERROR(__xludf.DUMMYFUNCTION("""COMPUTED_VALUE"""),"")</f>
        <v/>
      </c>
      <c r="B127" s="269"/>
      <c r="C127" s="269"/>
      <c r="D127" s="269"/>
      <c r="E127" s="269" t="s">
        <v>265</v>
      </c>
      <c r="F127" s="269"/>
      <c r="G127" s="269"/>
      <c r="H127" s="269"/>
      <c r="I127" s="269"/>
      <c r="J127" s="269"/>
      <c r="K127" s="269"/>
      <c r="L127" s="269"/>
      <c r="M127" s="269"/>
      <c r="N127" s="269"/>
      <c r="O127" s="269"/>
      <c r="P127" s="269"/>
      <c r="Q127" s="269"/>
      <c r="R127" s="269"/>
      <c r="S127" s="269"/>
      <c r="T127" s="269"/>
      <c r="U127" s="269"/>
      <c r="V127" s="269"/>
      <c r="W127" s="269"/>
      <c r="X127" s="269"/>
      <c r="Y127" s="269"/>
      <c r="Z127" s="269"/>
    </row>
    <row r="128">
      <c r="A128" s="269" t="str">
        <f>IFERROR(__xludf.DUMMYFUNCTION("""COMPUTED_VALUE"""),"")</f>
        <v/>
      </c>
      <c r="B128" s="269"/>
      <c r="C128" s="269"/>
      <c r="D128" s="269"/>
      <c r="E128" s="269" t="s">
        <v>265</v>
      </c>
      <c r="F128" s="269"/>
      <c r="G128" s="269"/>
      <c r="H128" s="269"/>
      <c r="I128" s="269"/>
      <c r="J128" s="269"/>
      <c r="K128" s="269"/>
      <c r="L128" s="269"/>
      <c r="M128" s="269"/>
      <c r="N128" s="269"/>
      <c r="O128" s="269"/>
      <c r="P128" s="269"/>
      <c r="Q128" s="269"/>
      <c r="R128" s="269"/>
      <c r="S128" s="269"/>
      <c r="T128" s="269"/>
      <c r="U128" s="269"/>
      <c r="V128" s="269"/>
      <c r="W128" s="269"/>
      <c r="X128" s="269"/>
      <c r="Y128" s="269"/>
      <c r="Z128" s="269"/>
    </row>
    <row r="129">
      <c r="A129" s="269" t="str">
        <f>IFERROR(__xludf.DUMMYFUNCTION("""COMPUTED_VALUE"""),"")</f>
        <v/>
      </c>
      <c r="B129" s="269"/>
      <c r="C129" s="269"/>
      <c r="D129" s="269"/>
      <c r="E129" s="269" t="s">
        <v>265</v>
      </c>
      <c r="F129" s="269"/>
      <c r="G129" s="269"/>
      <c r="H129" s="269"/>
      <c r="I129" s="269"/>
      <c r="J129" s="269"/>
      <c r="K129" s="269"/>
      <c r="L129" s="269"/>
      <c r="M129" s="269"/>
      <c r="N129" s="269"/>
      <c r="O129" s="269"/>
      <c r="P129" s="269"/>
      <c r="Q129" s="269"/>
      <c r="R129" s="269"/>
      <c r="S129" s="269"/>
      <c r="T129" s="269"/>
      <c r="U129" s="269"/>
      <c r="V129" s="269"/>
      <c r="W129" s="269"/>
      <c r="X129" s="269"/>
      <c r="Y129" s="269"/>
      <c r="Z129" s="269"/>
    </row>
    <row r="130">
      <c r="A130" s="269" t="str">
        <f>IFERROR(__xludf.DUMMYFUNCTION("""COMPUTED_VALUE"""),"")</f>
        <v/>
      </c>
      <c r="B130" s="269"/>
      <c r="C130" s="269"/>
      <c r="D130" s="269"/>
      <c r="E130" s="269" t="s">
        <v>265</v>
      </c>
      <c r="F130" s="269"/>
      <c r="G130" s="269"/>
      <c r="H130" s="269"/>
      <c r="I130" s="269"/>
      <c r="J130" s="269"/>
      <c r="K130" s="269"/>
      <c r="L130" s="269"/>
      <c r="M130" s="269"/>
      <c r="N130" s="269"/>
      <c r="O130" s="269"/>
      <c r="P130" s="269"/>
      <c r="Q130" s="269"/>
      <c r="R130" s="269"/>
      <c r="S130" s="269"/>
      <c r="T130" s="269"/>
      <c r="U130" s="269"/>
      <c r="V130" s="269"/>
      <c r="W130" s="269"/>
      <c r="X130" s="269"/>
      <c r="Y130" s="269"/>
      <c r="Z130" s="269"/>
    </row>
    <row r="131">
      <c r="A131" s="269" t="str">
        <f>IFERROR(__xludf.DUMMYFUNCTION("""COMPUTED_VALUE"""),"")</f>
        <v/>
      </c>
      <c r="B131" s="269"/>
      <c r="C131" s="269"/>
      <c r="D131" s="269"/>
      <c r="E131" s="269" t="s">
        <v>265</v>
      </c>
      <c r="F131" s="269"/>
      <c r="G131" s="269"/>
      <c r="H131" s="269"/>
      <c r="I131" s="269"/>
      <c r="J131" s="269"/>
      <c r="K131" s="269"/>
      <c r="L131" s="269"/>
      <c r="M131" s="269"/>
      <c r="N131" s="269"/>
      <c r="O131" s="269"/>
      <c r="P131" s="269"/>
      <c r="Q131" s="269"/>
      <c r="R131" s="269"/>
      <c r="S131" s="269"/>
      <c r="T131" s="269"/>
      <c r="U131" s="269"/>
      <c r="V131" s="269"/>
      <c r="W131" s="269"/>
      <c r="X131" s="269"/>
      <c r="Y131" s="269"/>
      <c r="Z131" s="269"/>
    </row>
    <row r="132">
      <c r="A132" s="269" t="str">
        <f>IFERROR(__xludf.DUMMYFUNCTION("""COMPUTED_VALUE"""),"")</f>
        <v/>
      </c>
      <c r="B132" s="269"/>
      <c r="C132" s="269"/>
      <c r="D132" s="269"/>
      <c r="E132" s="269" t="s">
        <v>265</v>
      </c>
      <c r="F132" s="269"/>
      <c r="G132" s="269"/>
      <c r="H132" s="269"/>
      <c r="I132" s="269"/>
      <c r="J132" s="269"/>
      <c r="K132" s="269"/>
      <c r="L132" s="269"/>
      <c r="M132" s="269"/>
      <c r="N132" s="269"/>
      <c r="O132" s="269"/>
      <c r="P132" s="269"/>
      <c r="Q132" s="269"/>
      <c r="R132" s="269"/>
      <c r="S132" s="269"/>
      <c r="T132" s="269"/>
      <c r="U132" s="269"/>
      <c r="V132" s="269"/>
      <c r="W132" s="269"/>
      <c r="X132" s="269"/>
      <c r="Y132" s="269"/>
      <c r="Z132" s="269"/>
    </row>
    <row r="133">
      <c r="A133" s="269" t="str">
        <f>IFERROR(__xludf.DUMMYFUNCTION("""COMPUTED_VALUE"""),"")</f>
        <v/>
      </c>
      <c r="B133" s="269"/>
      <c r="C133" s="269"/>
      <c r="D133" s="269"/>
      <c r="E133" s="269" t="s">
        <v>265</v>
      </c>
      <c r="F133" s="269"/>
      <c r="G133" s="269"/>
      <c r="H133" s="269"/>
      <c r="I133" s="269"/>
      <c r="J133" s="269"/>
      <c r="K133" s="269"/>
      <c r="L133" s="269"/>
      <c r="M133" s="269"/>
      <c r="N133" s="269"/>
      <c r="O133" s="269"/>
      <c r="P133" s="269"/>
      <c r="Q133" s="269"/>
      <c r="R133" s="269"/>
      <c r="S133" s="269"/>
      <c r="T133" s="269"/>
      <c r="U133" s="269"/>
      <c r="V133" s="269"/>
      <c r="W133" s="269"/>
      <c r="X133" s="269"/>
      <c r="Y133" s="269"/>
      <c r="Z133" s="269"/>
    </row>
    <row r="134">
      <c r="A134" s="269" t="str">
        <f>IFERROR(__xludf.DUMMYFUNCTION("""COMPUTED_VALUE"""),"")</f>
        <v/>
      </c>
      <c r="B134" s="269"/>
      <c r="C134" s="269"/>
      <c r="D134" s="269"/>
      <c r="E134" s="269" t="s">
        <v>265</v>
      </c>
      <c r="F134" s="269"/>
      <c r="G134" s="269"/>
      <c r="H134" s="269"/>
      <c r="I134" s="269"/>
      <c r="J134" s="269"/>
      <c r="K134" s="269"/>
      <c r="L134" s="269"/>
      <c r="M134" s="269"/>
      <c r="N134" s="269"/>
      <c r="O134" s="269"/>
      <c r="P134" s="269"/>
      <c r="Q134" s="269"/>
      <c r="R134" s="269"/>
      <c r="S134" s="269"/>
      <c r="T134" s="269"/>
      <c r="U134" s="269"/>
      <c r="V134" s="269"/>
      <c r="W134" s="269"/>
      <c r="X134" s="269"/>
      <c r="Y134" s="269"/>
      <c r="Z134" s="269"/>
    </row>
    <row r="135">
      <c r="A135" s="269" t="str">
        <f>IFERROR(__xludf.DUMMYFUNCTION("""COMPUTED_VALUE"""),"")</f>
        <v/>
      </c>
      <c r="B135" s="269"/>
      <c r="C135" s="269"/>
      <c r="D135" s="269"/>
      <c r="E135" s="269" t="s">
        <v>265</v>
      </c>
      <c r="F135" s="269"/>
      <c r="G135" s="269"/>
      <c r="H135" s="269"/>
      <c r="I135" s="269"/>
      <c r="J135" s="269"/>
      <c r="K135" s="269"/>
      <c r="L135" s="269"/>
      <c r="M135" s="269"/>
      <c r="N135" s="269"/>
      <c r="O135" s="269"/>
      <c r="P135" s="269"/>
      <c r="Q135" s="269"/>
      <c r="R135" s="269"/>
      <c r="S135" s="269"/>
      <c r="T135" s="269"/>
      <c r="U135" s="269"/>
      <c r="V135" s="269"/>
      <c r="W135" s="269"/>
      <c r="X135" s="269"/>
      <c r="Y135" s="269"/>
      <c r="Z135" s="269"/>
    </row>
    <row r="136">
      <c r="A136" s="269" t="str">
        <f>IFERROR(__xludf.DUMMYFUNCTION("""COMPUTED_VALUE"""),"")</f>
        <v/>
      </c>
      <c r="B136" s="269"/>
      <c r="C136" s="269"/>
      <c r="D136" s="269"/>
      <c r="E136" s="269" t="s">
        <v>265</v>
      </c>
      <c r="F136" s="269"/>
      <c r="G136" s="269"/>
      <c r="H136" s="269"/>
      <c r="I136" s="269"/>
      <c r="J136" s="269"/>
      <c r="K136" s="269"/>
      <c r="L136" s="269"/>
      <c r="M136" s="269"/>
      <c r="N136" s="269"/>
      <c r="O136" s="269"/>
      <c r="P136" s="269"/>
      <c r="Q136" s="269"/>
      <c r="R136" s="269"/>
      <c r="S136" s="269"/>
      <c r="T136" s="269"/>
      <c r="U136" s="269"/>
      <c r="V136" s="269"/>
      <c r="W136" s="269"/>
      <c r="X136" s="269"/>
      <c r="Y136" s="269"/>
      <c r="Z136" s="269"/>
    </row>
    <row r="137">
      <c r="A137" s="269" t="str">
        <f>IFERROR(__xludf.DUMMYFUNCTION("""COMPUTED_VALUE"""),"")</f>
        <v/>
      </c>
      <c r="B137" s="269"/>
      <c r="C137" s="269"/>
      <c r="D137" s="269"/>
      <c r="E137" s="269" t="s">
        <v>265</v>
      </c>
      <c r="F137" s="269"/>
      <c r="G137" s="269"/>
      <c r="H137" s="269"/>
      <c r="I137" s="269"/>
      <c r="J137" s="269"/>
      <c r="K137" s="269"/>
      <c r="L137" s="269"/>
      <c r="M137" s="269"/>
      <c r="N137" s="269"/>
      <c r="O137" s="269"/>
      <c r="P137" s="269"/>
      <c r="Q137" s="269"/>
      <c r="R137" s="269"/>
      <c r="S137" s="269"/>
      <c r="T137" s="269"/>
      <c r="U137" s="269"/>
      <c r="V137" s="269"/>
      <c r="W137" s="269"/>
      <c r="X137" s="269"/>
      <c r="Y137" s="269"/>
      <c r="Z137" s="269"/>
    </row>
    <row r="138">
      <c r="A138" s="269" t="str">
        <f>IFERROR(__xludf.DUMMYFUNCTION("""COMPUTED_VALUE"""),"")</f>
        <v/>
      </c>
      <c r="B138" s="269"/>
      <c r="C138" s="269"/>
      <c r="D138" s="269"/>
      <c r="E138" s="269" t="s">
        <v>265</v>
      </c>
      <c r="F138" s="269"/>
      <c r="G138" s="269"/>
      <c r="H138" s="269"/>
      <c r="I138" s="269"/>
      <c r="J138" s="269"/>
      <c r="K138" s="269"/>
      <c r="L138" s="269"/>
      <c r="M138" s="269"/>
      <c r="N138" s="269"/>
      <c r="O138" s="269"/>
      <c r="P138" s="269"/>
      <c r="Q138" s="269"/>
      <c r="R138" s="269"/>
      <c r="S138" s="269"/>
      <c r="T138" s="269"/>
      <c r="U138" s="269"/>
      <c r="V138" s="269"/>
      <c r="W138" s="269"/>
      <c r="X138" s="269"/>
      <c r="Y138" s="269"/>
      <c r="Z138" s="269"/>
    </row>
    <row r="139">
      <c r="A139" s="269" t="str">
        <f>IFERROR(__xludf.DUMMYFUNCTION("""COMPUTED_VALUE"""),"")</f>
        <v/>
      </c>
      <c r="B139" s="269"/>
      <c r="C139" s="269"/>
      <c r="D139" s="269"/>
      <c r="E139" s="269" t="s">
        <v>265</v>
      </c>
      <c r="F139" s="269"/>
      <c r="G139" s="269"/>
      <c r="H139" s="269"/>
      <c r="I139" s="269"/>
      <c r="J139" s="269"/>
      <c r="K139" s="269"/>
      <c r="L139" s="269"/>
      <c r="M139" s="269"/>
      <c r="N139" s="269"/>
      <c r="O139" s="269"/>
      <c r="P139" s="269"/>
      <c r="Q139" s="269"/>
      <c r="R139" s="269"/>
      <c r="S139" s="269"/>
      <c r="T139" s="269"/>
      <c r="U139" s="269"/>
      <c r="V139" s="269"/>
      <c r="W139" s="269"/>
      <c r="X139" s="269"/>
      <c r="Y139" s="269"/>
      <c r="Z139" s="269"/>
    </row>
    <row r="140">
      <c r="A140" s="269" t="str">
        <f>IFERROR(__xludf.DUMMYFUNCTION("""COMPUTED_VALUE"""),"")</f>
        <v/>
      </c>
      <c r="B140" s="269"/>
      <c r="C140" s="269"/>
      <c r="D140" s="269"/>
      <c r="E140" s="269" t="s">
        <v>265</v>
      </c>
      <c r="F140" s="269"/>
      <c r="G140" s="269"/>
      <c r="H140" s="269"/>
      <c r="I140" s="269"/>
      <c r="J140" s="269"/>
      <c r="K140" s="269"/>
      <c r="L140" s="269"/>
      <c r="M140" s="269"/>
      <c r="N140" s="269"/>
      <c r="O140" s="269"/>
      <c r="P140" s="269"/>
      <c r="Q140" s="269"/>
      <c r="R140" s="269"/>
      <c r="S140" s="269"/>
      <c r="T140" s="269"/>
      <c r="U140" s="269"/>
      <c r="V140" s="269"/>
      <c r="W140" s="269"/>
      <c r="X140" s="269"/>
      <c r="Y140" s="269"/>
      <c r="Z140" s="269"/>
    </row>
    <row r="141">
      <c r="A141" s="269" t="str">
        <f>IFERROR(__xludf.DUMMYFUNCTION("""COMPUTED_VALUE"""),"")</f>
        <v/>
      </c>
      <c r="B141" s="269"/>
      <c r="C141" s="269"/>
      <c r="D141" s="269"/>
      <c r="E141" s="269" t="s">
        <v>265</v>
      </c>
      <c r="F141" s="269"/>
      <c r="G141" s="269"/>
      <c r="H141" s="269"/>
      <c r="I141" s="269"/>
      <c r="J141" s="269"/>
      <c r="K141" s="269"/>
      <c r="L141" s="269"/>
      <c r="M141" s="269"/>
      <c r="N141" s="269"/>
      <c r="O141" s="269"/>
      <c r="P141" s="269"/>
      <c r="Q141" s="269"/>
      <c r="R141" s="269"/>
      <c r="S141" s="269"/>
      <c r="T141" s="269"/>
      <c r="U141" s="269"/>
      <c r="V141" s="269"/>
      <c r="W141" s="269"/>
      <c r="X141" s="269"/>
      <c r="Y141" s="269"/>
      <c r="Z141" s="269"/>
    </row>
    <row r="142">
      <c r="A142" s="269" t="str">
        <f>IFERROR(__xludf.DUMMYFUNCTION("""COMPUTED_VALUE"""),"")</f>
        <v/>
      </c>
      <c r="B142" s="269"/>
      <c r="C142" s="269"/>
      <c r="D142" s="269"/>
      <c r="E142" s="269" t="s">
        <v>265</v>
      </c>
      <c r="F142" s="269"/>
      <c r="G142" s="269"/>
      <c r="H142" s="269"/>
      <c r="I142" s="269"/>
      <c r="J142" s="269"/>
      <c r="K142" s="269"/>
      <c r="L142" s="269"/>
      <c r="M142" s="269"/>
      <c r="N142" s="269"/>
      <c r="O142" s="269"/>
      <c r="P142" s="269"/>
      <c r="Q142" s="269"/>
      <c r="R142" s="269"/>
      <c r="S142" s="269"/>
      <c r="T142" s="269"/>
      <c r="U142" s="269"/>
      <c r="V142" s="269"/>
      <c r="W142" s="269"/>
      <c r="X142" s="269"/>
      <c r="Y142" s="269"/>
      <c r="Z142" s="269"/>
    </row>
    <row r="143">
      <c r="A143" s="269" t="str">
        <f>IFERROR(__xludf.DUMMYFUNCTION("""COMPUTED_VALUE"""),"")</f>
        <v/>
      </c>
      <c r="B143" s="269"/>
      <c r="C143" s="269"/>
      <c r="D143" s="269"/>
      <c r="E143" s="269"/>
      <c r="F143" s="269"/>
      <c r="G143" s="269"/>
      <c r="H143" s="269"/>
      <c r="I143" s="269"/>
      <c r="J143" s="269"/>
      <c r="K143" s="269"/>
      <c r="L143" s="269"/>
      <c r="M143" s="269"/>
      <c r="N143" s="269"/>
      <c r="O143" s="269"/>
      <c r="P143" s="269"/>
      <c r="Q143" s="269"/>
      <c r="R143" s="269"/>
      <c r="S143" s="269"/>
      <c r="T143" s="269"/>
      <c r="U143" s="269"/>
      <c r="V143" s="269"/>
      <c r="W143" s="269"/>
      <c r="X143" s="269"/>
      <c r="Y143" s="269"/>
      <c r="Z143" s="269"/>
    </row>
    <row r="144">
      <c r="A144" s="269" t="str">
        <f>IFERROR(__xludf.DUMMYFUNCTION("""COMPUTED_VALUE"""),"")</f>
        <v/>
      </c>
      <c r="B144" s="269"/>
      <c r="C144" s="269"/>
      <c r="D144" s="269"/>
      <c r="E144" s="269"/>
      <c r="F144" s="269"/>
      <c r="G144" s="269"/>
      <c r="H144" s="269"/>
      <c r="I144" s="269"/>
      <c r="J144" s="269"/>
      <c r="K144" s="269"/>
      <c r="L144" s="269"/>
      <c r="M144" s="269"/>
      <c r="N144" s="269"/>
      <c r="O144" s="269"/>
      <c r="P144" s="269"/>
      <c r="Q144" s="269"/>
      <c r="R144" s="269"/>
      <c r="S144" s="269"/>
      <c r="T144" s="269"/>
      <c r="U144" s="269"/>
      <c r="V144" s="269"/>
      <c r="W144" s="269"/>
      <c r="X144" s="269"/>
      <c r="Y144" s="269"/>
      <c r="Z144" s="269"/>
    </row>
    <row r="145">
      <c r="A145" s="269" t="str">
        <f>IFERROR(__xludf.DUMMYFUNCTION("""COMPUTED_VALUE"""),"")</f>
        <v/>
      </c>
      <c r="B145" s="269"/>
      <c r="C145" s="269"/>
      <c r="D145" s="269"/>
      <c r="E145" s="269"/>
      <c r="F145" s="269"/>
      <c r="G145" s="269"/>
      <c r="H145" s="269"/>
      <c r="I145" s="269"/>
      <c r="J145" s="269"/>
      <c r="K145" s="269"/>
      <c r="L145" s="269"/>
      <c r="M145" s="269"/>
      <c r="N145" s="269"/>
      <c r="O145" s="269"/>
      <c r="P145" s="269"/>
      <c r="Q145" s="269"/>
      <c r="R145" s="269"/>
      <c r="S145" s="269"/>
      <c r="T145" s="269"/>
      <c r="U145" s="269"/>
      <c r="V145" s="269"/>
      <c r="W145" s="269"/>
      <c r="X145" s="269"/>
      <c r="Y145" s="269"/>
      <c r="Z145" s="269"/>
    </row>
    <row r="146">
      <c r="A146" s="269" t="str">
        <f>IFERROR(__xludf.DUMMYFUNCTION("""COMPUTED_VALUE"""),"")</f>
        <v/>
      </c>
      <c r="B146" s="269"/>
      <c r="C146" s="269"/>
      <c r="D146" s="269"/>
      <c r="E146" s="269"/>
      <c r="F146" s="269"/>
      <c r="G146" s="269"/>
      <c r="H146" s="269"/>
      <c r="I146" s="269"/>
      <c r="J146" s="269"/>
      <c r="K146" s="269"/>
      <c r="L146" s="269"/>
      <c r="M146" s="269"/>
      <c r="N146" s="269"/>
      <c r="O146" s="269"/>
      <c r="P146" s="269"/>
      <c r="Q146" s="269"/>
      <c r="R146" s="269"/>
      <c r="S146" s="269"/>
      <c r="T146" s="269"/>
      <c r="U146" s="269"/>
      <c r="V146" s="269"/>
      <c r="W146" s="269"/>
      <c r="X146" s="269"/>
      <c r="Y146" s="269"/>
      <c r="Z146" s="269"/>
    </row>
    <row r="147">
      <c r="A147" s="269" t="str">
        <f>IFERROR(__xludf.DUMMYFUNCTION("""COMPUTED_VALUE"""),"")</f>
        <v/>
      </c>
      <c r="B147" s="269"/>
      <c r="C147" s="269"/>
      <c r="D147" s="269"/>
      <c r="E147" s="269"/>
      <c r="F147" s="269"/>
      <c r="G147" s="269"/>
      <c r="H147" s="269"/>
      <c r="I147" s="269"/>
      <c r="J147" s="269"/>
      <c r="K147" s="269"/>
      <c r="L147" s="269"/>
      <c r="M147" s="269"/>
      <c r="N147" s="269"/>
      <c r="O147" s="269"/>
      <c r="P147" s="269"/>
      <c r="Q147" s="269"/>
      <c r="R147" s="269"/>
      <c r="S147" s="269"/>
      <c r="T147" s="269"/>
      <c r="U147" s="269"/>
      <c r="V147" s="269"/>
      <c r="W147" s="269"/>
      <c r="X147" s="269"/>
      <c r="Y147" s="269"/>
      <c r="Z147" s="269"/>
    </row>
    <row r="148">
      <c r="A148" s="269" t="str">
        <f>IFERROR(__xludf.DUMMYFUNCTION("""COMPUTED_VALUE"""),"")</f>
        <v/>
      </c>
      <c r="B148" s="269"/>
      <c r="C148" s="269"/>
      <c r="D148" s="269"/>
      <c r="E148" s="269"/>
      <c r="F148" s="269"/>
      <c r="G148" s="269"/>
      <c r="H148" s="269"/>
      <c r="I148" s="269"/>
      <c r="J148" s="269"/>
      <c r="K148" s="269"/>
      <c r="L148" s="269"/>
      <c r="M148" s="269"/>
      <c r="N148" s="269"/>
      <c r="O148" s="269"/>
      <c r="P148" s="269"/>
      <c r="Q148" s="269"/>
      <c r="R148" s="269"/>
      <c r="S148" s="269"/>
      <c r="T148" s="269"/>
      <c r="U148" s="269"/>
      <c r="V148" s="269"/>
      <c r="W148" s="269"/>
      <c r="X148" s="269"/>
      <c r="Y148" s="269"/>
      <c r="Z148" s="269"/>
    </row>
    <row r="149">
      <c r="A149" s="269" t="str">
        <f>IFERROR(__xludf.DUMMYFUNCTION("""COMPUTED_VALUE"""),"")</f>
        <v/>
      </c>
      <c r="B149" s="269"/>
      <c r="C149" s="269"/>
      <c r="D149" s="269"/>
      <c r="E149" s="269"/>
      <c r="F149" s="269"/>
      <c r="G149" s="269"/>
      <c r="H149" s="269"/>
      <c r="I149" s="269"/>
      <c r="J149" s="269"/>
      <c r="K149" s="269"/>
      <c r="L149" s="269"/>
      <c r="M149" s="269"/>
      <c r="N149" s="269"/>
      <c r="O149" s="269"/>
      <c r="P149" s="269"/>
      <c r="Q149" s="269"/>
      <c r="R149" s="269"/>
      <c r="S149" s="269"/>
      <c r="T149" s="269"/>
      <c r="U149" s="269"/>
      <c r="V149" s="269"/>
      <c r="W149" s="269"/>
      <c r="X149" s="269"/>
      <c r="Y149" s="269"/>
      <c r="Z149" s="269"/>
    </row>
    <row r="150">
      <c r="A150" s="269" t="str">
        <f>IFERROR(__xludf.DUMMYFUNCTION("""COMPUTED_VALUE"""),"")</f>
        <v/>
      </c>
      <c r="B150" s="269"/>
      <c r="C150" s="269"/>
      <c r="D150" s="269"/>
      <c r="E150" s="269"/>
      <c r="F150" s="269"/>
      <c r="G150" s="269"/>
      <c r="H150" s="269"/>
      <c r="I150" s="269"/>
      <c r="J150" s="269"/>
      <c r="K150" s="269"/>
      <c r="L150" s="269"/>
      <c r="M150" s="269"/>
      <c r="N150" s="269"/>
      <c r="O150" s="269"/>
      <c r="P150" s="269"/>
      <c r="Q150" s="269"/>
      <c r="R150" s="269"/>
      <c r="S150" s="269"/>
      <c r="T150" s="269"/>
      <c r="U150" s="269"/>
      <c r="V150" s="269"/>
      <c r="W150" s="269"/>
      <c r="X150" s="269"/>
      <c r="Y150" s="269"/>
      <c r="Z150" s="269"/>
    </row>
    <row r="151">
      <c r="A151" s="269" t="str">
        <f>IFERROR(__xludf.DUMMYFUNCTION("""COMPUTED_VALUE"""),"")</f>
        <v/>
      </c>
      <c r="B151" s="269"/>
      <c r="C151" s="269"/>
      <c r="D151" s="269"/>
      <c r="E151" s="269"/>
      <c r="F151" s="269"/>
      <c r="G151" s="269"/>
      <c r="H151" s="269"/>
      <c r="I151" s="269"/>
      <c r="J151" s="269"/>
      <c r="K151" s="269"/>
      <c r="L151" s="269"/>
      <c r="M151" s="269"/>
      <c r="N151" s="269"/>
      <c r="O151" s="269"/>
      <c r="P151" s="269"/>
      <c r="Q151" s="269"/>
      <c r="R151" s="269"/>
      <c r="S151" s="269"/>
      <c r="T151" s="269"/>
      <c r="U151" s="269"/>
      <c r="V151" s="269"/>
      <c r="W151" s="269"/>
      <c r="X151" s="269"/>
      <c r="Y151" s="269"/>
      <c r="Z151" s="269"/>
    </row>
    <row r="152">
      <c r="A152" s="269" t="str">
        <f>IFERROR(__xludf.DUMMYFUNCTION("""COMPUTED_VALUE"""),"")</f>
        <v/>
      </c>
      <c r="B152" s="269"/>
      <c r="C152" s="269"/>
      <c r="D152" s="269"/>
      <c r="E152" s="269"/>
      <c r="F152" s="269"/>
      <c r="G152" s="269"/>
      <c r="H152" s="269"/>
      <c r="I152" s="269"/>
      <c r="J152" s="269"/>
      <c r="K152" s="269"/>
      <c r="L152" s="269"/>
      <c r="M152" s="269"/>
      <c r="N152" s="269"/>
      <c r="O152" s="269"/>
      <c r="P152" s="269"/>
      <c r="Q152" s="269"/>
      <c r="R152" s="269"/>
      <c r="S152" s="269"/>
      <c r="T152" s="269"/>
      <c r="U152" s="269"/>
      <c r="V152" s="269"/>
      <c r="W152" s="269"/>
      <c r="X152" s="269"/>
      <c r="Y152" s="269"/>
      <c r="Z152" s="269"/>
    </row>
    <row r="153">
      <c r="A153" s="269" t="str">
        <f>IFERROR(__xludf.DUMMYFUNCTION("""COMPUTED_VALUE"""),"")</f>
        <v/>
      </c>
      <c r="B153" s="269"/>
      <c r="C153" s="269"/>
      <c r="D153" s="269"/>
      <c r="E153" s="269"/>
      <c r="F153" s="269"/>
      <c r="G153" s="269"/>
      <c r="H153" s="269"/>
      <c r="I153" s="269"/>
      <c r="J153" s="269"/>
      <c r="K153" s="269"/>
      <c r="L153" s="269"/>
      <c r="M153" s="269"/>
      <c r="N153" s="269"/>
      <c r="O153" s="269"/>
      <c r="P153" s="269"/>
      <c r="Q153" s="269"/>
      <c r="R153" s="269"/>
      <c r="S153" s="269"/>
      <c r="T153" s="269"/>
      <c r="U153" s="269"/>
      <c r="V153" s="269"/>
      <c r="W153" s="269"/>
      <c r="X153" s="269"/>
      <c r="Y153" s="269"/>
      <c r="Z153" s="269"/>
    </row>
    <row r="154">
      <c r="A154" s="269" t="str">
        <f>IFERROR(__xludf.DUMMYFUNCTION("""COMPUTED_VALUE"""),"")</f>
        <v/>
      </c>
      <c r="B154" s="269"/>
      <c r="C154" s="269"/>
      <c r="D154" s="269"/>
      <c r="E154" s="269"/>
      <c r="F154" s="269"/>
      <c r="G154" s="269"/>
      <c r="H154" s="269"/>
      <c r="I154" s="269"/>
      <c r="J154" s="269"/>
      <c r="K154" s="269"/>
      <c r="L154" s="269"/>
      <c r="M154" s="269"/>
      <c r="N154" s="269"/>
      <c r="O154" s="269"/>
      <c r="P154" s="269"/>
      <c r="Q154" s="269"/>
      <c r="R154" s="269"/>
      <c r="S154" s="269"/>
      <c r="T154" s="269"/>
      <c r="U154" s="269"/>
      <c r="V154" s="269"/>
      <c r="W154" s="269"/>
      <c r="X154" s="269"/>
      <c r="Y154" s="269"/>
      <c r="Z154" s="269"/>
    </row>
    <row r="155">
      <c r="A155" s="269" t="str">
        <f>IFERROR(__xludf.DUMMYFUNCTION("""COMPUTED_VALUE"""),"")</f>
        <v/>
      </c>
      <c r="B155" s="269"/>
      <c r="C155" s="269"/>
      <c r="D155" s="269"/>
      <c r="E155" s="269"/>
      <c r="F155" s="269"/>
      <c r="G155" s="269"/>
      <c r="H155" s="269"/>
      <c r="I155" s="269"/>
      <c r="J155" s="269"/>
      <c r="K155" s="269"/>
      <c r="L155" s="269"/>
      <c r="M155" s="269"/>
      <c r="N155" s="269"/>
      <c r="O155" s="269"/>
      <c r="P155" s="269"/>
      <c r="Q155" s="269"/>
      <c r="R155" s="269"/>
      <c r="S155" s="269"/>
      <c r="T155" s="269"/>
      <c r="U155" s="269"/>
      <c r="V155" s="269"/>
      <c r="W155" s="269"/>
      <c r="X155" s="269"/>
      <c r="Y155" s="269"/>
      <c r="Z155" s="269"/>
    </row>
    <row r="156">
      <c r="A156" s="269" t="str">
        <f>IFERROR(__xludf.DUMMYFUNCTION("""COMPUTED_VALUE"""),"")</f>
        <v/>
      </c>
      <c r="B156" s="269"/>
      <c r="C156" s="269"/>
      <c r="D156" s="269"/>
      <c r="E156" s="269"/>
      <c r="F156" s="269"/>
      <c r="G156" s="269"/>
      <c r="H156" s="269"/>
      <c r="I156" s="269"/>
      <c r="J156" s="269"/>
      <c r="K156" s="269"/>
      <c r="L156" s="269"/>
      <c r="M156" s="269"/>
      <c r="N156" s="269"/>
      <c r="O156" s="269"/>
      <c r="P156" s="269"/>
      <c r="Q156" s="269"/>
      <c r="R156" s="269"/>
      <c r="S156" s="269"/>
      <c r="T156" s="269"/>
      <c r="U156" s="269"/>
      <c r="V156" s="269"/>
      <c r="W156" s="269"/>
      <c r="X156" s="269"/>
      <c r="Y156" s="269"/>
      <c r="Z156" s="269"/>
    </row>
    <row r="157">
      <c r="A157" s="269" t="str">
        <f>IFERROR(__xludf.DUMMYFUNCTION("""COMPUTED_VALUE"""),"")</f>
        <v/>
      </c>
      <c r="B157" s="269"/>
      <c r="C157" s="269"/>
      <c r="D157" s="269"/>
      <c r="E157" s="269"/>
      <c r="F157" s="269"/>
      <c r="G157" s="269"/>
      <c r="H157" s="269"/>
      <c r="I157" s="269"/>
      <c r="J157" s="269"/>
      <c r="K157" s="269"/>
      <c r="L157" s="269"/>
      <c r="M157" s="269"/>
      <c r="N157" s="269"/>
      <c r="O157" s="269"/>
      <c r="P157" s="269"/>
      <c r="Q157" s="269"/>
      <c r="R157" s="269"/>
      <c r="S157" s="269"/>
      <c r="T157" s="269"/>
      <c r="U157" s="269"/>
      <c r="V157" s="269"/>
      <c r="W157" s="269"/>
      <c r="X157" s="269"/>
      <c r="Y157" s="269"/>
      <c r="Z157" s="269"/>
    </row>
    <row r="158">
      <c r="A158" s="269" t="str">
        <f>IFERROR(__xludf.DUMMYFUNCTION("""COMPUTED_VALUE"""),"")</f>
        <v/>
      </c>
      <c r="B158" s="269"/>
      <c r="C158" s="269"/>
      <c r="D158" s="269"/>
      <c r="E158" s="269"/>
      <c r="F158" s="269"/>
      <c r="G158" s="269"/>
      <c r="H158" s="269"/>
      <c r="I158" s="269"/>
      <c r="J158" s="269"/>
      <c r="K158" s="269"/>
      <c r="L158" s="269"/>
      <c r="M158" s="269"/>
      <c r="N158" s="269"/>
      <c r="O158" s="269"/>
      <c r="P158" s="269"/>
      <c r="Q158" s="269"/>
      <c r="R158" s="269"/>
      <c r="S158" s="269"/>
      <c r="T158" s="269"/>
      <c r="U158" s="269"/>
      <c r="V158" s="269"/>
      <c r="W158" s="269"/>
      <c r="X158" s="269"/>
      <c r="Y158" s="269"/>
      <c r="Z158" s="269"/>
    </row>
    <row r="159">
      <c r="A159" s="269" t="str">
        <f>IFERROR(__xludf.DUMMYFUNCTION("""COMPUTED_VALUE"""),"")</f>
        <v/>
      </c>
      <c r="B159" s="269"/>
      <c r="C159" s="269"/>
      <c r="D159" s="269"/>
      <c r="E159" s="269"/>
      <c r="F159" s="269"/>
      <c r="G159" s="269"/>
      <c r="H159" s="269"/>
      <c r="I159" s="269"/>
      <c r="J159" s="269"/>
      <c r="K159" s="269"/>
      <c r="L159" s="269"/>
      <c r="M159" s="269"/>
      <c r="N159" s="269"/>
      <c r="O159" s="269"/>
      <c r="P159" s="269"/>
      <c r="Q159" s="269"/>
      <c r="R159" s="269"/>
      <c r="S159" s="269"/>
      <c r="T159" s="269"/>
      <c r="U159" s="269"/>
      <c r="V159" s="269"/>
      <c r="W159" s="269"/>
      <c r="X159" s="269"/>
      <c r="Y159" s="269"/>
      <c r="Z159" s="269"/>
    </row>
    <row r="160">
      <c r="A160" s="269" t="str">
        <f>IFERROR(__xludf.DUMMYFUNCTION("""COMPUTED_VALUE"""),"")</f>
        <v/>
      </c>
      <c r="B160" s="269"/>
      <c r="C160" s="269"/>
      <c r="D160" s="269"/>
      <c r="E160" s="269"/>
      <c r="F160" s="269"/>
      <c r="G160" s="269"/>
      <c r="H160" s="269"/>
      <c r="I160" s="269"/>
      <c r="J160" s="269"/>
      <c r="K160" s="269"/>
      <c r="L160" s="269"/>
      <c r="M160" s="269"/>
      <c r="N160" s="269"/>
      <c r="O160" s="269"/>
      <c r="P160" s="269"/>
      <c r="Q160" s="269"/>
      <c r="R160" s="269"/>
      <c r="S160" s="269"/>
      <c r="T160" s="269"/>
      <c r="U160" s="269"/>
      <c r="V160" s="269"/>
      <c r="W160" s="269"/>
      <c r="X160" s="269"/>
      <c r="Y160" s="269"/>
      <c r="Z160" s="269"/>
    </row>
    <row r="161">
      <c r="A161" s="269" t="str">
        <f>IFERROR(__xludf.DUMMYFUNCTION("""COMPUTED_VALUE"""),"")</f>
        <v/>
      </c>
      <c r="B161" s="269"/>
      <c r="C161" s="269"/>
      <c r="D161" s="269"/>
      <c r="E161" s="269"/>
      <c r="F161" s="269"/>
      <c r="G161" s="269"/>
      <c r="H161" s="269"/>
      <c r="I161" s="269"/>
      <c r="J161" s="269"/>
      <c r="K161" s="269"/>
      <c r="L161" s="269"/>
      <c r="M161" s="269"/>
      <c r="N161" s="269"/>
      <c r="O161" s="269"/>
      <c r="P161" s="269"/>
      <c r="Q161" s="269"/>
      <c r="R161" s="269"/>
      <c r="S161" s="269"/>
      <c r="T161" s="269"/>
      <c r="U161" s="269"/>
      <c r="V161" s="269"/>
      <c r="W161" s="269"/>
      <c r="X161" s="269"/>
      <c r="Y161" s="269"/>
      <c r="Z161" s="269"/>
    </row>
    <row r="162">
      <c r="A162" s="269" t="str">
        <f>IFERROR(__xludf.DUMMYFUNCTION("""COMPUTED_VALUE"""),"")</f>
        <v/>
      </c>
      <c r="B162" s="269"/>
      <c r="C162" s="269"/>
      <c r="D162" s="269"/>
      <c r="E162" s="269"/>
      <c r="F162" s="269"/>
      <c r="G162" s="269"/>
      <c r="H162" s="269"/>
      <c r="I162" s="269"/>
      <c r="J162" s="269"/>
      <c r="K162" s="269"/>
      <c r="L162" s="269"/>
      <c r="M162" s="269"/>
      <c r="N162" s="269"/>
      <c r="O162" s="269"/>
      <c r="P162" s="269"/>
      <c r="Q162" s="269"/>
      <c r="R162" s="269"/>
      <c r="S162" s="269"/>
      <c r="T162" s="269"/>
      <c r="U162" s="269"/>
      <c r="V162" s="269"/>
      <c r="W162" s="269"/>
      <c r="X162" s="269"/>
      <c r="Y162" s="269"/>
      <c r="Z162" s="269"/>
    </row>
    <row r="163">
      <c r="A163" s="269" t="str">
        <f>IFERROR(__xludf.DUMMYFUNCTION("""COMPUTED_VALUE"""),"")</f>
        <v/>
      </c>
      <c r="B163" s="269"/>
      <c r="C163" s="269"/>
      <c r="D163" s="269"/>
      <c r="E163" s="269"/>
      <c r="F163" s="269"/>
      <c r="G163" s="269"/>
      <c r="H163" s="269"/>
      <c r="I163" s="269"/>
      <c r="J163" s="269"/>
      <c r="K163" s="269"/>
      <c r="L163" s="269"/>
      <c r="M163" s="269"/>
      <c r="N163" s="269"/>
      <c r="O163" s="269"/>
      <c r="P163" s="269"/>
      <c r="Q163" s="269"/>
      <c r="R163" s="269"/>
      <c r="S163" s="269"/>
      <c r="T163" s="269"/>
      <c r="U163" s="269"/>
      <c r="V163" s="269"/>
      <c r="W163" s="269"/>
      <c r="X163" s="269"/>
      <c r="Y163" s="269"/>
      <c r="Z163" s="269"/>
    </row>
    <row r="164">
      <c r="A164" s="269" t="str">
        <f>IFERROR(__xludf.DUMMYFUNCTION("""COMPUTED_VALUE"""),"")</f>
        <v/>
      </c>
      <c r="B164" s="269"/>
      <c r="C164" s="269"/>
      <c r="D164" s="269"/>
      <c r="E164" s="269"/>
      <c r="F164" s="269"/>
      <c r="G164" s="269"/>
      <c r="H164" s="269"/>
      <c r="I164" s="269"/>
      <c r="J164" s="269"/>
      <c r="K164" s="269"/>
      <c r="L164" s="269"/>
      <c r="M164" s="269"/>
      <c r="N164" s="269"/>
      <c r="O164" s="269"/>
      <c r="P164" s="269"/>
      <c r="Q164" s="269"/>
      <c r="R164" s="269"/>
      <c r="S164" s="269"/>
      <c r="T164" s="269"/>
      <c r="U164" s="269"/>
      <c r="V164" s="269"/>
      <c r="W164" s="269"/>
      <c r="X164" s="269"/>
      <c r="Y164" s="269"/>
      <c r="Z164" s="269"/>
    </row>
    <row r="165">
      <c r="A165" s="269" t="str">
        <f>IFERROR(__xludf.DUMMYFUNCTION("""COMPUTED_VALUE"""),"")</f>
        <v/>
      </c>
      <c r="B165" s="269"/>
      <c r="C165" s="269"/>
      <c r="D165" s="269"/>
      <c r="E165" s="269"/>
      <c r="F165" s="269"/>
      <c r="G165" s="269"/>
      <c r="H165" s="269"/>
      <c r="I165" s="269"/>
      <c r="J165" s="269"/>
      <c r="K165" s="269"/>
      <c r="L165" s="269"/>
      <c r="M165" s="269"/>
      <c r="N165" s="269"/>
      <c r="O165" s="269"/>
      <c r="P165" s="269"/>
      <c r="Q165" s="269"/>
      <c r="R165" s="269"/>
      <c r="S165" s="269"/>
      <c r="T165" s="269"/>
      <c r="U165" s="269"/>
      <c r="V165" s="269"/>
      <c r="W165" s="269"/>
      <c r="X165" s="269"/>
      <c r="Y165" s="269"/>
      <c r="Z165" s="269"/>
    </row>
    <row r="166">
      <c r="A166" s="269" t="str">
        <f>IFERROR(__xludf.DUMMYFUNCTION("""COMPUTED_VALUE"""),"")</f>
        <v/>
      </c>
      <c r="B166" s="269"/>
      <c r="C166" s="269"/>
      <c r="D166" s="269"/>
      <c r="E166" s="269"/>
      <c r="F166" s="269"/>
      <c r="G166" s="269"/>
      <c r="H166" s="269"/>
      <c r="I166" s="269"/>
      <c r="J166" s="269"/>
      <c r="K166" s="269"/>
      <c r="L166" s="269"/>
      <c r="M166" s="269"/>
      <c r="N166" s="269"/>
      <c r="O166" s="269"/>
      <c r="P166" s="269"/>
      <c r="Q166" s="269"/>
      <c r="R166" s="269"/>
      <c r="S166" s="269"/>
      <c r="T166" s="269"/>
      <c r="U166" s="269"/>
      <c r="V166" s="269"/>
      <c r="W166" s="269"/>
      <c r="X166" s="269"/>
      <c r="Y166" s="269"/>
      <c r="Z166" s="269"/>
    </row>
    <row r="167">
      <c r="A167" s="269" t="str">
        <f>IFERROR(__xludf.DUMMYFUNCTION("""COMPUTED_VALUE"""),"")</f>
        <v/>
      </c>
      <c r="B167" s="269"/>
      <c r="C167" s="269"/>
      <c r="D167" s="269"/>
      <c r="E167" s="269"/>
      <c r="F167" s="269"/>
      <c r="G167" s="269"/>
      <c r="H167" s="269"/>
      <c r="I167" s="269"/>
      <c r="J167" s="269"/>
      <c r="K167" s="269"/>
      <c r="L167" s="269"/>
      <c r="M167" s="269"/>
      <c r="N167" s="269"/>
      <c r="O167" s="269"/>
      <c r="P167" s="269"/>
      <c r="Q167" s="269"/>
      <c r="R167" s="269"/>
      <c r="S167" s="269"/>
      <c r="T167" s="269"/>
      <c r="U167" s="269"/>
      <c r="V167" s="269"/>
      <c r="W167" s="269"/>
      <c r="X167" s="269"/>
      <c r="Y167" s="269"/>
      <c r="Z167" s="269"/>
    </row>
    <row r="168">
      <c r="A168" s="269" t="str">
        <f>IFERROR(__xludf.DUMMYFUNCTION("""COMPUTED_VALUE"""),"")</f>
        <v/>
      </c>
      <c r="B168" s="269"/>
      <c r="C168" s="269"/>
      <c r="D168" s="269"/>
      <c r="E168" s="269"/>
      <c r="F168" s="269"/>
      <c r="G168" s="269"/>
      <c r="H168" s="269"/>
      <c r="I168" s="269"/>
      <c r="J168" s="269"/>
      <c r="K168" s="269"/>
      <c r="L168" s="269"/>
      <c r="M168" s="269"/>
      <c r="N168" s="269"/>
      <c r="O168" s="269"/>
      <c r="P168" s="269"/>
      <c r="Q168" s="269"/>
      <c r="R168" s="269"/>
      <c r="S168" s="269"/>
      <c r="T168" s="269"/>
      <c r="U168" s="269"/>
      <c r="V168" s="269"/>
      <c r="W168" s="269"/>
      <c r="X168" s="269"/>
      <c r="Y168" s="269"/>
      <c r="Z168" s="269"/>
    </row>
    <row r="169">
      <c r="A169" s="269" t="str">
        <f>IFERROR(__xludf.DUMMYFUNCTION("""COMPUTED_VALUE"""),"")</f>
        <v/>
      </c>
      <c r="B169" s="269"/>
      <c r="C169" s="269"/>
      <c r="D169" s="269"/>
      <c r="E169" s="269"/>
      <c r="F169" s="269"/>
      <c r="G169" s="269"/>
      <c r="H169" s="269"/>
      <c r="I169" s="269"/>
      <c r="J169" s="269"/>
      <c r="K169" s="269"/>
      <c r="L169" s="269"/>
      <c r="M169" s="269"/>
      <c r="N169" s="269"/>
      <c r="O169" s="269"/>
      <c r="P169" s="269"/>
      <c r="Q169" s="269"/>
      <c r="R169" s="269"/>
      <c r="S169" s="269"/>
      <c r="T169" s="269"/>
      <c r="U169" s="269"/>
      <c r="V169" s="269"/>
      <c r="W169" s="269"/>
      <c r="X169" s="269"/>
      <c r="Y169" s="269"/>
      <c r="Z169" s="269"/>
    </row>
    <row r="170">
      <c r="A170" s="269" t="str">
        <f>IFERROR(__xludf.DUMMYFUNCTION("""COMPUTED_VALUE"""),"")</f>
        <v/>
      </c>
      <c r="B170" s="269"/>
      <c r="C170" s="269"/>
      <c r="D170" s="269"/>
      <c r="E170" s="269"/>
      <c r="F170" s="269"/>
      <c r="G170" s="269"/>
      <c r="H170" s="269"/>
      <c r="I170" s="269"/>
      <c r="J170" s="269"/>
      <c r="K170" s="269"/>
      <c r="L170" s="269"/>
      <c r="M170" s="269"/>
      <c r="N170" s="269"/>
      <c r="O170" s="269"/>
      <c r="P170" s="269"/>
      <c r="Q170" s="269"/>
      <c r="R170" s="269"/>
      <c r="S170" s="269"/>
      <c r="T170" s="269"/>
      <c r="U170" s="269"/>
      <c r="V170" s="269"/>
      <c r="W170" s="269"/>
      <c r="X170" s="269"/>
      <c r="Y170" s="269"/>
      <c r="Z170" s="269"/>
    </row>
    <row r="171">
      <c r="A171" s="269" t="str">
        <f>IFERROR(__xludf.DUMMYFUNCTION("""COMPUTED_VALUE"""),"")</f>
        <v/>
      </c>
      <c r="B171" s="269"/>
      <c r="C171" s="269"/>
      <c r="D171" s="269"/>
      <c r="E171" s="269"/>
      <c r="F171" s="269"/>
      <c r="G171" s="269"/>
      <c r="H171" s="269"/>
      <c r="I171" s="269"/>
      <c r="J171" s="269"/>
      <c r="K171" s="269"/>
      <c r="L171" s="269"/>
      <c r="M171" s="269"/>
      <c r="N171" s="269"/>
      <c r="O171" s="269"/>
      <c r="P171" s="269"/>
      <c r="Q171" s="269"/>
      <c r="R171" s="269"/>
      <c r="S171" s="269"/>
      <c r="T171" s="269"/>
      <c r="U171" s="269"/>
      <c r="V171" s="269"/>
      <c r="W171" s="269"/>
      <c r="X171" s="269"/>
      <c r="Y171" s="269"/>
      <c r="Z171" s="269"/>
    </row>
    <row r="172">
      <c r="A172" s="269" t="str">
        <f>IFERROR(__xludf.DUMMYFUNCTION("""COMPUTED_VALUE"""),"")</f>
        <v/>
      </c>
      <c r="B172" s="269"/>
      <c r="C172" s="269"/>
      <c r="D172" s="269"/>
      <c r="E172" s="269"/>
      <c r="F172" s="269"/>
      <c r="G172" s="269"/>
      <c r="H172" s="269"/>
      <c r="I172" s="269"/>
      <c r="J172" s="269"/>
      <c r="K172" s="269"/>
      <c r="L172" s="269"/>
      <c r="M172" s="269"/>
      <c r="N172" s="269"/>
      <c r="O172" s="269"/>
      <c r="P172" s="269"/>
      <c r="Q172" s="269"/>
      <c r="R172" s="269"/>
      <c r="S172" s="269"/>
      <c r="T172" s="269"/>
      <c r="U172" s="269"/>
      <c r="V172" s="269"/>
      <c r="W172" s="269"/>
      <c r="X172" s="269"/>
      <c r="Y172" s="269"/>
      <c r="Z172" s="269"/>
    </row>
    <row r="173">
      <c r="A173" s="269" t="str">
        <f>IFERROR(__xludf.DUMMYFUNCTION("""COMPUTED_VALUE"""),"")</f>
        <v/>
      </c>
      <c r="B173" s="269"/>
      <c r="C173" s="269"/>
      <c r="D173" s="269"/>
      <c r="E173" s="269"/>
      <c r="F173" s="269"/>
      <c r="G173" s="269"/>
      <c r="H173" s="269"/>
      <c r="I173" s="269"/>
      <c r="J173" s="269"/>
      <c r="K173" s="269"/>
      <c r="L173" s="269"/>
      <c r="M173" s="269"/>
      <c r="N173" s="269"/>
      <c r="O173" s="269"/>
      <c r="P173" s="269"/>
      <c r="Q173" s="269"/>
      <c r="R173" s="269"/>
      <c r="S173" s="269"/>
      <c r="T173" s="269"/>
      <c r="U173" s="269"/>
      <c r="V173" s="269"/>
      <c r="W173" s="269"/>
      <c r="X173" s="269"/>
      <c r="Y173" s="269"/>
      <c r="Z173" s="269"/>
    </row>
    <row r="174">
      <c r="A174" s="269" t="str">
        <f>IFERROR(__xludf.DUMMYFUNCTION("""COMPUTED_VALUE"""),"")</f>
        <v/>
      </c>
      <c r="B174" s="269"/>
      <c r="C174" s="269"/>
      <c r="D174" s="269"/>
      <c r="E174" s="269"/>
      <c r="F174" s="269"/>
      <c r="G174" s="269"/>
      <c r="H174" s="269"/>
      <c r="I174" s="269"/>
      <c r="J174" s="269"/>
      <c r="K174" s="269"/>
      <c r="L174" s="269"/>
      <c r="M174" s="269"/>
      <c r="N174" s="269"/>
      <c r="O174" s="269"/>
      <c r="P174" s="269"/>
      <c r="Q174" s="269"/>
      <c r="R174" s="269"/>
      <c r="S174" s="269"/>
      <c r="T174" s="269"/>
      <c r="U174" s="269"/>
      <c r="V174" s="269"/>
      <c r="W174" s="269"/>
      <c r="X174" s="269"/>
      <c r="Y174" s="269"/>
      <c r="Z174" s="269"/>
    </row>
    <row r="175">
      <c r="A175" s="269" t="str">
        <f>IFERROR(__xludf.DUMMYFUNCTION("""COMPUTED_VALUE"""),"")</f>
        <v/>
      </c>
      <c r="B175" s="269"/>
      <c r="C175" s="269"/>
      <c r="D175" s="269"/>
      <c r="E175" s="269"/>
      <c r="F175" s="269"/>
      <c r="G175" s="269"/>
      <c r="H175" s="269"/>
      <c r="I175" s="269"/>
      <c r="J175" s="269"/>
      <c r="K175" s="269"/>
      <c r="L175" s="269"/>
      <c r="M175" s="269"/>
      <c r="N175" s="269"/>
      <c r="O175" s="269"/>
      <c r="P175" s="269"/>
      <c r="Q175" s="269"/>
      <c r="R175" s="269"/>
      <c r="S175" s="269"/>
      <c r="T175" s="269"/>
      <c r="U175" s="269"/>
      <c r="V175" s="269"/>
      <c r="W175" s="269"/>
      <c r="X175" s="269"/>
      <c r="Y175" s="269"/>
      <c r="Z175" s="269"/>
    </row>
    <row r="176">
      <c r="A176" s="269" t="str">
        <f>IFERROR(__xludf.DUMMYFUNCTION("""COMPUTED_VALUE"""),"")</f>
        <v/>
      </c>
      <c r="B176" s="269"/>
      <c r="C176" s="269"/>
      <c r="D176" s="269"/>
      <c r="E176" s="269"/>
      <c r="F176" s="269"/>
      <c r="G176" s="269"/>
      <c r="H176" s="269"/>
      <c r="I176" s="269"/>
      <c r="J176" s="269"/>
      <c r="K176" s="269"/>
      <c r="L176" s="269"/>
      <c r="M176" s="269"/>
      <c r="N176" s="269"/>
      <c r="O176" s="269"/>
      <c r="P176" s="269"/>
      <c r="Q176" s="269"/>
      <c r="R176" s="269"/>
      <c r="S176" s="269"/>
      <c r="T176" s="269"/>
      <c r="U176" s="269"/>
      <c r="V176" s="269"/>
      <c r="W176" s="269"/>
      <c r="X176" s="269"/>
      <c r="Y176" s="269"/>
      <c r="Z176" s="269"/>
    </row>
    <row r="177">
      <c r="A177" s="269" t="str">
        <f>IFERROR(__xludf.DUMMYFUNCTION("""COMPUTED_VALUE"""),"")</f>
        <v/>
      </c>
      <c r="B177" s="269"/>
      <c r="C177" s="269"/>
      <c r="D177" s="269"/>
      <c r="E177" s="269"/>
      <c r="F177" s="269"/>
      <c r="G177" s="269"/>
      <c r="H177" s="269"/>
      <c r="I177" s="269"/>
      <c r="J177" s="269"/>
      <c r="K177" s="269"/>
      <c r="L177" s="269"/>
      <c r="M177" s="269"/>
      <c r="N177" s="269"/>
      <c r="O177" s="269"/>
      <c r="P177" s="269"/>
      <c r="Q177" s="269"/>
      <c r="R177" s="269"/>
      <c r="S177" s="269"/>
      <c r="T177" s="269"/>
      <c r="U177" s="269"/>
      <c r="V177" s="269"/>
      <c r="W177" s="269"/>
      <c r="X177" s="269"/>
      <c r="Y177" s="269"/>
      <c r="Z177" s="269"/>
    </row>
    <row r="178">
      <c r="A178" s="269" t="str">
        <f>IFERROR(__xludf.DUMMYFUNCTION("""COMPUTED_VALUE"""),"")</f>
        <v/>
      </c>
      <c r="B178" s="269"/>
      <c r="C178" s="269"/>
      <c r="D178" s="269"/>
      <c r="E178" s="269"/>
      <c r="F178" s="269"/>
      <c r="G178" s="269"/>
      <c r="H178" s="269"/>
      <c r="I178" s="269"/>
      <c r="J178" s="269"/>
      <c r="K178" s="269"/>
      <c r="L178" s="269"/>
      <c r="M178" s="269"/>
      <c r="N178" s="269"/>
      <c r="O178" s="269"/>
      <c r="P178" s="269"/>
      <c r="Q178" s="269"/>
      <c r="R178" s="269"/>
      <c r="S178" s="269"/>
      <c r="T178" s="269"/>
      <c r="U178" s="269"/>
      <c r="V178" s="269"/>
      <c r="W178" s="269"/>
      <c r="X178" s="269"/>
      <c r="Y178" s="269"/>
      <c r="Z178" s="269"/>
    </row>
    <row r="179">
      <c r="A179" s="269" t="str">
        <f>IFERROR(__xludf.DUMMYFUNCTION("""COMPUTED_VALUE"""),"")</f>
        <v/>
      </c>
      <c r="B179" s="269"/>
      <c r="C179" s="269"/>
      <c r="D179" s="269"/>
      <c r="E179" s="269"/>
      <c r="F179" s="269"/>
      <c r="G179" s="269"/>
      <c r="H179" s="269"/>
      <c r="I179" s="269"/>
      <c r="J179" s="269"/>
      <c r="K179" s="269"/>
      <c r="L179" s="269"/>
      <c r="M179" s="269"/>
      <c r="N179" s="269"/>
      <c r="O179" s="269"/>
      <c r="P179" s="269"/>
      <c r="Q179" s="269"/>
      <c r="R179" s="269"/>
      <c r="S179" s="269"/>
      <c r="T179" s="269"/>
      <c r="U179" s="269"/>
      <c r="V179" s="269"/>
      <c r="W179" s="269"/>
      <c r="X179" s="269"/>
      <c r="Y179" s="269"/>
      <c r="Z179" s="269"/>
    </row>
    <row r="180">
      <c r="A180" s="269" t="str">
        <f>IFERROR(__xludf.DUMMYFUNCTION("""COMPUTED_VALUE"""),"")</f>
        <v/>
      </c>
      <c r="B180" s="269"/>
      <c r="C180" s="269"/>
      <c r="D180" s="269"/>
      <c r="E180" s="269"/>
      <c r="F180" s="269"/>
      <c r="G180" s="269"/>
      <c r="H180" s="269"/>
      <c r="I180" s="269"/>
      <c r="J180" s="269"/>
      <c r="K180" s="269"/>
      <c r="L180" s="269"/>
      <c r="M180" s="269"/>
      <c r="N180" s="269"/>
      <c r="O180" s="269"/>
      <c r="P180" s="269"/>
      <c r="Q180" s="269"/>
      <c r="R180" s="269"/>
      <c r="S180" s="269"/>
      <c r="T180" s="269"/>
      <c r="U180" s="269"/>
      <c r="V180" s="269"/>
      <c r="W180" s="269"/>
      <c r="X180" s="269"/>
      <c r="Y180" s="269"/>
      <c r="Z180" s="269"/>
    </row>
    <row r="181">
      <c r="A181" s="269" t="str">
        <f>IFERROR(__xludf.DUMMYFUNCTION("""COMPUTED_VALUE"""),"")</f>
        <v/>
      </c>
      <c r="B181" s="269"/>
      <c r="C181" s="269"/>
      <c r="D181" s="269"/>
      <c r="E181" s="269"/>
      <c r="F181" s="269"/>
      <c r="G181" s="269"/>
      <c r="H181" s="269"/>
      <c r="I181" s="269"/>
      <c r="J181" s="269"/>
      <c r="K181" s="269"/>
      <c r="L181" s="269"/>
      <c r="M181" s="269"/>
      <c r="N181" s="269"/>
      <c r="O181" s="269"/>
      <c r="P181" s="269"/>
      <c r="Q181" s="269"/>
      <c r="R181" s="269"/>
      <c r="S181" s="269"/>
      <c r="T181" s="269"/>
      <c r="U181" s="269"/>
      <c r="V181" s="269"/>
      <c r="W181" s="269"/>
      <c r="X181" s="269"/>
      <c r="Y181" s="269"/>
      <c r="Z181" s="269"/>
    </row>
    <row r="182">
      <c r="A182" s="269" t="str">
        <f>IFERROR(__xludf.DUMMYFUNCTION("""COMPUTED_VALUE"""),"")</f>
        <v/>
      </c>
      <c r="B182" s="269"/>
      <c r="C182" s="269"/>
      <c r="D182" s="269"/>
      <c r="E182" s="269"/>
      <c r="F182" s="269"/>
      <c r="G182" s="269"/>
      <c r="H182" s="269"/>
      <c r="I182" s="269"/>
      <c r="J182" s="269"/>
      <c r="K182" s="269"/>
      <c r="L182" s="269"/>
      <c r="M182" s="269"/>
      <c r="N182" s="269"/>
      <c r="O182" s="269"/>
      <c r="P182" s="269"/>
      <c r="Q182" s="269"/>
      <c r="R182" s="269"/>
      <c r="S182" s="269"/>
      <c r="T182" s="269"/>
      <c r="U182" s="269"/>
      <c r="V182" s="269"/>
      <c r="W182" s="269"/>
      <c r="X182" s="269"/>
      <c r="Y182" s="269"/>
      <c r="Z182" s="269"/>
    </row>
    <row r="183">
      <c r="A183" s="269" t="str">
        <f>IFERROR(__xludf.DUMMYFUNCTION("""COMPUTED_VALUE"""),"")</f>
        <v/>
      </c>
      <c r="B183" s="269"/>
      <c r="C183" s="269"/>
      <c r="D183" s="269"/>
      <c r="E183" s="269"/>
      <c r="F183" s="269"/>
      <c r="G183" s="269"/>
      <c r="H183" s="269"/>
      <c r="I183" s="269"/>
      <c r="J183" s="269"/>
      <c r="K183" s="269"/>
      <c r="L183" s="269"/>
      <c r="M183" s="269"/>
      <c r="N183" s="269"/>
      <c r="O183" s="269"/>
      <c r="P183" s="269"/>
      <c r="Q183" s="269"/>
      <c r="R183" s="269"/>
      <c r="S183" s="269"/>
      <c r="T183" s="269"/>
      <c r="U183" s="269"/>
      <c r="V183" s="269"/>
      <c r="W183" s="269"/>
      <c r="X183" s="269"/>
      <c r="Y183" s="269"/>
      <c r="Z183" s="269"/>
    </row>
    <row r="184">
      <c r="A184" s="269" t="str">
        <f>IFERROR(__xludf.DUMMYFUNCTION("""COMPUTED_VALUE"""),"")</f>
        <v/>
      </c>
      <c r="B184" s="269"/>
      <c r="C184" s="269"/>
      <c r="D184" s="269"/>
      <c r="E184" s="269"/>
      <c r="F184" s="269"/>
      <c r="G184" s="269"/>
      <c r="H184" s="269"/>
      <c r="I184" s="269"/>
      <c r="J184" s="269"/>
      <c r="K184" s="269"/>
      <c r="L184" s="269"/>
      <c r="M184" s="269"/>
      <c r="N184" s="269"/>
      <c r="O184" s="269"/>
      <c r="P184" s="269"/>
      <c r="Q184" s="269"/>
      <c r="R184" s="269"/>
      <c r="S184" s="269"/>
      <c r="T184" s="269"/>
      <c r="U184" s="269"/>
      <c r="V184" s="269"/>
      <c r="W184" s="269"/>
      <c r="X184" s="269"/>
      <c r="Y184" s="269"/>
      <c r="Z184" s="269"/>
    </row>
    <row r="185">
      <c r="A185" s="269" t="str">
        <f>IFERROR(__xludf.DUMMYFUNCTION("""COMPUTED_VALUE"""),"")</f>
        <v/>
      </c>
      <c r="B185" s="269"/>
      <c r="C185" s="269"/>
      <c r="D185" s="269"/>
      <c r="E185" s="269"/>
      <c r="F185" s="269"/>
      <c r="G185" s="269"/>
      <c r="H185" s="269"/>
      <c r="I185" s="269"/>
      <c r="J185" s="269"/>
      <c r="K185" s="269"/>
      <c r="L185" s="269"/>
      <c r="M185" s="269"/>
      <c r="N185" s="269"/>
      <c r="O185" s="269"/>
      <c r="P185" s="269"/>
      <c r="Q185" s="269"/>
      <c r="R185" s="269"/>
      <c r="S185" s="269"/>
      <c r="T185" s="269"/>
      <c r="U185" s="269"/>
      <c r="V185" s="269"/>
      <c r="W185" s="269"/>
      <c r="X185" s="269"/>
      <c r="Y185" s="269"/>
      <c r="Z185" s="269"/>
    </row>
    <row r="186">
      <c r="A186" s="269" t="str">
        <f>IFERROR(__xludf.DUMMYFUNCTION("""COMPUTED_VALUE"""),"")</f>
        <v/>
      </c>
      <c r="B186" s="269"/>
      <c r="C186" s="269"/>
      <c r="D186" s="269"/>
      <c r="E186" s="269"/>
      <c r="F186" s="269"/>
      <c r="G186" s="269"/>
      <c r="H186" s="269"/>
      <c r="I186" s="269"/>
      <c r="J186" s="269"/>
      <c r="K186" s="269"/>
      <c r="L186" s="269"/>
      <c r="M186" s="269"/>
      <c r="N186" s="269"/>
      <c r="O186" s="269"/>
      <c r="P186" s="269"/>
      <c r="Q186" s="269"/>
      <c r="R186" s="269"/>
      <c r="S186" s="269"/>
      <c r="T186" s="269"/>
      <c r="U186" s="269"/>
      <c r="V186" s="269"/>
      <c r="W186" s="269"/>
      <c r="X186" s="269"/>
      <c r="Y186" s="269"/>
      <c r="Z186" s="269"/>
    </row>
    <row r="187">
      <c r="A187" s="269" t="str">
        <f>IFERROR(__xludf.DUMMYFUNCTION("""COMPUTED_VALUE"""),"")</f>
        <v/>
      </c>
      <c r="B187" s="269"/>
      <c r="C187" s="269"/>
      <c r="D187" s="269"/>
      <c r="E187" s="269"/>
      <c r="F187" s="269"/>
      <c r="G187" s="269"/>
      <c r="H187" s="269"/>
      <c r="I187" s="269"/>
      <c r="J187" s="269"/>
      <c r="K187" s="269"/>
      <c r="L187" s="269"/>
      <c r="M187" s="269"/>
      <c r="N187" s="269"/>
      <c r="O187" s="269"/>
      <c r="P187" s="269"/>
      <c r="Q187" s="269"/>
      <c r="R187" s="269"/>
      <c r="S187" s="269"/>
      <c r="T187" s="269"/>
      <c r="U187" s="269"/>
      <c r="V187" s="269"/>
      <c r="W187" s="269"/>
      <c r="X187" s="269"/>
      <c r="Y187" s="269"/>
      <c r="Z187" s="269"/>
    </row>
    <row r="188">
      <c r="A188" s="269" t="str">
        <f>IFERROR(__xludf.DUMMYFUNCTION("""COMPUTED_VALUE"""),"")</f>
        <v/>
      </c>
      <c r="B188" s="269"/>
      <c r="C188" s="269"/>
      <c r="D188" s="269"/>
      <c r="E188" s="269"/>
      <c r="F188" s="269"/>
      <c r="G188" s="269"/>
      <c r="H188" s="269"/>
      <c r="I188" s="269"/>
      <c r="J188" s="269"/>
      <c r="K188" s="269"/>
      <c r="L188" s="269"/>
      <c r="M188" s="269"/>
      <c r="N188" s="269"/>
      <c r="O188" s="269"/>
      <c r="P188" s="269"/>
      <c r="Q188" s="269"/>
      <c r="R188" s="269"/>
      <c r="S188" s="269"/>
      <c r="T188" s="269"/>
      <c r="U188" s="269"/>
      <c r="V188" s="269"/>
      <c r="W188" s="269"/>
      <c r="X188" s="269"/>
      <c r="Y188" s="269"/>
      <c r="Z188" s="269"/>
    </row>
    <row r="189">
      <c r="A189" s="269" t="str">
        <f>IFERROR(__xludf.DUMMYFUNCTION("""COMPUTED_VALUE"""),"")</f>
        <v/>
      </c>
      <c r="B189" s="269"/>
      <c r="C189" s="269"/>
      <c r="D189" s="269"/>
      <c r="E189" s="269"/>
      <c r="F189" s="269"/>
      <c r="G189" s="269"/>
      <c r="H189" s="269"/>
      <c r="I189" s="269"/>
      <c r="J189" s="269"/>
      <c r="K189" s="269"/>
      <c r="L189" s="269"/>
      <c r="M189" s="269"/>
      <c r="N189" s="269"/>
      <c r="O189" s="269"/>
      <c r="P189" s="269"/>
      <c r="Q189" s="269"/>
      <c r="R189" s="269"/>
      <c r="S189" s="269"/>
      <c r="T189" s="269"/>
      <c r="U189" s="269"/>
      <c r="V189" s="269"/>
      <c r="W189" s="269"/>
      <c r="X189" s="269"/>
      <c r="Y189" s="269"/>
      <c r="Z189" s="269"/>
    </row>
    <row r="190">
      <c r="A190" s="269" t="str">
        <f>IFERROR(__xludf.DUMMYFUNCTION("""COMPUTED_VALUE"""),"")</f>
        <v/>
      </c>
      <c r="B190" s="269"/>
      <c r="C190" s="269"/>
      <c r="D190" s="269"/>
      <c r="E190" s="269"/>
      <c r="F190" s="269"/>
      <c r="G190" s="269"/>
      <c r="H190" s="269"/>
      <c r="I190" s="269"/>
      <c r="J190" s="269"/>
      <c r="K190" s="269"/>
      <c r="L190" s="269"/>
      <c r="M190" s="269"/>
      <c r="N190" s="269"/>
      <c r="O190" s="269"/>
      <c r="P190" s="269"/>
      <c r="Q190" s="269"/>
      <c r="R190" s="269"/>
      <c r="S190" s="269"/>
      <c r="T190" s="269"/>
      <c r="U190" s="269"/>
      <c r="V190" s="269"/>
      <c r="W190" s="269"/>
      <c r="X190" s="269"/>
      <c r="Y190" s="269"/>
      <c r="Z190" s="269"/>
    </row>
    <row r="191">
      <c r="A191" s="269" t="str">
        <f>IFERROR(__xludf.DUMMYFUNCTION("""COMPUTED_VALUE"""),"")</f>
        <v/>
      </c>
      <c r="B191" s="269"/>
      <c r="C191" s="269"/>
      <c r="D191" s="269"/>
      <c r="E191" s="269"/>
      <c r="F191" s="269"/>
      <c r="G191" s="269"/>
      <c r="H191" s="269"/>
      <c r="I191" s="269"/>
      <c r="J191" s="269"/>
      <c r="K191" s="269"/>
      <c r="L191" s="269"/>
      <c r="M191" s="269"/>
      <c r="N191" s="269"/>
      <c r="O191" s="269"/>
      <c r="P191" s="269"/>
      <c r="Q191" s="269"/>
      <c r="R191" s="269"/>
      <c r="S191" s="269"/>
      <c r="T191" s="269"/>
      <c r="U191" s="269"/>
      <c r="V191" s="269"/>
      <c r="W191" s="269"/>
      <c r="X191" s="269"/>
      <c r="Y191" s="269"/>
      <c r="Z191" s="269"/>
    </row>
    <row r="192">
      <c r="A192" s="269" t="str">
        <f>IFERROR(__xludf.DUMMYFUNCTION("""COMPUTED_VALUE"""),"")</f>
        <v/>
      </c>
      <c r="B192" s="269"/>
      <c r="C192" s="269"/>
      <c r="D192" s="269"/>
      <c r="E192" s="269"/>
      <c r="F192" s="269"/>
      <c r="G192" s="269"/>
      <c r="H192" s="269"/>
      <c r="I192" s="269"/>
      <c r="J192" s="269"/>
      <c r="K192" s="269"/>
      <c r="L192" s="269"/>
      <c r="M192" s="269"/>
      <c r="N192" s="269"/>
      <c r="O192" s="269"/>
      <c r="P192" s="269"/>
      <c r="Q192" s="269"/>
      <c r="R192" s="269"/>
      <c r="S192" s="269"/>
      <c r="T192" s="269"/>
      <c r="U192" s="269"/>
      <c r="V192" s="269"/>
      <c r="W192" s="269"/>
      <c r="X192" s="269"/>
      <c r="Y192" s="269"/>
      <c r="Z192" s="269"/>
    </row>
    <row r="193">
      <c r="A193" s="269" t="str">
        <f>IFERROR(__xludf.DUMMYFUNCTION("""COMPUTED_VALUE"""),"")</f>
        <v/>
      </c>
      <c r="B193" s="269"/>
      <c r="C193" s="269"/>
      <c r="D193" s="269"/>
      <c r="E193" s="269"/>
      <c r="F193" s="269"/>
      <c r="G193" s="269"/>
      <c r="H193" s="269"/>
      <c r="I193" s="269"/>
      <c r="J193" s="269"/>
      <c r="K193" s="269"/>
      <c r="L193" s="269"/>
      <c r="M193" s="269"/>
      <c r="N193" s="269"/>
      <c r="O193" s="269"/>
      <c r="P193" s="269"/>
      <c r="Q193" s="269"/>
      <c r="R193" s="269"/>
      <c r="S193" s="269"/>
      <c r="T193" s="269"/>
      <c r="U193" s="269"/>
      <c r="V193" s="269"/>
      <c r="W193" s="269"/>
      <c r="X193" s="269"/>
      <c r="Y193" s="269"/>
      <c r="Z193" s="269"/>
    </row>
    <row r="194">
      <c r="A194" s="269" t="str">
        <f>IFERROR(__xludf.DUMMYFUNCTION("""COMPUTED_VALUE"""),"")</f>
        <v/>
      </c>
      <c r="B194" s="269"/>
      <c r="C194" s="269"/>
      <c r="D194" s="269"/>
      <c r="E194" s="269"/>
      <c r="F194" s="269"/>
      <c r="G194" s="269"/>
      <c r="H194" s="269"/>
      <c r="I194" s="269"/>
      <c r="J194" s="269"/>
      <c r="K194" s="269"/>
      <c r="L194" s="269"/>
      <c r="M194" s="269"/>
      <c r="N194" s="269"/>
      <c r="O194" s="269"/>
      <c r="P194" s="269"/>
      <c r="Q194" s="269"/>
      <c r="R194" s="269"/>
      <c r="S194" s="269"/>
      <c r="T194" s="269"/>
      <c r="U194" s="269"/>
      <c r="V194" s="269"/>
      <c r="W194" s="269"/>
      <c r="X194" s="269"/>
      <c r="Y194" s="269"/>
      <c r="Z194" s="269"/>
    </row>
    <row r="195">
      <c r="A195" s="269" t="str">
        <f>IFERROR(__xludf.DUMMYFUNCTION("""COMPUTED_VALUE"""),"")</f>
        <v/>
      </c>
      <c r="B195" s="269"/>
      <c r="C195" s="269"/>
      <c r="D195" s="269"/>
      <c r="E195" s="269"/>
      <c r="F195" s="269"/>
      <c r="G195" s="269"/>
      <c r="H195" s="269"/>
      <c r="I195" s="269"/>
      <c r="J195" s="269"/>
      <c r="K195" s="269"/>
      <c r="L195" s="269"/>
      <c r="M195" s="269"/>
      <c r="N195" s="269"/>
      <c r="O195" s="269"/>
      <c r="P195" s="269"/>
      <c r="Q195" s="269"/>
      <c r="R195" s="269"/>
      <c r="S195" s="269"/>
      <c r="T195" s="269"/>
      <c r="U195" s="269"/>
      <c r="V195" s="269"/>
      <c r="W195" s="269"/>
      <c r="X195" s="269"/>
      <c r="Y195" s="269"/>
      <c r="Z195" s="269"/>
    </row>
    <row r="196">
      <c r="A196" s="269" t="str">
        <f>IFERROR(__xludf.DUMMYFUNCTION("""COMPUTED_VALUE"""),"")</f>
        <v/>
      </c>
      <c r="B196" s="269"/>
      <c r="C196" s="269"/>
      <c r="D196" s="269"/>
      <c r="E196" s="269"/>
      <c r="F196" s="269"/>
      <c r="G196" s="269"/>
      <c r="H196" s="269"/>
      <c r="I196" s="269"/>
      <c r="J196" s="269"/>
      <c r="K196" s="269"/>
      <c r="L196" s="269"/>
      <c r="M196" s="269"/>
      <c r="N196" s="269"/>
      <c r="O196" s="269"/>
      <c r="P196" s="269"/>
      <c r="Q196" s="269"/>
      <c r="R196" s="269"/>
      <c r="S196" s="269"/>
      <c r="T196" s="269"/>
      <c r="U196" s="269"/>
      <c r="V196" s="269"/>
      <c r="W196" s="269"/>
      <c r="X196" s="269"/>
      <c r="Y196" s="269"/>
      <c r="Z196" s="269"/>
    </row>
    <row r="197">
      <c r="A197" s="269" t="str">
        <f>IFERROR(__xludf.DUMMYFUNCTION("""COMPUTED_VALUE"""),"")</f>
        <v/>
      </c>
      <c r="B197" s="269"/>
      <c r="C197" s="269"/>
      <c r="D197" s="269"/>
      <c r="E197" s="269"/>
      <c r="F197" s="269"/>
      <c r="G197" s="269"/>
      <c r="H197" s="269"/>
      <c r="I197" s="269"/>
      <c r="J197" s="269"/>
      <c r="K197" s="269"/>
      <c r="L197" s="269"/>
      <c r="M197" s="269"/>
      <c r="N197" s="269"/>
      <c r="O197" s="269"/>
      <c r="P197" s="269"/>
      <c r="Q197" s="269"/>
      <c r="R197" s="269"/>
      <c r="S197" s="269"/>
      <c r="T197" s="269"/>
      <c r="U197" s="269"/>
      <c r="V197" s="269"/>
      <c r="W197" s="269"/>
      <c r="X197" s="269"/>
      <c r="Y197" s="269"/>
      <c r="Z197" s="269"/>
    </row>
    <row r="198">
      <c r="A198" s="269" t="str">
        <f>IFERROR(__xludf.DUMMYFUNCTION("""COMPUTED_VALUE"""),"")</f>
        <v/>
      </c>
      <c r="B198" s="269"/>
      <c r="C198" s="269"/>
      <c r="D198" s="269"/>
      <c r="E198" s="269"/>
      <c r="F198" s="269"/>
      <c r="G198" s="269"/>
      <c r="H198" s="269"/>
      <c r="I198" s="269"/>
      <c r="J198" s="269"/>
      <c r="K198" s="269"/>
      <c r="L198" s="269"/>
      <c r="M198" s="269"/>
      <c r="N198" s="269"/>
      <c r="O198" s="269"/>
      <c r="P198" s="269"/>
      <c r="Q198" s="269"/>
      <c r="R198" s="269"/>
      <c r="S198" s="269"/>
      <c r="T198" s="269"/>
      <c r="U198" s="269"/>
      <c r="V198" s="269"/>
      <c r="W198" s="269"/>
      <c r="X198" s="269"/>
      <c r="Y198" s="269"/>
      <c r="Z198" s="269"/>
    </row>
    <row r="199">
      <c r="A199" s="269" t="str">
        <f>IFERROR(__xludf.DUMMYFUNCTION("""COMPUTED_VALUE"""),"")</f>
        <v/>
      </c>
      <c r="B199" s="269"/>
      <c r="C199" s="269"/>
      <c r="D199" s="269"/>
      <c r="E199" s="269"/>
      <c r="F199" s="269"/>
      <c r="G199" s="269"/>
      <c r="H199" s="269"/>
      <c r="I199" s="269"/>
      <c r="J199" s="269"/>
      <c r="K199" s="269"/>
      <c r="L199" s="269"/>
      <c r="M199" s="269"/>
      <c r="N199" s="269"/>
      <c r="O199" s="269"/>
      <c r="P199" s="269"/>
      <c r="Q199" s="269"/>
      <c r="R199" s="269"/>
      <c r="S199" s="269"/>
      <c r="T199" s="269"/>
      <c r="U199" s="269"/>
      <c r="V199" s="269"/>
      <c r="W199" s="269"/>
      <c r="X199" s="269"/>
      <c r="Y199" s="269"/>
      <c r="Z199" s="269"/>
    </row>
    <row r="200">
      <c r="A200" s="269" t="str">
        <f>IFERROR(__xludf.DUMMYFUNCTION("""COMPUTED_VALUE"""),"")</f>
        <v/>
      </c>
      <c r="B200" s="269"/>
      <c r="C200" s="269"/>
      <c r="D200" s="269"/>
      <c r="E200" s="269"/>
      <c r="F200" s="269"/>
      <c r="G200" s="269"/>
      <c r="H200" s="269"/>
      <c r="I200" s="269"/>
      <c r="J200" s="269"/>
      <c r="K200" s="269"/>
      <c r="L200" s="269"/>
      <c r="M200" s="269"/>
      <c r="N200" s="269"/>
      <c r="O200" s="269"/>
      <c r="P200" s="269"/>
      <c r="Q200" s="269"/>
      <c r="R200" s="269"/>
      <c r="S200" s="269"/>
      <c r="T200" s="269"/>
      <c r="U200" s="269"/>
      <c r="V200" s="269"/>
      <c r="W200" s="269"/>
      <c r="X200" s="269"/>
      <c r="Y200" s="269"/>
      <c r="Z200" s="269"/>
    </row>
    <row r="201">
      <c r="A201" s="269" t="str">
        <f>IFERROR(__xludf.DUMMYFUNCTION("""COMPUTED_VALUE"""),"")</f>
        <v/>
      </c>
      <c r="B201" s="269"/>
      <c r="C201" s="269"/>
      <c r="D201" s="269"/>
      <c r="E201" s="269"/>
      <c r="F201" s="269"/>
      <c r="G201" s="269"/>
      <c r="H201" s="269"/>
      <c r="I201" s="269"/>
      <c r="J201" s="269"/>
      <c r="K201" s="269"/>
      <c r="L201" s="269"/>
      <c r="M201" s="269"/>
      <c r="N201" s="269"/>
      <c r="O201" s="269"/>
      <c r="P201" s="269"/>
      <c r="Q201" s="269"/>
      <c r="R201" s="269"/>
      <c r="S201" s="269"/>
      <c r="T201" s="269"/>
      <c r="U201" s="269"/>
      <c r="V201" s="269"/>
      <c r="W201" s="269"/>
      <c r="X201" s="269"/>
      <c r="Y201" s="269"/>
      <c r="Z201" s="269"/>
    </row>
    <row r="202">
      <c r="A202" s="269" t="str">
        <f>IFERROR(__xludf.DUMMYFUNCTION("""COMPUTED_VALUE"""),"")</f>
        <v/>
      </c>
      <c r="B202" s="269"/>
      <c r="C202" s="269"/>
      <c r="D202" s="269"/>
      <c r="E202" s="269"/>
      <c r="F202" s="269"/>
      <c r="G202" s="269"/>
      <c r="H202" s="269"/>
      <c r="I202" s="269"/>
      <c r="J202" s="269"/>
      <c r="K202" s="269"/>
      <c r="L202" s="269"/>
      <c r="M202" s="269"/>
      <c r="N202" s="269"/>
      <c r="O202" s="269"/>
      <c r="P202" s="269"/>
      <c r="Q202" s="269"/>
      <c r="R202" s="269"/>
      <c r="S202" s="269"/>
      <c r="T202" s="269"/>
      <c r="U202" s="269"/>
      <c r="V202" s="269"/>
      <c r="W202" s="269"/>
      <c r="X202" s="269"/>
      <c r="Y202" s="269"/>
      <c r="Z202" s="269"/>
    </row>
    <row r="203">
      <c r="A203" s="269" t="str">
        <f>IFERROR(__xludf.DUMMYFUNCTION("""COMPUTED_VALUE"""),"")</f>
        <v/>
      </c>
      <c r="B203" s="269"/>
      <c r="C203" s="269"/>
      <c r="D203" s="269"/>
      <c r="E203" s="269"/>
      <c r="F203" s="269"/>
      <c r="G203" s="269"/>
      <c r="H203" s="269"/>
      <c r="I203" s="269"/>
      <c r="J203" s="269"/>
      <c r="K203" s="269"/>
      <c r="L203" s="269"/>
      <c r="M203" s="269"/>
      <c r="N203" s="269"/>
      <c r="O203" s="269"/>
      <c r="P203" s="269"/>
      <c r="Q203" s="269"/>
      <c r="R203" s="269"/>
      <c r="S203" s="269"/>
      <c r="T203" s="269"/>
      <c r="U203" s="269"/>
      <c r="V203" s="269"/>
      <c r="W203" s="269"/>
      <c r="X203" s="269"/>
      <c r="Y203" s="269"/>
      <c r="Z203" s="269"/>
    </row>
    <row r="204">
      <c r="A204" s="269" t="str">
        <f>IFERROR(__xludf.DUMMYFUNCTION("""COMPUTED_VALUE"""),"")</f>
        <v/>
      </c>
      <c r="B204" s="269"/>
      <c r="C204" s="269"/>
      <c r="D204" s="269"/>
      <c r="E204" s="269"/>
      <c r="F204" s="269"/>
      <c r="G204" s="269"/>
      <c r="H204" s="269"/>
      <c r="I204" s="269"/>
      <c r="J204" s="269"/>
      <c r="K204" s="269"/>
      <c r="L204" s="269"/>
      <c r="M204" s="269"/>
      <c r="N204" s="269"/>
      <c r="O204" s="269"/>
      <c r="P204" s="269"/>
      <c r="Q204" s="269"/>
      <c r="R204" s="269"/>
      <c r="S204" s="269"/>
      <c r="T204" s="269"/>
      <c r="U204" s="269"/>
      <c r="V204" s="269"/>
      <c r="W204" s="269"/>
      <c r="X204" s="269"/>
      <c r="Y204" s="269"/>
      <c r="Z204" s="269"/>
    </row>
    <row r="205">
      <c r="A205" s="269" t="str">
        <f>IFERROR(__xludf.DUMMYFUNCTION("""COMPUTED_VALUE"""),"")</f>
        <v/>
      </c>
      <c r="B205" s="269"/>
      <c r="C205" s="269"/>
      <c r="D205" s="269"/>
      <c r="E205" s="269"/>
      <c r="F205" s="269"/>
      <c r="G205" s="269"/>
      <c r="H205" s="269"/>
      <c r="I205" s="269"/>
      <c r="J205" s="269"/>
      <c r="K205" s="269"/>
      <c r="L205" s="269"/>
      <c r="M205" s="269"/>
      <c r="N205" s="269"/>
      <c r="O205" s="269"/>
      <c r="P205" s="269"/>
      <c r="Q205" s="269"/>
      <c r="R205" s="269"/>
      <c r="S205" s="269"/>
      <c r="T205" s="269"/>
      <c r="U205" s="269"/>
      <c r="V205" s="269"/>
      <c r="W205" s="269"/>
      <c r="X205" s="269"/>
      <c r="Y205" s="269"/>
      <c r="Z205" s="269"/>
    </row>
    <row r="206">
      <c r="A206" s="269" t="str">
        <f>IFERROR(__xludf.DUMMYFUNCTION("""COMPUTED_VALUE"""),"")</f>
        <v/>
      </c>
      <c r="B206" s="269"/>
      <c r="C206" s="269"/>
      <c r="D206" s="269"/>
      <c r="E206" s="269"/>
      <c r="F206" s="269"/>
      <c r="G206" s="269"/>
      <c r="H206" s="269"/>
      <c r="I206" s="269"/>
      <c r="J206" s="269"/>
      <c r="K206" s="269"/>
      <c r="L206" s="269"/>
      <c r="M206" s="269"/>
      <c r="N206" s="269"/>
      <c r="O206" s="269"/>
      <c r="P206" s="269"/>
      <c r="Q206" s="269"/>
      <c r="R206" s="269"/>
      <c r="S206" s="269"/>
      <c r="T206" s="269"/>
      <c r="U206" s="269"/>
      <c r="V206" s="269"/>
      <c r="W206" s="269"/>
      <c r="X206" s="269"/>
      <c r="Y206" s="269"/>
      <c r="Z206" s="269"/>
    </row>
    <row r="207">
      <c r="A207" s="269" t="str">
        <f>IFERROR(__xludf.DUMMYFUNCTION("""COMPUTED_VALUE"""),"")</f>
        <v/>
      </c>
      <c r="B207" s="269"/>
      <c r="C207" s="269"/>
      <c r="D207" s="269"/>
      <c r="E207" s="269"/>
      <c r="F207" s="269"/>
      <c r="G207" s="269"/>
      <c r="H207" s="269"/>
      <c r="I207" s="269"/>
      <c r="J207" s="269"/>
      <c r="K207" s="269"/>
      <c r="L207" s="269"/>
      <c r="M207" s="269"/>
      <c r="N207" s="269"/>
      <c r="O207" s="269"/>
      <c r="P207" s="269"/>
      <c r="Q207" s="269"/>
      <c r="R207" s="269"/>
      <c r="S207" s="269"/>
      <c r="T207" s="269"/>
      <c r="U207" s="269"/>
      <c r="V207" s="269"/>
      <c r="W207" s="269"/>
      <c r="X207" s="269"/>
      <c r="Y207" s="269"/>
      <c r="Z207" s="269"/>
    </row>
    <row r="208">
      <c r="A208" s="269" t="str">
        <f>IFERROR(__xludf.DUMMYFUNCTION("""COMPUTED_VALUE"""),"")</f>
        <v/>
      </c>
      <c r="B208" s="269"/>
      <c r="C208" s="269"/>
      <c r="D208" s="269"/>
      <c r="E208" s="269"/>
      <c r="F208" s="269"/>
      <c r="G208" s="269"/>
      <c r="H208" s="269"/>
      <c r="I208" s="269"/>
      <c r="J208" s="269"/>
      <c r="K208" s="269"/>
      <c r="L208" s="269"/>
      <c r="M208" s="269"/>
      <c r="N208" s="269"/>
      <c r="O208" s="269"/>
      <c r="P208" s="269"/>
      <c r="Q208" s="269"/>
      <c r="R208" s="269"/>
      <c r="S208" s="269"/>
      <c r="T208" s="269"/>
      <c r="U208" s="269"/>
      <c r="V208" s="269"/>
      <c r="W208" s="269"/>
      <c r="X208" s="269"/>
      <c r="Y208" s="269"/>
      <c r="Z208" s="269"/>
    </row>
    <row r="209">
      <c r="A209" s="269" t="str">
        <f>IFERROR(__xludf.DUMMYFUNCTION("""COMPUTED_VALUE"""),"")</f>
        <v/>
      </c>
      <c r="B209" s="269"/>
      <c r="C209" s="269"/>
      <c r="D209" s="269"/>
      <c r="E209" s="269"/>
      <c r="F209" s="269"/>
      <c r="G209" s="269"/>
      <c r="H209" s="269"/>
      <c r="I209" s="269"/>
      <c r="J209" s="269"/>
      <c r="K209" s="269"/>
      <c r="L209" s="269"/>
      <c r="M209" s="269"/>
      <c r="N209" s="269"/>
      <c r="O209" s="269"/>
      <c r="P209" s="269"/>
      <c r="Q209" s="269"/>
      <c r="R209" s="269"/>
      <c r="S209" s="269"/>
      <c r="T209" s="269"/>
      <c r="U209" s="269"/>
      <c r="V209" s="269"/>
      <c r="W209" s="269"/>
      <c r="X209" s="269"/>
      <c r="Y209" s="269"/>
      <c r="Z209" s="269"/>
    </row>
    <row r="210">
      <c r="A210" s="269" t="str">
        <f>IFERROR(__xludf.DUMMYFUNCTION("""COMPUTED_VALUE"""),"")</f>
        <v/>
      </c>
      <c r="B210" s="269"/>
      <c r="C210" s="269"/>
      <c r="D210" s="269"/>
      <c r="E210" s="269"/>
      <c r="F210" s="269"/>
      <c r="G210" s="269"/>
      <c r="H210" s="269"/>
      <c r="I210" s="269"/>
      <c r="J210" s="269"/>
      <c r="K210" s="269"/>
      <c r="L210" s="269"/>
      <c r="M210" s="269"/>
      <c r="N210" s="269"/>
      <c r="O210" s="269"/>
      <c r="P210" s="269"/>
      <c r="Q210" s="269"/>
      <c r="R210" s="269"/>
      <c r="S210" s="269"/>
      <c r="T210" s="269"/>
      <c r="U210" s="269"/>
      <c r="V210" s="269"/>
      <c r="W210" s="269"/>
      <c r="X210" s="269"/>
      <c r="Y210" s="269"/>
      <c r="Z210" s="269"/>
    </row>
    <row r="211">
      <c r="A211" s="269" t="str">
        <f>IFERROR(__xludf.DUMMYFUNCTION("""COMPUTED_VALUE"""),"")</f>
        <v/>
      </c>
      <c r="B211" s="269"/>
      <c r="C211" s="269"/>
      <c r="D211" s="269"/>
      <c r="E211" s="269"/>
      <c r="F211" s="269"/>
      <c r="G211" s="269"/>
      <c r="H211" s="269"/>
      <c r="I211" s="269"/>
      <c r="J211" s="269"/>
      <c r="K211" s="269"/>
      <c r="L211" s="269"/>
      <c r="M211" s="269"/>
      <c r="N211" s="269"/>
      <c r="O211" s="269"/>
      <c r="P211" s="269"/>
      <c r="Q211" s="269"/>
      <c r="R211" s="269"/>
      <c r="S211" s="269"/>
      <c r="T211" s="269"/>
      <c r="U211" s="269"/>
      <c r="V211" s="269"/>
      <c r="W211" s="269"/>
      <c r="X211" s="269"/>
      <c r="Y211" s="269"/>
      <c r="Z211" s="269"/>
    </row>
    <row r="212">
      <c r="A212" s="269" t="str">
        <f>IFERROR(__xludf.DUMMYFUNCTION("""COMPUTED_VALUE"""),"")</f>
        <v/>
      </c>
      <c r="B212" s="269"/>
      <c r="C212" s="269"/>
      <c r="D212" s="269"/>
      <c r="E212" s="269"/>
      <c r="F212" s="269"/>
      <c r="G212" s="269"/>
      <c r="H212" s="269"/>
      <c r="I212" s="269"/>
      <c r="J212" s="269"/>
      <c r="K212" s="269"/>
      <c r="L212" s="269"/>
      <c r="M212" s="269"/>
      <c r="N212" s="269"/>
      <c r="O212" s="269"/>
      <c r="P212" s="269"/>
      <c r="Q212" s="269"/>
      <c r="R212" s="269"/>
      <c r="S212" s="269"/>
      <c r="T212" s="269"/>
      <c r="U212" s="269"/>
      <c r="V212" s="269"/>
      <c r="W212" s="269"/>
      <c r="X212" s="269"/>
      <c r="Y212" s="269"/>
      <c r="Z212" s="269"/>
    </row>
    <row r="213">
      <c r="A213" s="269" t="str">
        <f>IFERROR(__xludf.DUMMYFUNCTION("""COMPUTED_VALUE"""),"")</f>
        <v/>
      </c>
      <c r="B213" s="269"/>
      <c r="C213" s="269"/>
      <c r="D213" s="269"/>
      <c r="E213" s="269"/>
      <c r="F213" s="269"/>
      <c r="G213" s="269"/>
      <c r="H213" s="269"/>
      <c r="I213" s="269"/>
      <c r="J213" s="269"/>
      <c r="K213" s="269"/>
      <c r="L213" s="269"/>
      <c r="M213" s="269"/>
      <c r="N213" s="269"/>
      <c r="O213" s="269"/>
      <c r="P213" s="269"/>
      <c r="Q213" s="269"/>
      <c r="R213" s="269"/>
      <c r="S213" s="269"/>
      <c r="T213" s="269"/>
      <c r="U213" s="269"/>
      <c r="V213" s="269"/>
      <c r="W213" s="269"/>
      <c r="X213" s="269"/>
      <c r="Y213" s="269"/>
      <c r="Z213" s="269"/>
    </row>
    <row r="214">
      <c r="A214" s="269" t="str">
        <f>IFERROR(__xludf.DUMMYFUNCTION("""COMPUTED_VALUE"""),"")</f>
        <v/>
      </c>
      <c r="B214" s="269"/>
      <c r="C214" s="269"/>
      <c r="D214" s="269"/>
      <c r="E214" s="269"/>
      <c r="F214" s="269"/>
      <c r="G214" s="269"/>
      <c r="H214" s="269"/>
      <c r="I214" s="269"/>
      <c r="J214" s="269"/>
      <c r="K214" s="269"/>
      <c r="L214" s="269"/>
      <c r="M214" s="269"/>
      <c r="N214" s="269"/>
      <c r="O214" s="269"/>
      <c r="P214" s="269"/>
      <c r="Q214" s="269"/>
      <c r="R214" s="269"/>
      <c r="S214" s="269"/>
      <c r="T214" s="269"/>
      <c r="U214" s="269"/>
      <c r="V214" s="269"/>
      <c r="W214" s="269"/>
      <c r="X214" s="269"/>
      <c r="Y214" s="269"/>
      <c r="Z214" s="269"/>
    </row>
    <row r="215">
      <c r="A215" s="269" t="str">
        <f>IFERROR(__xludf.DUMMYFUNCTION("""COMPUTED_VALUE"""),"")</f>
        <v/>
      </c>
      <c r="B215" s="269"/>
      <c r="C215" s="269"/>
      <c r="D215" s="269"/>
      <c r="E215" s="269"/>
      <c r="F215" s="269"/>
      <c r="G215" s="269"/>
      <c r="H215" s="269"/>
      <c r="I215" s="269"/>
      <c r="J215" s="269"/>
      <c r="K215" s="269"/>
      <c r="L215" s="269"/>
      <c r="M215" s="269"/>
      <c r="N215" s="269"/>
      <c r="O215" s="269"/>
      <c r="P215" s="269"/>
      <c r="Q215" s="269"/>
      <c r="R215" s="269"/>
      <c r="S215" s="269"/>
      <c r="T215" s="269"/>
      <c r="U215" s="269"/>
      <c r="V215" s="269"/>
      <c r="W215" s="269"/>
      <c r="X215" s="269"/>
      <c r="Y215" s="269"/>
      <c r="Z215" s="269"/>
    </row>
    <row r="216">
      <c r="A216" s="269" t="str">
        <f>IFERROR(__xludf.DUMMYFUNCTION("""COMPUTED_VALUE"""),"")</f>
        <v/>
      </c>
      <c r="B216" s="269"/>
      <c r="C216" s="269"/>
      <c r="D216" s="269"/>
      <c r="E216" s="269"/>
      <c r="F216" s="269"/>
      <c r="G216" s="269"/>
      <c r="H216" s="269"/>
      <c r="I216" s="269"/>
      <c r="J216" s="269"/>
      <c r="K216" s="269"/>
      <c r="L216" s="269"/>
      <c r="M216" s="269"/>
      <c r="N216" s="269"/>
      <c r="O216" s="269"/>
      <c r="P216" s="269"/>
      <c r="Q216" s="269"/>
      <c r="R216" s="269"/>
      <c r="S216" s="269"/>
      <c r="T216" s="269"/>
      <c r="U216" s="269"/>
      <c r="V216" s="269"/>
      <c r="W216" s="269"/>
      <c r="X216" s="269"/>
      <c r="Y216" s="269"/>
      <c r="Z216" s="269"/>
    </row>
    <row r="217">
      <c r="A217" s="269" t="str">
        <f>IFERROR(__xludf.DUMMYFUNCTION("""COMPUTED_VALUE"""),"")</f>
        <v/>
      </c>
      <c r="B217" s="269"/>
      <c r="C217" s="269"/>
      <c r="D217" s="269"/>
      <c r="E217" s="269"/>
      <c r="F217" s="269"/>
      <c r="G217" s="269"/>
      <c r="H217" s="269"/>
      <c r="I217" s="269"/>
      <c r="J217" s="269"/>
      <c r="K217" s="269"/>
      <c r="L217" s="269"/>
      <c r="M217" s="269"/>
      <c r="N217" s="269"/>
      <c r="O217" s="269"/>
      <c r="P217" s="269"/>
      <c r="Q217" s="269"/>
      <c r="R217" s="269"/>
      <c r="S217" s="269"/>
      <c r="T217" s="269"/>
      <c r="U217" s="269"/>
      <c r="V217" s="269"/>
      <c r="W217" s="269"/>
      <c r="X217" s="269"/>
      <c r="Y217" s="269"/>
      <c r="Z217" s="269"/>
    </row>
    <row r="218">
      <c r="A218" s="269" t="str">
        <f>IFERROR(__xludf.DUMMYFUNCTION("""COMPUTED_VALUE"""),"")</f>
        <v/>
      </c>
      <c r="B218" s="269"/>
      <c r="C218" s="269"/>
      <c r="D218" s="269"/>
      <c r="E218" s="269"/>
      <c r="F218" s="269"/>
      <c r="G218" s="269"/>
      <c r="H218" s="269"/>
      <c r="I218" s="269"/>
      <c r="J218" s="269"/>
      <c r="K218" s="269"/>
      <c r="L218" s="269"/>
      <c r="M218" s="269"/>
      <c r="N218" s="269"/>
      <c r="O218" s="269"/>
      <c r="P218" s="269"/>
      <c r="Q218" s="269"/>
      <c r="R218" s="269"/>
      <c r="S218" s="269"/>
      <c r="T218" s="269"/>
      <c r="U218" s="269"/>
      <c r="V218" s="269"/>
      <c r="W218" s="269"/>
      <c r="X218" s="269"/>
      <c r="Y218" s="269"/>
      <c r="Z218" s="269"/>
    </row>
    <row r="219">
      <c r="A219" s="269" t="str">
        <f>IFERROR(__xludf.DUMMYFUNCTION("""COMPUTED_VALUE"""),"")</f>
        <v/>
      </c>
      <c r="B219" s="269"/>
      <c r="C219" s="269"/>
      <c r="D219" s="269"/>
      <c r="E219" s="269"/>
      <c r="F219" s="269"/>
      <c r="G219" s="269"/>
      <c r="H219" s="269"/>
      <c r="I219" s="269"/>
      <c r="J219" s="269"/>
      <c r="K219" s="269"/>
      <c r="L219" s="269"/>
      <c r="M219" s="269"/>
      <c r="N219" s="269"/>
      <c r="O219" s="269"/>
      <c r="P219" s="269"/>
      <c r="Q219" s="269"/>
      <c r="R219" s="269"/>
      <c r="S219" s="269"/>
      <c r="T219" s="269"/>
      <c r="U219" s="269"/>
      <c r="V219" s="269"/>
      <c r="W219" s="269"/>
      <c r="X219" s="269"/>
      <c r="Y219" s="269"/>
      <c r="Z219" s="269"/>
    </row>
    <row r="220">
      <c r="A220" s="269" t="str">
        <f>IFERROR(__xludf.DUMMYFUNCTION("""COMPUTED_VALUE"""),"")</f>
        <v/>
      </c>
      <c r="B220" s="269"/>
      <c r="C220" s="269"/>
      <c r="D220" s="269"/>
      <c r="E220" s="269"/>
      <c r="F220" s="269"/>
      <c r="G220" s="269"/>
      <c r="H220" s="269"/>
      <c r="I220" s="269"/>
      <c r="J220" s="269"/>
      <c r="K220" s="269"/>
      <c r="L220" s="269"/>
      <c r="M220" s="269"/>
      <c r="N220" s="269"/>
      <c r="O220" s="269"/>
      <c r="P220" s="269"/>
      <c r="Q220" s="269"/>
      <c r="R220" s="269"/>
      <c r="S220" s="269"/>
      <c r="T220" s="269"/>
      <c r="U220" s="269"/>
      <c r="V220" s="269"/>
      <c r="W220" s="269"/>
      <c r="X220" s="269"/>
      <c r="Y220" s="269"/>
      <c r="Z220" s="269"/>
    </row>
    <row r="221">
      <c r="A221" s="269" t="str">
        <f>IFERROR(__xludf.DUMMYFUNCTION("""COMPUTED_VALUE"""),"")</f>
        <v/>
      </c>
      <c r="B221" s="269"/>
      <c r="C221" s="269"/>
      <c r="D221" s="269"/>
      <c r="E221" s="269"/>
      <c r="F221" s="269"/>
      <c r="G221" s="269"/>
      <c r="H221" s="269"/>
      <c r="I221" s="269"/>
      <c r="J221" s="269"/>
      <c r="K221" s="269"/>
      <c r="L221" s="269"/>
      <c r="M221" s="269"/>
      <c r="N221" s="269"/>
      <c r="O221" s="269"/>
      <c r="P221" s="269"/>
      <c r="Q221" s="269"/>
      <c r="R221" s="269"/>
      <c r="S221" s="269"/>
      <c r="T221" s="269"/>
      <c r="U221" s="269"/>
      <c r="V221" s="269"/>
      <c r="W221" s="269"/>
      <c r="X221" s="269"/>
      <c r="Y221" s="269"/>
      <c r="Z221" s="269"/>
    </row>
    <row r="222">
      <c r="A222" s="269" t="str">
        <f>IFERROR(__xludf.DUMMYFUNCTION("""COMPUTED_VALUE"""),"")</f>
        <v/>
      </c>
      <c r="B222" s="269"/>
      <c r="C222" s="269"/>
      <c r="D222" s="269"/>
      <c r="E222" s="269"/>
      <c r="F222" s="269"/>
      <c r="G222" s="269"/>
      <c r="H222" s="269"/>
      <c r="I222" s="269"/>
      <c r="J222" s="269"/>
      <c r="K222" s="269"/>
      <c r="L222" s="269"/>
      <c r="M222" s="269"/>
      <c r="N222" s="269"/>
      <c r="O222" s="269"/>
      <c r="P222" s="269"/>
      <c r="Q222" s="269"/>
      <c r="R222" s="269"/>
      <c r="S222" s="269"/>
      <c r="T222" s="269"/>
      <c r="U222" s="269"/>
      <c r="V222" s="269"/>
      <c r="W222" s="269"/>
      <c r="X222" s="269"/>
      <c r="Y222" s="269"/>
      <c r="Z222" s="269"/>
    </row>
    <row r="223">
      <c r="A223" s="269" t="str">
        <f>IFERROR(__xludf.DUMMYFUNCTION("""COMPUTED_VALUE"""),"")</f>
        <v/>
      </c>
      <c r="B223" s="269"/>
      <c r="C223" s="269"/>
      <c r="D223" s="269"/>
      <c r="E223" s="269"/>
      <c r="F223" s="269"/>
      <c r="G223" s="269"/>
      <c r="H223" s="269"/>
      <c r="I223" s="269"/>
      <c r="J223" s="269"/>
      <c r="K223" s="269"/>
      <c r="L223" s="269"/>
      <c r="M223" s="269"/>
      <c r="N223" s="269"/>
      <c r="O223" s="269"/>
      <c r="P223" s="269"/>
      <c r="Q223" s="269"/>
      <c r="R223" s="269"/>
      <c r="S223" s="269"/>
      <c r="T223" s="269"/>
      <c r="U223" s="269"/>
      <c r="V223" s="269"/>
      <c r="W223" s="269"/>
      <c r="X223" s="269"/>
      <c r="Y223" s="269"/>
      <c r="Z223" s="269"/>
    </row>
    <row r="224">
      <c r="A224" s="269" t="str">
        <f>IFERROR(__xludf.DUMMYFUNCTION("""COMPUTED_VALUE"""),"")</f>
        <v/>
      </c>
      <c r="B224" s="269"/>
      <c r="C224" s="269"/>
      <c r="D224" s="269"/>
      <c r="E224" s="269"/>
      <c r="F224" s="269"/>
      <c r="G224" s="269"/>
      <c r="H224" s="269"/>
      <c r="I224" s="269"/>
      <c r="J224" s="269"/>
      <c r="K224" s="269"/>
      <c r="L224" s="269"/>
      <c r="M224" s="269"/>
      <c r="N224" s="269"/>
      <c r="O224" s="269"/>
      <c r="P224" s="269"/>
      <c r="Q224" s="269"/>
      <c r="R224" s="269"/>
      <c r="S224" s="269"/>
      <c r="T224" s="269"/>
      <c r="U224" s="269"/>
      <c r="V224" s="269"/>
      <c r="W224" s="269"/>
      <c r="X224" s="269"/>
      <c r="Y224" s="269"/>
      <c r="Z224" s="269"/>
    </row>
    <row r="225">
      <c r="A225" s="269" t="str">
        <f>IFERROR(__xludf.DUMMYFUNCTION("""COMPUTED_VALUE"""),"")</f>
        <v/>
      </c>
      <c r="B225" s="269"/>
      <c r="C225" s="269"/>
      <c r="D225" s="269"/>
      <c r="E225" s="269"/>
      <c r="F225" s="269"/>
      <c r="G225" s="269"/>
      <c r="H225" s="269"/>
      <c r="I225" s="269"/>
      <c r="J225" s="269"/>
      <c r="K225" s="269"/>
      <c r="L225" s="269"/>
      <c r="M225" s="269"/>
      <c r="N225" s="269"/>
      <c r="O225" s="269"/>
      <c r="P225" s="269"/>
      <c r="Q225" s="269"/>
      <c r="R225" s="269"/>
      <c r="S225" s="269"/>
      <c r="T225" s="269"/>
      <c r="U225" s="269"/>
      <c r="V225" s="269"/>
      <c r="W225" s="269"/>
      <c r="X225" s="269"/>
      <c r="Y225" s="269"/>
      <c r="Z225" s="269"/>
    </row>
    <row r="226">
      <c r="A226" s="269" t="str">
        <f>IFERROR(__xludf.DUMMYFUNCTION("""COMPUTED_VALUE"""),"")</f>
        <v/>
      </c>
      <c r="B226" s="269"/>
      <c r="C226" s="269"/>
      <c r="D226" s="269"/>
      <c r="E226" s="269"/>
      <c r="F226" s="269"/>
      <c r="G226" s="269"/>
      <c r="H226" s="269"/>
      <c r="I226" s="269"/>
      <c r="J226" s="269"/>
      <c r="K226" s="269"/>
      <c r="L226" s="269"/>
      <c r="M226" s="269"/>
      <c r="N226" s="269"/>
      <c r="O226" s="269"/>
      <c r="P226" s="269"/>
      <c r="Q226" s="269"/>
      <c r="R226" s="269"/>
      <c r="S226" s="269"/>
      <c r="T226" s="269"/>
      <c r="U226" s="269"/>
      <c r="V226" s="269"/>
      <c r="W226" s="269"/>
      <c r="X226" s="269"/>
      <c r="Y226" s="269"/>
      <c r="Z226" s="269"/>
    </row>
    <row r="227">
      <c r="A227" s="269" t="str">
        <f>IFERROR(__xludf.DUMMYFUNCTION("""COMPUTED_VALUE"""),"")</f>
        <v/>
      </c>
      <c r="B227" s="269"/>
      <c r="C227" s="269"/>
      <c r="D227" s="269"/>
      <c r="E227" s="269"/>
      <c r="F227" s="269"/>
      <c r="G227" s="269"/>
      <c r="H227" s="269"/>
      <c r="I227" s="269"/>
      <c r="J227" s="269"/>
      <c r="K227" s="269"/>
      <c r="L227" s="269"/>
      <c r="M227" s="269"/>
      <c r="N227" s="269"/>
      <c r="O227" s="269"/>
      <c r="P227" s="269"/>
      <c r="Q227" s="269"/>
      <c r="R227" s="269"/>
      <c r="S227" s="269"/>
      <c r="T227" s="269"/>
      <c r="U227" s="269"/>
      <c r="V227" s="269"/>
      <c r="W227" s="269"/>
      <c r="X227" s="269"/>
      <c r="Y227" s="269"/>
      <c r="Z227" s="269"/>
    </row>
    <row r="228">
      <c r="A228" s="269" t="str">
        <f>IFERROR(__xludf.DUMMYFUNCTION("""COMPUTED_VALUE"""),"")</f>
        <v/>
      </c>
      <c r="B228" s="269"/>
      <c r="C228" s="269"/>
      <c r="D228" s="269"/>
      <c r="E228" s="269"/>
      <c r="F228" s="269"/>
      <c r="G228" s="269"/>
      <c r="H228" s="269"/>
      <c r="I228" s="269"/>
      <c r="J228" s="269"/>
      <c r="K228" s="269"/>
      <c r="L228" s="269"/>
      <c r="M228" s="269"/>
      <c r="N228" s="269"/>
      <c r="O228" s="269"/>
      <c r="P228" s="269"/>
      <c r="Q228" s="269"/>
      <c r="R228" s="269"/>
      <c r="S228" s="269"/>
      <c r="T228" s="269"/>
      <c r="U228" s="269"/>
      <c r="V228" s="269"/>
      <c r="W228" s="269"/>
      <c r="X228" s="269"/>
      <c r="Y228" s="269"/>
      <c r="Z228" s="269"/>
    </row>
    <row r="229">
      <c r="A229" s="269" t="str">
        <f>IFERROR(__xludf.DUMMYFUNCTION("""COMPUTED_VALUE"""),"")</f>
        <v/>
      </c>
      <c r="B229" s="269"/>
      <c r="C229" s="269"/>
      <c r="D229" s="269"/>
      <c r="E229" s="269"/>
      <c r="F229" s="269"/>
      <c r="G229" s="269"/>
      <c r="H229" s="269"/>
      <c r="I229" s="269"/>
      <c r="J229" s="269"/>
      <c r="K229" s="269"/>
      <c r="L229" s="269"/>
      <c r="M229" s="269"/>
      <c r="N229" s="269"/>
      <c r="O229" s="269"/>
      <c r="P229" s="269"/>
      <c r="Q229" s="269"/>
      <c r="R229" s="269"/>
      <c r="S229" s="269"/>
      <c r="T229" s="269"/>
      <c r="U229" s="269"/>
      <c r="V229" s="269"/>
      <c r="W229" s="269"/>
      <c r="X229" s="269"/>
      <c r="Y229" s="269"/>
      <c r="Z229" s="269"/>
    </row>
    <row r="230">
      <c r="A230" s="269" t="str">
        <f>IFERROR(__xludf.DUMMYFUNCTION("""COMPUTED_VALUE"""),"")</f>
        <v/>
      </c>
      <c r="B230" s="269"/>
      <c r="C230" s="269"/>
      <c r="D230" s="269"/>
      <c r="E230" s="269"/>
      <c r="F230" s="269"/>
      <c r="G230" s="269"/>
      <c r="H230" s="269"/>
      <c r="I230" s="269"/>
      <c r="J230" s="269"/>
      <c r="K230" s="269"/>
      <c r="L230" s="269"/>
      <c r="M230" s="269"/>
      <c r="N230" s="269"/>
      <c r="O230" s="269"/>
      <c r="P230" s="269"/>
      <c r="Q230" s="269"/>
      <c r="R230" s="269"/>
      <c r="S230" s="269"/>
      <c r="T230" s="269"/>
      <c r="U230" s="269"/>
      <c r="V230" s="269"/>
      <c r="W230" s="269"/>
      <c r="X230" s="269"/>
      <c r="Y230" s="269"/>
      <c r="Z230" s="269"/>
    </row>
    <row r="231">
      <c r="A231" s="269" t="str">
        <f>IFERROR(__xludf.DUMMYFUNCTION("""COMPUTED_VALUE"""),"")</f>
        <v/>
      </c>
      <c r="B231" s="269"/>
      <c r="C231" s="269"/>
      <c r="D231" s="269"/>
      <c r="E231" s="269"/>
      <c r="F231" s="269"/>
      <c r="G231" s="269"/>
      <c r="H231" s="269"/>
      <c r="I231" s="269"/>
      <c r="J231" s="269"/>
      <c r="K231" s="269"/>
      <c r="L231" s="269"/>
      <c r="M231" s="269"/>
      <c r="N231" s="269"/>
      <c r="O231" s="269"/>
      <c r="P231" s="269"/>
      <c r="Q231" s="269"/>
      <c r="R231" s="269"/>
      <c r="S231" s="269"/>
      <c r="T231" s="269"/>
      <c r="U231" s="269"/>
      <c r="V231" s="269"/>
      <c r="W231" s="269"/>
      <c r="X231" s="269"/>
      <c r="Y231" s="269"/>
      <c r="Z231" s="269"/>
    </row>
    <row r="232">
      <c r="A232" s="269" t="str">
        <f>IFERROR(__xludf.DUMMYFUNCTION("""COMPUTED_VALUE"""),"")</f>
        <v/>
      </c>
      <c r="B232" s="269"/>
      <c r="C232" s="269"/>
      <c r="D232" s="269"/>
      <c r="E232" s="269"/>
      <c r="F232" s="269"/>
      <c r="G232" s="269"/>
      <c r="H232" s="269"/>
      <c r="I232" s="269"/>
      <c r="J232" s="269"/>
      <c r="K232" s="269"/>
      <c r="L232" s="269"/>
      <c r="M232" s="269"/>
      <c r="N232" s="269"/>
      <c r="O232" s="269"/>
      <c r="P232" s="269"/>
      <c r="Q232" s="269"/>
      <c r="R232" s="269"/>
      <c r="S232" s="269"/>
      <c r="T232" s="269"/>
      <c r="U232" s="269"/>
      <c r="V232" s="269"/>
      <c r="W232" s="269"/>
      <c r="X232" s="269"/>
      <c r="Y232" s="269"/>
      <c r="Z232" s="269"/>
    </row>
    <row r="233">
      <c r="A233" s="269" t="str">
        <f>IFERROR(__xludf.DUMMYFUNCTION("""COMPUTED_VALUE"""),"")</f>
        <v/>
      </c>
      <c r="B233" s="269"/>
      <c r="C233" s="269"/>
      <c r="D233" s="269"/>
      <c r="E233" s="269"/>
      <c r="F233" s="269"/>
      <c r="G233" s="269"/>
      <c r="H233" s="269"/>
      <c r="I233" s="269"/>
      <c r="J233" s="269"/>
      <c r="K233" s="269"/>
      <c r="L233" s="269"/>
      <c r="M233" s="269"/>
      <c r="N233" s="269"/>
      <c r="O233" s="269"/>
      <c r="P233" s="269"/>
      <c r="Q233" s="269"/>
      <c r="R233" s="269"/>
      <c r="S233" s="269"/>
      <c r="T233" s="269"/>
      <c r="U233" s="269"/>
      <c r="V233" s="269"/>
      <c r="W233" s="269"/>
      <c r="X233" s="269"/>
      <c r="Y233" s="269"/>
      <c r="Z233" s="269"/>
    </row>
    <row r="234">
      <c r="A234" s="269" t="str">
        <f>IFERROR(__xludf.DUMMYFUNCTION("""COMPUTED_VALUE"""),"")</f>
        <v/>
      </c>
      <c r="B234" s="269"/>
      <c r="C234" s="269"/>
      <c r="D234" s="269"/>
      <c r="E234" s="269"/>
      <c r="F234" s="269"/>
      <c r="G234" s="269"/>
      <c r="H234" s="269"/>
      <c r="I234" s="269"/>
      <c r="J234" s="269"/>
      <c r="K234" s="269"/>
      <c r="L234" s="269"/>
      <c r="M234" s="269"/>
      <c r="N234" s="269"/>
      <c r="O234" s="269"/>
      <c r="P234" s="269"/>
      <c r="Q234" s="269"/>
      <c r="R234" s="269"/>
      <c r="S234" s="269"/>
      <c r="T234" s="269"/>
      <c r="U234" s="269"/>
      <c r="V234" s="269"/>
      <c r="W234" s="269"/>
      <c r="X234" s="269"/>
      <c r="Y234" s="269"/>
      <c r="Z234" s="269"/>
    </row>
    <row r="235">
      <c r="A235" s="269" t="str">
        <f>IFERROR(__xludf.DUMMYFUNCTION("""COMPUTED_VALUE"""),"")</f>
        <v/>
      </c>
      <c r="B235" s="269"/>
      <c r="C235" s="269"/>
      <c r="D235" s="269"/>
      <c r="E235" s="269"/>
      <c r="F235" s="269"/>
      <c r="G235" s="269"/>
      <c r="H235" s="269"/>
      <c r="I235" s="269"/>
      <c r="J235" s="269"/>
      <c r="K235" s="269"/>
      <c r="L235" s="269"/>
      <c r="M235" s="269"/>
      <c r="N235" s="269"/>
      <c r="O235" s="269"/>
      <c r="P235" s="269"/>
      <c r="Q235" s="269"/>
      <c r="R235" s="269"/>
      <c r="S235" s="269"/>
      <c r="T235" s="269"/>
      <c r="U235" s="269"/>
      <c r="V235" s="269"/>
      <c r="W235" s="269"/>
      <c r="X235" s="269"/>
      <c r="Y235" s="269"/>
      <c r="Z235" s="269"/>
    </row>
    <row r="236">
      <c r="A236" s="269" t="str">
        <f>IFERROR(__xludf.DUMMYFUNCTION("""COMPUTED_VALUE"""),"")</f>
        <v/>
      </c>
      <c r="B236" s="269"/>
      <c r="C236" s="269"/>
      <c r="D236" s="269"/>
      <c r="E236" s="269"/>
      <c r="F236" s="269"/>
      <c r="G236" s="269"/>
      <c r="H236" s="269"/>
      <c r="I236" s="269"/>
      <c r="J236" s="269"/>
      <c r="K236" s="269"/>
      <c r="L236" s="269"/>
      <c r="M236" s="269"/>
      <c r="N236" s="269"/>
      <c r="O236" s="269"/>
      <c r="P236" s="269"/>
      <c r="Q236" s="269"/>
      <c r="R236" s="269"/>
      <c r="S236" s="269"/>
      <c r="T236" s="269"/>
      <c r="U236" s="269"/>
      <c r="V236" s="269"/>
      <c r="W236" s="269"/>
      <c r="X236" s="269"/>
      <c r="Y236" s="269"/>
      <c r="Z236" s="269"/>
    </row>
    <row r="237">
      <c r="A237" s="269" t="str">
        <f>IFERROR(__xludf.DUMMYFUNCTION("""COMPUTED_VALUE"""),"")</f>
        <v/>
      </c>
      <c r="B237" s="269"/>
      <c r="C237" s="269"/>
      <c r="D237" s="269"/>
      <c r="E237" s="269"/>
      <c r="F237" s="269"/>
      <c r="G237" s="269"/>
      <c r="H237" s="269"/>
      <c r="I237" s="269"/>
      <c r="J237" s="269"/>
      <c r="K237" s="269"/>
      <c r="L237" s="269"/>
      <c r="M237" s="269"/>
      <c r="N237" s="269"/>
      <c r="O237" s="269"/>
      <c r="P237" s="269"/>
      <c r="Q237" s="269"/>
      <c r="R237" s="269"/>
      <c r="S237" s="269"/>
      <c r="T237" s="269"/>
      <c r="U237" s="269"/>
      <c r="V237" s="269"/>
      <c r="W237" s="269"/>
      <c r="X237" s="269"/>
      <c r="Y237" s="269"/>
      <c r="Z237" s="269"/>
    </row>
    <row r="238">
      <c r="A238" s="269" t="str">
        <f>IFERROR(__xludf.DUMMYFUNCTION("""COMPUTED_VALUE"""),"")</f>
        <v/>
      </c>
      <c r="B238" s="269"/>
      <c r="C238" s="269"/>
      <c r="D238" s="269"/>
      <c r="E238" s="269"/>
      <c r="F238" s="269"/>
      <c r="G238" s="269"/>
      <c r="H238" s="269"/>
      <c r="I238" s="269"/>
      <c r="J238" s="269"/>
      <c r="K238" s="269"/>
      <c r="L238" s="269"/>
      <c r="M238" s="269"/>
      <c r="N238" s="269"/>
      <c r="O238" s="269"/>
      <c r="P238" s="269"/>
      <c r="Q238" s="269"/>
      <c r="R238" s="269"/>
      <c r="S238" s="269"/>
      <c r="T238" s="269"/>
      <c r="U238" s="269"/>
      <c r="V238" s="269"/>
      <c r="W238" s="269"/>
      <c r="X238" s="269"/>
      <c r="Y238" s="269"/>
      <c r="Z238" s="269"/>
    </row>
    <row r="239">
      <c r="A239" s="269" t="str">
        <f>IFERROR(__xludf.DUMMYFUNCTION("""COMPUTED_VALUE"""),"")</f>
        <v/>
      </c>
      <c r="B239" s="269"/>
      <c r="C239" s="269"/>
      <c r="D239" s="269"/>
      <c r="E239" s="269"/>
      <c r="F239" s="269"/>
      <c r="G239" s="269"/>
      <c r="H239" s="269"/>
      <c r="I239" s="269"/>
      <c r="J239" s="269"/>
      <c r="K239" s="269"/>
      <c r="L239" s="269"/>
      <c r="M239" s="269"/>
      <c r="N239" s="269"/>
      <c r="O239" s="269"/>
      <c r="P239" s="269"/>
      <c r="Q239" s="269"/>
      <c r="R239" s="269"/>
      <c r="S239" s="269"/>
      <c r="T239" s="269"/>
      <c r="U239" s="269"/>
      <c r="V239" s="269"/>
      <c r="W239" s="269"/>
      <c r="X239" s="269"/>
      <c r="Y239" s="269"/>
      <c r="Z239" s="269"/>
    </row>
    <row r="240">
      <c r="A240" s="269" t="str">
        <f>IFERROR(__xludf.DUMMYFUNCTION("""COMPUTED_VALUE"""),"")</f>
        <v/>
      </c>
      <c r="B240" s="269"/>
      <c r="C240" s="269"/>
      <c r="D240" s="269"/>
      <c r="E240" s="269"/>
      <c r="F240" s="269"/>
      <c r="G240" s="269"/>
      <c r="H240" s="269"/>
      <c r="I240" s="269"/>
      <c r="J240" s="269"/>
      <c r="K240" s="269"/>
      <c r="L240" s="269"/>
      <c r="M240" s="269"/>
      <c r="N240" s="269"/>
      <c r="O240" s="269"/>
      <c r="P240" s="269"/>
      <c r="Q240" s="269"/>
      <c r="R240" s="269"/>
      <c r="S240" s="269"/>
      <c r="T240" s="269"/>
      <c r="U240" s="269"/>
      <c r="V240" s="269"/>
      <c r="W240" s="269"/>
      <c r="X240" s="269"/>
      <c r="Y240" s="269"/>
      <c r="Z240" s="269"/>
    </row>
    <row r="241">
      <c r="A241" s="269" t="str">
        <f>IFERROR(__xludf.DUMMYFUNCTION("""COMPUTED_VALUE"""),"")</f>
        <v/>
      </c>
      <c r="B241" s="269"/>
      <c r="C241" s="269"/>
      <c r="D241" s="269"/>
      <c r="E241" s="269"/>
      <c r="F241" s="269"/>
      <c r="G241" s="269"/>
      <c r="H241" s="269"/>
      <c r="I241" s="269"/>
      <c r="J241" s="269"/>
      <c r="K241" s="269"/>
      <c r="L241" s="269"/>
      <c r="M241" s="269"/>
      <c r="N241" s="269"/>
      <c r="O241" s="269"/>
      <c r="P241" s="269"/>
      <c r="Q241" s="269"/>
      <c r="R241" s="269"/>
      <c r="S241" s="269"/>
      <c r="T241" s="269"/>
      <c r="U241" s="269"/>
      <c r="V241" s="269"/>
      <c r="W241" s="269"/>
      <c r="X241" s="269"/>
      <c r="Y241" s="269"/>
      <c r="Z241" s="269"/>
    </row>
    <row r="242">
      <c r="A242" s="269" t="str">
        <f>IFERROR(__xludf.DUMMYFUNCTION("""COMPUTED_VALUE"""),"")</f>
        <v/>
      </c>
      <c r="B242" s="269"/>
      <c r="C242" s="269"/>
      <c r="D242" s="269"/>
      <c r="E242" s="269"/>
      <c r="F242" s="269"/>
      <c r="G242" s="269"/>
      <c r="H242" s="269"/>
      <c r="I242" s="269"/>
      <c r="J242" s="269"/>
      <c r="K242" s="269"/>
      <c r="L242" s="269"/>
      <c r="M242" s="269"/>
      <c r="N242" s="269"/>
      <c r="O242" s="269"/>
      <c r="P242" s="269"/>
      <c r="Q242" s="269"/>
      <c r="R242" s="269"/>
      <c r="S242" s="269"/>
      <c r="T242" s="269"/>
      <c r="U242" s="269"/>
      <c r="V242" s="269"/>
      <c r="W242" s="269"/>
      <c r="X242" s="269"/>
      <c r="Y242" s="269"/>
      <c r="Z242" s="269"/>
    </row>
    <row r="243">
      <c r="A243" s="269" t="str">
        <f>IFERROR(__xludf.DUMMYFUNCTION("""COMPUTED_VALUE"""),"")</f>
        <v/>
      </c>
      <c r="B243" s="269"/>
      <c r="C243" s="269"/>
      <c r="D243" s="269"/>
      <c r="E243" s="269"/>
      <c r="F243" s="269"/>
      <c r="G243" s="269"/>
      <c r="H243" s="269"/>
      <c r="I243" s="269"/>
      <c r="J243" s="269"/>
      <c r="K243" s="269"/>
      <c r="L243" s="269"/>
      <c r="M243" s="269"/>
      <c r="N243" s="269"/>
      <c r="O243" s="269"/>
      <c r="P243" s="269"/>
      <c r="Q243" s="269"/>
      <c r="R243" s="269"/>
      <c r="S243" s="269"/>
      <c r="T243" s="269"/>
      <c r="U243" s="269"/>
      <c r="V243" s="269"/>
      <c r="W243" s="269"/>
      <c r="X243" s="269"/>
      <c r="Y243" s="269"/>
      <c r="Z243" s="269"/>
    </row>
    <row r="244">
      <c r="A244" s="269" t="str">
        <f>IFERROR(__xludf.DUMMYFUNCTION("""COMPUTED_VALUE"""),"")</f>
        <v/>
      </c>
      <c r="B244" s="269"/>
      <c r="C244" s="269"/>
      <c r="D244" s="269"/>
      <c r="E244" s="269"/>
      <c r="F244" s="269"/>
      <c r="G244" s="269"/>
      <c r="H244" s="269"/>
      <c r="I244" s="269"/>
      <c r="J244" s="269"/>
      <c r="K244" s="269"/>
      <c r="L244" s="269"/>
      <c r="M244" s="269"/>
      <c r="N244" s="269"/>
      <c r="O244" s="269"/>
      <c r="P244" s="269"/>
      <c r="Q244" s="269"/>
      <c r="R244" s="269"/>
      <c r="S244" s="269"/>
      <c r="T244" s="269"/>
      <c r="U244" s="269"/>
      <c r="V244" s="269"/>
      <c r="W244" s="269"/>
      <c r="X244" s="269"/>
      <c r="Y244" s="269"/>
      <c r="Z244" s="269"/>
    </row>
    <row r="245">
      <c r="A245" s="269" t="str">
        <f>IFERROR(__xludf.DUMMYFUNCTION("""COMPUTED_VALUE"""),"")</f>
        <v/>
      </c>
      <c r="B245" s="269"/>
      <c r="C245" s="269"/>
      <c r="D245" s="269"/>
      <c r="E245" s="269"/>
      <c r="F245" s="269"/>
      <c r="G245" s="269"/>
      <c r="H245" s="269"/>
      <c r="I245" s="269"/>
      <c r="J245" s="269"/>
      <c r="K245" s="269"/>
      <c r="L245" s="269"/>
      <c r="M245" s="269"/>
      <c r="N245" s="269"/>
      <c r="O245" s="269"/>
      <c r="P245" s="269"/>
      <c r="Q245" s="269"/>
      <c r="R245" s="269"/>
      <c r="S245" s="269"/>
      <c r="T245" s="269"/>
      <c r="U245" s="269"/>
      <c r="V245" s="269"/>
      <c r="W245" s="269"/>
      <c r="X245" s="269"/>
      <c r="Y245" s="269"/>
      <c r="Z245" s="269"/>
    </row>
    <row r="246">
      <c r="A246" s="269" t="str">
        <f>IFERROR(__xludf.DUMMYFUNCTION("""COMPUTED_VALUE"""),"")</f>
        <v/>
      </c>
      <c r="B246" s="269"/>
      <c r="C246" s="269"/>
      <c r="D246" s="269"/>
      <c r="E246" s="269"/>
      <c r="F246" s="269"/>
      <c r="G246" s="269"/>
      <c r="H246" s="269"/>
      <c r="I246" s="269"/>
      <c r="J246" s="269"/>
      <c r="K246" s="269"/>
      <c r="L246" s="269"/>
      <c r="M246" s="269"/>
      <c r="N246" s="269"/>
      <c r="O246" s="269"/>
      <c r="P246" s="269"/>
      <c r="Q246" s="269"/>
      <c r="R246" s="269"/>
      <c r="S246" s="269"/>
      <c r="T246" s="269"/>
      <c r="U246" s="269"/>
      <c r="V246" s="269"/>
      <c r="W246" s="269"/>
      <c r="X246" s="269"/>
      <c r="Y246" s="269"/>
      <c r="Z246" s="269"/>
    </row>
    <row r="247">
      <c r="A247" s="269" t="str">
        <f>IFERROR(__xludf.DUMMYFUNCTION("""COMPUTED_VALUE"""),"")</f>
        <v/>
      </c>
      <c r="B247" s="269"/>
      <c r="C247" s="269"/>
      <c r="D247" s="269"/>
      <c r="E247" s="269"/>
      <c r="F247" s="269"/>
      <c r="G247" s="269"/>
      <c r="H247" s="269"/>
      <c r="I247" s="269"/>
      <c r="J247" s="269"/>
      <c r="K247" s="269"/>
      <c r="L247" s="269"/>
      <c r="M247" s="269"/>
      <c r="N247" s="269"/>
      <c r="O247" s="269"/>
      <c r="P247" s="269"/>
      <c r="Q247" s="269"/>
      <c r="R247" s="269"/>
      <c r="S247" s="269"/>
      <c r="T247" s="269"/>
      <c r="U247" s="269"/>
      <c r="V247" s="269"/>
      <c r="W247" s="269"/>
      <c r="X247" s="269"/>
      <c r="Y247" s="269"/>
      <c r="Z247" s="269"/>
    </row>
    <row r="248">
      <c r="A248" s="269" t="str">
        <f>IFERROR(__xludf.DUMMYFUNCTION("""COMPUTED_VALUE"""),"")</f>
        <v/>
      </c>
      <c r="B248" s="269"/>
      <c r="C248" s="269"/>
      <c r="D248" s="269"/>
      <c r="E248" s="269"/>
      <c r="F248" s="269"/>
      <c r="G248" s="269"/>
      <c r="H248" s="269"/>
      <c r="I248" s="269"/>
      <c r="J248" s="269"/>
      <c r="K248" s="269"/>
      <c r="L248" s="269"/>
      <c r="M248" s="269"/>
      <c r="N248" s="269"/>
      <c r="O248" s="269"/>
      <c r="P248" s="269"/>
      <c r="Q248" s="269"/>
      <c r="R248" s="269"/>
      <c r="S248" s="269"/>
      <c r="T248" s="269"/>
      <c r="U248" s="269"/>
      <c r="V248" s="269"/>
      <c r="W248" s="269"/>
      <c r="X248" s="269"/>
      <c r="Y248" s="269"/>
      <c r="Z248" s="269"/>
    </row>
    <row r="249">
      <c r="A249" s="269" t="str">
        <f>IFERROR(__xludf.DUMMYFUNCTION("""COMPUTED_VALUE"""),"")</f>
        <v/>
      </c>
      <c r="B249" s="269"/>
      <c r="C249" s="269"/>
      <c r="D249" s="269"/>
      <c r="E249" s="269"/>
      <c r="F249" s="269"/>
      <c r="G249" s="269"/>
      <c r="H249" s="269"/>
      <c r="I249" s="269"/>
      <c r="J249" s="269"/>
      <c r="K249" s="269"/>
      <c r="L249" s="269"/>
      <c r="M249" s="269"/>
      <c r="N249" s="269"/>
      <c r="O249" s="269"/>
      <c r="P249" s="269"/>
      <c r="Q249" s="269"/>
      <c r="R249" s="269"/>
      <c r="S249" s="269"/>
      <c r="T249" s="269"/>
      <c r="U249" s="269"/>
      <c r="V249" s="269"/>
      <c r="W249" s="269"/>
      <c r="X249" s="269"/>
      <c r="Y249" s="269"/>
      <c r="Z249" s="269"/>
    </row>
    <row r="250">
      <c r="A250" s="269" t="str">
        <f>IFERROR(__xludf.DUMMYFUNCTION("""COMPUTED_VALUE"""),"")</f>
        <v/>
      </c>
      <c r="B250" s="269"/>
      <c r="C250" s="269"/>
      <c r="D250" s="269"/>
      <c r="E250" s="269"/>
      <c r="F250" s="269"/>
      <c r="G250" s="269"/>
      <c r="H250" s="269"/>
      <c r="I250" s="269"/>
      <c r="J250" s="269"/>
      <c r="K250" s="269"/>
      <c r="L250" s="269"/>
      <c r="M250" s="269"/>
      <c r="N250" s="269"/>
      <c r="O250" s="269"/>
      <c r="P250" s="269"/>
      <c r="Q250" s="269"/>
      <c r="R250" s="269"/>
      <c r="S250" s="269"/>
      <c r="T250" s="269"/>
      <c r="U250" s="269"/>
      <c r="V250" s="269"/>
      <c r="W250" s="269"/>
      <c r="X250" s="269"/>
      <c r="Y250" s="269"/>
      <c r="Z250" s="269"/>
    </row>
    <row r="251">
      <c r="A251" s="269" t="str">
        <f>IFERROR(__xludf.DUMMYFUNCTION("""COMPUTED_VALUE"""),"")</f>
        <v/>
      </c>
      <c r="B251" s="269"/>
      <c r="C251" s="269"/>
      <c r="D251" s="269"/>
      <c r="E251" s="269"/>
      <c r="F251" s="269"/>
      <c r="G251" s="269"/>
      <c r="H251" s="269"/>
      <c r="I251" s="269"/>
      <c r="J251" s="269"/>
      <c r="K251" s="269"/>
      <c r="L251" s="269"/>
      <c r="M251" s="269"/>
      <c r="N251" s="269"/>
      <c r="O251" s="269"/>
      <c r="P251" s="269"/>
      <c r="Q251" s="269"/>
      <c r="R251" s="269"/>
      <c r="S251" s="269"/>
      <c r="T251" s="269"/>
      <c r="U251" s="269"/>
      <c r="V251" s="269"/>
      <c r="W251" s="269"/>
      <c r="X251" s="269"/>
      <c r="Y251" s="269"/>
      <c r="Z251" s="269"/>
    </row>
    <row r="252">
      <c r="A252" s="269" t="str">
        <f>IFERROR(__xludf.DUMMYFUNCTION("""COMPUTED_VALUE"""),"")</f>
        <v/>
      </c>
      <c r="B252" s="269"/>
      <c r="C252" s="269"/>
      <c r="D252" s="269"/>
      <c r="E252" s="269"/>
      <c r="F252" s="269"/>
      <c r="G252" s="269"/>
      <c r="H252" s="269"/>
      <c r="I252" s="269"/>
      <c r="J252" s="269"/>
      <c r="K252" s="269"/>
      <c r="L252" s="269"/>
      <c r="M252" s="269"/>
      <c r="N252" s="269"/>
      <c r="O252" s="269"/>
      <c r="P252" s="269"/>
      <c r="Q252" s="269"/>
      <c r="R252" s="269"/>
      <c r="S252" s="269"/>
      <c r="T252" s="269"/>
      <c r="U252" s="269"/>
      <c r="V252" s="269"/>
      <c r="W252" s="269"/>
      <c r="X252" s="269"/>
      <c r="Y252" s="269"/>
      <c r="Z252" s="269"/>
    </row>
    <row r="253">
      <c r="A253" s="269" t="str">
        <f>IFERROR(__xludf.DUMMYFUNCTION("""COMPUTED_VALUE"""),"")</f>
        <v/>
      </c>
      <c r="B253" s="269"/>
      <c r="C253" s="269"/>
      <c r="D253" s="269"/>
      <c r="E253" s="269"/>
      <c r="F253" s="269"/>
      <c r="G253" s="269"/>
      <c r="H253" s="269"/>
      <c r="I253" s="269"/>
      <c r="J253" s="269"/>
      <c r="K253" s="269"/>
      <c r="L253" s="269"/>
      <c r="M253" s="269"/>
      <c r="N253" s="269"/>
      <c r="O253" s="269"/>
      <c r="P253" s="269"/>
      <c r="Q253" s="269"/>
      <c r="R253" s="269"/>
      <c r="S253" s="269"/>
      <c r="T253" s="269"/>
      <c r="U253" s="269"/>
      <c r="V253" s="269"/>
      <c r="W253" s="269"/>
      <c r="X253" s="269"/>
      <c r="Y253" s="269"/>
      <c r="Z253" s="269"/>
    </row>
    <row r="254">
      <c r="A254" s="269" t="str">
        <f>IFERROR(__xludf.DUMMYFUNCTION("""COMPUTED_VALUE"""),"")</f>
        <v/>
      </c>
      <c r="B254" s="269"/>
      <c r="C254" s="269"/>
      <c r="D254" s="269"/>
      <c r="E254" s="269"/>
      <c r="F254" s="269"/>
      <c r="G254" s="269"/>
      <c r="H254" s="269"/>
      <c r="I254" s="269"/>
      <c r="J254" s="269"/>
      <c r="K254" s="269"/>
      <c r="L254" s="269"/>
      <c r="M254" s="269"/>
      <c r="N254" s="269"/>
      <c r="O254" s="269"/>
      <c r="P254" s="269"/>
      <c r="Q254" s="269"/>
      <c r="R254" s="269"/>
      <c r="S254" s="269"/>
      <c r="T254" s="269"/>
      <c r="U254" s="269"/>
      <c r="V254" s="269"/>
      <c r="W254" s="269"/>
      <c r="X254" s="269"/>
      <c r="Y254" s="269"/>
      <c r="Z254" s="269"/>
    </row>
    <row r="255">
      <c r="A255" s="269" t="str">
        <f>IFERROR(__xludf.DUMMYFUNCTION("""COMPUTED_VALUE"""),"")</f>
        <v/>
      </c>
      <c r="B255" s="269"/>
      <c r="C255" s="269"/>
      <c r="D255" s="269"/>
      <c r="E255" s="269"/>
      <c r="F255" s="269"/>
      <c r="G255" s="269"/>
      <c r="H255" s="269"/>
      <c r="I255" s="269"/>
      <c r="J255" s="269"/>
      <c r="K255" s="269"/>
      <c r="L255" s="269"/>
      <c r="M255" s="269"/>
      <c r="N255" s="269"/>
      <c r="O255" s="269"/>
      <c r="P255" s="269"/>
      <c r="Q255" s="269"/>
      <c r="R255" s="269"/>
      <c r="S255" s="269"/>
      <c r="T255" s="269"/>
      <c r="U255" s="269"/>
      <c r="V255" s="269"/>
      <c r="W255" s="269"/>
      <c r="X255" s="269"/>
      <c r="Y255" s="269"/>
      <c r="Z255" s="269"/>
    </row>
    <row r="256">
      <c r="A256" s="269" t="str">
        <f>IFERROR(__xludf.DUMMYFUNCTION("""COMPUTED_VALUE"""),"")</f>
        <v/>
      </c>
      <c r="B256" s="269"/>
      <c r="C256" s="269"/>
      <c r="D256" s="269"/>
      <c r="E256" s="269"/>
      <c r="F256" s="269"/>
      <c r="G256" s="269"/>
      <c r="H256" s="269"/>
      <c r="I256" s="269"/>
      <c r="J256" s="269"/>
      <c r="K256" s="269"/>
      <c r="L256" s="269"/>
      <c r="M256" s="269"/>
      <c r="N256" s="269"/>
      <c r="O256" s="269"/>
      <c r="P256" s="269"/>
      <c r="Q256" s="269"/>
      <c r="R256" s="269"/>
      <c r="S256" s="269"/>
      <c r="T256" s="269"/>
      <c r="U256" s="269"/>
      <c r="V256" s="269"/>
      <c r="W256" s="269"/>
      <c r="X256" s="269"/>
      <c r="Y256" s="269"/>
      <c r="Z256" s="269"/>
    </row>
    <row r="257">
      <c r="A257" s="269" t="str">
        <f>IFERROR(__xludf.DUMMYFUNCTION("""COMPUTED_VALUE"""),"")</f>
        <v/>
      </c>
      <c r="B257" s="269"/>
      <c r="C257" s="269"/>
      <c r="D257" s="269"/>
      <c r="E257" s="269"/>
      <c r="F257" s="269"/>
      <c r="G257" s="269"/>
      <c r="H257" s="269"/>
      <c r="I257" s="269"/>
      <c r="J257" s="269"/>
      <c r="K257" s="269"/>
      <c r="L257" s="269"/>
      <c r="M257" s="269"/>
      <c r="N257" s="269"/>
      <c r="O257" s="269"/>
      <c r="P257" s="269"/>
      <c r="Q257" s="269"/>
      <c r="R257" s="269"/>
      <c r="S257" s="269"/>
      <c r="T257" s="269"/>
      <c r="U257" s="269"/>
      <c r="V257" s="269"/>
      <c r="W257" s="269"/>
      <c r="X257" s="269"/>
      <c r="Y257" s="269"/>
      <c r="Z257" s="269"/>
    </row>
    <row r="258">
      <c r="A258" s="269" t="str">
        <f>IFERROR(__xludf.DUMMYFUNCTION("""COMPUTED_VALUE"""),"")</f>
        <v/>
      </c>
      <c r="B258" s="269"/>
      <c r="C258" s="269"/>
      <c r="D258" s="269"/>
      <c r="E258" s="269"/>
      <c r="F258" s="269"/>
      <c r="G258" s="269"/>
      <c r="H258" s="269"/>
      <c r="I258" s="269"/>
      <c r="J258" s="269"/>
      <c r="K258" s="269"/>
      <c r="L258" s="269"/>
      <c r="M258" s="269"/>
      <c r="N258" s="269"/>
      <c r="O258" s="269"/>
      <c r="P258" s="269"/>
      <c r="Q258" s="269"/>
      <c r="R258" s="269"/>
      <c r="S258" s="269"/>
      <c r="T258" s="269"/>
      <c r="U258" s="269"/>
      <c r="V258" s="269"/>
      <c r="W258" s="269"/>
      <c r="X258" s="269"/>
      <c r="Y258" s="269"/>
      <c r="Z258" s="269"/>
    </row>
    <row r="259">
      <c r="A259" s="269" t="str">
        <f>IFERROR(__xludf.DUMMYFUNCTION("""COMPUTED_VALUE"""),"")</f>
        <v/>
      </c>
      <c r="B259" s="269"/>
      <c r="C259" s="269"/>
      <c r="D259" s="269"/>
      <c r="E259" s="269"/>
      <c r="F259" s="269"/>
      <c r="G259" s="269"/>
      <c r="H259" s="269"/>
      <c r="I259" s="269"/>
      <c r="J259" s="269"/>
      <c r="K259" s="269"/>
      <c r="L259" s="269"/>
      <c r="M259" s="269"/>
      <c r="N259" s="269"/>
      <c r="O259" s="269"/>
      <c r="P259" s="269"/>
      <c r="Q259" s="269"/>
      <c r="R259" s="269"/>
      <c r="S259" s="269"/>
      <c r="T259" s="269"/>
      <c r="U259" s="269"/>
      <c r="V259" s="269"/>
      <c r="W259" s="269"/>
      <c r="X259" s="269"/>
      <c r="Y259" s="269"/>
      <c r="Z259" s="269"/>
    </row>
    <row r="260">
      <c r="A260" s="269" t="str">
        <f>IFERROR(__xludf.DUMMYFUNCTION("""COMPUTED_VALUE"""),"")</f>
        <v/>
      </c>
      <c r="B260" s="269"/>
      <c r="C260" s="269"/>
      <c r="D260" s="269"/>
      <c r="E260" s="269"/>
      <c r="F260" s="269"/>
      <c r="G260" s="269"/>
      <c r="H260" s="269"/>
      <c r="I260" s="269"/>
      <c r="J260" s="269"/>
      <c r="K260" s="269"/>
      <c r="L260" s="269"/>
      <c r="M260" s="269"/>
      <c r="N260" s="269"/>
      <c r="O260" s="269"/>
      <c r="P260" s="269"/>
      <c r="Q260" s="269"/>
      <c r="R260" s="269"/>
      <c r="S260" s="269"/>
      <c r="T260" s="269"/>
      <c r="U260" s="269"/>
      <c r="V260" s="269"/>
      <c r="W260" s="269"/>
      <c r="X260" s="269"/>
      <c r="Y260" s="269"/>
      <c r="Z260" s="269"/>
    </row>
    <row r="261">
      <c r="A261" s="269" t="str">
        <f>IFERROR(__xludf.DUMMYFUNCTION("""COMPUTED_VALUE"""),"")</f>
        <v/>
      </c>
      <c r="B261" s="269"/>
      <c r="C261" s="269"/>
      <c r="D261" s="269"/>
      <c r="E261" s="269"/>
      <c r="F261" s="269"/>
      <c r="G261" s="269"/>
      <c r="H261" s="269"/>
      <c r="I261" s="269"/>
      <c r="J261" s="269"/>
      <c r="K261" s="269"/>
      <c r="L261" s="269"/>
      <c r="M261" s="269"/>
      <c r="N261" s="269"/>
      <c r="O261" s="269"/>
      <c r="P261" s="269"/>
      <c r="Q261" s="269"/>
      <c r="R261" s="269"/>
      <c r="S261" s="269"/>
      <c r="T261" s="269"/>
      <c r="U261" s="269"/>
      <c r="V261" s="269"/>
      <c r="W261" s="269"/>
      <c r="X261" s="269"/>
      <c r="Y261" s="269"/>
      <c r="Z261" s="269"/>
    </row>
    <row r="262">
      <c r="A262" s="269" t="str">
        <f>IFERROR(__xludf.DUMMYFUNCTION("""COMPUTED_VALUE"""),"")</f>
        <v/>
      </c>
      <c r="B262" s="269"/>
      <c r="C262" s="269"/>
      <c r="D262" s="269"/>
      <c r="E262" s="269"/>
      <c r="F262" s="269"/>
      <c r="G262" s="269"/>
      <c r="H262" s="269"/>
      <c r="I262" s="269"/>
      <c r="J262" s="269"/>
      <c r="K262" s="269"/>
      <c r="L262" s="269"/>
      <c r="M262" s="269"/>
      <c r="N262" s="269"/>
      <c r="O262" s="269"/>
      <c r="P262" s="269"/>
      <c r="Q262" s="269"/>
      <c r="R262" s="269"/>
      <c r="S262" s="269"/>
      <c r="T262" s="269"/>
      <c r="U262" s="269"/>
      <c r="V262" s="269"/>
      <c r="W262" s="269"/>
      <c r="X262" s="269"/>
      <c r="Y262" s="269"/>
      <c r="Z262" s="269"/>
    </row>
    <row r="263">
      <c r="A263" s="269" t="str">
        <f>IFERROR(__xludf.DUMMYFUNCTION("""COMPUTED_VALUE"""),"")</f>
        <v/>
      </c>
      <c r="B263" s="269"/>
      <c r="C263" s="269"/>
      <c r="D263" s="269"/>
      <c r="E263" s="269"/>
      <c r="F263" s="269"/>
      <c r="G263" s="269"/>
      <c r="H263" s="269"/>
      <c r="I263" s="269"/>
      <c r="J263" s="269"/>
      <c r="K263" s="269"/>
      <c r="L263" s="269"/>
      <c r="M263" s="269"/>
      <c r="N263" s="269"/>
      <c r="O263" s="269"/>
      <c r="P263" s="269"/>
      <c r="Q263" s="269"/>
      <c r="R263" s="269"/>
      <c r="S263" s="269"/>
      <c r="T263" s="269"/>
      <c r="U263" s="269"/>
      <c r="V263" s="269"/>
      <c r="W263" s="269"/>
      <c r="X263" s="269"/>
      <c r="Y263" s="269"/>
      <c r="Z263" s="269"/>
    </row>
    <row r="264">
      <c r="A264" s="269" t="str">
        <f>IFERROR(__xludf.DUMMYFUNCTION("""COMPUTED_VALUE"""),"")</f>
        <v/>
      </c>
      <c r="B264" s="269"/>
      <c r="C264" s="269"/>
      <c r="D264" s="269"/>
      <c r="E264" s="269"/>
      <c r="F264" s="269"/>
      <c r="G264" s="269"/>
      <c r="H264" s="269"/>
      <c r="I264" s="269"/>
      <c r="J264" s="269"/>
      <c r="K264" s="269"/>
      <c r="L264" s="269"/>
      <c r="M264" s="269"/>
      <c r="N264" s="269"/>
      <c r="O264" s="269"/>
      <c r="P264" s="269"/>
      <c r="Q264" s="269"/>
      <c r="R264" s="269"/>
      <c r="S264" s="269"/>
      <c r="T264" s="269"/>
      <c r="U264" s="269"/>
      <c r="V264" s="269"/>
      <c r="W264" s="269"/>
      <c r="X264" s="269"/>
      <c r="Y264" s="269"/>
      <c r="Z264" s="269"/>
    </row>
    <row r="265">
      <c r="A265" s="269" t="str">
        <f>IFERROR(__xludf.DUMMYFUNCTION("""COMPUTED_VALUE"""),"")</f>
        <v/>
      </c>
      <c r="B265" s="269"/>
      <c r="C265" s="269"/>
      <c r="D265" s="269"/>
      <c r="E265" s="269"/>
      <c r="F265" s="269"/>
      <c r="G265" s="269"/>
      <c r="H265" s="269"/>
      <c r="I265" s="269"/>
      <c r="J265" s="269"/>
      <c r="K265" s="269"/>
      <c r="L265" s="269"/>
      <c r="M265" s="269"/>
      <c r="N265" s="269"/>
      <c r="O265" s="269"/>
      <c r="P265" s="269"/>
      <c r="Q265" s="269"/>
      <c r="R265" s="269"/>
      <c r="S265" s="269"/>
      <c r="T265" s="269"/>
      <c r="U265" s="269"/>
      <c r="V265" s="269"/>
      <c r="W265" s="269"/>
      <c r="X265" s="269"/>
      <c r="Y265" s="269"/>
      <c r="Z265" s="269"/>
    </row>
    <row r="266">
      <c r="A266" s="269" t="str">
        <f>IFERROR(__xludf.DUMMYFUNCTION("""COMPUTED_VALUE"""),"")</f>
        <v/>
      </c>
      <c r="B266" s="269"/>
      <c r="C266" s="269"/>
      <c r="D266" s="269"/>
      <c r="E266" s="269"/>
      <c r="F266" s="269"/>
      <c r="G266" s="269"/>
      <c r="H266" s="269"/>
      <c r="I266" s="269"/>
      <c r="J266" s="269"/>
      <c r="K266" s="269"/>
      <c r="L266" s="269"/>
      <c r="M266" s="269"/>
      <c r="N266" s="269"/>
      <c r="O266" s="269"/>
      <c r="P266" s="269"/>
      <c r="Q266" s="269"/>
      <c r="R266" s="269"/>
      <c r="S266" s="269"/>
      <c r="T266" s="269"/>
      <c r="U266" s="269"/>
      <c r="V266" s="269"/>
      <c r="W266" s="269"/>
      <c r="X266" s="269"/>
      <c r="Y266" s="269"/>
      <c r="Z266" s="269"/>
    </row>
    <row r="267">
      <c r="A267" s="269" t="str">
        <f>IFERROR(__xludf.DUMMYFUNCTION("""COMPUTED_VALUE"""),"")</f>
        <v/>
      </c>
      <c r="B267" s="269"/>
      <c r="C267" s="269"/>
      <c r="D267" s="269"/>
      <c r="E267" s="269"/>
      <c r="F267" s="269"/>
      <c r="G267" s="269"/>
      <c r="H267" s="269"/>
      <c r="I267" s="269"/>
      <c r="J267" s="269"/>
      <c r="K267" s="269"/>
      <c r="L267" s="269"/>
      <c r="M267" s="269"/>
      <c r="N267" s="269"/>
      <c r="O267" s="269"/>
      <c r="P267" s="269"/>
      <c r="Q267" s="269"/>
      <c r="R267" s="269"/>
      <c r="S267" s="269"/>
      <c r="T267" s="269"/>
      <c r="U267" s="269"/>
      <c r="V267" s="269"/>
      <c r="W267" s="269"/>
      <c r="X267" s="269"/>
      <c r="Y267" s="269"/>
      <c r="Z267" s="269"/>
    </row>
    <row r="268">
      <c r="A268" s="269" t="str">
        <f>IFERROR(__xludf.DUMMYFUNCTION("""COMPUTED_VALUE"""),"")</f>
        <v/>
      </c>
      <c r="B268" s="269"/>
      <c r="C268" s="269"/>
      <c r="D268" s="269"/>
      <c r="E268" s="269"/>
      <c r="F268" s="269"/>
      <c r="G268" s="269"/>
      <c r="H268" s="269"/>
      <c r="I268" s="269"/>
      <c r="J268" s="269"/>
      <c r="K268" s="269"/>
      <c r="L268" s="269"/>
      <c r="M268" s="269"/>
      <c r="N268" s="269"/>
      <c r="O268" s="269"/>
      <c r="P268" s="269"/>
      <c r="Q268" s="269"/>
      <c r="R268" s="269"/>
      <c r="S268" s="269"/>
      <c r="T268" s="269"/>
      <c r="U268" s="269"/>
      <c r="V268" s="269"/>
      <c r="W268" s="269"/>
      <c r="X268" s="269"/>
      <c r="Y268" s="269"/>
      <c r="Z268" s="269"/>
    </row>
    <row r="269">
      <c r="A269" s="269" t="str">
        <f>IFERROR(__xludf.DUMMYFUNCTION("""COMPUTED_VALUE"""),"")</f>
        <v/>
      </c>
      <c r="B269" s="269"/>
      <c r="C269" s="269"/>
      <c r="D269" s="269"/>
      <c r="E269" s="269"/>
      <c r="F269" s="269"/>
      <c r="G269" s="269"/>
      <c r="H269" s="269"/>
      <c r="I269" s="269"/>
      <c r="J269" s="269"/>
      <c r="K269" s="269"/>
      <c r="L269" s="269"/>
      <c r="M269" s="269"/>
      <c r="N269" s="269"/>
      <c r="O269" s="269"/>
      <c r="P269" s="269"/>
      <c r="Q269" s="269"/>
      <c r="R269" s="269"/>
      <c r="S269" s="269"/>
      <c r="T269" s="269"/>
      <c r="U269" s="269"/>
      <c r="V269" s="269"/>
      <c r="W269" s="269"/>
      <c r="X269" s="269"/>
      <c r="Y269" s="269"/>
      <c r="Z269" s="269"/>
    </row>
    <row r="270">
      <c r="A270" s="269" t="str">
        <f>IFERROR(__xludf.DUMMYFUNCTION("""COMPUTED_VALUE"""),"")</f>
        <v/>
      </c>
      <c r="B270" s="269"/>
      <c r="C270" s="269"/>
      <c r="D270" s="269"/>
      <c r="E270" s="269"/>
      <c r="F270" s="269"/>
      <c r="G270" s="269"/>
      <c r="H270" s="269"/>
      <c r="I270" s="269"/>
      <c r="J270" s="269"/>
      <c r="K270" s="269"/>
      <c r="L270" s="269"/>
      <c r="M270" s="269"/>
      <c r="N270" s="269"/>
      <c r="O270" s="269"/>
      <c r="P270" s="269"/>
      <c r="Q270" s="269"/>
      <c r="R270" s="269"/>
      <c r="S270" s="269"/>
      <c r="T270" s="269"/>
      <c r="U270" s="269"/>
      <c r="V270" s="269"/>
      <c r="W270" s="269"/>
      <c r="X270" s="269"/>
      <c r="Y270" s="269"/>
      <c r="Z270" s="269"/>
    </row>
    <row r="271">
      <c r="A271" s="269" t="str">
        <f>IFERROR(__xludf.DUMMYFUNCTION("""COMPUTED_VALUE"""),"")</f>
        <v/>
      </c>
      <c r="B271" s="269"/>
      <c r="C271" s="269"/>
      <c r="D271" s="269"/>
      <c r="E271" s="269"/>
      <c r="F271" s="269"/>
      <c r="G271" s="269"/>
      <c r="H271" s="269"/>
      <c r="I271" s="269"/>
      <c r="J271" s="269"/>
      <c r="K271" s="269"/>
      <c r="L271" s="269"/>
      <c r="M271" s="269"/>
      <c r="N271" s="269"/>
      <c r="O271" s="269"/>
      <c r="P271" s="269"/>
      <c r="Q271" s="269"/>
      <c r="R271" s="269"/>
      <c r="S271" s="269"/>
      <c r="T271" s="269"/>
      <c r="U271" s="269"/>
      <c r="V271" s="269"/>
      <c r="W271" s="269"/>
      <c r="X271" s="269"/>
      <c r="Y271" s="269"/>
      <c r="Z271" s="269"/>
    </row>
    <row r="272">
      <c r="A272" s="269" t="str">
        <f>IFERROR(__xludf.DUMMYFUNCTION("""COMPUTED_VALUE"""),"")</f>
        <v/>
      </c>
      <c r="B272" s="269"/>
      <c r="C272" s="269"/>
      <c r="D272" s="269"/>
      <c r="E272" s="269"/>
      <c r="F272" s="269"/>
      <c r="G272" s="269"/>
      <c r="H272" s="269"/>
      <c r="I272" s="269"/>
      <c r="J272" s="269"/>
      <c r="K272" s="269"/>
      <c r="L272" s="269"/>
      <c r="M272" s="269"/>
      <c r="N272" s="269"/>
      <c r="O272" s="269"/>
      <c r="P272" s="269"/>
      <c r="Q272" s="269"/>
      <c r="R272" s="269"/>
      <c r="S272" s="269"/>
      <c r="T272" s="269"/>
      <c r="U272" s="269"/>
      <c r="V272" s="269"/>
      <c r="W272" s="269"/>
      <c r="X272" s="269"/>
      <c r="Y272" s="269"/>
      <c r="Z272" s="269"/>
    </row>
    <row r="273">
      <c r="A273" s="269" t="str">
        <f>IFERROR(__xludf.DUMMYFUNCTION("""COMPUTED_VALUE"""),"")</f>
        <v/>
      </c>
      <c r="B273" s="269"/>
      <c r="C273" s="269"/>
      <c r="D273" s="269"/>
      <c r="E273" s="269"/>
      <c r="F273" s="269"/>
      <c r="G273" s="269"/>
      <c r="H273" s="269"/>
      <c r="I273" s="269"/>
      <c r="J273" s="269"/>
      <c r="K273" s="269"/>
      <c r="L273" s="269"/>
      <c r="M273" s="269"/>
      <c r="N273" s="269"/>
      <c r="O273" s="269"/>
      <c r="P273" s="269"/>
      <c r="Q273" s="269"/>
      <c r="R273" s="269"/>
      <c r="S273" s="269"/>
      <c r="T273" s="269"/>
      <c r="U273" s="269"/>
      <c r="V273" s="269"/>
      <c r="W273" s="269"/>
      <c r="X273" s="269"/>
      <c r="Y273" s="269"/>
      <c r="Z273" s="269"/>
    </row>
    <row r="274">
      <c r="A274" s="269" t="str">
        <f>IFERROR(__xludf.DUMMYFUNCTION("""COMPUTED_VALUE"""),"")</f>
        <v/>
      </c>
      <c r="B274" s="269"/>
      <c r="C274" s="269"/>
      <c r="D274" s="269"/>
      <c r="E274" s="269"/>
      <c r="F274" s="269"/>
      <c r="G274" s="269"/>
      <c r="H274" s="269"/>
      <c r="I274" s="269"/>
      <c r="J274" s="269"/>
      <c r="K274" s="269"/>
      <c r="L274" s="269"/>
      <c r="M274" s="269"/>
      <c r="N274" s="269"/>
      <c r="O274" s="269"/>
      <c r="P274" s="269"/>
      <c r="Q274" s="269"/>
      <c r="R274" s="269"/>
      <c r="S274" s="269"/>
      <c r="T274" s="269"/>
      <c r="U274" s="269"/>
      <c r="V274" s="269"/>
      <c r="W274" s="269"/>
      <c r="X274" s="269"/>
      <c r="Y274" s="269"/>
      <c r="Z274" s="269"/>
    </row>
    <row r="275">
      <c r="A275" s="269" t="str">
        <f>IFERROR(__xludf.DUMMYFUNCTION("""COMPUTED_VALUE"""),"")</f>
        <v/>
      </c>
      <c r="B275" s="269"/>
      <c r="C275" s="269"/>
      <c r="D275" s="269"/>
      <c r="E275" s="269"/>
      <c r="F275" s="269"/>
      <c r="G275" s="269"/>
      <c r="H275" s="269"/>
      <c r="I275" s="269"/>
      <c r="J275" s="269"/>
      <c r="K275" s="269"/>
      <c r="L275" s="269"/>
      <c r="M275" s="269"/>
      <c r="N275" s="269"/>
      <c r="O275" s="269"/>
      <c r="P275" s="269"/>
      <c r="Q275" s="269"/>
      <c r="R275" s="269"/>
      <c r="S275" s="269"/>
      <c r="T275" s="269"/>
      <c r="U275" s="269"/>
      <c r="V275" s="269"/>
      <c r="W275" s="269"/>
      <c r="X275" s="269"/>
      <c r="Y275" s="269"/>
      <c r="Z275" s="269"/>
    </row>
    <row r="276">
      <c r="A276" s="269" t="str">
        <f>IFERROR(__xludf.DUMMYFUNCTION("""COMPUTED_VALUE"""),"")</f>
        <v/>
      </c>
      <c r="B276" s="269"/>
      <c r="C276" s="269"/>
      <c r="D276" s="269"/>
      <c r="E276" s="269"/>
      <c r="F276" s="269"/>
      <c r="G276" s="269"/>
      <c r="H276" s="269"/>
      <c r="I276" s="269"/>
      <c r="J276" s="269"/>
      <c r="K276" s="269"/>
      <c r="L276" s="269"/>
      <c r="M276" s="269"/>
      <c r="N276" s="269"/>
      <c r="O276" s="269"/>
      <c r="P276" s="269"/>
      <c r="Q276" s="269"/>
      <c r="R276" s="269"/>
      <c r="S276" s="269"/>
      <c r="T276" s="269"/>
      <c r="U276" s="269"/>
      <c r="V276" s="269"/>
      <c r="W276" s="269"/>
      <c r="X276" s="269"/>
      <c r="Y276" s="269"/>
      <c r="Z276" s="269"/>
    </row>
    <row r="277">
      <c r="A277" s="269" t="str">
        <f>IFERROR(__xludf.DUMMYFUNCTION("""COMPUTED_VALUE"""),"")</f>
        <v/>
      </c>
      <c r="B277" s="269"/>
      <c r="C277" s="269"/>
      <c r="D277" s="269"/>
      <c r="E277" s="269"/>
      <c r="F277" s="269"/>
      <c r="G277" s="269"/>
      <c r="H277" s="269"/>
      <c r="I277" s="269"/>
      <c r="J277" s="269"/>
      <c r="K277" s="269"/>
      <c r="L277" s="269"/>
      <c r="M277" s="269"/>
      <c r="N277" s="269"/>
      <c r="O277" s="269"/>
      <c r="P277" s="269"/>
      <c r="Q277" s="269"/>
      <c r="R277" s="269"/>
      <c r="S277" s="269"/>
      <c r="T277" s="269"/>
      <c r="U277" s="269"/>
      <c r="V277" s="269"/>
      <c r="W277" s="269"/>
      <c r="X277" s="269"/>
      <c r="Y277" s="269"/>
      <c r="Z277" s="269"/>
    </row>
    <row r="278">
      <c r="A278" s="269" t="str">
        <f>IFERROR(__xludf.DUMMYFUNCTION("""COMPUTED_VALUE"""),"")</f>
        <v/>
      </c>
      <c r="B278" s="269"/>
      <c r="C278" s="269"/>
      <c r="D278" s="269"/>
      <c r="E278" s="269"/>
      <c r="F278" s="269"/>
      <c r="G278" s="269"/>
      <c r="H278" s="269"/>
      <c r="I278" s="269"/>
      <c r="J278" s="269"/>
      <c r="K278" s="269"/>
      <c r="L278" s="269"/>
      <c r="M278" s="269"/>
      <c r="N278" s="269"/>
      <c r="O278" s="269"/>
      <c r="P278" s="269"/>
      <c r="Q278" s="269"/>
      <c r="R278" s="269"/>
      <c r="S278" s="269"/>
      <c r="T278" s="269"/>
      <c r="U278" s="269"/>
      <c r="V278" s="269"/>
      <c r="W278" s="269"/>
      <c r="X278" s="269"/>
      <c r="Y278" s="269"/>
      <c r="Z278" s="269"/>
    </row>
    <row r="279">
      <c r="A279" s="269" t="str">
        <f>IFERROR(__xludf.DUMMYFUNCTION("""COMPUTED_VALUE"""),"")</f>
        <v/>
      </c>
      <c r="B279" s="269"/>
      <c r="C279" s="269"/>
      <c r="D279" s="269"/>
      <c r="E279" s="269"/>
      <c r="F279" s="269"/>
      <c r="G279" s="269"/>
      <c r="H279" s="269"/>
      <c r="I279" s="269"/>
      <c r="J279" s="269"/>
      <c r="K279" s="269"/>
      <c r="L279" s="269"/>
      <c r="M279" s="269"/>
      <c r="N279" s="269"/>
      <c r="O279" s="269"/>
      <c r="P279" s="269"/>
      <c r="Q279" s="269"/>
      <c r="R279" s="269"/>
      <c r="S279" s="269"/>
      <c r="T279" s="269"/>
      <c r="U279" s="269"/>
      <c r="V279" s="269"/>
      <c r="W279" s="269"/>
      <c r="X279" s="269"/>
      <c r="Y279" s="269"/>
      <c r="Z279" s="269"/>
    </row>
    <row r="280">
      <c r="A280" s="269" t="str">
        <f>IFERROR(__xludf.DUMMYFUNCTION("""COMPUTED_VALUE"""),"")</f>
        <v/>
      </c>
      <c r="B280" s="269"/>
      <c r="C280" s="269"/>
      <c r="D280" s="269"/>
      <c r="E280" s="269"/>
      <c r="F280" s="269"/>
      <c r="G280" s="269"/>
      <c r="H280" s="269"/>
      <c r="I280" s="269"/>
      <c r="J280" s="269"/>
      <c r="K280" s="269"/>
      <c r="L280" s="269"/>
      <c r="M280" s="269"/>
      <c r="N280" s="269"/>
      <c r="O280" s="269"/>
      <c r="P280" s="269"/>
      <c r="Q280" s="269"/>
      <c r="R280" s="269"/>
      <c r="S280" s="269"/>
      <c r="T280" s="269"/>
      <c r="U280" s="269"/>
      <c r="V280" s="269"/>
      <c r="W280" s="269"/>
      <c r="X280" s="269"/>
      <c r="Y280" s="269"/>
      <c r="Z280" s="269"/>
    </row>
    <row r="281">
      <c r="A281" s="269" t="str">
        <f>IFERROR(__xludf.DUMMYFUNCTION("""COMPUTED_VALUE"""),"")</f>
        <v/>
      </c>
      <c r="B281" s="269"/>
      <c r="C281" s="269"/>
      <c r="D281" s="269"/>
      <c r="E281" s="269"/>
      <c r="F281" s="269"/>
      <c r="G281" s="269"/>
      <c r="H281" s="269"/>
      <c r="I281" s="269"/>
      <c r="J281" s="269"/>
      <c r="K281" s="269"/>
      <c r="L281" s="269"/>
      <c r="M281" s="269"/>
      <c r="N281" s="269"/>
      <c r="O281" s="269"/>
      <c r="P281" s="269"/>
      <c r="Q281" s="269"/>
      <c r="R281" s="269"/>
      <c r="S281" s="269"/>
      <c r="T281" s="269"/>
      <c r="U281" s="269"/>
      <c r="V281" s="269"/>
      <c r="W281" s="269"/>
      <c r="X281" s="269"/>
      <c r="Y281" s="269"/>
      <c r="Z281" s="269"/>
    </row>
    <row r="282">
      <c r="A282" s="269" t="str">
        <f>IFERROR(__xludf.DUMMYFUNCTION("""COMPUTED_VALUE"""),"")</f>
        <v/>
      </c>
      <c r="B282" s="269"/>
      <c r="C282" s="269"/>
      <c r="D282" s="269"/>
      <c r="E282" s="269"/>
      <c r="F282" s="269"/>
      <c r="G282" s="269"/>
      <c r="H282" s="269"/>
      <c r="I282" s="269"/>
      <c r="J282" s="269"/>
      <c r="K282" s="269"/>
      <c r="L282" s="269"/>
      <c r="M282" s="269"/>
      <c r="N282" s="269"/>
      <c r="O282" s="269"/>
      <c r="P282" s="269"/>
      <c r="Q282" s="269"/>
      <c r="R282" s="269"/>
      <c r="S282" s="269"/>
      <c r="T282" s="269"/>
      <c r="U282" s="269"/>
      <c r="V282" s="269"/>
      <c r="W282" s="269"/>
      <c r="X282" s="269"/>
      <c r="Y282" s="269"/>
      <c r="Z282" s="269"/>
    </row>
    <row r="283">
      <c r="A283" s="269" t="str">
        <f>IFERROR(__xludf.DUMMYFUNCTION("""COMPUTED_VALUE"""),"")</f>
        <v/>
      </c>
      <c r="B283" s="269"/>
      <c r="C283" s="269"/>
      <c r="D283" s="269"/>
      <c r="E283" s="269"/>
      <c r="F283" s="269"/>
      <c r="G283" s="269"/>
      <c r="H283" s="269"/>
      <c r="I283" s="269"/>
      <c r="J283" s="269"/>
      <c r="K283" s="269"/>
      <c r="L283" s="269"/>
      <c r="M283" s="269"/>
      <c r="N283" s="269"/>
      <c r="O283" s="269"/>
      <c r="P283" s="269"/>
      <c r="Q283" s="269"/>
      <c r="R283" s="269"/>
      <c r="S283" s="269"/>
      <c r="T283" s="269"/>
      <c r="U283" s="269"/>
      <c r="V283" s="269"/>
      <c r="W283" s="269"/>
      <c r="X283" s="269"/>
      <c r="Y283" s="269"/>
      <c r="Z283" s="269"/>
    </row>
    <row r="284">
      <c r="A284" s="269" t="str">
        <f>IFERROR(__xludf.DUMMYFUNCTION("""COMPUTED_VALUE"""),"")</f>
        <v/>
      </c>
      <c r="B284" s="269"/>
      <c r="C284" s="269"/>
      <c r="D284" s="269"/>
      <c r="E284" s="269"/>
      <c r="F284" s="269"/>
      <c r="G284" s="269"/>
      <c r="H284" s="269"/>
      <c r="I284" s="269"/>
      <c r="J284" s="269"/>
      <c r="K284" s="269"/>
      <c r="L284" s="269"/>
      <c r="M284" s="269"/>
      <c r="N284" s="269"/>
      <c r="O284" s="269"/>
      <c r="P284" s="269"/>
      <c r="Q284" s="269"/>
      <c r="R284" s="269"/>
      <c r="S284" s="269"/>
      <c r="T284" s="269"/>
      <c r="U284" s="269"/>
      <c r="V284" s="269"/>
      <c r="W284" s="269"/>
      <c r="X284" s="269"/>
      <c r="Y284" s="269"/>
      <c r="Z284" s="269"/>
    </row>
    <row r="285">
      <c r="A285" s="269" t="str">
        <f>IFERROR(__xludf.DUMMYFUNCTION("""COMPUTED_VALUE"""),"")</f>
        <v/>
      </c>
      <c r="B285" s="269"/>
      <c r="C285" s="269"/>
      <c r="D285" s="269"/>
      <c r="E285" s="269"/>
      <c r="F285" s="269"/>
      <c r="G285" s="269"/>
      <c r="H285" s="269"/>
      <c r="I285" s="269"/>
      <c r="J285" s="269"/>
      <c r="K285" s="269"/>
      <c r="L285" s="269"/>
      <c r="M285" s="269"/>
      <c r="N285" s="269"/>
      <c r="O285" s="269"/>
      <c r="P285" s="269"/>
      <c r="Q285" s="269"/>
      <c r="R285" s="269"/>
      <c r="S285" s="269"/>
      <c r="T285" s="269"/>
      <c r="U285" s="269"/>
      <c r="V285" s="269"/>
      <c r="W285" s="269"/>
      <c r="X285" s="269"/>
      <c r="Y285" s="269"/>
      <c r="Z285" s="269"/>
    </row>
    <row r="286">
      <c r="A286" s="269" t="str">
        <f>IFERROR(__xludf.DUMMYFUNCTION("""COMPUTED_VALUE"""),"")</f>
        <v/>
      </c>
      <c r="B286" s="269"/>
      <c r="C286" s="269"/>
      <c r="D286" s="269"/>
      <c r="E286" s="269"/>
      <c r="F286" s="269"/>
      <c r="G286" s="269"/>
      <c r="H286" s="269"/>
      <c r="I286" s="269"/>
      <c r="J286" s="269"/>
      <c r="K286" s="269"/>
      <c r="L286" s="269"/>
      <c r="M286" s="269"/>
      <c r="N286" s="269"/>
      <c r="O286" s="269"/>
      <c r="P286" s="269"/>
      <c r="Q286" s="269"/>
      <c r="R286" s="269"/>
      <c r="S286" s="269"/>
      <c r="T286" s="269"/>
      <c r="U286" s="269"/>
      <c r="V286" s="269"/>
      <c r="W286" s="269"/>
      <c r="X286" s="269"/>
      <c r="Y286" s="269"/>
      <c r="Z286" s="269"/>
    </row>
    <row r="287">
      <c r="A287" s="269" t="str">
        <f>IFERROR(__xludf.DUMMYFUNCTION("""COMPUTED_VALUE"""),"")</f>
        <v/>
      </c>
      <c r="B287" s="269"/>
      <c r="C287" s="269"/>
      <c r="D287" s="269"/>
      <c r="E287" s="269"/>
      <c r="F287" s="269"/>
      <c r="G287" s="269"/>
      <c r="H287" s="269"/>
      <c r="I287" s="269"/>
      <c r="J287" s="269"/>
      <c r="K287" s="269"/>
      <c r="L287" s="269"/>
      <c r="M287" s="269"/>
      <c r="N287" s="269"/>
      <c r="O287" s="269"/>
      <c r="P287" s="269"/>
      <c r="Q287" s="269"/>
      <c r="R287" s="269"/>
      <c r="S287" s="269"/>
      <c r="T287" s="269"/>
      <c r="U287" s="269"/>
      <c r="V287" s="269"/>
      <c r="W287" s="269"/>
      <c r="X287" s="269"/>
      <c r="Y287" s="269"/>
      <c r="Z287" s="269"/>
    </row>
    <row r="288">
      <c r="A288" s="269" t="str">
        <f>IFERROR(__xludf.DUMMYFUNCTION("""COMPUTED_VALUE"""),"")</f>
        <v/>
      </c>
      <c r="B288" s="269"/>
      <c r="C288" s="269"/>
      <c r="D288" s="269"/>
      <c r="E288" s="269"/>
      <c r="F288" s="269"/>
      <c r="G288" s="269"/>
      <c r="H288" s="269"/>
      <c r="I288" s="269"/>
      <c r="J288" s="269"/>
      <c r="K288" s="269"/>
      <c r="L288" s="269"/>
      <c r="M288" s="269"/>
      <c r="N288" s="269"/>
      <c r="O288" s="269"/>
      <c r="P288" s="269"/>
      <c r="Q288" s="269"/>
      <c r="R288" s="269"/>
      <c r="S288" s="269"/>
      <c r="T288" s="269"/>
      <c r="U288" s="269"/>
      <c r="V288" s="269"/>
      <c r="W288" s="269"/>
      <c r="X288" s="269"/>
      <c r="Y288" s="269"/>
      <c r="Z288" s="269"/>
    </row>
    <row r="289">
      <c r="A289" s="269" t="str">
        <f>IFERROR(__xludf.DUMMYFUNCTION("""COMPUTED_VALUE"""),"")</f>
        <v/>
      </c>
      <c r="B289" s="269"/>
      <c r="C289" s="269"/>
      <c r="D289" s="269"/>
      <c r="E289" s="269"/>
      <c r="F289" s="269"/>
      <c r="G289" s="269"/>
      <c r="H289" s="269"/>
      <c r="I289" s="269"/>
      <c r="J289" s="269"/>
      <c r="K289" s="269"/>
      <c r="L289" s="269"/>
      <c r="M289" s="269"/>
      <c r="N289" s="269"/>
      <c r="O289" s="269"/>
      <c r="P289" s="269"/>
      <c r="Q289" s="269"/>
      <c r="R289" s="269"/>
      <c r="S289" s="269"/>
      <c r="T289" s="269"/>
      <c r="U289" s="269"/>
      <c r="V289" s="269"/>
      <c r="W289" s="269"/>
      <c r="X289" s="269"/>
      <c r="Y289" s="269"/>
      <c r="Z289" s="269"/>
    </row>
    <row r="290">
      <c r="A290" s="269" t="str">
        <f>IFERROR(__xludf.DUMMYFUNCTION("""COMPUTED_VALUE"""),"")</f>
        <v/>
      </c>
      <c r="B290" s="269"/>
      <c r="C290" s="269"/>
      <c r="D290" s="269"/>
      <c r="E290" s="269"/>
      <c r="F290" s="269"/>
      <c r="G290" s="269"/>
      <c r="H290" s="269"/>
      <c r="I290" s="269"/>
      <c r="J290" s="269"/>
      <c r="K290" s="269"/>
      <c r="L290" s="269"/>
      <c r="M290" s="269"/>
      <c r="N290" s="269"/>
      <c r="O290" s="269"/>
      <c r="P290" s="269"/>
      <c r="Q290" s="269"/>
      <c r="R290" s="269"/>
      <c r="S290" s="269"/>
      <c r="T290" s="269"/>
      <c r="U290" s="269"/>
      <c r="V290" s="269"/>
      <c r="W290" s="269"/>
      <c r="X290" s="269"/>
      <c r="Y290" s="269"/>
      <c r="Z290" s="269"/>
    </row>
    <row r="291">
      <c r="A291" s="269" t="str">
        <f>IFERROR(__xludf.DUMMYFUNCTION("""COMPUTED_VALUE"""),"")</f>
        <v/>
      </c>
      <c r="B291" s="269"/>
      <c r="C291" s="269"/>
      <c r="D291" s="269"/>
      <c r="E291" s="269"/>
      <c r="F291" s="269"/>
      <c r="G291" s="269"/>
      <c r="H291" s="269"/>
      <c r="I291" s="269"/>
      <c r="J291" s="269"/>
      <c r="K291" s="269"/>
      <c r="L291" s="269"/>
      <c r="M291" s="269"/>
      <c r="N291" s="269"/>
      <c r="O291" s="269"/>
      <c r="P291" s="269"/>
      <c r="Q291" s="269"/>
      <c r="R291" s="269"/>
      <c r="S291" s="269"/>
      <c r="T291" s="269"/>
      <c r="U291" s="269"/>
      <c r="V291" s="269"/>
      <c r="W291" s="269"/>
      <c r="X291" s="269"/>
      <c r="Y291" s="269"/>
      <c r="Z291" s="269"/>
    </row>
    <row r="292">
      <c r="A292" s="269" t="str">
        <f>IFERROR(__xludf.DUMMYFUNCTION("""COMPUTED_VALUE"""),"")</f>
        <v/>
      </c>
      <c r="B292" s="269"/>
      <c r="C292" s="269"/>
      <c r="D292" s="269"/>
      <c r="E292" s="269"/>
      <c r="F292" s="269"/>
      <c r="G292" s="269"/>
      <c r="H292" s="269"/>
      <c r="I292" s="269"/>
      <c r="J292" s="269"/>
      <c r="K292" s="269"/>
      <c r="L292" s="269"/>
      <c r="M292" s="269"/>
      <c r="N292" s="269"/>
      <c r="O292" s="269"/>
      <c r="P292" s="269"/>
      <c r="Q292" s="269"/>
      <c r="R292" s="269"/>
      <c r="S292" s="269"/>
      <c r="T292" s="269"/>
      <c r="U292" s="269"/>
      <c r="V292" s="269"/>
      <c r="W292" s="269"/>
      <c r="X292" s="269"/>
      <c r="Y292" s="269"/>
      <c r="Z292" s="269"/>
    </row>
    <row r="293">
      <c r="A293" s="269" t="str">
        <f>IFERROR(__xludf.DUMMYFUNCTION("""COMPUTED_VALUE"""),"")</f>
        <v/>
      </c>
      <c r="B293" s="269"/>
      <c r="C293" s="269"/>
      <c r="D293" s="269"/>
      <c r="E293" s="269"/>
      <c r="F293" s="269"/>
      <c r="G293" s="269"/>
      <c r="H293" s="269"/>
      <c r="I293" s="269"/>
      <c r="J293" s="269"/>
      <c r="K293" s="269"/>
      <c r="L293" s="269"/>
      <c r="M293" s="269"/>
      <c r="N293" s="269"/>
      <c r="O293" s="269"/>
      <c r="P293" s="269"/>
      <c r="Q293" s="269"/>
      <c r="R293" s="269"/>
      <c r="S293" s="269"/>
      <c r="T293" s="269"/>
      <c r="U293" s="269"/>
      <c r="V293" s="269"/>
      <c r="W293" s="269"/>
      <c r="X293" s="269"/>
      <c r="Y293" s="269"/>
      <c r="Z293" s="269"/>
    </row>
    <row r="294">
      <c r="A294" s="269" t="str">
        <f>IFERROR(__xludf.DUMMYFUNCTION("""COMPUTED_VALUE"""),"")</f>
        <v/>
      </c>
      <c r="B294" s="269"/>
      <c r="C294" s="269"/>
      <c r="D294" s="269"/>
      <c r="E294" s="269"/>
      <c r="F294" s="269"/>
      <c r="G294" s="269"/>
      <c r="H294" s="269"/>
      <c r="I294" s="269"/>
      <c r="J294" s="269"/>
      <c r="K294" s="269"/>
      <c r="L294" s="269"/>
      <c r="M294" s="269"/>
      <c r="N294" s="269"/>
      <c r="O294" s="269"/>
      <c r="P294" s="269"/>
      <c r="Q294" s="269"/>
      <c r="R294" s="269"/>
      <c r="S294" s="269"/>
      <c r="T294" s="269"/>
      <c r="U294" s="269"/>
      <c r="V294" s="269"/>
      <c r="W294" s="269"/>
      <c r="X294" s="269"/>
      <c r="Y294" s="269"/>
      <c r="Z294" s="269"/>
    </row>
    <row r="295">
      <c r="A295" s="269" t="str">
        <f>IFERROR(__xludf.DUMMYFUNCTION("""COMPUTED_VALUE"""),"")</f>
        <v/>
      </c>
      <c r="B295" s="269"/>
      <c r="C295" s="269"/>
      <c r="D295" s="269"/>
      <c r="E295" s="269"/>
      <c r="F295" s="269"/>
      <c r="G295" s="269"/>
      <c r="H295" s="269"/>
      <c r="I295" s="269"/>
      <c r="J295" s="269"/>
      <c r="K295" s="269"/>
      <c r="L295" s="269"/>
      <c r="M295" s="269"/>
      <c r="N295" s="269"/>
      <c r="O295" s="269"/>
      <c r="P295" s="269"/>
      <c r="Q295" s="269"/>
      <c r="R295" s="269"/>
      <c r="S295" s="269"/>
      <c r="T295" s="269"/>
      <c r="U295" s="269"/>
      <c r="V295" s="269"/>
      <c r="W295" s="269"/>
      <c r="X295" s="269"/>
      <c r="Y295" s="269"/>
      <c r="Z295" s="269"/>
    </row>
    <row r="296">
      <c r="A296" s="269" t="str">
        <f>IFERROR(__xludf.DUMMYFUNCTION("""COMPUTED_VALUE"""),"")</f>
        <v/>
      </c>
      <c r="B296" s="269"/>
      <c r="C296" s="269"/>
      <c r="D296" s="269"/>
      <c r="E296" s="269"/>
      <c r="F296" s="269"/>
      <c r="G296" s="269"/>
      <c r="H296" s="269"/>
      <c r="I296" s="269"/>
      <c r="J296" s="269"/>
      <c r="K296" s="269"/>
      <c r="L296" s="269"/>
      <c r="M296" s="269"/>
      <c r="N296" s="269"/>
      <c r="O296" s="269"/>
      <c r="P296" s="269"/>
      <c r="Q296" s="269"/>
      <c r="R296" s="269"/>
      <c r="S296" s="269"/>
      <c r="T296" s="269"/>
      <c r="U296" s="269"/>
      <c r="V296" s="269"/>
      <c r="W296" s="269"/>
      <c r="X296" s="269"/>
      <c r="Y296" s="269"/>
      <c r="Z296" s="269"/>
    </row>
    <row r="297">
      <c r="A297" s="269" t="str">
        <f>IFERROR(__xludf.DUMMYFUNCTION("""COMPUTED_VALUE"""),"")</f>
        <v/>
      </c>
      <c r="B297" s="269"/>
      <c r="C297" s="269"/>
      <c r="D297" s="269"/>
      <c r="E297" s="269"/>
      <c r="F297" s="269"/>
      <c r="G297" s="269"/>
      <c r="H297" s="269"/>
      <c r="I297" s="269"/>
      <c r="J297" s="269"/>
      <c r="K297" s="269"/>
      <c r="L297" s="269"/>
      <c r="M297" s="269"/>
      <c r="N297" s="269"/>
      <c r="O297" s="269"/>
      <c r="P297" s="269"/>
      <c r="Q297" s="269"/>
      <c r="R297" s="269"/>
      <c r="S297" s="269"/>
      <c r="T297" s="269"/>
      <c r="U297" s="269"/>
      <c r="V297" s="269"/>
      <c r="W297" s="269"/>
      <c r="X297" s="269"/>
      <c r="Y297" s="269"/>
      <c r="Z297" s="269"/>
    </row>
    <row r="298">
      <c r="A298" s="269" t="str">
        <f>IFERROR(__xludf.DUMMYFUNCTION("""COMPUTED_VALUE"""),"")</f>
        <v/>
      </c>
      <c r="B298" s="269"/>
      <c r="C298" s="269"/>
      <c r="D298" s="269"/>
      <c r="E298" s="269"/>
      <c r="F298" s="269"/>
      <c r="G298" s="269"/>
      <c r="H298" s="269"/>
      <c r="I298" s="269"/>
      <c r="J298" s="269"/>
      <c r="K298" s="269"/>
      <c r="L298" s="269"/>
      <c r="M298" s="269"/>
      <c r="N298" s="269"/>
      <c r="O298" s="269"/>
      <c r="P298" s="269"/>
      <c r="Q298" s="269"/>
      <c r="R298" s="269"/>
      <c r="S298" s="269"/>
      <c r="T298" s="269"/>
      <c r="U298" s="269"/>
      <c r="V298" s="269"/>
      <c r="W298" s="269"/>
      <c r="X298" s="269"/>
      <c r="Y298" s="269"/>
      <c r="Z298" s="269"/>
    </row>
    <row r="299">
      <c r="A299" s="269" t="str">
        <f>IFERROR(__xludf.DUMMYFUNCTION("""COMPUTED_VALUE"""),"")</f>
        <v/>
      </c>
      <c r="B299" s="269"/>
      <c r="C299" s="269"/>
      <c r="D299" s="269"/>
      <c r="E299" s="269"/>
      <c r="F299" s="269"/>
      <c r="G299" s="269"/>
      <c r="H299" s="269"/>
      <c r="I299" s="269"/>
      <c r="J299" s="269"/>
      <c r="K299" s="269"/>
      <c r="L299" s="269"/>
      <c r="M299" s="269"/>
      <c r="N299" s="269"/>
      <c r="O299" s="269"/>
      <c r="P299" s="269"/>
      <c r="Q299" s="269"/>
      <c r="R299" s="269"/>
      <c r="S299" s="269"/>
      <c r="T299" s="269"/>
      <c r="U299" s="269"/>
      <c r="V299" s="269"/>
      <c r="W299" s="269"/>
      <c r="X299" s="269"/>
      <c r="Y299" s="269"/>
      <c r="Z299" s="269"/>
    </row>
    <row r="300">
      <c r="A300" s="269" t="str">
        <f>IFERROR(__xludf.DUMMYFUNCTION("""COMPUTED_VALUE"""),"")</f>
        <v/>
      </c>
      <c r="B300" s="269"/>
      <c r="C300" s="269"/>
      <c r="D300" s="269"/>
      <c r="E300" s="269"/>
      <c r="F300" s="269"/>
      <c r="G300" s="269"/>
      <c r="H300" s="269"/>
      <c r="I300" s="269"/>
      <c r="J300" s="269"/>
      <c r="K300" s="269"/>
      <c r="L300" s="269"/>
      <c r="M300" s="269"/>
      <c r="N300" s="269"/>
      <c r="O300" s="269"/>
      <c r="P300" s="269"/>
      <c r="Q300" s="269"/>
      <c r="R300" s="269"/>
      <c r="S300" s="269"/>
      <c r="T300" s="269"/>
      <c r="U300" s="269"/>
      <c r="V300" s="269"/>
      <c r="W300" s="269"/>
      <c r="X300" s="269"/>
      <c r="Y300" s="269"/>
      <c r="Z300" s="269"/>
    </row>
    <row r="301">
      <c r="A301" s="269" t="str">
        <f>IFERROR(__xludf.DUMMYFUNCTION("""COMPUTED_VALUE"""),"")</f>
        <v/>
      </c>
      <c r="B301" s="269"/>
      <c r="C301" s="269"/>
      <c r="D301" s="269"/>
      <c r="E301" s="269"/>
      <c r="F301" s="269"/>
      <c r="G301" s="269"/>
      <c r="H301" s="269"/>
      <c r="I301" s="269"/>
      <c r="J301" s="269"/>
      <c r="K301" s="269"/>
      <c r="L301" s="269"/>
      <c r="M301" s="269"/>
      <c r="N301" s="269"/>
      <c r="O301" s="269"/>
      <c r="P301" s="269"/>
      <c r="Q301" s="269"/>
      <c r="R301" s="269"/>
      <c r="S301" s="269"/>
      <c r="T301" s="269"/>
      <c r="U301" s="269"/>
      <c r="V301" s="269"/>
      <c r="W301" s="269"/>
      <c r="X301" s="269"/>
      <c r="Y301" s="269"/>
      <c r="Z301" s="269"/>
    </row>
    <row r="302">
      <c r="A302" s="269" t="str">
        <f>IFERROR(__xludf.DUMMYFUNCTION("""COMPUTED_VALUE"""),"")</f>
        <v/>
      </c>
      <c r="B302" s="269"/>
      <c r="C302" s="269"/>
      <c r="D302" s="269"/>
      <c r="E302" s="269"/>
      <c r="F302" s="269"/>
      <c r="G302" s="269"/>
      <c r="H302" s="269"/>
      <c r="I302" s="269"/>
      <c r="J302" s="269"/>
      <c r="K302" s="269"/>
      <c r="L302" s="269"/>
      <c r="M302" s="269"/>
      <c r="N302" s="269"/>
      <c r="O302" s="269"/>
      <c r="P302" s="269"/>
      <c r="Q302" s="269"/>
      <c r="R302" s="269"/>
      <c r="S302" s="269"/>
      <c r="T302" s="269"/>
      <c r="U302" s="269"/>
      <c r="V302" s="269"/>
      <c r="W302" s="269"/>
      <c r="X302" s="269"/>
      <c r="Y302" s="269"/>
      <c r="Z302" s="269"/>
    </row>
    <row r="303">
      <c r="A303" s="269" t="str">
        <f>IFERROR(__xludf.DUMMYFUNCTION("""COMPUTED_VALUE"""),"")</f>
        <v/>
      </c>
      <c r="B303" s="269"/>
      <c r="C303" s="269"/>
      <c r="D303" s="269"/>
      <c r="E303" s="269"/>
      <c r="F303" s="269"/>
      <c r="G303" s="269"/>
      <c r="H303" s="269"/>
      <c r="I303" s="269"/>
      <c r="J303" s="269"/>
      <c r="K303" s="269"/>
      <c r="L303" s="269"/>
      <c r="M303" s="269"/>
      <c r="N303" s="269"/>
      <c r="O303" s="269"/>
      <c r="P303" s="269"/>
      <c r="Q303" s="269"/>
      <c r="R303" s="269"/>
      <c r="S303" s="269"/>
      <c r="T303" s="269"/>
      <c r="U303" s="269"/>
      <c r="V303" s="269"/>
      <c r="W303" s="269"/>
      <c r="X303" s="269"/>
      <c r="Y303" s="269"/>
      <c r="Z303" s="269"/>
    </row>
    <row r="304">
      <c r="A304" s="269" t="str">
        <f>IFERROR(__xludf.DUMMYFUNCTION("""COMPUTED_VALUE"""),"")</f>
        <v/>
      </c>
      <c r="B304" s="269"/>
      <c r="C304" s="269"/>
      <c r="D304" s="269"/>
      <c r="E304" s="269"/>
      <c r="F304" s="269"/>
      <c r="G304" s="269"/>
      <c r="H304" s="269"/>
      <c r="I304" s="269"/>
      <c r="J304" s="269"/>
      <c r="K304" s="269"/>
      <c r="L304" s="269"/>
      <c r="M304" s="269"/>
      <c r="N304" s="269"/>
      <c r="O304" s="269"/>
      <c r="P304" s="269"/>
      <c r="Q304" s="269"/>
      <c r="R304" s="269"/>
      <c r="S304" s="269"/>
      <c r="T304" s="269"/>
      <c r="U304" s="269"/>
      <c r="V304" s="269"/>
      <c r="W304" s="269"/>
      <c r="X304" s="269"/>
      <c r="Y304" s="269"/>
      <c r="Z304" s="269"/>
    </row>
    <row r="305">
      <c r="A305" s="269" t="str">
        <f>IFERROR(__xludf.DUMMYFUNCTION("""COMPUTED_VALUE"""),"")</f>
        <v/>
      </c>
      <c r="B305" s="269"/>
      <c r="C305" s="269"/>
      <c r="D305" s="269"/>
      <c r="E305" s="269"/>
      <c r="F305" s="269"/>
      <c r="G305" s="269"/>
      <c r="H305" s="269"/>
      <c r="I305" s="269"/>
      <c r="J305" s="269"/>
      <c r="K305" s="269"/>
      <c r="L305" s="269"/>
      <c r="M305" s="269"/>
      <c r="N305" s="269"/>
      <c r="O305" s="269"/>
      <c r="P305" s="269"/>
      <c r="Q305" s="269"/>
      <c r="R305" s="269"/>
      <c r="S305" s="269"/>
      <c r="T305" s="269"/>
      <c r="U305" s="269"/>
      <c r="V305" s="269"/>
      <c r="W305" s="269"/>
      <c r="X305" s="269"/>
      <c r="Y305" s="269"/>
      <c r="Z305" s="269"/>
    </row>
    <row r="306">
      <c r="A306" s="269" t="str">
        <f>IFERROR(__xludf.DUMMYFUNCTION("""COMPUTED_VALUE"""),"")</f>
        <v/>
      </c>
      <c r="B306" s="269"/>
      <c r="C306" s="269"/>
      <c r="D306" s="269"/>
      <c r="E306" s="269"/>
      <c r="F306" s="269"/>
      <c r="G306" s="269"/>
      <c r="H306" s="269"/>
      <c r="I306" s="269"/>
      <c r="J306" s="269"/>
      <c r="K306" s="269"/>
      <c r="L306" s="269"/>
      <c r="M306" s="269"/>
      <c r="N306" s="269"/>
      <c r="O306" s="269"/>
      <c r="P306" s="269"/>
      <c r="Q306" s="269"/>
      <c r="R306" s="269"/>
      <c r="S306" s="269"/>
      <c r="T306" s="269"/>
      <c r="U306" s="269"/>
      <c r="V306" s="269"/>
      <c r="W306" s="269"/>
      <c r="X306" s="269"/>
      <c r="Y306" s="269"/>
      <c r="Z306" s="269"/>
    </row>
    <row r="307">
      <c r="A307" s="269" t="str">
        <f>IFERROR(__xludf.DUMMYFUNCTION("""COMPUTED_VALUE"""),"")</f>
        <v/>
      </c>
      <c r="B307" s="269"/>
      <c r="C307" s="269"/>
      <c r="D307" s="269"/>
      <c r="E307" s="269"/>
      <c r="F307" s="269"/>
      <c r="G307" s="269"/>
      <c r="H307" s="269"/>
      <c r="I307" s="269"/>
      <c r="J307" s="269"/>
      <c r="K307" s="269"/>
      <c r="L307" s="269"/>
      <c r="M307" s="269"/>
      <c r="N307" s="269"/>
      <c r="O307" s="269"/>
      <c r="P307" s="269"/>
      <c r="Q307" s="269"/>
      <c r="R307" s="269"/>
      <c r="S307" s="269"/>
      <c r="T307" s="269"/>
      <c r="U307" s="269"/>
      <c r="V307" s="269"/>
      <c r="W307" s="269"/>
      <c r="X307" s="269"/>
      <c r="Y307" s="269"/>
      <c r="Z307" s="269"/>
    </row>
    <row r="308">
      <c r="A308" s="269" t="str">
        <f>IFERROR(__xludf.DUMMYFUNCTION("""COMPUTED_VALUE"""),"")</f>
        <v/>
      </c>
      <c r="B308" s="269"/>
      <c r="C308" s="269"/>
      <c r="D308" s="269"/>
      <c r="E308" s="269"/>
      <c r="F308" s="269"/>
      <c r="G308" s="269"/>
      <c r="H308" s="269"/>
      <c r="I308" s="269"/>
      <c r="J308" s="269"/>
      <c r="K308" s="269"/>
      <c r="L308" s="269"/>
      <c r="M308" s="269"/>
      <c r="N308" s="269"/>
      <c r="O308" s="269"/>
      <c r="P308" s="269"/>
      <c r="Q308" s="269"/>
      <c r="R308" s="269"/>
      <c r="S308" s="269"/>
      <c r="T308" s="269"/>
      <c r="U308" s="269"/>
      <c r="V308" s="269"/>
      <c r="W308" s="269"/>
      <c r="X308" s="269"/>
      <c r="Y308" s="269"/>
      <c r="Z308" s="269"/>
    </row>
    <row r="309">
      <c r="A309" s="269" t="str">
        <f>IFERROR(__xludf.DUMMYFUNCTION("""COMPUTED_VALUE"""),"")</f>
        <v/>
      </c>
      <c r="B309" s="269"/>
      <c r="C309" s="269"/>
      <c r="D309" s="269"/>
      <c r="E309" s="269"/>
      <c r="F309" s="269"/>
      <c r="G309" s="269"/>
      <c r="H309" s="269"/>
      <c r="I309" s="269"/>
      <c r="J309" s="269"/>
      <c r="K309" s="269"/>
      <c r="L309" s="269"/>
      <c r="M309" s="269"/>
      <c r="N309" s="269"/>
      <c r="O309" s="269"/>
      <c r="P309" s="269"/>
      <c r="Q309" s="269"/>
      <c r="R309" s="269"/>
      <c r="S309" s="269"/>
      <c r="T309" s="269"/>
      <c r="U309" s="269"/>
      <c r="V309" s="269"/>
      <c r="W309" s="269"/>
      <c r="X309" s="269"/>
      <c r="Y309" s="269"/>
      <c r="Z309" s="269"/>
    </row>
    <row r="310">
      <c r="A310" s="269" t="str">
        <f>IFERROR(__xludf.DUMMYFUNCTION("""COMPUTED_VALUE"""),"")</f>
        <v/>
      </c>
      <c r="B310" s="269"/>
      <c r="C310" s="269"/>
      <c r="D310" s="269"/>
      <c r="E310" s="269"/>
      <c r="F310" s="269"/>
      <c r="G310" s="269"/>
      <c r="H310" s="269"/>
      <c r="I310" s="269"/>
      <c r="J310" s="269"/>
      <c r="K310" s="269"/>
      <c r="L310" s="269"/>
      <c r="M310" s="269"/>
      <c r="N310" s="269"/>
      <c r="O310" s="269"/>
      <c r="P310" s="269"/>
      <c r="Q310" s="269"/>
      <c r="R310" s="269"/>
      <c r="S310" s="269"/>
      <c r="T310" s="269"/>
      <c r="U310" s="269"/>
      <c r="V310" s="269"/>
      <c r="W310" s="269"/>
      <c r="X310" s="269"/>
      <c r="Y310" s="269"/>
      <c r="Z310" s="269"/>
    </row>
    <row r="311">
      <c r="A311" s="269" t="str">
        <f>IFERROR(__xludf.DUMMYFUNCTION("""COMPUTED_VALUE"""),"")</f>
        <v/>
      </c>
      <c r="B311" s="269"/>
      <c r="C311" s="269"/>
      <c r="D311" s="269"/>
      <c r="E311" s="269"/>
      <c r="F311" s="269"/>
      <c r="G311" s="269"/>
      <c r="H311" s="269"/>
      <c r="I311" s="269"/>
      <c r="J311" s="269"/>
      <c r="K311" s="269"/>
      <c r="L311" s="269"/>
      <c r="M311" s="269"/>
      <c r="N311" s="269"/>
      <c r="O311" s="269"/>
      <c r="P311" s="269"/>
      <c r="Q311" s="269"/>
      <c r="R311" s="269"/>
      <c r="S311" s="269"/>
      <c r="T311" s="269"/>
      <c r="U311" s="269"/>
      <c r="V311" s="269"/>
      <c r="W311" s="269"/>
      <c r="X311" s="269"/>
      <c r="Y311" s="269"/>
      <c r="Z311" s="269"/>
    </row>
    <row r="312">
      <c r="A312" s="269" t="str">
        <f>IFERROR(__xludf.DUMMYFUNCTION("""COMPUTED_VALUE"""),"")</f>
        <v/>
      </c>
      <c r="B312" s="269"/>
      <c r="C312" s="269"/>
      <c r="D312" s="269"/>
      <c r="E312" s="269"/>
      <c r="F312" s="269"/>
      <c r="G312" s="269"/>
      <c r="H312" s="269"/>
      <c r="I312" s="269"/>
      <c r="J312" s="269"/>
      <c r="K312" s="269"/>
      <c r="L312" s="269"/>
      <c r="M312" s="269"/>
      <c r="N312" s="269"/>
      <c r="O312" s="269"/>
      <c r="P312" s="269"/>
      <c r="Q312" s="269"/>
      <c r="R312" s="269"/>
      <c r="S312" s="269"/>
      <c r="T312" s="269"/>
      <c r="U312" s="269"/>
      <c r="V312" s="269"/>
      <c r="W312" s="269"/>
      <c r="X312" s="269"/>
      <c r="Y312" s="269"/>
      <c r="Z312" s="269"/>
    </row>
    <row r="313">
      <c r="A313" s="269" t="str">
        <f>IFERROR(__xludf.DUMMYFUNCTION("""COMPUTED_VALUE"""),"")</f>
        <v/>
      </c>
      <c r="B313" s="269"/>
      <c r="C313" s="269"/>
      <c r="D313" s="269"/>
      <c r="E313" s="269"/>
      <c r="F313" s="269"/>
      <c r="G313" s="269"/>
      <c r="H313" s="269"/>
      <c r="I313" s="269"/>
      <c r="J313" s="269"/>
      <c r="K313" s="269"/>
      <c r="L313" s="269"/>
      <c r="M313" s="269"/>
      <c r="N313" s="269"/>
      <c r="O313" s="269"/>
      <c r="P313" s="269"/>
      <c r="Q313" s="269"/>
      <c r="R313" s="269"/>
      <c r="S313" s="269"/>
      <c r="T313" s="269"/>
      <c r="U313" s="269"/>
      <c r="V313" s="269"/>
      <c r="W313" s="269"/>
      <c r="X313" s="269"/>
      <c r="Y313" s="269"/>
      <c r="Z313" s="269"/>
    </row>
    <row r="314">
      <c r="A314" s="269" t="str">
        <f>IFERROR(__xludf.DUMMYFUNCTION("""COMPUTED_VALUE"""),"")</f>
        <v/>
      </c>
      <c r="B314" s="269"/>
      <c r="C314" s="269"/>
      <c r="D314" s="269"/>
      <c r="E314" s="269"/>
      <c r="F314" s="269"/>
      <c r="G314" s="269"/>
      <c r="H314" s="269"/>
      <c r="I314" s="269"/>
      <c r="J314" s="269"/>
      <c r="K314" s="269"/>
      <c r="L314" s="269"/>
      <c r="M314" s="269"/>
      <c r="N314" s="269"/>
      <c r="O314" s="269"/>
      <c r="P314" s="269"/>
      <c r="Q314" s="269"/>
      <c r="R314" s="269"/>
      <c r="S314" s="269"/>
      <c r="T314" s="269"/>
      <c r="U314" s="269"/>
      <c r="V314" s="269"/>
      <c r="W314" s="269"/>
      <c r="X314" s="269"/>
      <c r="Y314" s="269"/>
      <c r="Z314" s="269"/>
    </row>
    <row r="315">
      <c r="A315" s="269" t="str">
        <f>IFERROR(__xludf.DUMMYFUNCTION("""COMPUTED_VALUE"""),"")</f>
        <v/>
      </c>
      <c r="B315" s="269"/>
      <c r="C315" s="269"/>
      <c r="D315" s="269"/>
      <c r="E315" s="269"/>
      <c r="F315" s="269"/>
      <c r="G315" s="269"/>
      <c r="H315" s="269"/>
      <c r="I315" s="269"/>
      <c r="J315" s="269"/>
      <c r="K315" s="269"/>
      <c r="L315" s="269"/>
      <c r="M315" s="269"/>
      <c r="N315" s="269"/>
      <c r="O315" s="269"/>
      <c r="P315" s="269"/>
      <c r="Q315" s="269"/>
      <c r="R315" s="269"/>
      <c r="S315" s="269"/>
      <c r="T315" s="269"/>
      <c r="U315" s="269"/>
      <c r="V315" s="269"/>
      <c r="W315" s="269"/>
      <c r="X315" s="269"/>
      <c r="Y315" s="269"/>
      <c r="Z315" s="269"/>
    </row>
    <row r="316">
      <c r="A316" s="269" t="str">
        <f>IFERROR(__xludf.DUMMYFUNCTION("""COMPUTED_VALUE"""),"")</f>
        <v/>
      </c>
      <c r="B316" s="269"/>
      <c r="C316" s="269"/>
      <c r="D316" s="269"/>
      <c r="E316" s="269"/>
      <c r="F316" s="269"/>
      <c r="G316" s="269"/>
      <c r="H316" s="269"/>
      <c r="I316" s="269"/>
      <c r="J316" s="269"/>
      <c r="K316" s="269"/>
      <c r="L316" s="269"/>
      <c r="M316" s="269"/>
      <c r="N316" s="269"/>
      <c r="O316" s="269"/>
      <c r="P316" s="269"/>
      <c r="Q316" s="269"/>
      <c r="R316" s="269"/>
      <c r="S316" s="269"/>
      <c r="T316" s="269"/>
      <c r="U316" s="269"/>
      <c r="V316" s="269"/>
      <c r="W316" s="269"/>
      <c r="X316" s="269"/>
      <c r="Y316" s="269"/>
      <c r="Z316" s="269"/>
    </row>
    <row r="317">
      <c r="A317" s="269" t="str">
        <f>IFERROR(__xludf.DUMMYFUNCTION("""COMPUTED_VALUE"""),"")</f>
        <v/>
      </c>
      <c r="B317" s="269"/>
      <c r="C317" s="269"/>
      <c r="D317" s="269"/>
      <c r="E317" s="269"/>
      <c r="F317" s="269"/>
      <c r="G317" s="269"/>
      <c r="H317" s="269"/>
      <c r="I317" s="269"/>
      <c r="J317" s="269"/>
      <c r="K317" s="269"/>
      <c r="L317" s="269"/>
      <c r="M317" s="269"/>
      <c r="N317" s="269"/>
      <c r="O317" s="269"/>
      <c r="P317" s="269"/>
      <c r="Q317" s="269"/>
      <c r="R317" s="269"/>
      <c r="S317" s="269"/>
      <c r="T317" s="269"/>
      <c r="U317" s="269"/>
      <c r="V317" s="269"/>
      <c r="W317" s="269"/>
      <c r="X317" s="269"/>
      <c r="Y317" s="269"/>
      <c r="Z317" s="269"/>
    </row>
    <row r="318">
      <c r="A318" s="269" t="str">
        <f>IFERROR(__xludf.DUMMYFUNCTION("""COMPUTED_VALUE"""),"")</f>
        <v/>
      </c>
      <c r="B318" s="269"/>
      <c r="C318" s="269"/>
      <c r="D318" s="269"/>
      <c r="E318" s="269"/>
      <c r="F318" s="269"/>
      <c r="G318" s="269"/>
      <c r="H318" s="269"/>
      <c r="I318" s="269"/>
      <c r="J318" s="269"/>
      <c r="K318" s="269"/>
      <c r="L318" s="269"/>
      <c r="M318" s="269"/>
      <c r="N318" s="269"/>
      <c r="O318" s="269"/>
      <c r="P318" s="269"/>
      <c r="Q318" s="269"/>
      <c r="R318" s="269"/>
      <c r="S318" s="269"/>
      <c r="T318" s="269"/>
      <c r="U318" s="269"/>
      <c r="V318" s="269"/>
      <c r="W318" s="269"/>
      <c r="X318" s="269"/>
      <c r="Y318" s="269"/>
      <c r="Z318" s="269"/>
    </row>
    <row r="319">
      <c r="A319" s="269" t="str">
        <f>IFERROR(__xludf.DUMMYFUNCTION("""COMPUTED_VALUE"""),"")</f>
        <v/>
      </c>
      <c r="B319" s="269"/>
      <c r="C319" s="269"/>
      <c r="D319" s="269"/>
      <c r="E319" s="269"/>
      <c r="F319" s="269"/>
      <c r="G319" s="269"/>
      <c r="H319" s="269"/>
      <c r="I319" s="269"/>
      <c r="J319" s="269"/>
      <c r="K319" s="269"/>
      <c r="L319" s="269"/>
      <c r="M319" s="269"/>
      <c r="N319" s="269"/>
      <c r="O319" s="269"/>
      <c r="P319" s="269"/>
      <c r="Q319" s="269"/>
      <c r="R319" s="269"/>
      <c r="S319" s="269"/>
      <c r="T319" s="269"/>
      <c r="U319" s="269"/>
      <c r="V319" s="269"/>
      <c r="W319" s="269"/>
      <c r="X319" s="269"/>
      <c r="Y319" s="269"/>
      <c r="Z319" s="269"/>
    </row>
    <row r="320">
      <c r="A320" s="269" t="str">
        <f>IFERROR(__xludf.DUMMYFUNCTION("""COMPUTED_VALUE"""),"")</f>
        <v/>
      </c>
      <c r="B320" s="269"/>
      <c r="C320" s="269"/>
      <c r="D320" s="269"/>
      <c r="E320" s="269"/>
      <c r="F320" s="269"/>
      <c r="G320" s="269"/>
      <c r="H320" s="269"/>
      <c r="I320" s="269"/>
      <c r="J320" s="269"/>
      <c r="K320" s="269"/>
      <c r="L320" s="269"/>
      <c r="M320" s="269"/>
      <c r="N320" s="269"/>
      <c r="O320" s="269"/>
      <c r="P320" s="269"/>
      <c r="Q320" s="269"/>
      <c r="R320" s="269"/>
      <c r="S320" s="269"/>
      <c r="T320" s="269"/>
      <c r="U320" s="269"/>
      <c r="V320" s="269"/>
      <c r="W320" s="269"/>
      <c r="X320" s="269"/>
      <c r="Y320" s="269"/>
      <c r="Z320" s="269"/>
    </row>
    <row r="321">
      <c r="A321" s="269" t="str">
        <f>IFERROR(__xludf.DUMMYFUNCTION("""COMPUTED_VALUE"""),"")</f>
        <v/>
      </c>
      <c r="B321" s="269"/>
      <c r="C321" s="269"/>
      <c r="D321" s="269"/>
      <c r="E321" s="269"/>
      <c r="F321" s="269"/>
      <c r="G321" s="269"/>
      <c r="H321" s="269"/>
      <c r="I321" s="269"/>
      <c r="J321" s="269"/>
      <c r="K321" s="269"/>
      <c r="L321" s="269"/>
      <c r="M321" s="269"/>
      <c r="N321" s="269"/>
      <c r="O321" s="269"/>
      <c r="P321" s="269"/>
      <c r="Q321" s="269"/>
      <c r="R321" s="269"/>
      <c r="S321" s="269"/>
      <c r="T321" s="269"/>
      <c r="U321" s="269"/>
      <c r="V321" s="269"/>
      <c r="W321" s="269"/>
      <c r="X321" s="269"/>
      <c r="Y321" s="269"/>
      <c r="Z321" s="269"/>
    </row>
    <row r="322">
      <c r="A322" s="269" t="str">
        <f>IFERROR(__xludf.DUMMYFUNCTION("""COMPUTED_VALUE"""),"")</f>
        <v/>
      </c>
      <c r="B322" s="269"/>
      <c r="C322" s="269"/>
      <c r="D322" s="269"/>
      <c r="E322" s="269"/>
      <c r="F322" s="269"/>
      <c r="G322" s="269"/>
      <c r="H322" s="269"/>
      <c r="I322" s="269"/>
      <c r="J322" s="269"/>
      <c r="K322" s="269"/>
      <c r="L322" s="269"/>
      <c r="M322" s="269"/>
      <c r="N322" s="269"/>
      <c r="O322" s="269"/>
      <c r="P322" s="269"/>
      <c r="Q322" s="269"/>
      <c r="R322" s="269"/>
      <c r="S322" s="269"/>
      <c r="T322" s="269"/>
      <c r="U322" s="269"/>
      <c r="V322" s="269"/>
      <c r="W322" s="269"/>
      <c r="X322" s="269"/>
      <c r="Y322" s="269"/>
      <c r="Z322" s="269"/>
    </row>
    <row r="323">
      <c r="A323" s="269" t="str">
        <f>IFERROR(__xludf.DUMMYFUNCTION("""COMPUTED_VALUE"""),"")</f>
        <v/>
      </c>
      <c r="B323" s="269"/>
      <c r="C323" s="269"/>
      <c r="D323" s="269"/>
      <c r="E323" s="269"/>
      <c r="F323" s="269"/>
      <c r="G323" s="269"/>
      <c r="H323" s="269"/>
      <c r="I323" s="269"/>
      <c r="J323" s="269"/>
      <c r="K323" s="269"/>
      <c r="L323" s="269"/>
      <c r="M323" s="269"/>
      <c r="N323" s="269"/>
      <c r="O323" s="269"/>
      <c r="P323" s="269"/>
      <c r="Q323" s="269"/>
      <c r="R323" s="269"/>
      <c r="S323" s="269"/>
      <c r="T323" s="269"/>
      <c r="U323" s="269"/>
      <c r="V323" s="269"/>
      <c r="W323" s="269"/>
      <c r="X323" s="269"/>
      <c r="Y323" s="269"/>
      <c r="Z323" s="269"/>
    </row>
    <row r="324">
      <c r="A324" s="269" t="str">
        <f>IFERROR(__xludf.DUMMYFUNCTION("""COMPUTED_VALUE"""),"")</f>
        <v/>
      </c>
      <c r="B324" s="269"/>
      <c r="C324" s="269"/>
      <c r="D324" s="269"/>
      <c r="E324" s="269"/>
      <c r="F324" s="269"/>
      <c r="G324" s="269"/>
      <c r="H324" s="269"/>
      <c r="I324" s="269"/>
      <c r="J324" s="269"/>
      <c r="K324" s="269"/>
      <c r="L324" s="269"/>
      <c r="M324" s="269"/>
      <c r="N324" s="269"/>
      <c r="O324" s="269"/>
      <c r="P324" s="269"/>
      <c r="Q324" s="269"/>
      <c r="R324" s="269"/>
      <c r="S324" s="269"/>
      <c r="T324" s="269"/>
      <c r="U324" s="269"/>
      <c r="V324" s="269"/>
      <c r="W324" s="269"/>
      <c r="X324" s="269"/>
      <c r="Y324" s="269"/>
      <c r="Z324" s="269"/>
    </row>
    <row r="325">
      <c r="A325" s="269" t="str">
        <f>IFERROR(__xludf.DUMMYFUNCTION("""COMPUTED_VALUE"""),"")</f>
        <v/>
      </c>
      <c r="B325" s="269"/>
      <c r="C325" s="269"/>
      <c r="D325" s="269"/>
      <c r="E325" s="269"/>
      <c r="F325" s="269"/>
      <c r="G325" s="269"/>
      <c r="H325" s="269"/>
      <c r="I325" s="269"/>
      <c r="J325" s="269"/>
      <c r="K325" s="269"/>
      <c r="L325" s="269"/>
      <c r="M325" s="269"/>
      <c r="N325" s="269"/>
      <c r="O325" s="269"/>
      <c r="P325" s="269"/>
      <c r="Q325" s="269"/>
      <c r="R325" s="269"/>
      <c r="S325" s="269"/>
      <c r="T325" s="269"/>
      <c r="U325" s="269"/>
      <c r="V325" s="269"/>
      <c r="W325" s="269"/>
      <c r="X325" s="269"/>
      <c r="Y325" s="269"/>
      <c r="Z325" s="269"/>
    </row>
    <row r="326">
      <c r="A326" s="269" t="str">
        <f>IFERROR(__xludf.DUMMYFUNCTION("""COMPUTED_VALUE"""),"")</f>
        <v/>
      </c>
      <c r="B326" s="269"/>
      <c r="C326" s="269"/>
      <c r="D326" s="269"/>
      <c r="E326" s="269"/>
      <c r="F326" s="269"/>
      <c r="G326" s="269"/>
      <c r="H326" s="269"/>
      <c r="I326" s="269"/>
      <c r="J326" s="269"/>
      <c r="K326" s="269"/>
      <c r="L326" s="269"/>
      <c r="M326" s="269"/>
      <c r="N326" s="269"/>
      <c r="O326" s="269"/>
      <c r="P326" s="269"/>
      <c r="Q326" s="269"/>
      <c r="R326" s="269"/>
      <c r="S326" s="269"/>
      <c r="T326" s="269"/>
      <c r="U326" s="269"/>
      <c r="V326" s="269"/>
      <c r="W326" s="269"/>
      <c r="X326" s="269"/>
      <c r="Y326" s="269"/>
      <c r="Z326" s="269"/>
    </row>
    <row r="327">
      <c r="A327" s="269" t="str">
        <f>IFERROR(__xludf.DUMMYFUNCTION("""COMPUTED_VALUE"""),"")</f>
        <v/>
      </c>
      <c r="B327" s="269"/>
      <c r="C327" s="269"/>
      <c r="D327" s="269"/>
      <c r="E327" s="269"/>
      <c r="F327" s="269"/>
      <c r="G327" s="269"/>
      <c r="H327" s="269"/>
      <c r="I327" s="269"/>
      <c r="J327" s="269"/>
      <c r="K327" s="269"/>
      <c r="L327" s="269"/>
      <c r="M327" s="269"/>
      <c r="N327" s="269"/>
      <c r="O327" s="269"/>
      <c r="P327" s="269"/>
      <c r="Q327" s="269"/>
      <c r="R327" s="269"/>
      <c r="S327" s="269"/>
      <c r="T327" s="269"/>
      <c r="U327" s="269"/>
      <c r="V327" s="269"/>
      <c r="W327" s="269"/>
      <c r="X327" s="269"/>
      <c r="Y327" s="269"/>
      <c r="Z327" s="269"/>
    </row>
    <row r="328">
      <c r="A328" s="269" t="str">
        <f>IFERROR(__xludf.DUMMYFUNCTION("""COMPUTED_VALUE"""),"")</f>
        <v/>
      </c>
      <c r="B328" s="269"/>
      <c r="C328" s="269"/>
      <c r="D328" s="269"/>
      <c r="E328" s="269"/>
      <c r="F328" s="269"/>
      <c r="G328" s="269"/>
      <c r="H328" s="269"/>
      <c r="I328" s="269"/>
      <c r="J328" s="269"/>
      <c r="K328" s="269"/>
      <c r="L328" s="269"/>
      <c r="M328" s="269"/>
      <c r="N328" s="269"/>
      <c r="O328" s="269"/>
      <c r="P328" s="269"/>
      <c r="Q328" s="269"/>
      <c r="R328" s="269"/>
      <c r="S328" s="269"/>
      <c r="T328" s="269"/>
      <c r="U328" s="269"/>
      <c r="V328" s="269"/>
      <c r="W328" s="269"/>
      <c r="X328" s="269"/>
      <c r="Y328" s="269"/>
      <c r="Z328" s="269"/>
    </row>
    <row r="329">
      <c r="A329" s="269" t="str">
        <f>IFERROR(__xludf.DUMMYFUNCTION("""COMPUTED_VALUE"""),"")</f>
        <v/>
      </c>
      <c r="B329" s="269"/>
      <c r="C329" s="269"/>
      <c r="D329" s="269"/>
      <c r="E329" s="269"/>
      <c r="F329" s="269"/>
      <c r="G329" s="269"/>
      <c r="H329" s="269"/>
      <c r="I329" s="269"/>
      <c r="J329" s="269"/>
      <c r="K329" s="269"/>
      <c r="L329" s="269"/>
      <c r="M329" s="269"/>
      <c r="N329" s="269"/>
      <c r="O329" s="269"/>
      <c r="P329" s="269"/>
      <c r="Q329" s="269"/>
      <c r="R329" s="269"/>
      <c r="S329" s="269"/>
      <c r="T329" s="269"/>
      <c r="U329" s="269"/>
      <c r="V329" s="269"/>
      <c r="W329" s="269"/>
      <c r="X329" s="269"/>
      <c r="Y329" s="269"/>
      <c r="Z329" s="269"/>
    </row>
    <row r="330">
      <c r="A330" s="269" t="str">
        <f>IFERROR(__xludf.DUMMYFUNCTION("""COMPUTED_VALUE"""),"")</f>
        <v/>
      </c>
      <c r="B330" s="269"/>
      <c r="C330" s="269"/>
      <c r="D330" s="269"/>
      <c r="E330" s="269"/>
      <c r="F330" s="269"/>
      <c r="G330" s="269"/>
      <c r="H330" s="269"/>
      <c r="I330" s="269"/>
      <c r="J330" s="269"/>
      <c r="K330" s="269"/>
      <c r="L330" s="269"/>
      <c r="M330" s="269"/>
      <c r="N330" s="269"/>
      <c r="O330" s="269"/>
      <c r="P330" s="269"/>
      <c r="Q330" s="269"/>
      <c r="R330" s="269"/>
      <c r="S330" s="269"/>
      <c r="T330" s="269"/>
      <c r="U330" s="269"/>
      <c r="V330" s="269"/>
      <c r="W330" s="269"/>
      <c r="X330" s="269"/>
      <c r="Y330" s="269"/>
      <c r="Z330" s="269"/>
    </row>
    <row r="331">
      <c r="A331" s="269" t="str">
        <f>IFERROR(__xludf.DUMMYFUNCTION("""COMPUTED_VALUE"""),"")</f>
        <v/>
      </c>
      <c r="B331" s="269"/>
      <c r="C331" s="269"/>
      <c r="D331" s="269"/>
      <c r="E331" s="269"/>
      <c r="F331" s="269"/>
      <c r="G331" s="269"/>
      <c r="H331" s="269"/>
      <c r="I331" s="269"/>
      <c r="J331" s="269"/>
      <c r="K331" s="269"/>
      <c r="L331" s="269"/>
      <c r="M331" s="269"/>
      <c r="N331" s="269"/>
      <c r="O331" s="269"/>
      <c r="P331" s="269"/>
      <c r="Q331" s="269"/>
      <c r="R331" s="269"/>
      <c r="S331" s="269"/>
      <c r="T331" s="269"/>
      <c r="U331" s="269"/>
      <c r="V331" s="269"/>
      <c r="W331" s="269"/>
      <c r="X331" s="269"/>
      <c r="Y331" s="269"/>
      <c r="Z331" s="269"/>
    </row>
    <row r="332">
      <c r="A332" s="269" t="str">
        <f>IFERROR(__xludf.DUMMYFUNCTION("""COMPUTED_VALUE"""),"")</f>
        <v/>
      </c>
      <c r="B332" s="269"/>
      <c r="C332" s="269"/>
      <c r="D332" s="269"/>
      <c r="E332" s="269"/>
      <c r="F332" s="269"/>
      <c r="G332" s="269"/>
      <c r="H332" s="269"/>
      <c r="I332" s="269"/>
      <c r="J332" s="269"/>
      <c r="K332" s="269"/>
      <c r="L332" s="269"/>
      <c r="M332" s="269"/>
      <c r="N332" s="269"/>
      <c r="O332" s="269"/>
      <c r="P332" s="269"/>
      <c r="Q332" s="269"/>
      <c r="R332" s="269"/>
      <c r="S332" s="269"/>
      <c r="T332" s="269"/>
      <c r="U332" s="269"/>
      <c r="V332" s="269"/>
      <c r="W332" s="269"/>
      <c r="X332" s="269"/>
      <c r="Y332" s="269"/>
      <c r="Z332" s="269"/>
    </row>
    <row r="333">
      <c r="A333" s="269" t="str">
        <f>IFERROR(__xludf.DUMMYFUNCTION("""COMPUTED_VALUE"""),"")</f>
        <v/>
      </c>
      <c r="B333" s="269"/>
      <c r="C333" s="269"/>
      <c r="D333" s="269"/>
      <c r="E333" s="269"/>
      <c r="F333" s="269"/>
      <c r="G333" s="269"/>
      <c r="H333" s="269"/>
      <c r="I333" s="269"/>
      <c r="J333" s="269"/>
      <c r="K333" s="269"/>
      <c r="L333" s="269"/>
      <c r="M333" s="269"/>
      <c r="N333" s="269"/>
      <c r="O333" s="269"/>
      <c r="P333" s="269"/>
      <c r="Q333" s="269"/>
      <c r="R333" s="269"/>
      <c r="S333" s="269"/>
      <c r="T333" s="269"/>
      <c r="U333" s="269"/>
      <c r="V333" s="269"/>
      <c r="W333" s="269"/>
      <c r="X333" s="269"/>
      <c r="Y333" s="269"/>
      <c r="Z333" s="269"/>
    </row>
    <row r="334">
      <c r="A334" s="269" t="str">
        <f>IFERROR(__xludf.DUMMYFUNCTION("""COMPUTED_VALUE"""),"")</f>
        <v/>
      </c>
      <c r="B334" s="269"/>
      <c r="C334" s="269"/>
      <c r="D334" s="269"/>
      <c r="E334" s="269"/>
      <c r="F334" s="269"/>
      <c r="G334" s="269"/>
      <c r="H334" s="269"/>
      <c r="I334" s="269"/>
      <c r="J334" s="269"/>
      <c r="K334" s="269"/>
      <c r="L334" s="269"/>
      <c r="M334" s="269"/>
      <c r="N334" s="269"/>
      <c r="O334" s="269"/>
      <c r="P334" s="269"/>
      <c r="Q334" s="269"/>
      <c r="R334" s="269"/>
      <c r="S334" s="269"/>
      <c r="T334" s="269"/>
      <c r="U334" s="269"/>
      <c r="V334" s="269"/>
      <c r="W334" s="269"/>
      <c r="X334" s="269"/>
      <c r="Y334" s="269"/>
      <c r="Z334" s="269"/>
    </row>
    <row r="335">
      <c r="A335" s="269" t="str">
        <f>IFERROR(__xludf.DUMMYFUNCTION("""COMPUTED_VALUE"""),"")</f>
        <v/>
      </c>
      <c r="B335" s="269"/>
      <c r="C335" s="269"/>
      <c r="D335" s="269"/>
      <c r="E335" s="269"/>
      <c r="F335" s="269"/>
      <c r="G335" s="269"/>
      <c r="H335" s="269"/>
      <c r="I335" s="269"/>
      <c r="J335" s="269"/>
      <c r="K335" s="269"/>
      <c r="L335" s="269"/>
      <c r="M335" s="269"/>
      <c r="N335" s="269"/>
      <c r="O335" s="269"/>
      <c r="P335" s="269"/>
      <c r="Q335" s="269"/>
      <c r="R335" s="269"/>
      <c r="S335" s="269"/>
      <c r="T335" s="269"/>
      <c r="U335" s="269"/>
      <c r="V335" s="269"/>
      <c r="W335" s="269"/>
      <c r="X335" s="269"/>
      <c r="Y335" s="269"/>
      <c r="Z335" s="269"/>
    </row>
    <row r="336">
      <c r="A336" s="269" t="str">
        <f>IFERROR(__xludf.DUMMYFUNCTION("""COMPUTED_VALUE"""),"")</f>
        <v/>
      </c>
      <c r="B336" s="269"/>
      <c r="C336" s="269"/>
      <c r="D336" s="269"/>
      <c r="E336" s="269"/>
      <c r="F336" s="269"/>
      <c r="G336" s="269"/>
      <c r="H336" s="269"/>
      <c r="I336" s="269"/>
      <c r="J336" s="269"/>
      <c r="K336" s="269"/>
      <c r="L336" s="269"/>
      <c r="M336" s="269"/>
      <c r="N336" s="269"/>
      <c r="O336" s="269"/>
      <c r="P336" s="269"/>
      <c r="Q336" s="269"/>
      <c r="R336" s="269"/>
      <c r="S336" s="269"/>
      <c r="T336" s="269"/>
      <c r="U336" s="269"/>
      <c r="V336" s="269"/>
      <c r="W336" s="269"/>
      <c r="X336" s="269"/>
      <c r="Y336" s="269"/>
      <c r="Z336" s="269"/>
    </row>
    <row r="337">
      <c r="A337" s="269" t="str">
        <f>IFERROR(__xludf.DUMMYFUNCTION("""COMPUTED_VALUE"""),"")</f>
        <v/>
      </c>
      <c r="B337" s="269"/>
      <c r="C337" s="269"/>
      <c r="D337" s="269"/>
      <c r="E337" s="269"/>
      <c r="F337" s="269"/>
      <c r="G337" s="269"/>
      <c r="H337" s="269"/>
      <c r="I337" s="269"/>
      <c r="J337" s="269"/>
      <c r="K337" s="269"/>
      <c r="L337" s="269"/>
      <c r="M337" s="269"/>
      <c r="N337" s="269"/>
      <c r="O337" s="269"/>
      <c r="P337" s="269"/>
      <c r="Q337" s="269"/>
      <c r="R337" s="269"/>
      <c r="S337" s="269"/>
      <c r="T337" s="269"/>
      <c r="U337" s="269"/>
      <c r="V337" s="269"/>
      <c r="W337" s="269"/>
      <c r="X337" s="269"/>
      <c r="Y337" s="269"/>
      <c r="Z337" s="269"/>
    </row>
    <row r="338">
      <c r="A338" s="269" t="str">
        <f>IFERROR(__xludf.DUMMYFUNCTION("""COMPUTED_VALUE"""),"")</f>
        <v/>
      </c>
      <c r="B338" s="269"/>
      <c r="C338" s="269"/>
      <c r="D338" s="269"/>
      <c r="E338" s="269"/>
      <c r="F338" s="269"/>
      <c r="G338" s="269"/>
      <c r="H338" s="269"/>
      <c r="I338" s="269"/>
      <c r="J338" s="269"/>
      <c r="K338" s="269"/>
      <c r="L338" s="269"/>
      <c r="M338" s="269"/>
      <c r="N338" s="269"/>
      <c r="O338" s="269"/>
      <c r="P338" s="269"/>
      <c r="Q338" s="269"/>
      <c r="R338" s="269"/>
      <c r="S338" s="269"/>
      <c r="T338" s="269"/>
      <c r="U338" s="269"/>
      <c r="V338" s="269"/>
      <c r="W338" s="269"/>
      <c r="X338" s="269"/>
      <c r="Y338" s="269"/>
      <c r="Z338" s="269"/>
    </row>
    <row r="339">
      <c r="A339" s="269" t="str">
        <f>IFERROR(__xludf.DUMMYFUNCTION("""COMPUTED_VALUE"""),"")</f>
        <v/>
      </c>
      <c r="B339" s="269"/>
      <c r="C339" s="269"/>
      <c r="D339" s="269"/>
      <c r="E339" s="269"/>
      <c r="F339" s="269"/>
      <c r="G339" s="269"/>
      <c r="H339" s="269"/>
      <c r="I339" s="269"/>
      <c r="J339" s="269"/>
      <c r="K339" s="269"/>
      <c r="L339" s="269"/>
      <c r="M339" s="269"/>
      <c r="N339" s="269"/>
      <c r="O339" s="269"/>
      <c r="P339" s="269"/>
      <c r="Q339" s="269"/>
      <c r="R339" s="269"/>
      <c r="S339" s="269"/>
      <c r="T339" s="269"/>
      <c r="U339" s="269"/>
      <c r="V339" s="269"/>
      <c r="W339" s="269"/>
      <c r="X339" s="269"/>
      <c r="Y339" s="269"/>
      <c r="Z339" s="269"/>
    </row>
    <row r="340">
      <c r="A340" s="269" t="str">
        <f>IFERROR(__xludf.DUMMYFUNCTION("""COMPUTED_VALUE"""),"")</f>
        <v/>
      </c>
      <c r="B340" s="269"/>
      <c r="C340" s="269"/>
      <c r="D340" s="269"/>
      <c r="E340" s="269"/>
      <c r="F340" s="269"/>
      <c r="G340" s="269"/>
      <c r="H340" s="269"/>
      <c r="I340" s="269"/>
      <c r="J340" s="269"/>
      <c r="K340" s="269"/>
      <c r="L340" s="269"/>
      <c r="M340" s="269"/>
      <c r="N340" s="269"/>
      <c r="O340" s="269"/>
      <c r="P340" s="269"/>
      <c r="Q340" s="269"/>
      <c r="R340" s="269"/>
      <c r="S340" s="269"/>
      <c r="T340" s="269"/>
      <c r="U340" s="269"/>
      <c r="V340" s="269"/>
      <c r="W340" s="269"/>
      <c r="X340" s="269"/>
      <c r="Y340" s="269"/>
      <c r="Z340" s="269"/>
    </row>
    <row r="341">
      <c r="A341" s="269" t="str">
        <f>IFERROR(__xludf.DUMMYFUNCTION("""COMPUTED_VALUE"""),"")</f>
        <v/>
      </c>
      <c r="B341" s="269"/>
      <c r="C341" s="269"/>
      <c r="D341" s="269"/>
      <c r="E341" s="269"/>
      <c r="F341" s="269"/>
      <c r="G341" s="269"/>
      <c r="H341" s="269"/>
      <c r="I341" s="269"/>
      <c r="J341" s="269"/>
      <c r="K341" s="269"/>
      <c r="L341" s="269"/>
      <c r="M341" s="269"/>
      <c r="N341" s="269"/>
      <c r="O341" s="269"/>
      <c r="P341" s="269"/>
      <c r="Q341" s="269"/>
      <c r="R341" s="269"/>
      <c r="S341" s="269"/>
      <c r="T341" s="269"/>
      <c r="U341" s="269"/>
      <c r="V341" s="269"/>
      <c r="W341" s="269"/>
      <c r="X341" s="269"/>
      <c r="Y341" s="269"/>
      <c r="Z341" s="269"/>
    </row>
    <row r="342">
      <c r="A342" s="269" t="str">
        <f>IFERROR(__xludf.DUMMYFUNCTION("""COMPUTED_VALUE"""),"")</f>
        <v/>
      </c>
      <c r="B342" s="269"/>
      <c r="C342" s="269"/>
      <c r="D342" s="269"/>
      <c r="E342" s="269"/>
      <c r="F342" s="269"/>
      <c r="G342" s="269"/>
      <c r="H342" s="269"/>
      <c r="I342" s="269"/>
      <c r="J342" s="269"/>
      <c r="K342" s="269"/>
      <c r="L342" s="269"/>
      <c r="M342" s="269"/>
      <c r="N342" s="269"/>
      <c r="O342" s="269"/>
      <c r="P342" s="269"/>
      <c r="Q342" s="269"/>
      <c r="R342" s="269"/>
      <c r="S342" s="269"/>
      <c r="T342" s="269"/>
      <c r="U342" s="269"/>
      <c r="V342" s="269"/>
      <c r="W342" s="269"/>
      <c r="X342" s="269"/>
      <c r="Y342" s="269"/>
      <c r="Z342" s="269"/>
    </row>
    <row r="343">
      <c r="A343" s="269" t="str">
        <f>IFERROR(__xludf.DUMMYFUNCTION("""COMPUTED_VALUE"""),"")</f>
        <v/>
      </c>
      <c r="B343" s="269"/>
      <c r="C343" s="269"/>
      <c r="D343" s="269"/>
      <c r="E343" s="269"/>
      <c r="F343" s="269"/>
      <c r="G343" s="269"/>
      <c r="H343" s="269"/>
      <c r="I343" s="269"/>
      <c r="J343" s="269"/>
      <c r="K343" s="269"/>
      <c r="L343" s="269"/>
      <c r="M343" s="269"/>
      <c r="N343" s="269"/>
      <c r="O343" s="269"/>
      <c r="P343" s="269"/>
      <c r="Q343" s="269"/>
      <c r="R343" s="269"/>
      <c r="S343" s="269"/>
      <c r="T343" s="269"/>
      <c r="U343" s="269"/>
      <c r="V343" s="269"/>
      <c r="W343" s="269"/>
      <c r="X343" s="269"/>
      <c r="Y343" s="269"/>
      <c r="Z343" s="269"/>
    </row>
    <row r="344">
      <c r="A344" s="269" t="str">
        <f>IFERROR(__xludf.DUMMYFUNCTION("""COMPUTED_VALUE"""),"")</f>
        <v/>
      </c>
      <c r="B344" s="269"/>
      <c r="C344" s="269"/>
      <c r="D344" s="269"/>
      <c r="E344" s="269"/>
      <c r="F344" s="269"/>
      <c r="G344" s="269"/>
      <c r="H344" s="269"/>
      <c r="I344" s="269"/>
      <c r="J344" s="269"/>
      <c r="K344" s="269"/>
      <c r="L344" s="269"/>
      <c r="M344" s="269"/>
      <c r="N344" s="269"/>
      <c r="O344" s="269"/>
      <c r="P344" s="269"/>
      <c r="Q344" s="269"/>
      <c r="R344" s="269"/>
      <c r="S344" s="269"/>
      <c r="T344" s="269"/>
      <c r="U344" s="269"/>
      <c r="V344" s="269"/>
      <c r="W344" s="269"/>
      <c r="X344" s="269"/>
      <c r="Y344" s="269"/>
      <c r="Z344" s="269"/>
    </row>
    <row r="345">
      <c r="A345" s="269" t="str">
        <f>IFERROR(__xludf.DUMMYFUNCTION("""COMPUTED_VALUE"""),"")</f>
        <v/>
      </c>
      <c r="B345" s="269"/>
      <c r="C345" s="269"/>
      <c r="D345" s="269"/>
      <c r="E345" s="269"/>
      <c r="F345" s="269"/>
      <c r="G345" s="269"/>
      <c r="H345" s="269"/>
      <c r="I345" s="269"/>
      <c r="J345" s="269"/>
      <c r="K345" s="269"/>
      <c r="L345" s="269"/>
      <c r="M345" s="269"/>
      <c r="N345" s="269"/>
      <c r="O345" s="269"/>
      <c r="P345" s="269"/>
      <c r="Q345" s="269"/>
      <c r="R345" s="269"/>
      <c r="S345" s="269"/>
      <c r="T345" s="269"/>
      <c r="U345" s="269"/>
      <c r="V345" s="269"/>
      <c r="W345" s="269"/>
      <c r="X345" s="269"/>
      <c r="Y345" s="269"/>
      <c r="Z345" s="269"/>
    </row>
    <row r="346">
      <c r="A346" s="269" t="str">
        <f>IFERROR(__xludf.DUMMYFUNCTION("""COMPUTED_VALUE"""),"")</f>
        <v/>
      </c>
      <c r="B346" s="269"/>
      <c r="C346" s="269"/>
      <c r="D346" s="269"/>
      <c r="E346" s="269"/>
      <c r="F346" s="269"/>
      <c r="G346" s="269"/>
      <c r="H346" s="269"/>
      <c r="I346" s="269"/>
      <c r="J346" s="269"/>
      <c r="K346" s="269"/>
      <c r="L346" s="269"/>
      <c r="M346" s="269"/>
      <c r="N346" s="269"/>
      <c r="O346" s="269"/>
      <c r="P346" s="269"/>
      <c r="Q346" s="269"/>
      <c r="R346" s="269"/>
      <c r="S346" s="269"/>
      <c r="T346" s="269"/>
      <c r="U346" s="269"/>
      <c r="V346" s="269"/>
      <c r="W346" s="269"/>
      <c r="X346" s="269"/>
      <c r="Y346" s="269"/>
      <c r="Z346" s="269"/>
    </row>
    <row r="347">
      <c r="A347" s="269" t="str">
        <f>IFERROR(__xludf.DUMMYFUNCTION("""COMPUTED_VALUE"""),"")</f>
        <v/>
      </c>
      <c r="B347" s="269"/>
      <c r="C347" s="269"/>
      <c r="D347" s="269"/>
      <c r="E347" s="269"/>
      <c r="F347" s="269"/>
      <c r="G347" s="269"/>
      <c r="H347" s="269"/>
      <c r="I347" s="269"/>
      <c r="J347" s="269"/>
      <c r="K347" s="269"/>
      <c r="L347" s="269"/>
      <c r="M347" s="269"/>
      <c r="N347" s="269"/>
      <c r="O347" s="269"/>
      <c r="P347" s="269"/>
      <c r="Q347" s="269"/>
      <c r="R347" s="269"/>
      <c r="S347" s="269"/>
      <c r="T347" s="269"/>
      <c r="U347" s="269"/>
      <c r="V347" s="269"/>
      <c r="W347" s="269"/>
      <c r="X347" s="269"/>
      <c r="Y347" s="269"/>
      <c r="Z347" s="269"/>
    </row>
    <row r="348">
      <c r="A348" s="269" t="str">
        <f>IFERROR(__xludf.DUMMYFUNCTION("""COMPUTED_VALUE"""),"")</f>
        <v/>
      </c>
      <c r="B348" s="269"/>
      <c r="C348" s="269"/>
      <c r="D348" s="269"/>
      <c r="E348" s="269"/>
      <c r="F348" s="269"/>
      <c r="G348" s="269"/>
      <c r="H348" s="269"/>
      <c r="I348" s="269"/>
      <c r="J348" s="269"/>
      <c r="K348" s="269"/>
      <c r="L348" s="269"/>
      <c r="M348" s="269"/>
      <c r="N348" s="269"/>
      <c r="O348" s="269"/>
      <c r="P348" s="269"/>
      <c r="Q348" s="269"/>
      <c r="R348" s="269"/>
      <c r="S348" s="269"/>
      <c r="T348" s="269"/>
      <c r="U348" s="269"/>
      <c r="V348" s="269"/>
      <c r="W348" s="269"/>
      <c r="X348" s="269"/>
      <c r="Y348" s="269"/>
      <c r="Z348" s="269"/>
    </row>
    <row r="349">
      <c r="A349" s="269" t="str">
        <f>IFERROR(__xludf.DUMMYFUNCTION("""COMPUTED_VALUE"""),"")</f>
        <v/>
      </c>
      <c r="B349" s="269"/>
      <c r="C349" s="269"/>
      <c r="D349" s="269"/>
      <c r="E349" s="269"/>
      <c r="F349" s="269"/>
      <c r="G349" s="269"/>
      <c r="H349" s="269"/>
      <c r="I349" s="269"/>
      <c r="J349" s="269"/>
      <c r="K349" s="269"/>
      <c r="L349" s="269"/>
      <c r="M349" s="269"/>
      <c r="N349" s="269"/>
      <c r="O349" s="269"/>
      <c r="P349" s="269"/>
      <c r="Q349" s="269"/>
      <c r="R349" s="269"/>
      <c r="S349" s="269"/>
      <c r="T349" s="269"/>
      <c r="U349" s="269"/>
      <c r="V349" s="269"/>
      <c r="W349" s="269"/>
      <c r="X349" s="269"/>
      <c r="Y349" s="269"/>
      <c r="Z349" s="269"/>
    </row>
    <row r="350">
      <c r="A350" s="269" t="str">
        <f>IFERROR(__xludf.DUMMYFUNCTION("""COMPUTED_VALUE"""),"")</f>
        <v/>
      </c>
      <c r="B350" s="269"/>
      <c r="C350" s="269"/>
      <c r="D350" s="269"/>
      <c r="E350" s="269"/>
      <c r="F350" s="269"/>
      <c r="G350" s="269"/>
      <c r="H350" s="269"/>
      <c r="I350" s="269"/>
      <c r="J350" s="269"/>
      <c r="K350" s="269"/>
      <c r="L350" s="269"/>
      <c r="M350" s="269"/>
      <c r="N350" s="269"/>
      <c r="O350" s="269"/>
      <c r="P350" s="269"/>
      <c r="Q350" s="269"/>
      <c r="R350" s="269"/>
      <c r="S350" s="269"/>
      <c r="T350" s="269"/>
      <c r="U350" s="269"/>
      <c r="V350" s="269"/>
      <c r="W350" s="269"/>
      <c r="X350" s="269"/>
      <c r="Y350" s="269"/>
      <c r="Z350" s="269"/>
    </row>
    <row r="351">
      <c r="A351" s="269" t="str">
        <f>IFERROR(__xludf.DUMMYFUNCTION("""COMPUTED_VALUE"""),"")</f>
        <v/>
      </c>
      <c r="B351" s="269"/>
      <c r="C351" s="269"/>
      <c r="D351" s="269"/>
      <c r="E351" s="269"/>
      <c r="F351" s="269"/>
      <c r="G351" s="269"/>
      <c r="H351" s="269"/>
      <c r="I351" s="269"/>
      <c r="J351" s="269"/>
      <c r="K351" s="269"/>
      <c r="L351" s="269"/>
      <c r="M351" s="269"/>
      <c r="N351" s="269"/>
      <c r="O351" s="269"/>
      <c r="P351" s="269"/>
      <c r="Q351" s="269"/>
      <c r="R351" s="269"/>
      <c r="S351" s="269"/>
      <c r="T351" s="269"/>
      <c r="U351" s="269"/>
      <c r="V351" s="269"/>
      <c r="W351" s="269"/>
      <c r="X351" s="269"/>
      <c r="Y351" s="269"/>
      <c r="Z351" s="269"/>
    </row>
    <row r="352">
      <c r="A352" s="269" t="str">
        <f>IFERROR(__xludf.DUMMYFUNCTION("""COMPUTED_VALUE"""),"")</f>
        <v/>
      </c>
      <c r="B352" s="269"/>
      <c r="C352" s="269"/>
      <c r="D352" s="269"/>
      <c r="E352" s="269"/>
      <c r="F352" s="269"/>
      <c r="G352" s="269"/>
      <c r="H352" s="269"/>
      <c r="I352" s="269"/>
      <c r="J352" s="269"/>
      <c r="K352" s="269"/>
      <c r="L352" s="269"/>
      <c r="M352" s="269"/>
      <c r="N352" s="269"/>
      <c r="O352" s="269"/>
      <c r="P352" s="269"/>
      <c r="Q352" s="269"/>
      <c r="R352" s="269"/>
      <c r="S352" s="269"/>
      <c r="T352" s="269"/>
      <c r="U352" s="269"/>
      <c r="V352" s="269"/>
      <c r="W352" s="269"/>
      <c r="X352" s="269"/>
      <c r="Y352" s="269"/>
      <c r="Z352" s="269"/>
    </row>
    <row r="353">
      <c r="A353" s="269" t="str">
        <f>IFERROR(__xludf.DUMMYFUNCTION("""COMPUTED_VALUE"""),"")</f>
        <v/>
      </c>
      <c r="B353" s="269"/>
      <c r="C353" s="269"/>
      <c r="D353" s="269"/>
      <c r="E353" s="269"/>
      <c r="F353" s="269"/>
      <c r="G353" s="269"/>
      <c r="H353" s="269"/>
      <c r="I353" s="269"/>
      <c r="J353" s="269"/>
      <c r="K353" s="269"/>
      <c r="L353" s="269"/>
      <c r="M353" s="269"/>
      <c r="N353" s="269"/>
      <c r="O353" s="269"/>
      <c r="P353" s="269"/>
      <c r="Q353" s="269"/>
      <c r="R353" s="269"/>
      <c r="S353" s="269"/>
      <c r="T353" s="269"/>
      <c r="U353" s="269"/>
      <c r="V353" s="269"/>
      <c r="W353" s="269"/>
      <c r="X353" s="269"/>
      <c r="Y353" s="269"/>
      <c r="Z353" s="269"/>
    </row>
    <row r="354">
      <c r="A354" s="269" t="str">
        <f>IFERROR(__xludf.DUMMYFUNCTION("""COMPUTED_VALUE"""),"")</f>
        <v/>
      </c>
      <c r="B354" s="269"/>
      <c r="C354" s="269"/>
      <c r="D354" s="269"/>
      <c r="E354" s="269"/>
      <c r="F354" s="269"/>
      <c r="G354" s="269"/>
      <c r="H354" s="269"/>
      <c r="I354" s="269"/>
      <c r="J354" s="269"/>
      <c r="K354" s="269"/>
      <c r="L354" s="269"/>
      <c r="M354" s="269"/>
      <c r="N354" s="269"/>
      <c r="O354" s="269"/>
      <c r="P354" s="269"/>
      <c r="Q354" s="269"/>
      <c r="R354" s="269"/>
      <c r="S354" s="269"/>
      <c r="T354" s="269"/>
      <c r="U354" s="269"/>
      <c r="V354" s="269"/>
      <c r="W354" s="269"/>
      <c r="X354" s="269"/>
      <c r="Y354" s="269"/>
      <c r="Z354" s="269"/>
    </row>
    <row r="355">
      <c r="A355" s="269" t="str">
        <f>IFERROR(__xludf.DUMMYFUNCTION("""COMPUTED_VALUE"""),"")</f>
        <v/>
      </c>
      <c r="B355" s="269"/>
      <c r="C355" s="269"/>
      <c r="D355" s="269"/>
      <c r="E355" s="269"/>
      <c r="F355" s="269"/>
      <c r="G355" s="269"/>
      <c r="H355" s="269"/>
      <c r="I355" s="269"/>
      <c r="J355" s="269"/>
      <c r="K355" s="269"/>
      <c r="L355" s="269"/>
      <c r="M355" s="269"/>
      <c r="N355" s="269"/>
      <c r="O355" s="269"/>
      <c r="P355" s="269"/>
      <c r="Q355" s="269"/>
      <c r="R355" s="269"/>
      <c r="S355" s="269"/>
      <c r="T355" s="269"/>
      <c r="U355" s="269"/>
      <c r="V355" s="269"/>
      <c r="W355" s="269"/>
      <c r="X355" s="269"/>
      <c r="Y355" s="269"/>
      <c r="Z355" s="269"/>
    </row>
    <row r="356">
      <c r="A356" s="269" t="str">
        <f>IFERROR(__xludf.DUMMYFUNCTION("""COMPUTED_VALUE"""),"")</f>
        <v/>
      </c>
      <c r="B356" s="269"/>
      <c r="C356" s="269"/>
      <c r="D356" s="269"/>
      <c r="E356" s="269"/>
      <c r="F356" s="269"/>
      <c r="G356" s="269"/>
      <c r="H356" s="269"/>
      <c r="I356" s="269"/>
      <c r="J356" s="269"/>
      <c r="K356" s="269"/>
      <c r="L356" s="269"/>
      <c r="M356" s="269"/>
      <c r="N356" s="269"/>
      <c r="O356" s="269"/>
      <c r="P356" s="269"/>
      <c r="Q356" s="269"/>
      <c r="R356" s="269"/>
      <c r="S356" s="269"/>
      <c r="T356" s="269"/>
      <c r="U356" s="269"/>
      <c r="V356" s="269"/>
      <c r="W356" s="269"/>
      <c r="X356" s="269"/>
      <c r="Y356" s="269"/>
      <c r="Z356" s="269"/>
    </row>
    <row r="357">
      <c r="A357" s="269" t="str">
        <f>IFERROR(__xludf.DUMMYFUNCTION("""COMPUTED_VALUE"""),"")</f>
        <v/>
      </c>
      <c r="B357" s="269"/>
      <c r="C357" s="269"/>
      <c r="D357" s="269"/>
      <c r="E357" s="269"/>
      <c r="F357" s="269"/>
      <c r="G357" s="269"/>
      <c r="H357" s="269"/>
      <c r="I357" s="269"/>
      <c r="J357" s="269"/>
      <c r="K357" s="269"/>
      <c r="L357" s="269"/>
      <c r="M357" s="269"/>
      <c r="N357" s="269"/>
      <c r="O357" s="269"/>
      <c r="P357" s="269"/>
      <c r="Q357" s="269"/>
      <c r="R357" s="269"/>
      <c r="S357" s="269"/>
      <c r="T357" s="269"/>
      <c r="U357" s="269"/>
      <c r="V357" s="269"/>
      <c r="W357" s="269"/>
      <c r="X357" s="269"/>
      <c r="Y357" s="269"/>
      <c r="Z357" s="269"/>
    </row>
    <row r="358">
      <c r="A358" s="269" t="str">
        <f>IFERROR(__xludf.DUMMYFUNCTION("""COMPUTED_VALUE"""),"")</f>
        <v/>
      </c>
      <c r="B358" s="269"/>
      <c r="C358" s="269"/>
      <c r="D358" s="269"/>
      <c r="E358" s="269"/>
      <c r="F358" s="269"/>
      <c r="G358" s="269"/>
      <c r="H358" s="269"/>
      <c r="I358" s="269"/>
      <c r="J358" s="269"/>
      <c r="K358" s="269"/>
      <c r="L358" s="269"/>
      <c r="M358" s="269"/>
      <c r="N358" s="269"/>
      <c r="O358" s="269"/>
      <c r="P358" s="269"/>
      <c r="Q358" s="269"/>
      <c r="R358" s="269"/>
      <c r="S358" s="269"/>
      <c r="T358" s="269"/>
      <c r="U358" s="269"/>
      <c r="V358" s="269"/>
      <c r="W358" s="269"/>
      <c r="X358" s="269"/>
      <c r="Y358" s="269"/>
      <c r="Z358" s="269"/>
    </row>
    <row r="359">
      <c r="A359" s="269" t="str">
        <f>IFERROR(__xludf.DUMMYFUNCTION("""COMPUTED_VALUE"""),"")</f>
        <v/>
      </c>
      <c r="B359" s="269"/>
      <c r="C359" s="269"/>
      <c r="D359" s="269"/>
      <c r="E359" s="269"/>
      <c r="F359" s="269"/>
      <c r="G359" s="269"/>
      <c r="H359" s="269"/>
      <c r="I359" s="269"/>
      <c r="J359" s="269"/>
      <c r="K359" s="269"/>
      <c r="L359" s="269"/>
      <c r="M359" s="269"/>
      <c r="N359" s="269"/>
      <c r="O359" s="269"/>
      <c r="P359" s="269"/>
      <c r="Q359" s="269"/>
      <c r="R359" s="269"/>
      <c r="S359" s="269"/>
      <c r="T359" s="269"/>
      <c r="U359" s="269"/>
      <c r="V359" s="269"/>
      <c r="W359" s="269"/>
      <c r="X359" s="269"/>
      <c r="Y359" s="269"/>
      <c r="Z359" s="269"/>
    </row>
    <row r="360">
      <c r="A360" s="269" t="str">
        <f>IFERROR(__xludf.DUMMYFUNCTION("""COMPUTED_VALUE"""),"")</f>
        <v/>
      </c>
      <c r="B360" s="269"/>
      <c r="C360" s="269"/>
      <c r="D360" s="269"/>
      <c r="E360" s="269"/>
      <c r="F360" s="269"/>
      <c r="G360" s="269"/>
      <c r="H360" s="269"/>
      <c r="I360" s="269"/>
      <c r="J360" s="269"/>
      <c r="K360" s="269"/>
      <c r="L360" s="269"/>
      <c r="M360" s="269"/>
      <c r="N360" s="269"/>
      <c r="O360" s="269"/>
      <c r="P360" s="269"/>
      <c r="Q360" s="269"/>
      <c r="R360" s="269"/>
      <c r="S360" s="269"/>
      <c r="T360" s="269"/>
      <c r="U360" s="269"/>
      <c r="V360" s="269"/>
      <c r="W360" s="269"/>
      <c r="X360" s="269"/>
      <c r="Y360" s="269"/>
      <c r="Z360" s="269"/>
    </row>
    <row r="361">
      <c r="A361" s="269" t="str">
        <f>IFERROR(__xludf.DUMMYFUNCTION("""COMPUTED_VALUE"""),"")</f>
        <v/>
      </c>
      <c r="B361" s="269"/>
      <c r="C361" s="269"/>
      <c r="D361" s="269"/>
      <c r="E361" s="269"/>
      <c r="F361" s="269"/>
      <c r="G361" s="269"/>
      <c r="H361" s="269"/>
      <c r="I361" s="269"/>
      <c r="J361" s="269"/>
      <c r="K361" s="269"/>
      <c r="L361" s="269"/>
      <c r="M361" s="269"/>
      <c r="N361" s="269"/>
      <c r="O361" s="269"/>
      <c r="P361" s="269"/>
      <c r="Q361" s="269"/>
      <c r="R361" s="269"/>
      <c r="S361" s="269"/>
      <c r="T361" s="269"/>
      <c r="U361" s="269"/>
      <c r="V361" s="269"/>
      <c r="W361" s="269"/>
      <c r="X361" s="269"/>
      <c r="Y361" s="269"/>
      <c r="Z361" s="269"/>
    </row>
    <row r="362">
      <c r="A362" s="269" t="str">
        <f>IFERROR(__xludf.DUMMYFUNCTION("""COMPUTED_VALUE"""),"")</f>
        <v/>
      </c>
      <c r="B362" s="269"/>
      <c r="C362" s="269"/>
      <c r="D362" s="269"/>
      <c r="E362" s="269"/>
      <c r="F362" s="269"/>
      <c r="G362" s="269"/>
      <c r="H362" s="269"/>
      <c r="I362" s="269"/>
      <c r="J362" s="269"/>
      <c r="K362" s="269"/>
      <c r="L362" s="269"/>
      <c r="M362" s="269"/>
      <c r="N362" s="269"/>
      <c r="O362" s="269"/>
      <c r="P362" s="269"/>
      <c r="Q362" s="269"/>
      <c r="R362" s="269"/>
      <c r="S362" s="269"/>
      <c r="T362" s="269"/>
      <c r="U362" s="269"/>
      <c r="V362" s="269"/>
      <c r="W362" s="269"/>
      <c r="X362" s="269"/>
      <c r="Y362" s="269"/>
      <c r="Z362" s="269"/>
    </row>
    <row r="363">
      <c r="A363" s="269" t="str">
        <f>IFERROR(__xludf.DUMMYFUNCTION("""COMPUTED_VALUE"""),"")</f>
        <v/>
      </c>
      <c r="B363" s="269"/>
      <c r="C363" s="269"/>
      <c r="D363" s="269"/>
      <c r="E363" s="269"/>
      <c r="F363" s="269"/>
      <c r="G363" s="269"/>
      <c r="H363" s="269"/>
      <c r="I363" s="269"/>
      <c r="J363" s="269"/>
      <c r="K363" s="269"/>
      <c r="L363" s="269"/>
      <c r="M363" s="269"/>
      <c r="N363" s="269"/>
      <c r="O363" s="269"/>
      <c r="P363" s="269"/>
      <c r="Q363" s="269"/>
      <c r="R363" s="269"/>
      <c r="S363" s="269"/>
      <c r="T363" s="269"/>
      <c r="U363" s="269"/>
      <c r="V363" s="269"/>
      <c r="W363" s="269"/>
      <c r="X363" s="269"/>
      <c r="Y363" s="269"/>
      <c r="Z363" s="269"/>
    </row>
    <row r="364">
      <c r="A364" s="269" t="str">
        <f>IFERROR(__xludf.DUMMYFUNCTION("""COMPUTED_VALUE"""),"")</f>
        <v/>
      </c>
      <c r="B364" s="269"/>
      <c r="C364" s="269"/>
      <c r="D364" s="269"/>
      <c r="E364" s="269"/>
      <c r="F364" s="269"/>
      <c r="G364" s="269"/>
      <c r="H364" s="269"/>
      <c r="I364" s="269"/>
      <c r="J364" s="269"/>
      <c r="K364" s="269"/>
      <c r="L364" s="269"/>
      <c r="M364" s="269"/>
      <c r="N364" s="269"/>
      <c r="O364" s="269"/>
      <c r="P364" s="269"/>
      <c r="Q364" s="269"/>
      <c r="R364" s="269"/>
      <c r="S364" s="269"/>
      <c r="T364" s="269"/>
      <c r="U364" s="269"/>
      <c r="V364" s="269"/>
      <c r="W364" s="269"/>
      <c r="X364" s="269"/>
      <c r="Y364" s="269"/>
      <c r="Z364" s="269"/>
    </row>
    <row r="365">
      <c r="A365" s="269" t="str">
        <f>IFERROR(__xludf.DUMMYFUNCTION("""COMPUTED_VALUE"""),"")</f>
        <v/>
      </c>
      <c r="B365" s="269"/>
      <c r="C365" s="269"/>
      <c r="D365" s="269"/>
      <c r="E365" s="269"/>
      <c r="F365" s="269"/>
      <c r="G365" s="269"/>
      <c r="H365" s="269"/>
      <c r="I365" s="269"/>
      <c r="J365" s="269"/>
      <c r="K365" s="269"/>
      <c r="L365" s="269"/>
      <c r="M365" s="269"/>
      <c r="N365" s="269"/>
      <c r="O365" s="269"/>
      <c r="P365" s="269"/>
      <c r="Q365" s="269"/>
      <c r="R365" s="269"/>
      <c r="S365" s="269"/>
      <c r="T365" s="269"/>
      <c r="U365" s="269"/>
      <c r="V365" s="269"/>
      <c r="W365" s="269"/>
      <c r="X365" s="269"/>
      <c r="Y365" s="269"/>
      <c r="Z365" s="269"/>
    </row>
    <row r="366">
      <c r="A366" s="269" t="str">
        <f>IFERROR(__xludf.DUMMYFUNCTION("""COMPUTED_VALUE"""),"")</f>
        <v/>
      </c>
      <c r="B366" s="269"/>
      <c r="C366" s="269"/>
      <c r="D366" s="269"/>
      <c r="E366" s="269"/>
      <c r="F366" s="269"/>
      <c r="G366" s="269"/>
      <c r="H366" s="269"/>
      <c r="I366" s="269"/>
      <c r="J366" s="269"/>
      <c r="K366" s="269"/>
      <c r="L366" s="269"/>
      <c r="M366" s="269"/>
      <c r="N366" s="269"/>
      <c r="O366" s="269"/>
      <c r="P366" s="269"/>
      <c r="Q366" s="269"/>
      <c r="R366" s="269"/>
      <c r="S366" s="269"/>
      <c r="T366" s="269"/>
      <c r="U366" s="269"/>
      <c r="V366" s="269"/>
      <c r="W366" s="269"/>
      <c r="X366" s="269"/>
      <c r="Y366" s="269"/>
      <c r="Z366" s="269"/>
    </row>
    <row r="367">
      <c r="A367" s="269" t="str">
        <f>IFERROR(__xludf.DUMMYFUNCTION("""COMPUTED_VALUE"""),"")</f>
        <v/>
      </c>
      <c r="B367" s="269"/>
      <c r="C367" s="269"/>
      <c r="D367" s="269"/>
      <c r="E367" s="269"/>
      <c r="F367" s="269"/>
      <c r="G367" s="269"/>
      <c r="H367" s="269"/>
      <c r="I367" s="269"/>
      <c r="J367" s="269"/>
      <c r="K367" s="269"/>
      <c r="L367" s="269"/>
      <c r="M367" s="269"/>
      <c r="N367" s="269"/>
      <c r="O367" s="269"/>
      <c r="P367" s="269"/>
      <c r="Q367" s="269"/>
      <c r="R367" s="269"/>
      <c r="S367" s="269"/>
      <c r="T367" s="269"/>
      <c r="U367" s="269"/>
      <c r="V367" s="269"/>
      <c r="W367" s="269"/>
      <c r="X367" s="269"/>
      <c r="Y367" s="269"/>
      <c r="Z367" s="269"/>
    </row>
    <row r="368">
      <c r="A368" s="269" t="str">
        <f>IFERROR(__xludf.DUMMYFUNCTION("""COMPUTED_VALUE"""),"")</f>
        <v/>
      </c>
      <c r="B368" s="269"/>
      <c r="C368" s="269"/>
      <c r="D368" s="269"/>
      <c r="E368" s="269"/>
      <c r="F368" s="269"/>
      <c r="G368" s="269"/>
      <c r="H368" s="269"/>
      <c r="I368" s="269"/>
      <c r="J368" s="269"/>
      <c r="K368" s="269"/>
      <c r="L368" s="269"/>
      <c r="M368" s="269"/>
      <c r="N368" s="269"/>
      <c r="O368" s="269"/>
      <c r="P368" s="269"/>
      <c r="Q368" s="269"/>
      <c r="R368" s="269"/>
      <c r="S368" s="269"/>
      <c r="T368" s="269"/>
      <c r="U368" s="269"/>
      <c r="V368" s="269"/>
      <c r="W368" s="269"/>
      <c r="X368" s="269"/>
      <c r="Y368" s="269"/>
      <c r="Z368" s="269"/>
    </row>
    <row r="369">
      <c r="A369" s="269" t="str">
        <f>IFERROR(__xludf.DUMMYFUNCTION("""COMPUTED_VALUE"""),"")</f>
        <v/>
      </c>
      <c r="B369" s="269"/>
      <c r="C369" s="269"/>
      <c r="D369" s="269"/>
      <c r="E369" s="269"/>
      <c r="F369" s="269"/>
      <c r="G369" s="269"/>
      <c r="H369" s="269"/>
      <c r="I369" s="269"/>
      <c r="J369" s="269"/>
      <c r="K369" s="269"/>
      <c r="L369" s="269"/>
      <c r="M369" s="269"/>
      <c r="N369" s="269"/>
      <c r="O369" s="269"/>
      <c r="P369" s="269"/>
      <c r="Q369" s="269"/>
      <c r="R369" s="269"/>
      <c r="S369" s="269"/>
      <c r="T369" s="269"/>
      <c r="U369" s="269"/>
      <c r="V369" s="269"/>
      <c r="W369" s="269"/>
      <c r="X369" s="269"/>
      <c r="Y369" s="269"/>
      <c r="Z369" s="269"/>
    </row>
    <row r="370">
      <c r="A370" s="269" t="str">
        <f>IFERROR(__xludf.DUMMYFUNCTION("""COMPUTED_VALUE"""),"")</f>
        <v/>
      </c>
      <c r="B370" s="269"/>
      <c r="C370" s="269"/>
      <c r="D370" s="269"/>
      <c r="E370" s="269"/>
      <c r="F370" s="269"/>
      <c r="G370" s="269"/>
      <c r="H370" s="269"/>
      <c r="I370" s="269"/>
      <c r="J370" s="269"/>
      <c r="K370" s="269"/>
      <c r="L370" s="269"/>
      <c r="M370" s="269"/>
      <c r="N370" s="269"/>
      <c r="O370" s="269"/>
      <c r="P370" s="269"/>
      <c r="Q370" s="269"/>
      <c r="R370" s="269"/>
      <c r="S370" s="269"/>
      <c r="T370" s="269"/>
      <c r="U370" s="269"/>
      <c r="V370" s="269"/>
      <c r="W370" s="269"/>
      <c r="X370" s="269"/>
      <c r="Y370" s="269"/>
      <c r="Z370" s="269"/>
    </row>
    <row r="371">
      <c r="A371" s="269" t="str">
        <f>IFERROR(__xludf.DUMMYFUNCTION("""COMPUTED_VALUE"""),"")</f>
        <v/>
      </c>
      <c r="B371" s="269"/>
      <c r="C371" s="269"/>
      <c r="D371" s="269"/>
      <c r="E371" s="269"/>
      <c r="F371" s="269"/>
      <c r="G371" s="269"/>
      <c r="H371" s="269"/>
      <c r="I371" s="269"/>
      <c r="J371" s="269"/>
      <c r="K371" s="269"/>
      <c r="L371" s="269"/>
      <c r="M371" s="269"/>
      <c r="N371" s="269"/>
      <c r="O371" s="269"/>
      <c r="P371" s="269"/>
      <c r="Q371" s="269"/>
      <c r="R371" s="269"/>
      <c r="S371" s="269"/>
      <c r="T371" s="269"/>
      <c r="U371" s="269"/>
      <c r="V371" s="269"/>
      <c r="W371" s="269"/>
      <c r="X371" s="269"/>
      <c r="Y371" s="269"/>
      <c r="Z371" s="269"/>
    </row>
    <row r="372">
      <c r="A372" s="269" t="str">
        <f>IFERROR(__xludf.DUMMYFUNCTION("""COMPUTED_VALUE"""),"")</f>
        <v/>
      </c>
      <c r="B372" s="269"/>
      <c r="C372" s="269"/>
      <c r="D372" s="269"/>
      <c r="E372" s="269"/>
      <c r="F372" s="269"/>
      <c r="G372" s="269"/>
      <c r="H372" s="269"/>
      <c r="I372" s="269"/>
      <c r="J372" s="269"/>
      <c r="K372" s="269"/>
      <c r="L372" s="269"/>
      <c r="M372" s="269"/>
      <c r="N372" s="269"/>
      <c r="O372" s="269"/>
      <c r="P372" s="269"/>
      <c r="Q372" s="269"/>
      <c r="R372" s="269"/>
      <c r="S372" s="269"/>
      <c r="T372" s="269"/>
      <c r="U372" s="269"/>
      <c r="V372" s="269"/>
      <c r="W372" s="269"/>
      <c r="X372" s="269"/>
      <c r="Y372" s="269"/>
      <c r="Z372" s="269"/>
    </row>
    <row r="373">
      <c r="A373" s="269" t="str">
        <f>IFERROR(__xludf.DUMMYFUNCTION("""COMPUTED_VALUE"""),"")</f>
        <v/>
      </c>
      <c r="B373" s="269"/>
      <c r="C373" s="269"/>
      <c r="D373" s="269"/>
      <c r="E373" s="269"/>
      <c r="F373" s="269"/>
      <c r="G373" s="269"/>
      <c r="H373" s="269"/>
      <c r="I373" s="269"/>
      <c r="J373" s="269"/>
      <c r="K373" s="269"/>
      <c r="L373" s="269"/>
      <c r="M373" s="269"/>
      <c r="N373" s="269"/>
      <c r="O373" s="269"/>
      <c r="P373" s="269"/>
      <c r="Q373" s="269"/>
      <c r="R373" s="269"/>
      <c r="S373" s="269"/>
      <c r="T373" s="269"/>
      <c r="U373" s="269"/>
      <c r="V373" s="269"/>
      <c r="W373" s="269"/>
      <c r="X373" s="269"/>
      <c r="Y373" s="269"/>
      <c r="Z373" s="269"/>
    </row>
    <row r="374">
      <c r="A374" s="269" t="str">
        <f>IFERROR(__xludf.DUMMYFUNCTION("""COMPUTED_VALUE"""),"")</f>
        <v/>
      </c>
      <c r="B374" s="269"/>
      <c r="C374" s="269"/>
      <c r="D374" s="269"/>
      <c r="E374" s="269"/>
      <c r="F374" s="269"/>
      <c r="G374" s="269"/>
      <c r="H374" s="269"/>
      <c r="I374" s="269"/>
      <c r="J374" s="269"/>
      <c r="K374" s="269"/>
      <c r="L374" s="269"/>
      <c r="M374" s="269"/>
      <c r="N374" s="269"/>
      <c r="O374" s="269"/>
      <c r="P374" s="269"/>
      <c r="Q374" s="269"/>
      <c r="R374" s="269"/>
      <c r="S374" s="269"/>
      <c r="T374" s="269"/>
      <c r="U374" s="269"/>
      <c r="V374" s="269"/>
      <c r="W374" s="269"/>
      <c r="X374" s="269"/>
      <c r="Y374" s="269"/>
      <c r="Z374" s="269"/>
    </row>
    <row r="375">
      <c r="A375" s="269" t="str">
        <f>IFERROR(__xludf.DUMMYFUNCTION("""COMPUTED_VALUE"""),"")</f>
        <v/>
      </c>
      <c r="B375" s="269"/>
      <c r="C375" s="269"/>
      <c r="D375" s="269"/>
      <c r="E375" s="269"/>
      <c r="F375" s="269"/>
      <c r="G375" s="269"/>
      <c r="H375" s="269"/>
      <c r="I375" s="269"/>
      <c r="J375" s="269"/>
      <c r="K375" s="269"/>
      <c r="L375" s="269"/>
      <c r="M375" s="269"/>
      <c r="N375" s="269"/>
      <c r="O375" s="269"/>
      <c r="P375" s="269"/>
      <c r="Q375" s="269"/>
      <c r="R375" s="269"/>
      <c r="S375" s="269"/>
      <c r="T375" s="269"/>
      <c r="U375" s="269"/>
      <c r="V375" s="269"/>
      <c r="W375" s="269"/>
      <c r="X375" s="269"/>
      <c r="Y375" s="269"/>
      <c r="Z375" s="269"/>
    </row>
    <row r="376">
      <c r="A376" s="269" t="str">
        <f>IFERROR(__xludf.DUMMYFUNCTION("""COMPUTED_VALUE"""),"")</f>
        <v/>
      </c>
      <c r="B376" s="269"/>
      <c r="C376" s="269"/>
      <c r="D376" s="269"/>
      <c r="E376" s="269"/>
      <c r="F376" s="269"/>
      <c r="G376" s="269"/>
      <c r="H376" s="269"/>
      <c r="I376" s="269"/>
      <c r="J376" s="269"/>
      <c r="K376" s="269"/>
      <c r="L376" s="269"/>
      <c r="M376" s="269"/>
      <c r="N376" s="269"/>
      <c r="O376" s="269"/>
      <c r="P376" s="269"/>
      <c r="Q376" s="269"/>
      <c r="R376" s="269"/>
      <c r="S376" s="269"/>
      <c r="T376" s="269"/>
      <c r="U376" s="269"/>
      <c r="V376" s="269"/>
      <c r="W376" s="269"/>
      <c r="X376" s="269"/>
      <c r="Y376" s="269"/>
      <c r="Z376" s="269"/>
    </row>
    <row r="377">
      <c r="A377" s="269" t="str">
        <f>IFERROR(__xludf.DUMMYFUNCTION("""COMPUTED_VALUE"""),"")</f>
        <v/>
      </c>
      <c r="B377" s="269"/>
      <c r="C377" s="269"/>
      <c r="D377" s="269"/>
      <c r="E377" s="269"/>
      <c r="F377" s="269"/>
      <c r="G377" s="269"/>
      <c r="H377" s="269"/>
      <c r="I377" s="269"/>
      <c r="J377" s="269"/>
      <c r="K377" s="269"/>
      <c r="L377" s="269"/>
      <c r="M377" s="269"/>
      <c r="N377" s="269"/>
      <c r="O377" s="269"/>
      <c r="P377" s="269"/>
      <c r="Q377" s="269"/>
      <c r="R377" s="269"/>
      <c r="S377" s="269"/>
      <c r="T377" s="269"/>
      <c r="U377" s="269"/>
      <c r="V377" s="269"/>
      <c r="W377" s="269"/>
      <c r="X377" s="269"/>
      <c r="Y377" s="269"/>
      <c r="Z377" s="269"/>
    </row>
    <row r="378">
      <c r="A378" s="269" t="str">
        <f>IFERROR(__xludf.DUMMYFUNCTION("""COMPUTED_VALUE"""),"")</f>
        <v/>
      </c>
      <c r="B378" s="269"/>
      <c r="C378" s="269"/>
      <c r="D378" s="269"/>
      <c r="E378" s="269"/>
      <c r="F378" s="269"/>
      <c r="G378" s="269"/>
      <c r="H378" s="269"/>
      <c r="I378" s="269"/>
      <c r="J378" s="269"/>
      <c r="K378" s="269"/>
      <c r="L378" s="269"/>
      <c r="M378" s="269"/>
      <c r="N378" s="269"/>
      <c r="O378" s="269"/>
      <c r="P378" s="269"/>
      <c r="Q378" s="269"/>
      <c r="R378" s="269"/>
      <c r="S378" s="269"/>
      <c r="T378" s="269"/>
      <c r="U378" s="269"/>
      <c r="V378" s="269"/>
      <c r="W378" s="269"/>
      <c r="X378" s="269"/>
      <c r="Y378" s="269"/>
      <c r="Z378" s="269"/>
    </row>
    <row r="379">
      <c r="A379" s="269" t="str">
        <f>IFERROR(__xludf.DUMMYFUNCTION("""COMPUTED_VALUE"""),"")</f>
        <v/>
      </c>
      <c r="B379" s="269"/>
      <c r="C379" s="269"/>
      <c r="D379" s="269"/>
      <c r="E379" s="269"/>
      <c r="F379" s="269"/>
      <c r="G379" s="269"/>
      <c r="H379" s="269"/>
      <c r="I379" s="269"/>
      <c r="J379" s="269"/>
      <c r="K379" s="269"/>
      <c r="L379" s="269"/>
      <c r="M379" s="269"/>
      <c r="N379" s="269"/>
      <c r="O379" s="269"/>
      <c r="P379" s="269"/>
      <c r="Q379" s="269"/>
      <c r="R379" s="269"/>
      <c r="S379" s="269"/>
      <c r="T379" s="269"/>
      <c r="U379" s="269"/>
      <c r="V379" s="269"/>
      <c r="W379" s="269"/>
      <c r="X379" s="269"/>
      <c r="Y379" s="269"/>
      <c r="Z379" s="269"/>
    </row>
    <row r="380">
      <c r="A380" s="269" t="str">
        <f>IFERROR(__xludf.DUMMYFUNCTION("""COMPUTED_VALUE"""),"")</f>
        <v/>
      </c>
      <c r="B380" s="269"/>
      <c r="C380" s="269"/>
      <c r="D380" s="269"/>
      <c r="E380" s="269"/>
      <c r="F380" s="269"/>
      <c r="G380" s="269"/>
      <c r="H380" s="269"/>
      <c r="I380" s="269"/>
      <c r="J380" s="269"/>
      <c r="K380" s="269"/>
      <c r="L380" s="269"/>
      <c r="M380" s="269"/>
      <c r="N380" s="269"/>
      <c r="O380" s="269"/>
      <c r="P380" s="269"/>
      <c r="Q380" s="269"/>
      <c r="R380" s="269"/>
      <c r="S380" s="269"/>
      <c r="T380" s="269"/>
      <c r="U380" s="269"/>
      <c r="V380" s="269"/>
      <c r="W380" s="269"/>
      <c r="X380" s="269"/>
      <c r="Y380" s="269"/>
      <c r="Z380" s="269"/>
    </row>
    <row r="381">
      <c r="A381" s="269" t="str">
        <f>IFERROR(__xludf.DUMMYFUNCTION("""COMPUTED_VALUE"""),"")</f>
        <v/>
      </c>
      <c r="B381" s="269"/>
      <c r="C381" s="269"/>
      <c r="D381" s="269"/>
      <c r="E381" s="269"/>
      <c r="F381" s="269"/>
      <c r="G381" s="269"/>
      <c r="H381" s="269"/>
      <c r="I381" s="269"/>
      <c r="J381" s="269"/>
      <c r="K381" s="269"/>
      <c r="L381" s="269"/>
      <c r="M381" s="269"/>
      <c r="N381" s="269"/>
      <c r="O381" s="269"/>
      <c r="P381" s="269"/>
      <c r="Q381" s="269"/>
      <c r="R381" s="269"/>
      <c r="S381" s="269"/>
      <c r="T381" s="269"/>
      <c r="U381" s="269"/>
      <c r="V381" s="269"/>
      <c r="W381" s="269"/>
      <c r="X381" s="269"/>
      <c r="Y381" s="269"/>
      <c r="Z381" s="269"/>
    </row>
    <row r="382">
      <c r="A382" s="269" t="str">
        <f>IFERROR(__xludf.DUMMYFUNCTION("""COMPUTED_VALUE"""),"")</f>
        <v/>
      </c>
      <c r="B382" s="269"/>
      <c r="C382" s="269"/>
      <c r="D382" s="269"/>
      <c r="E382" s="269"/>
      <c r="F382" s="269"/>
      <c r="G382" s="269"/>
      <c r="H382" s="269"/>
      <c r="I382" s="269"/>
      <c r="J382" s="269"/>
      <c r="K382" s="269"/>
      <c r="L382" s="269"/>
      <c r="M382" s="269"/>
      <c r="N382" s="269"/>
      <c r="O382" s="269"/>
      <c r="P382" s="269"/>
      <c r="Q382" s="269"/>
      <c r="R382" s="269"/>
      <c r="S382" s="269"/>
      <c r="T382" s="269"/>
      <c r="U382" s="269"/>
      <c r="V382" s="269"/>
      <c r="W382" s="269"/>
      <c r="X382" s="269"/>
      <c r="Y382" s="269"/>
      <c r="Z382" s="269"/>
    </row>
    <row r="383">
      <c r="A383" s="269" t="str">
        <f>IFERROR(__xludf.DUMMYFUNCTION("""COMPUTED_VALUE"""),"")</f>
        <v/>
      </c>
      <c r="B383" s="269"/>
      <c r="C383" s="269"/>
      <c r="D383" s="269"/>
      <c r="E383" s="269"/>
      <c r="F383" s="269"/>
      <c r="G383" s="269"/>
      <c r="H383" s="269"/>
      <c r="I383" s="269"/>
      <c r="J383" s="269"/>
      <c r="K383" s="269"/>
      <c r="L383" s="269"/>
      <c r="M383" s="269"/>
      <c r="N383" s="269"/>
      <c r="O383" s="269"/>
      <c r="P383" s="269"/>
      <c r="Q383" s="269"/>
      <c r="R383" s="269"/>
      <c r="S383" s="269"/>
      <c r="T383" s="269"/>
      <c r="U383" s="269"/>
      <c r="V383" s="269"/>
      <c r="W383" s="269"/>
      <c r="X383" s="269"/>
      <c r="Y383" s="269"/>
      <c r="Z383" s="269"/>
    </row>
    <row r="384">
      <c r="A384" s="269" t="str">
        <f>IFERROR(__xludf.DUMMYFUNCTION("""COMPUTED_VALUE"""),"")</f>
        <v/>
      </c>
      <c r="B384" s="269"/>
      <c r="C384" s="269"/>
      <c r="D384" s="269"/>
      <c r="E384" s="269"/>
      <c r="F384" s="269"/>
      <c r="G384" s="269"/>
      <c r="H384" s="269"/>
      <c r="I384" s="269"/>
      <c r="J384" s="269"/>
      <c r="K384" s="269"/>
      <c r="L384" s="269"/>
      <c r="M384" s="269"/>
      <c r="N384" s="269"/>
      <c r="O384" s="269"/>
      <c r="P384" s="269"/>
      <c r="Q384" s="269"/>
      <c r="R384" s="269"/>
      <c r="S384" s="269"/>
      <c r="T384" s="269"/>
      <c r="U384" s="269"/>
      <c r="V384" s="269"/>
      <c r="W384" s="269"/>
      <c r="X384" s="269"/>
      <c r="Y384" s="269"/>
      <c r="Z384" s="269"/>
    </row>
    <row r="385">
      <c r="A385" s="269" t="str">
        <f>IFERROR(__xludf.DUMMYFUNCTION("""COMPUTED_VALUE"""),"")</f>
        <v/>
      </c>
      <c r="B385" s="269"/>
      <c r="C385" s="269"/>
      <c r="D385" s="269"/>
      <c r="E385" s="269"/>
      <c r="F385" s="269"/>
      <c r="G385" s="269"/>
      <c r="H385" s="269"/>
      <c r="I385" s="269"/>
      <c r="J385" s="269"/>
      <c r="K385" s="269"/>
      <c r="L385" s="269"/>
      <c r="M385" s="269"/>
      <c r="N385" s="269"/>
      <c r="O385" s="269"/>
      <c r="P385" s="269"/>
      <c r="Q385" s="269"/>
      <c r="R385" s="269"/>
      <c r="S385" s="269"/>
      <c r="T385" s="269"/>
      <c r="U385" s="269"/>
      <c r="V385" s="269"/>
      <c r="W385" s="269"/>
      <c r="X385" s="269"/>
      <c r="Y385" s="269"/>
      <c r="Z385" s="269"/>
    </row>
    <row r="386">
      <c r="A386" s="269" t="str">
        <f>IFERROR(__xludf.DUMMYFUNCTION("""COMPUTED_VALUE"""),"")</f>
        <v/>
      </c>
      <c r="B386" s="269"/>
      <c r="C386" s="269"/>
      <c r="D386" s="269"/>
      <c r="E386" s="269"/>
      <c r="F386" s="269"/>
      <c r="G386" s="269"/>
      <c r="H386" s="269"/>
      <c r="I386" s="269"/>
      <c r="J386" s="269"/>
      <c r="K386" s="269"/>
      <c r="L386" s="269"/>
      <c r="M386" s="269"/>
      <c r="N386" s="269"/>
      <c r="O386" s="269"/>
      <c r="P386" s="269"/>
      <c r="Q386" s="269"/>
      <c r="R386" s="269"/>
      <c r="S386" s="269"/>
      <c r="T386" s="269"/>
      <c r="U386" s="269"/>
      <c r="V386" s="269"/>
      <c r="W386" s="269"/>
      <c r="X386" s="269"/>
      <c r="Y386" s="269"/>
      <c r="Z386" s="269"/>
    </row>
    <row r="387">
      <c r="A387" s="269" t="str">
        <f>IFERROR(__xludf.DUMMYFUNCTION("""COMPUTED_VALUE"""),"")</f>
        <v/>
      </c>
      <c r="B387" s="269"/>
      <c r="C387" s="269"/>
      <c r="D387" s="269"/>
      <c r="E387" s="269"/>
      <c r="F387" s="269"/>
      <c r="G387" s="269"/>
      <c r="H387" s="269"/>
      <c r="I387" s="269"/>
      <c r="J387" s="269"/>
      <c r="K387" s="269"/>
      <c r="L387" s="269"/>
      <c r="M387" s="269"/>
      <c r="N387" s="269"/>
      <c r="O387" s="269"/>
      <c r="P387" s="269"/>
      <c r="Q387" s="269"/>
      <c r="R387" s="269"/>
      <c r="S387" s="269"/>
      <c r="T387" s="269"/>
      <c r="U387" s="269"/>
      <c r="V387" s="269"/>
      <c r="W387" s="269"/>
      <c r="X387" s="269"/>
      <c r="Y387" s="269"/>
      <c r="Z387" s="269"/>
    </row>
    <row r="388">
      <c r="A388" s="269" t="str">
        <f>IFERROR(__xludf.DUMMYFUNCTION("""COMPUTED_VALUE"""),"")</f>
        <v/>
      </c>
      <c r="B388" s="269"/>
      <c r="C388" s="269"/>
      <c r="D388" s="269"/>
      <c r="E388" s="269"/>
      <c r="F388" s="269"/>
      <c r="G388" s="269"/>
      <c r="H388" s="269"/>
      <c r="I388" s="269"/>
      <c r="J388" s="269"/>
      <c r="K388" s="269"/>
      <c r="L388" s="269"/>
      <c r="M388" s="269"/>
      <c r="N388" s="269"/>
      <c r="O388" s="269"/>
      <c r="P388" s="269"/>
      <c r="Q388" s="269"/>
      <c r="R388" s="269"/>
      <c r="S388" s="269"/>
      <c r="T388" s="269"/>
      <c r="U388" s="269"/>
      <c r="V388" s="269"/>
      <c r="W388" s="269"/>
      <c r="X388" s="269"/>
      <c r="Y388" s="269"/>
      <c r="Z388" s="269"/>
    </row>
    <row r="389">
      <c r="A389" s="269" t="str">
        <f>IFERROR(__xludf.DUMMYFUNCTION("""COMPUTED_VALUE"""),"")</f>
        <v/>
      </c>
      <c r="B389" s="269"/>
      <c r="C389" s="269"/>
      <c r="D389" s="269"/>
      <c r="E389" s="269"/>
      <c r="F389" s="269"/>
      <c r="G389" s="269"/>
      <c r="H389" s="269"/>
      <c r="I389" s="269"/>
      <c r="J389" s="269"/>
      <c r="K389" s="269"/>
      <c r="L389" s="269"/>
      <c r="M389" s="269"/>
      <c r="N389" s="269"/>
      <c r="O389" s="269"/>
      <c r="P389" s="269"/>
      <c r="Q389" s="269"/>
      <c r="R389" s="269"/>
      <c r="S389" s="269"/>
      <c r="T389" s="269"/>
      <c r="U389" s="269"/>
      <c r="V389" s="269"/>
      <c r="W389" s="269"/>
      <c r="X389" s="269"/>
      <c r="Y389" s="269"/>
      <c r="Z389" s="269"/>
    </row>
    <row r="390">
      <c r="A390" s="269" t="str">
        <f>IFERROR(__xludf.DUMMYFUNCTION("""COMPUTED_VALUE"""),"")</f>
        <v/>
      </c>
      <c r="B390" s="269"/>
      <c r="C390" s="269"/>
      <c r="D390" s="269"/>
      <c r="E390" s="269"/>
      <c r="F390" s="269"/>
      <c r="G390" s="269"/>
      <c r="H390" s="269"/>
      <c r="I390" s="269"/>
      <c r="J390" s="269"/>
      <c r="K390" s="269"/>
      <c r="L390" s="269"/>
      <c r="M390" s="269"/>
      <c r="N390" s="269"/>
      <c r="O390" s="269"/>
      <c r="P390" s="269"/>
      <c r="Q390" s="269"/>
      <c r="R390" s="269"/>
      <c r="S390" s="269"/>
      <c r="T390" s="269"/>
      <c r="U390" s="269"/>
      <c r="V390" s="269"/>
      <c r="W390" s="269"/>
      <c r="X390" s="269"/>
      <c r="Y390" s="269"/>
      <c r="Z390" s="269"/>
    </row>
    <row r="391">
      <c r="A391" s="269" t="str">
        <f>IFERROR(__xludf.DUMMYFUNCTION("""COMPUTED_VALUE"""),"")</f>
        <v/>
      </c>
      <c r="B391" s="269"/>
      <c r="C391" s="269"/>
      <c r="D391" s="269"/>
      <c r="E391" s="269"/>
      <c r="F391" s="269"/>
      <c r="G391" s="269"/>
      <c r="H391" s="269"/>
      <c r="I391" s="269"/>
      <c r="J391" s="269"/>
      <c r="K391" s="269"/>
      <c r="L391" s="269"/>
      <c r="M391" s="269"/>
      <c r="N391" s="269"/>
      <c r="O391" s="269"/>
      <c r="P391" s="269"/>
      <c r="Q391" s="269"/>
      <c r="R391" s="269"/>
      <c r="S391" s="269"/>
      <c r="T391" s="269"/>
      <c r="U391" s="269"/>
      <c r="V391" s="269"/>
      <c r="W391" s="269"/>
      <c r="X391" s="269"/>
      <c r="Y391" s="269"/>
      <c r="Z391" s="269"/>
    </row>
    <row r="392">
      <c r="A392" s="269" t="str">
        <f>IFERROR(__xludf.DUMMYFUNCTION("""COMPUTED_VALUE"""),"")</f>
        <v/>
      </c>
      <c r="B392" s="269"/>
      <c r="C392" s="269"/>
      <c r="D392" s="269"/>
      <c r="E392" s="269"/>
      <c r="F392" s="269"/>
      <c r="G392" s="269"/>
      <c r="H392" s="269"/>
      <c r="I392" s="269"/>
      <c r="J392" s="269"/>
      <c r="K392" s="269"/>
      <c r="L392" s="269"/>
      <c r="M392" s="269"/>
      <c r="N392" s="269"/>
      <c r="O392" s="269"/>
      <c r="P392" s="269"/>
      <c r="Q392" s="269"/>
      <c r="R392" s="269"/>
      <c r="S392" s="269"/>
      <c r="T392" s="269"/>
      <c r="U392" s="269"/>
      <c r="V392" s="269"/>
      <c r="W392" s="269"/>
      <c r="X392" s="269"/>
      <c r="Y392" s="269"/>
      <c r="Z392" s="269"/>
    </row>
    <row r="393">
      <c r="A393" s="269" t="str">
        <f>IFERROR(__xludf.DUMMYFUNCTION("""COMPUTED_VALUE"""),"")</f>
        <v/>
      </c>
      <c r="B393" s="269"/>
      <c r="C393" s="269"/>
      <c r="D393" s="269"/>
      <c r="E393" s="269"/>
      <c r="F393" s="269"/>
      <c r="G393" s="269"/>
      <c r="H393" s="269"/>
      <c r="I393" s="269"/>
      <c r="J393" s="269"/>
      <c r="K393" s="269"/>
      <c r="L393" s="269"/>
      <c r="M393" s="269"/>
      <c r="N393" s="269"/>
      <c r="O393" s="269"/>
      <c r="P393" s="269"/>
      <c r="Q393" s="269"/>
      <c r="R393" s="269"/>
      <c r="S393" s="269"/>
      <c r="T393" s="269"/>
      <c r="U393" s="269"/>
      <c r="V393" s="269"/>
      <c r="W393" s="269"/>
      <c r="X393" s="269"/>
      <c r="Y393" s="269"/>
      <c r="Z393" s="269"/>
    </row>
    <row r="394">
      <c r="A394" s="269" t="str">
        <f>IFERROR(__xludf.DUMMYFUNCTION("""COMPUTED_VALUE"""),"")</f>
        <v/>
      </c>
      <c r="B394" s="269"/>
      <c r="C394" s="269"/>
      <c r="D394" s="269"/>
      <c r="E394" s="269"/>
      <c r="F394" s="269"/>
      <c r="G394" s="269"/>
      <c r="H394" s="269"/>
      <c r="I394" s="269"/>
      <c r="J394" s="269"/>
      <c r="K394" s="269"/>
      <c r="L394" s="269"/>
      <c r="M394" s="269"/>
      <c r="N394" s="269"/>
      <c r="O394" s="269"/>
      <c r="P394" s="269"/>
      <c r="Q394" s="269"/>
      <c r="R394" s="269"/>
      <c r="S394" s="269"/>
      <c r="T394" s="269"/>
      <c r="U394" s="269"/>
      <c r="V394" s="269"/>
      <c r="W394" s="269"/>
      <c r="X394" s="269"/>
      <c r="Y394" s="269"/>
      <c r="Z394" s="269"/>
    </row>
    <row r="395">
      <c r="A395" s="269" t="str">
        <f>IFERROR(__xludf.DUMMYFUNCTION("""COMPUTED_VALUE"""),"")</f>
        <v/>
      </c>
      <c r="B395" s="269"/>
      <c r="C395" s="269"/>
      <c r="D395" s="269"/>
      <c r="E395" s="269"/>
      <c r="F395" s="269"/>
      <c r="G395" s="269"/>
      <c r="H395" s="269"/>
      <c r="I395" s="269"/>
      <c r="J395" s="269"/>
      <c r="K395" s="269"/>
      <c r="L395" s="269"/>
      <c r="M395" s="269"/>
      <c r="N395" s="269"/>
      <c r="O395" s="269"/>
      <c r="P395" s="269"/>
      <c r="Q395" s="269"/>
      <c r="R395" s="269"/>
      <c r="S395" s="269"/>
      <c r="T395" s="269"/>
      <c r="U395" s="269"/>
      <c r="V395" s="269"/>
      <c r="W395" s="269"/>
      <c r="X395" s="269"/>
      <c r="Y395" s="269"/>
      <c r="Z395" s="269"/>
    </row>
    <row r="396">
      <c r="A396" s="269" t="str">
        <f>IFERROR(__xludf.DUMMYFUNCTION("""COMPUTED_VALUE"""),"")</f>
        <v/>
      </c>
      <c r="B396" s="269"/>
      <c r="C396" s="269"/>
      <c r="D396" s="269"/>
      <c r="E396" s="269"/>
      <c r="F396" s="269"/>
      <c r="G396" s="269"/>
      <c r="H396" s="269"/>
      <c r="I396" s="269"/>
      <c r="J396" s="269"/>
      <c r="K396" s="269"/>
      <c r="L396" s="269"/>
      <c r="M396" s="269"/>
      <c r="N396" s="269"/>
      <c r="O396" s="269"/>
      <c r="P396" s="269"/>
      <c r="Q396" s="269"/>
      <c r="R396" s="269"/>
      <c r="S396" s="269"/>
      <c r="T396" s="269"/>
      <c r="U396" s="269"/>
      <c r="V396" s="269"/>
      <c r="W396" s="269"/>
      <c r="X396" s="269"/>
      <c r="Y396" s="269"/>
      <c r="Z396" s="269"/>
    </row>
    <row r="397">
      <c r="A397" s="269" t="str">
        <f>IFERROR(__xludf.DUMMYFUNCTION("""COMPUTED_VALUE"""),"")</f>
        <v/>
      </c>
      <c r="B397" s="269"/>
      <c r="C397" s="269"/>
      <c r="D397" s="269"/>
      <c r="E397" s="269"/>
      <c r="F397" s="269"/>
      <c r="G397" s="269"/>
      <c r="H397" s="269"/>
      <c r="I397" s="269"/>
      <c r="J397" s="269"/>
      <c r="K397" s="269"/>
      <c r="L397" s="269"/>
      <c r="M397" s="269"/>
      <c r="N397" s="269"/>
      <c r="O397" s="269"/>
      <c r="P397" s="269"/>
      <c r="Q397" s="269"/>
      <c r="R397" s="269"/>
      <c r="S397" s="269"/>
      <c r="T397" s="269"/>
      <c r="U397" s="269"/>
      <c r="V397" s="269"/>
      <c r="W397" s="269"/>
      <c r="X397" s="269"/>
      <c r="Y397" s="269"/>
      <c r="Z397" s="269"/>
    </row>
    <row r="398">
      <c r="A398" s="269" t="str">
        <f>IFERROR(__xludf.DUMMYFUNCTION("""COMPUTED_VALUE"""),"")</f>
        <v/>
      </c>
      <c r="B398" s="269"/>
      <c r="C398" s="269"/>
      <c r="D398" s="269"/>
      <c r="E398" s="269"/>
      <c r="F398" s="269"/>
      <c r="G398" s="269"/>
      <c r="H398" s="269"/>
      <c r="I398" s="269"/>
      <c r="J398" s="269"/>
      <c r="K398" s="269"/>
      <c r="L398" s="269"/>
      <c r="M398" s="269"/>
      <c r="N398" s="269"/>
      <c r="O398" s="269"/>
      <c r="P398" s="269"/>
      <c r="Q398" s="269"/>
      <c r="R398" s="269"/>
      <c r="S398" s="269"/>
      <c r="T398" s="269"/>
      <c r="U398" s="269"/>
      <c r="V398" s="269"/>
      <c r="W398" s="269"/>
      <c r="X398" s="269"/>
      <c r="Y398" s="269"/>
      <c r="Z398" s="269"/>
    </row>
    <row r="399">
      <c r="A399" s="269" t="str">
        <f>IFERROR(__xludf.DUMMYFUNCTION("""COMPUTED_VALUE"""),"")</f>
        <v/>
      </c>
      <c r="B399" s="269"/>
      <c r="C399" s="269"/>
      <c r="D399" s="269"/>
      <c r="E399" s="269"/>
      <c r="F399" s="269"/>
      <c r="G399" s="269"/>
      <c r="H399" s="269"/>
      <c r="I399" s="269"/>
      <c r="J399" s="269"/>
      <c r="K399" s="269"/>
      <c r="L399" s="269"/>
      <c r="M399" s="269"/>
      <c r="N399" s="269"/>
      <c r="O399" s="269"/>
      <c r="P399" s="269"/>
      <c r="Q399" s="269"/>
      <c r="R399" s="269"/>
      <c r="S399" s="269"/>
      <c r="T399" s="269"/>
      <c r="U399" s="269"/>
      <c r="V399" s="269"/>
      <c r="W399" s="269"/>
      <c r="X399" s="269"/>
      <c r="Y399" s="269"/>
      <c r="Z399" s="269"/>
    </row>
    <row r="400">
      <c r="A400" s="269" t="str">
        <f>IFERROR(__xludf.DUMMYFUNCTION("""COMPUTED_VALUE"""),"")</f>
        <v/>
      </c>
      <c r="B400" s="269"/>
      <c r="C400" s="269"/>
      <c r="D400" s="269"/>
      <c r="E400" s="269"/>
      <c r="F400" s="269"/>
      <c r="G400" s="269"/>
      <c r="H400" s="269"/>
      <c r="I400" s="269"/>
      <c r="J400" s="269"/>
      <c r="K400" s="269"/>
      <c r="L400" s="269"/>
      <c r="M400" s="269"/>
      <c r="N400" s="269"/>
      <c r="O400" s="269"/>
      <c r="P400" s="269"/>
      <c r="Q400" s="269"/>
      <c r="R400" s="269"/>
      <c r="S400" s="269"/>
      <c r="T400" s="269"/>
      <c r="U400" s="269"/>
      <c r="V400" s="269"/>
      <c r="W400" s="269"/>
      <c r="X400" s="269"/>
      <c r="Y400" s="269"/>
      <c r="Z400" s="269"/>
    </row>
    <row r="401">
      <c r="A401" s="269" t="str">
        <f>IFERROR(__xludf.DUMMYFUNCTION("""COMPUTED_VALUE"""),"")</f>
        <v/>
      </c>
      <c r="B401" s="269"/>
      <c r="C401" s="269"/>
      <c r="D401" s="269"/>
      <c r="E401" s="269"/>
      <c r="F401" s="269"/>
      <c r="G401" s="269"/>
      <c r="H401" s="269"/>
      <c r="I401" s="269"/>
      <c r="J401" s="269"/>
      <c r="K401" s="269"/>
      <c r="L401" s="269"/>
      <c r="M401" s="269"/>
      <c r="N401" s="269"/>
      <c r="O401" s="269"/>
      <c r="P401" s="269"/>
      <c r="Q401" s="269"/>
      <c r="R401" s="269"/>
      <c r="S401" s="269"/>
      <c r="T401" s="269"/>
      <c r="U401" s="269"/>
      <c r="V401" s="269"/>
      <c r="W401" s="269"/>
      <c r="X401" s="269"/>
      <c r="Y401" s="269"/>
      <c r="Z401" s="269"/>
    </row>
    <row r="402">
      <c r="A402" s="269" t="str">
        <f>IFERROR(__xludf.DUMMYFUNCTION("""COMPUTED_VALUE"""),"")</f>
        <v/>
      </c>
      <c r="B402" s="269"/>
      <c r="C402" s="269"/>
      <c r="D402" s="269"/>
      <c r="E402" s="269"/>
      <c r="F402" s="269"/>
      <c r="G402" s="269"/>
      <c r="H402" s="269"/>
      <c r="I402" s="269"/>
      <c r="J402" s="269"/>
      <c r="K402" s="269"/>
      <c r="L402" s="269"/>
      <c r="M402" s="269"/>
      <c r="N402" s="269"/>
      <c r="O402" s="269"/>
      <c r="P402" s="269"/>
      <c r="Q402" s="269"/>
      <c r="R402" s="269"/>
      <c r="S402" s="269"/>
      <c r="T402" s="269"/>
      <c r="U402" s="269"/>
      <c r="V402" s="269"/>
      <c r="W402" s="269"/>
      <c r="X402" s="269"/>
      <c r="Y402" s="269"/>
      <c r="Z402" s="269"/>
    </row>
    <row r="403">
      <c r="A403" s="269" t="str">
        <f>IFERROR(__xludf.DUMMYFUNCTION("""COMPUTED_VALUE"""),"")</f>
        <v/>
      </c>
      <c r="B403" s="269"/>
      <c r="C403" s="269"/>
      <c r="D403" s="269"/>
      <c r="E403" s="269"/>
      <c r="F403" s="269"/>
      <c r="G403" s="269"/>
      <c r="H403" s="269"/>
      <c r="I403" s="269"/>
      <c r="J403" s="269"/>
      <c r="K403" s="269"/>
      <c r="L403" s="269"/>
      <c r="M403" s="269"/>
      <c r="N403" s="269"/>
      <c r="O403" s="269"/>
      <c r="P403" s="269"/>
      <c r="Q403" s="269"/>
      <c r="R403" s="269"/>
      <c r="S403" s="269"/>
      <c r="T403" s="269"/>
      <c r="U403" s="269"/>
      <c r="V403" s="269"/>
      <c r="W403" s="269"/>
      <c r="X403" s="269"/>
      <c r="Y403" s="269"/>
      <c r="Z403" s="269"/>
    </row>
    <row r="404">
      <c r="A404" s="269" t="str">
        <f>IFERROR(__xludf.DUMMYFUNCTION("""COMPUTED_VALUE"""),"")</f>
        <v/>
      </c>
      <c r="B404" s="269"/>
      <c r="C404" s="269"/>
      <c r="D404" s="269"/>
      <c r="E404" s="269"/>
      <c r="F404" s="269"/>
      <c r="G404" s="269"/>
      <c r="H404" s="269"/>
      <c r="I404" s="269"/>
      <c r="J404" s="269"/>
      <c r="K404" s="269"/>
      <c r="L404" s="269"/>
      <c r="M404" s="269"/>
      <c r="N404" s="269"/>
      <c r="O404" s="269"/>
      <c r="P404" s="269"/>
      <c r="Q404" s="269"/>
      <c r="R404" s="269"/>
      <c r="S404" s="269"/>
      <c r="T404" s="269"/>
      <c r="U404" s="269"/>
      <c r="V404" s="269"/>
      <c r="W404" s="269"/>
      <c r="X404" s="269"/>
      <c r="Y404" s="269"/>
      <c r="Z404" s="269"/>
    </row>
    <row r="405">
      <c r="A405" s="269" t="str">
        <f>IFERROR(__xludf.DUMMYFUNCTION("""COMPUTED_VALUE"""),"")</f>
        <v/>
      </c>
      <c r="B405" s="269"/>
      <c r="C405" s="269"/>
      <c r="D405" s="269"/>
      <c r="E405" s="269"/>
      <c r="F405" s="269"/>
      <c r="G405" s="269"/>
      <c r="H405" s="269"/>
      <c r="I405" s="269"/>
      <c r="J405" s="269"/>
      <c r="K405" s="269"/>
      <c r="L405" s="269"/>
      <c r="M405" s="269"/>
      <c r="N405" s="269"/>
      <c r="O405" s="269"/>
      <c r="P405" s="269"/>
      <c r="Q405" s="269"/>
      <c r="R405" s="269"/>
      <c r="S405" s="269"/>
      <c r="T405" s="269"/>
      <c r="U405" s="269"/>
      <c r="V405" s="269"/>
      <c r="W405" s="269"/>
      <c r="X405" s="269"/>
      <c r="Y405" s="269"/>
      <c r="Z405" s="269"/>
    </row>
    <row r="406">
      <c r="A406" s="269" t="str">
        <f>IFERROR(__xludf.DUMMYFUNCTION("""COMPUTED_VALUE"""),"")</f>
        <v/>
      </c>
      <c r="B406" s="269"/>
      <c r="C406" s="269"/>
      <c r="D406" s="269"/>
      <c r="E406" s="269"/>
      <c r="F406" s="269"/>
      <c r="G406" s="269"/>
      <c r="H406" s="269"/>
      <c r="I406" s="269"/>
      <c r="J406" s="269"/>
      <c r="K406" s="269"/>
      <c r="L406" s="269"/>
      <c r="M406" s="269"/>
      <c r="N406" s="269"/>
      <c r="O406" s="269"/>
      <c r="P406" s="269"/>
      <c r="Q406" s="269"/>
      <c r="R406" s="269"/>
      <c r="S406" s="269"/>
      <c r="T406" s="269"/>
      <c r="U406" s="269"/>
      <c r="V406" s="269"/>
      <c r="W406" s="269"/>
      <c r="X406" s="269"/>
      <c r="Y406" s="269"/>
      <c r="Z406" s="269"/>
    </row>
    <row r="407">
      <c r="A407" s="269" t="str">
        <f>IFERROR(__xludf.DUMMYFUNCTION("""COMPUTED_VALUE"""),"")</f>
        <v/>
      </c>
      <c r="B407" s="269"/>
      <c r="C407" s="269"/>
      <c r="D407" s="269"/>
      <c r="E407" s="269"/>
      <c r="F407" s="269"/>
      <c r="G407" s="269"/>
      <c r="H407" s="269"/>
      <c r="I407" s="269"/>
      <c r="J407" s="269"/>
      <c r="K407" s="269"/>
      <c r="L407" s="269"/>
      <c r="M407" s="269"/>
      <c r="N407" s="269"/>
      <c r="O407" s="269"/>
      <c r="P407" s="269"/>
      <c r="Q407" s="269"/>
      <c r="R407" s="269"/>
      <c r="S407" s="269"/>
      <c r="T407" s="269"/>
      <c r="U407" s="269"/>
      <c r="V407" s="269"/>
      <c r="W407" s="269"/>
      <c r="X407" s="269"/>
      <c r="Y407" s="269"/>
      <c r="Z407" s="269"/>
    </row>
    <row r="408">
      <c r="A408" s="269" t="str">
        <f>IFERROR(__xludf.DUMMYFUNCTION("""COMPUTED_VALUE"""),"")</f>
        <v/>
      </c>
      <c r="B408" s="269"/>
      <c r="C408" s="269"/>
      <c r="D408" s="269"/>
      <c r="E408" s="269"/>
      <c r="F408" s="269"/>
      <c r="G408" s="269"/>
      <c r="H408" s="269"/>
      <c r="I408" s="269"/>
      <c r="J408" s="269"/>
      <c r="K408" s="269"/>
      <c r="L408" s="269"/>
      <c r="M408" s="269"/>
      <c r="N408" s="269"/>
      <c r="O408" s="269"/>
      <c r="P408" s="269"/>
      <c r="Q408" s="269"/>
      <c r="R408" s="269"/>
      <c r="S408" s="269"/>
      <c r="T408" s="269"/>
      <c r="U408" s="269"/>
      <c r="V408" s="269"/>
      <c r="W408" s="269"/>
      <c r="X408" s="269"/>
      <c r="Y408" s="269"/>
      <c r="Z408" s="269"/>
    </row>
    <row r="409">
      <c r="A409" s="269" t="str">
        <f>IFERROR(__xludf.DUMMYFUNCTION("""COMPUTED_VALUE"""),"")</f>
        <v/>
      </c>
      <c r="B409" s="269"/>
      <c r="C409" s="269"/>
      <c r="D409" s="269"/>
      <c r="E409" s="269"/>
      <c r="F409" s="269"/>
      <c r="G409" s="269"/>
      <c r="H409" s="269"/>
      <c r="I409" s="269"/>
      <c r="J409" s="269"/>
      <c r="K409" s="269"/>
      <c r="L409" s="269"/>
      <c r="M409" s="269"/>
      <c r="N409" s="269"/>
      <c r="O409" s="269"/>
      <c r="P409" s="269"/>
      <c r="Q409" s="269"/>
      <c r="R409" s="269"/>
      <c r="S409" s="269"/>
      <c r="T409" s="269"/>
      <c r="U409" s="269"/>
      <c r="V409" s="269"/>
      <c r="W409" s="269"/>
      <c r="X409" s="269"/>
      <c r="Y409" s="269"/>
      <c r="Z409" s="269"/>
    </row>
    <row r="410">
      <c r="A410" s="269" t="str">
        <f>IFERROR(__xludf.DUMMYFUNCTION("""COMPUTED_VALUE"""),"")</f>
        <v/>
      </c>
      <c r="B410" s="269"/>
      <c r="C410" s="269"/>
      <c r="D410" s="269"/>
      <c r="E410" s="269"/>
      <c r="F410" s="269"/>
      <c r="G410" s="269"/>
      <c r="H410" s="269"/>
      <c r="I410" s="269"/>
      <c r="J410" s="269"/>
      <c r="K410" s="269"/>
      <c r="L410" s="269"/>
      <c r="M410" s="269"/>
      <c r="N410" s="269"/>
      <c r="O410" s="269"/>
      <c r="P410" s="269"/>
      <c r="Q410" s="269"/>
      <c r="R410" s="269"/>
      <c r="S410" s="269"/>
      <c r="T410" s="269"/>
      <c r="U410" s="269"/>
      <c r="V410" s="269"/>
      <c r="W410" s="269"/>
      <c r="X410" s="269"/>
      <c r="Y410" s="269"/>
      <c r="Z410" s="269"/>
    </row>
    <row r="411">
      <c r="A411" s="269" t="str">
        <f>IFERROR(__xludf.DUMMYFUNCTION("""COMPUTED_VALUE"""),"")</f>
        <v/>
      </c>
      <c r="B411" s="269"/>
      <c r="C411" s="269"/>
      <c r="D411" s="269"/>
      <c r="E411" s="269"/>
      <c r="F411" s="269"/>
      <c r="G411" s="269"/>
      <c r="H411" s="269"/>
      <c r="I411" s="269"/>
      <c r="J411" s="269"/>
      <c r="K411" s="269"/>
      <c r="L411" s="269"/>
      <c r="M411" s="269"/>
      <c r="N411" s="269"/>
      <c r="O411" s="269"/>
      <c r="P411" s="269"/>
      <c r="Q411" s="269"/>
      <c r="R411" s="269"/>
      <c r="S411" s="269"/>
      <c r="T411" s="269"/>
      <c r="U411" s="269"/>
      <c r="V411" s="269"/>
      <c r="W411" s="269"/>
      <c r="X411" s="269"/>
      <c r="Y411" s="269"/>
      <c r="Z411" s="269"/>
    </row>
    <row r="412">
      <c r="A412" s="269" t="str">
        <f>IFERROR(__xludf.DUMMYFUNCTION("""COMPUTED_VALUE"""),"")</f>
        <v/>
      </c>
      <c r="B412" s="269"/>
      <c r="C412" s="269"/>
      <c r="D412" s="269"/>
      <c r="E412" s="269"/>
      <c r="F412" s="269"/>
      <c r="G412" s="269"/>
      <c r="H412" s="269"/>
      <c r="I412" s="269"/>
      <c r="J412" s="269"/>
      <c r="K412" s="269"/>
      <c r="L412" s="269"/>
      <c r="M412" s="269"/>
      <c r="N412" s="269"/>
      <c r="O412" s="269"/>
      <c r="P412" s="269"/>
      <c r="Q412" s="269"/>
      <c r="R412" s="269"/>
      <c r="S412" s="269"/>
      <c r="T412" s="269"/>
      <c r="U412" s="269"/>
      <c r="V412" s="269"/>
      <c r="W412" s="269"/>
      <c r="X412" s="269"/>
      <c r="Y412" s="269"/>
      <c r="Z412" s="269"/>
    </row>
    <row r="413">
      <c r="A413" s="269" t="str">
        <f>IFERROR(__xludf.DUMMYFUNCTION("""COMPUTED_VALUE"""),"")</f>
        <v/>
      </c>
      <c r="B413" s="269"/>
      <c r="C413" s="269"/>
      <c r="D413" s="269"/>
      <c r="E413" s="269"/>
      <c r="F413" s="269"/>
      <c r="G413" s="269"/>
      <c r="H413" s="269"/>
      <c r="I413" s="269"/>
      <c r="J413" s="269"/>
      <c r="K413" s="269"/>
      <c r="L413" s="269"/>
      <c r="M413" s="269"/>
      <c r="N413" s="269"/>
      <c r="O413" s="269"/>
      <c r="P413" s="269"/>
      <c r="Q413" s="269"/>
      <c r="R413" s="269"/>
      <c r="S413" s="269"/>
      <c r="T413" s="269"/>
      <c r="U413" s="269"/>
      <c r="V413" s="269"/>
      <c r="W413" s="269"/>
      <c r="X413" s="269"/>
      <c r="Y413" s="269"/>
      <c r="Z413" s="269"/>
    </row>
    <row r="414">
      <c r="A414" s="269" t="str">
        <f>IFERROR(__xludf.DUMMYFUNCTION("""COMPUTED_VALUE"""),"")</f>
        <v/>
      </c>
      <c r="B414" s="269"/>
      <c r="C414" s="269"/>
      <c r="D414" s="269"/>
      <c r="E414" s="269"/>
      <c r="F414" s="269"/>
      <c r="G414" s="269"/>
      <c r="H414" s="269"/>
      <c r="I414" s="269"/>
      <c r="J414" s="269"/>
      <c r="K414" s="269"/>
      <c r="L414" s="269"/>
      <c r="M414" s="269"/>
      <c r="N414" s="269"/>
      <c r="O414" s="269"/>
      <c r="P414" s="269"/>
      <c r="Q414" s="269"/>
      <c r="R414" s="269"/>
      <c r="S414" s="269"/>
      <c r="T414" s="269"/>
      <c r="U414" s="269"/>
      <c r="V414" s="269"/>
      <c r="W414" s="269"/>
      <c r="X414" s="269"/>
      <c r="Y414" s="269"/>
      <c r="Z414" s="269"/>
    </row>
    <row r="415">
      <c r="A415" s="269" t="str">
        <f>IFERROR(__xludf.DUMMYFUNCTION("""COMPUTED_VALUE"""),"")</f>
        <v/>
      </c>
      <c r="B415" s="269"/>
      <c r="C415" s="269"/>
      <c r="D415" s="269"/>
      <c r="E415" s="269"/>
      <c r="F415" s="269"/>
      <c r="G415" s="269"/>
      <c r="H415" s="269"/>
      <c r="I415" s="269"/>
      <c r="J415" s="269"/>
      <c r="K415" s="269"/>
      <c r="L415" s="269"/>
      <c r="M415" s="269"/>
      <c r="N415" s="269"/>
      <c r="O415" s="269"/>
      <c r="P415" s="269"/>
      <c r="Q415" s="269"/>
      <c r="R415" s="269"/>
      <c r="S415" s="269"/>
      <c r="T415" s="269"/>
      <c r="U415" s="269"/>
      <c r="V415" s="269"/>
      <c r="W415" s="269"/>
      <c r="X415" s="269"/>
      <c r="Y415" s="269"/>
      <c r="Z415" s="269"/>
    </row>
    <row r="416">
      <c r="A416" s="269" t="str">
        <f>IFERROR(__xludf.DUMMYFUNCTION("""COMPUTED_VALUE"""),"")</f>
        <v/>
      </c>
      <c r="B416" s="269"/>
      <c r="C416" s="269"/>
      <c r="D416" s="269"/>
      <c r="E416" s="269"/>
      <c r="F416" s="269"/>
      <c r="G416" s="269"/>
      <c r="H416" s="269"/>
      <c r="I416" s="269"/>
      <c r="J416" s="269"/>
      <c r="K416" s="269"/>
      <c r="L416" s="269"/>
      <c r="M416" s="269"/>
      <c r="N416" s="269"/>
      <c r="O416" s="269"/>
      <c r="P416" s="269"/>
      <c r="Q416" s="269"/>
      <c r="R416" s="269"/>
      <c r="S416" s="269"/>
      <c r="T416" s="269"/>
      <c r="U416" s="269"/>
      <c r="V416" s="269"/>
      <c r="W416" s="269"/>
      <c r="X416" s="269"/>
      <c r="Y416" s="269"/>
      <c r="Z416" s="269"/>
    </row>
    <row r="417">
      <c r="A417" s="269" t="str">
        <f>IFERROR(__xludf.DUMMYFUNCTION("""COMPUTED_VALUE"""),"")</f>
        <v/>
      </c>
      <c r="B417" s="269"/>
      <c r="C417" s="269"/>
      <c r="D417" s="269"/>
      <c r="E417" s="269"/>
      <c r="F417" s="269"/>
      <c r="G417" s="269"/>
      <c r="H417" s="269"/>
      <c r="I417" s="269"/>
      <c r="J417" s="269"/>
      <c r="K417" s="269"/>
      <c r="L417" s="269"/>
      <c r="M417" s="269"/>
      <c r="N417" s="269"/>
      <c r="O417" s="269"/>
      <c r="P417" s="269"/>
      <c r="Q417" s="269"/>
      <c r="R417" s="269"/>
      <c r="S417" s="269"/>
      <c r="T417" s="269"/>
      <c r="U417" s="269"/>
      <c r="V417" s="269"/>
      <c r="W417" s="269"/>
      <c r="X417" s="269"/>
      <c r="Y417" s="269"/>
      <c r="Z417" s="269"/>
    </row>
    <row r="418">
      <c r="A418" s="269" t="str">
        <f>IFERROR(__xludf.DUMMYFUNCTION("""COMPUTED_VALUE"""),"")</f>
        <v/>
      </c>
      <c r="B418" s="269"/>
      <c r="C418" s="269"/>
      <c r="D418" s="269"/>
      <c r="E418" s="269"/>
      <c r="F418" s="269"/>
      <c r="G418" s="269"/>
      <c r="H418" s="269"/>
      <c r="I418" s="269"/>
      <c r="J418" s="269"/>
      <c r="K418" s="269"/>
      <c r="L418" s="269"/>
      <c r="M418" s="269"/>
      <c r="N418" s="269"/>
      <c r="O418" s="269"/>
      <c r="P418" s="269"/>
      <c r="Q418" s="269"/>
      <c r="R418" s="269"/>
      <c r="S418" s="269"/>
      <c r="T418" s="269"/>
      <c r="U418" s="269"/>
      <c r="V418" s="269"/>
      <c r="W418" s="269"/>
      <c r="X418" s="269"/>
      <c r="Y418" s="269"/>
      <c r="Z418" s="269"/>
    </row>
    <row r="419">
      <c r="A419" s="269" t="str">
        <f>IFERROR(__xludf.DUMMYFUNCTION("""COMPUTED_VALUE"""),"")</f>
        <v/>
      </c>
      <c r="B419" s="269"/>
      <c r="C419" s="269"/>
      <c r="D419" s="269"/>
      <c r="E419" s="269"/>
      <c r="F419" s="269"/>
      <c r="G419" s="269"/>
      <c r="H419" s="269"/>
      <c r="I419" s="269"/>
      <c r="J419" s="269"/>
      <c r="K419" s="269"/>
      <c r="L419" s="269"/>
      <c r="M419" s="269"/>
      <c r="N419" s="269"/>
      <c r="O419" s="269"/>
      <c r="P419" s="269"/>
      <c r="Q419" s="269"/>
      <c r="R419" s="269"/>
      <c r="S419" s="269"/>
      <c r="T419" s="269"/>
      <c r="U419" s="269"/>
      <c r="V419" s="269"/>
      <c r="W419" s="269"/>
      <c r="X419" s="269"/>
      <c r="Y419" s="269"/>
      <c r="Z419" s="269"/>
    </row>
    <row r="420">
      <c r="A420" s="269" t="str">
        <f>IFERROR(__xludf.DUMMYFUNCTION("""COMPUTED_VALUE"""),"")</f>
        <v/>
      </c>
      <c r="B420" s="269"/>
      <c r="C420" s="269"/>
      <c r="D420" s="269"/>
      <c r="E420" s="269"/>
      <c r="F420" s="269"/>
      <c r="G420" s="269"/>
      <c r="H420" s="269"/>
      <c r="I420" s="269"/>
      <c r="J420" s="269"/>
      <c r="K420" s="269"/>
      <c r="L420" s="269"/>
      <c r="M420" s="269"/>
      <c r="N420" s="269"/>
      <c r="O420" s="269"/>
      <c r="P420" s="269"/>
      <c r="Q420" s="269"/>
      <c r="R420" s="269"/>
      <c r="S420" s="269"/>
      <c r="T420" s="269"/>
      <c r="U420" s="269"/>
      <c r="V420" s="269"/>
      <c r="W420" s="269"/>
      <c r="X420" s="269"/>
      <c r="Y420" s="269"/>
      <c r="Z420" s="269"/>
    </row>
    <row r="421">
      <c r="A421" s="269" t="str">
        <f>IFERROR(__xludf.DUMMYFUNCTION("""COMPUTED_VALUE"""),"")</f>
        <v/>
      </c>
      <c r="B421" s="269"/>
      <c r="C421" s="269"/>
      <c r="D421" s="269"/>
      <c r="E421" s="269"/>
      <c r="F421" s="269"/>
      <c r="G421" s="269"/>
      <c r="H421" s="269"/>
      <c r="I421" s="269"/>
      <c r="J421" s="269"/>
      <c r="K421" s="269"/>
      <c r="L421" s="269"/>
      <c r="M421" s="269"/>
      <c r="N421" s="269"/>
      <c r="O421" s="269"/>
      <c r="P421" s="269"/>
      <c r="Q421" s="269"/>
      <c r="R421" s="269"/>
      <c r="S421" s="269"/>
      <c r="T421" s="269"/>
      <c r="U421" s="269"/>
      <c r="V421" s="269"/>
      <c r="W421" s="269"/>
      <c r="X421" s="269"/>
      <c r="Y421" s="269"/>
      <c r="Z421" s="269"/>
    </row>
    <row r="422">
      <c r="A422" s="269" t="str">
        <f>IFERROR(__xludf.DUMMYFUNCTION("""COMPUTED_VALUE"""),"")</f>
        <v/>
      </c>
      <c r="B422" s="269"/>
      <c r="C422" s="269"/>
      <c r="D422" s="269"/>
      <c r="E422" s="269"/>
      <c r="F422" s="269"/>
      <c r="G422" s="269"/>
      <c r="H422" s="269"/>
      <c r="I422" s="269"/>
      <c r="J422" s="269"/>
      <c r="K422" s="269"/>
      <c r="L422" s="269"/>
      <c r="M422" s="269"/>
      <c r="N422" s="269"/>
      <c r="O422" s="269"/>
      <c r="P422" s="269"/>
      <c r="Q422" s="269"/>
      <c r="R422" s="269"/>
      <c r="S422" s="269"/>
      <c r="T422" s="269"/>
      <c r="U422" s="269"/>
      <c r="V422" s="269"/>
      <c r="W422" s="269"/>
      <c r="X422" s="269"/>
      <c r="Y422" s="269"/>
      <c r="Z422" s="269"/>
    </row>
    <row r="423">
      <c r="A423" s="269" t="str">
        <f>IFERROR(__xludf.DUMMYFUNCTION("""COMPUTED_VALUE"""),"")</f>
        <v/>
      </c>
      <c r="B423" s="269"/>
      <c r="C423" s="269"/>
      <c r="D423" s="269"/>
      <c r="E423" s="269"/>
      <c r="F423" s="269"/>
      <c r="G423" s="269"/>
      <c r="H423" s="269"/>
      <c r="I423" s="269"/>
      <c r="J423" s="269"/>
      <c r="K423" s="269"/>
      <c r="L423" s="269"/>
      <c r="M423" s="269"/>
      <c r="N423" s="269"/>
      <c r="O423" s="269"/>
      <c r="P423" s="269"/>
      <c r="Q423" s="269"/>
      <c r="R423" s="269"/>
      <c r="S423" s="269"/>
      <c r="T423" s="269"/>
      <c r="U423" s="269"/>
      <c r="V423" s="269"/>
      <c r="W423" s="269"/>
      <c r="X423" s="269"/>
      <c r="Y423" s="269"/>
      <c r="Z423" s="269"/>
    </row>
    <row r="424">
      <c r="A424" s="269" t="str">
        <f>IFERROR(__xludf.DUMMYFUNCTION("""COMPUTED_VALUE"""),"")</f>
        <v/>
      </c>
      <c r="B424" s="269"/>
      <c r="C424" s="269"/>
      <c r="D424" s="269"/>
      <c r="E424" s="269"/>
      <c r="F424" s="269"/>
      <c r="G424" s="269"/>
      <c r="H424" s="269"/>
      <c r="I424" s="269"/>
      <c r="J424" s="269"/>
      <c r="K424" s="269"/>
      <c r="L424" s="269"/>
      <c r="M424" s="269"/>
      <c r="N424" s="269"/>
      <c r="O424" s="269"/>
      <c r="P424" s="269"/>
      <c r="Q424" s="269"/>
      <c r="R424" s="269"/>
      <c r="S424" s="269"/>
      <c r="T424" s="269"/>
      <c r="U424" s="269"/>
      <c r="V424" s="269"/>
      <c r="W424" s="269"/>
      <c r="X424" s="269"/>
      <c r="Y424" s="269"/>
      <c r="Z424" s="269"/>
    </row>
    <row r="425">
      <c r="A425" s="269" t="str">
        <f>IFERROR(__xludf.DUMMYFUNCTION("""COMPUTED_VALUE"""),"")</f>
        <v/>
      </c>
      <c r="B425" s="269"/>
      <c r="C425" s="269"/>
      <c r="D425" s="269"/>
      <c r="E425" s="269"/>
      <c r="F425" s="269"/>
      <c r="G425" s="269"/>
      <c r="H425" s="269"/>
      <c r="I425" s="269"/>
      <c r="J425" s="269"/>
      <c r="K425" s="269"/>
      <c r="L425" s="269"/>
      <c r="M425" s="269"/>
      <c r="N425" s="269"/>
      <c r="O425" s="269"/>
      <c r="P425" s="269"/>
      <c r="Q425" s="269"/>
      <c r="R425" s="269"/>
      <c r="S425" s="269"/>
      <c r="T425" s="269"/>
      <c r="U425" s="269"/>
      <c r="V425" s="269"/>
      <c r="W425" s="269"/>
      <c r="X425" s="269"/>
      <c r="Y425" s="269"/>
      <c r="Z425" s="269"/>
    </row>
    <row r="426">
      <c r="A426" s="269" t="str">
        <f>IFERROR(__xludf.DUMMYFUNCTION("""COMPUTED_VALUE"""),"")</f>
        <v/>
      </c>
      <c r="B426" s="269"/>
      <c r="C426" s="269"/>
      <c r="D426" s="269"/>
      <c r="E426" s="269"/>
      <c r="F426" s="269"/>
      <c r="G426" s="269"/>
      <c r="H426" s="269"/>
      <c r="I426" s="269"/>
      <c r="J426" s="269"/>
      <c r="K426" s="269"/>
      <c r="L426" s="269"/>
      <c r="M426" s="269"/>
      <c r="N426" s="269"/>
      <c r="O426" s="269"/>
      <c r="P426" s="269"/>
      <c r="Q426" s="269"/>
      <c r="R426" s="269"/>
      <c r="S426" s="269"/>
      <c r="T426" s="269"/>
      <c r="U426" s="269"/>
      <c r="V426" s="269"/>
      <c r="W426" s="269"/>
      <c r="X426" s="269"/>
      <c r="Y426" s="269"/>
      <c r="Z426" s="269"/>
    </row>
    <row r="427">
      <c r="A427" s="269" t="str">
        <f>IFERROR(__xludf.DUMMYFUNCTION("""COMPUTED_VALUE"""),"")</f>
        <v/>
      </c>
      <c r="B427" s="269"/>
      <c r="C427" s="269"/>
      <c r="D427" s="269"/>
      <c r="E427" s="269"/>
      <c r="F427" s="269"/>
      <c r="G427" s="269"/>
      <c r="H427" s="269"/>
      <c r="I427" s="269"/>
      <c r="J427" s="269"/>
      <c r="K427" s="269"/>
      <c r="L427" s="269"/>
      <c r="M427" s="269"/>
      <c r="N427" s="269"/>
      <c r="O427" s="269"/>
      <c r="P427" s="269"/>
      <c r="Q427" s="269"/>
      <c r="R427" s="269"/>
      <c r="S427" s="269"/>
      <c r="T427" s="269"/>
      <c r="U427" s="269"/>
      <c r="V427" s="269"/>
      <c r="W427" s="269"/>
      <c r="X427" s="269"/>
      <c r="Y427" s="269"/>
      <c r="Z427" s="269"/>
    </row>
    <row r="428">
      <c r="A428" s="269" t="str">
        <f>IFERROR(__xludf.DUMMYFUNCTION("""COMPUTED_VALUE"""),"")</f>
        <v/>
      </c>
      <c r="B428" s="269"/>
      <c r="C428" s="269"/>
      <c r="D428" s="269"/>
      <c r="E428" s="269"/>
      <c r="F428" s="269"/>
      <c r="G428" s="269"/>
      <c r="H428" s="269"/>
      <c r="I428" s="269"/>
      <c r="J428" s="269"/>
      <c r="K428" s="269"/>
      <c r="L428" s="269"/>
      <c r="M428" s="269"/>
      <c r="N428" s="269"/>
      <c r="O428" s="269"/>
      <c r="P428" s="269"/>
      <c r="Q428" s="269"/>
      <c r="R428" s="269"/>
      <c r="S428" s="269"/>
      <c r="T428" s="269"/>
      <c r="U428" s="269"/>
      <c r="V428" s="269"/>
      <c r="W428" s="269"/>
      <c r="X428" s="269"/>
      <c r="Y428" s="269"/>
      <c r="Z428" s="269"/>
    </row>
    <row r="429">
      <c r="A429" s="269" t="str">
        <f>IFERROR(__xludf.DUMMYFUNCTION("""COMPUTED_VALUE"""),"")</f>
        <v/>
      </c>
      <c r="B429" s="269"/>
      <c r="C429" s="269"/>
      <c r="D429" s="269"/>
      <c r="E429" s="269"/>
      <c r="F429" s="269"/>
      <c r="G429" s="269"/>
      <c r="H429" s="269"/>
      <c r="I429" s="269"/>
      <c r="J429" s="269"/>
      <c r="K429" s="269"/>
      <c r="L429" s="269"/>
      <c r="M429" s="269"/>
      <c r="N429" s="269"/>
      <c r="O429" s="269"/>
      <c r="P429" s="269"/>
      <c r="Q429" s="269"/>
      <c r="R429" s="269"/>
      <c r="S429" s="269"/>
      <c r="T429" s="269"/>
      <c r="U429" s="269"/>
      <c r="V429" s="269"/>
      <c r="W429" s="269"/>
      <c r="X429" s="269"/>
      <c r="Y429" s="269"/>
      <c r="Z429" s="269"/>
    </row>
    <row r="430">
      <c r="A430" s="269" t="str">
        <f>IFERROR(__xludf.DUMMYFUNCTION("""COMPUTED_VALUE"""),"")</f>
        <v/>
      </c>
      <c r="B430" s="269"/>
      <c r="C430" s="269"/>
      <c r="D430" s="269"/>
      <c r="E430" s="269"/>
      <c r="F430" s="269"/>
      <c r="G430" s="269"/>
      <c r="H430" s="269"/>
      <c r="I430" s="269"/>
      <c r="J430" s="269"/>
      <c r="K430" s="269"/>
      <c r="L430" s="269"/>
      <c r="M430" s="269"/>
      <c r="N430" s="269"/>
      <c r="O430" s="269"/>
      <c r="P430" s="269"/>
      <c r="Q430" s="269"/>
      <c r="R430" s="269"/>
      <c r="S430" s="269"/>
      <c r="T430" s="269"/>
      <c r="U430" s="269"/>
      <c r="V430" s="269"/>
      <c r="W430" s="269"/>
      <c r="X430" s="269"/>
      <c r="Y430" s="269"/>
      <c r="Z430" s="269"/>
    </row>
    <row r="431">
      <c r="A431" s="269" t="str">
        <f>IFERROR(__xludf.DUMMYFUNCTION("""COMPUTED_VALUE"""),"")</f>
        <v/>
      </c>
      <c r="B431" s="269"/>
      <c r="C431" s="269"/>
      <c r="D431" s="269"/>
      <c r="E431" s="269"/>
      <c r="F431" s="269"/>
      <c r="G431" s="269"/>
      <c r="H431" s="269"/>
      <c r="I431" s="269"/>
      <c r="J431" s="269"/>
      <c r="K431" s="269"/>
      <c r="L431" s="269"/>
      <c r="M431" s="269"/>
      <c r="N431" s="269"/>
      <c r="O431" s="269"/>
      <c r="P431" s="269"/>
      <c r="Q431" s="269"/>
      <c r="R431" s="269"/>
      <c r="S431" s="269"/>
      <c r="T431" s="269"/>
      <c r="U431" s="269"/>
      <c r="V431" s="269"/>
      <c r="W431" s="269"/>
      <c r="X431" s="269"/>
      <c r="Y431" s="269"/>
      <c r="Z431" s="269"/>
    </row>
    <row r="432">
      <c r="A432" s="269" t="str">
        <f>IFERROR(__xludf.DUMMYFUNCTION("""COMPUTED_VALUE"""),"")</f>
        <v/>
      </c>
      <c r="B432" s="269"/>
      <c r="C432" s="269"/>
      <c r="D432" s="269"/>
      <c r="E432" s="269"/>
      <c r="F432" s="269"/>
      <c r="G432" s="269"/>
      <c r="H432" s="269"/>
      <c r="I432" s="269"/>
      <c r="J432" s="269"/>
      <c r="K432" s="269"/>
      <c r="L432" s="269"/>
      <c r="M432" s="269"/>
      <c r="N432" s="269"/>
      <c r="O432" s="269"/>
      <c r="P432" s="269"/>
      <c r="Q432" s="269"/>
      <c r="R432" s="269"/>
      <c r="S432" s="269"/>
      <c r="T432" s="269"/>
      <c r="U432" s="269"/>
      <c r="V432" s="269"/>
      <c r="W432" s="269"/>
      <c r="X432" s="269"/>
      <c r="Y432" s="269"/>
      <c r="Z432" s="269"/>
    </row>
    <row r="433">
      <c r="A433" s="269" t="str">
        <f>IFERROR(__xludf.DUMMYFUNCTION("""COMPUTED_VALUE"""),"")</f>
        <v/>
      </c>
      <c r="B433" s="269"/>
      <c r="C433" s="269"/>
      <c r="D433" s="269"/>
      <c r="E433" s="269"/>
      <c r="F433" s="269"/>
      <c r="G433" s="269"/>
      <c r="H433" s="269"/>
      <c r="I433" s="269"/>
      <c r="J433" s="269"/>
      <c r="K433" s="269"/>
      <c r="L433" s="269"/>
      <c r="M433" s="269"/>
      <c r="N433" s="269"/>
      <c r="O433" s="269"/>
      <c r="P433" s="269"/>
      <c r="Q433" s="269"/>
      <c r="R433" s="269"/>
      <c r="S433" s="269"/>
      <c r="T433" s="269"/>
      <c r="U433" s="269"/>
      <c r="V433" s="269"/>
      <c r="W433" s="269"/>
      <c r="X433" s="269"/>
      <c r="Y433" s="269"/>
      <c r="Z433" s="269"/>
    </row>
    <row r="434">
      <c r="A434" s="269" t="str">
        <f>IFERROR(__xludf.DUMMYFUNCTION("""COMPUTED_VALUE"""),"")</f>
        <v/>
      </c>
      <c r="B434" s="269"/>
      <c r="C434" s="269"/>
      <c r="D434" s="269"/>
      <c r="E434" s="269"/>
      <c r="F434" s="269"/>
      <c r="G434" s="269"/>
      <c r="H434" s="269"/>
      <c r="I434" s="269"/>
      <c r="J434" s="269"/>
      <c r="K434" s="269"/>
      <c r="L434" s="269"/>
      <c r="M434" s="269"/>
      <c r="N434" s="269"/>
      <c r="O434" s="269"/>
      <c r="P434" s="269"/>
      <c r="Q434" s="269"/>
      <c r="R434" s="269"/>
      <c r="S434" s="269"/>
      <c r="T434" s="269"/>
      <c r="U434" s="269"/>
      <c r="V434" s="269"/>
      <c r="W434" s="269"/>
      <c r="X434" s="269"/>
      <c r="Y434" s="269"/>
      <c r="Z434" s="269"/>
    </row>
    <row r="435">
      <c r="A435" s="269" t="str">
        <f>IFERROR(__xludf.DUMMYFUNCTION("""COMPUTED_VALUE"""),"")</f>
        <v/>
      </c>
      <c r="B435" s="269"/>
      <c r="C435" s="269"/>
      <c r="D435" s="269"/>
      <c r="E435" s="269"/>
      <c r="F435" s="269"/>
      <c r="G435" s="269"/>
      <c r="H435" s="269"/>
      <c r="I435" s="269"/>
      <c r="J435" s="269"/>
      <c r="K435" s="269"/>
      <c r="L435" s="269"/>
      <c r="M435" s="269"/>
      <c r="N435" s="269"/>
      <c r="O435" s="269"/>
      <c r="P435" s="269"/>
      <c r="Q435" s="269"/>
      <c r="R435" s="269"/>
      <c r="S435" s="269"/>
      <c r="T435" s="269"/>
      <c r="U435" s="269"/>
      <c r="V435" s="269"/>
      <c r="W435" s="269"/>
      <c r="X435" s="269"/>
      <c r="Y435" s="269"/>
      <c r="Z435" s="269"/>
    </row>
    <row r="436">
      <c r="A436" s="269" t="str">
        <f>IFERROR(__xludf.DUMMYFUNCTION("""COMPUTED_VALUE"""),"")</f>
        <v/>
      </c>
      <c r="B436" s="269"/>
      <c r="C436" s="269"/>
      <c r="D436" s="269"/>
      <c r="E436" s="269"/>
      <c r="F436" s="269"/>
      <c r="G436" s="269"/>
      <c r="H436" s="269"/>
      <c r="I436" s="269"/>
      <c r="J436" s="269"/>
      <c r="K436" s="269"/>
      <c r="L436" s="269"/>
      <c r="M436" s="269"/>
      <c r="N436" s="269"/>
      <c r="O436" s="269"/>
      <c r="P436" s="269"/>
      <c r="Q436" s="269"/>
      <c r="R436" s="269"/>
      <c r="S436" s="269"/>
      <c r="T436" s="269"/>
      <c r="U436" s="269"/>
      <c r="V436" s="269"/>
      <c r="W436" s="269"/>
      <c r="X436" s="269"/>
      <c r="Y436" s="269"/>
      <c r="Z436" s="269"/>
    </row>
    <row r="437">
      <c r="A437" s="269" t="str">
        <f>IFERROR(__xludf.DUMMYFUNCTION("""COMPUTED_VALUE"""),"")</f>
        <v/>
      </c>
      <c r="B437" s="269"/>
      <c r="C437" s="269"/>
      <c r="D437" s="269"/>
      <c r="E437" s="269"/>
      <c r="F437" s="269"/>
      <c r="G437" s="269"/>
      <c r="H437" s="269"/>
      <c r="I437" s="269"/>
      <c r="J437" s="269"/>
      <c r="K437" s="269"/>
      <c r="L437" s="269"/>
      <c r="M437" s="269"/>
      <c r="N437" s="269"/>
      <c r="O437" s="269"/>
      <c r="P437" s="269"/>
      <c r="Q437" s="269"/>
      <c r="R437" s="269"/>
      <c r="S437" s="269"/>
      <c r="T437" s="269"/>
      <c r="U437" s="269"/>
      <c r="V437" s="269"/>
      <c r="W437" s="269"/>
      <c r="X437" s="269"/>
      <c r="Y437" s="269"/>
      <c r="Z437" s="269"/>
    </row>
    <row r="438">
      <c r="A438" s="269" t="str">
        <f>IFERROR(__xludf.DUMMYFUNCTION("""COMPUTED_VALUE"""),"")</f>
        <v/>
      </c>
      <c r="B438" s="269"/>
      <c r="C438" s="269"/>
      <c r="D438" s="269"/>
      <c r="E438" s="269"/>
      <c r="F438" s="269"/>
      <c r="G438" s="269"/>
      <c r="H438" s="269"/>
      <c r="I438" s="269"/>
      <c r="J438" s="269"/>
      <c r="K438" s="269"/>
      <c r="L438" s="269"/>
      <c r="M438" s="269"/>
      <c r="N438" s="269"/>
      <c r="O438" s="269"/>
      <c r="P438" s="269"/>
      <c r="Q438" s="269"/>
      <c r="R438" s="269"/>
      <c r="S438" s="269"/>
      <c r="T438" s="269"/>
      <c r="U438" s="269"/>
      <c r="V438" s="269"/>
      <c r="W438" s="269"/>
      <c r="X438" s="269"/>
      <c r="Y438" s="269"/>
      <c r="Z438" s="269"/>
    </row>
    <row r="439">
      <c r="A439" s="269" t="str">
        <f>IFERROR(__xludf.DUMMYFUNCTION("""COMPUTED_VALUE"""),"")</f>
        <v/>
      </c>
      <c r="B439" s="269"/>
      <c r="C439" s="269"/>
      <c r="D439" s="269"/>
      <c r="E439" s="269"/>
      <c r="F439" s="269"/>
      <c r="G439" s="269"/>
      <c r="H439" s="269"/>
      <c r="I439" s="269"/>
      <c r="J439" s="269"/>
      <c r="K439" s="269"/>
      <c r="L439" s="269"/>
      <c r="M439" s="269"/>
      <c r="N439" s="269"/>
      <c r="O439" s="269"/>
      <c r="P439" s="269"/>
      <c r="Q439" s="269"/>
      <c r="R439" s="269"/>
      <c r="S439" s="269"/>
      <c r="T439" s="269"/>
      <c r="U439" s="269"/>
      <c r="V439" s="269"/>
      <c r="W439" s="269"/>
      <c r="X439" s="269"/>
      <c r="Y439" s="269"/>
      <c r="Z439" s="269"/>
    </row>
    <row r="440">
      <c r="A440" s="269" t="str">
        <f>IFERROR(__xludf.DUMMYFUNCTION("""COMPUTED_VALUE"""),"")</f>
        <v/>
      </c>
      <c r="B440" s="269"/>
      <c r="C440" s="269"/>
      <c r="D440" s="269"/>
      <c r="E440" s="269"/>
      <c r="F440" s="269"/>
      <c r="G440" s="269"/>
      <c r="H440" s="269"/>
      <c r="I440" s="269"/>
      <c r="J440" s="269"/>
      <c r="K440" s="269"/>
      <c r="L440" s="269"/>
      <c r="M440" s="269"/>
      <c r="N440" s="269"/>
      <c r="O440" s="269"/>
      <c r="P440" s="269"/>
      <c r="Q440" s="269"/>
      <c r="R440" s="269"/>
      <c r="S440" s="269"/>
      <c r="T440" s="269"/>
      <c r="U440" s="269"/>
      <c r="V440" s="269"/>
      <c r="W440" s="269"/>
      <c r="X440" s="269"/>
      <c r="Y440" s="269"/>
      <c r="Z440" s="269"/>
    </row>
    <row r="441">
      <c r="A441" s="269" t="str">
        <f>IFERROR(__xludf.DUMMYFUNCTION("""COMPUTED_VALUE"""),"")</f>
        <v/>
      </c>
      <c r="B441" s="269"/>
      <c r="C441" s="269"/>
      <c r="D441" s="269"/>
      <c r="E441" s="269"/>
      <c r="F441" s="269"/>
      <c r="G441" s="269"/>
      <c r="H441" s="269"/>
      <c r="I441" s="269"/>
      <c r="J441" s="269"/>
      <c r="K441" s="269"/>
      <c r="L441" s="269"/>
      <c r="M441" s="269"/>
      <c r="N441" s="269"/>
      <c r="O441" s="269"/>
      <c r="P441" s="269"/>
      <c r="Q441" s="269"/>
      <c r="R441" s="269"/>
      <c r="S441" s="269"/>
      <c r="T441" s="269"/>
      <c r="U441" s="269"/>
      <c r="V441" s="269"/>
      <c r="W441" s="269"/>
      <c r="X441" s="269"/>
      <c r="Y441" s="269"/>
      <c r="Z441" s="269"/>
    </row>
    <row r="442">
      <c r="A442" s="269" t="str">
        <f>IFERROR(__xludf.DUMMYFUNCTION("""COMPUTED_VALUE"""),"")</f>
        <v/>
      </c>
      <c r="B442" s="269"/>
      <c r="C442" s="269"/>
      <c r="D442" s="269"/>
      <c r="E442" s="269"/>
      <c r="F442" s="269"/>
      <c r="G442" s="269"/>
      <c r="H442" s="269"/>
      <c r="I442" s="269"/>
      <c r="J442" s="269"/>
      <c r="K442" s="269"/>
      <c r="L442" s="269"/>
      <c r="M442" s="269"/>
      <c r="N442" s="269"/>
      <c r="O442" s="269"/>
      <c r="P442" s="269"/>
      <c r="Q442" s="269"/>
      <c r="R442" s="269"/>
      <c r="S442" s="269"/>
      <c r="T442" s="269"/>
      <c r="U442" s="269"/>
      <c r="V442" s="269"/>
      <c r="W442" s="269"/>
      <c r="X442" s="269"/>
      <c r="Y442" s="269"/>
      <c r="Z442" s="269"/>
    </row>
    <row r="443">
      <c r="A443" s="269" t="str">
        <f>IFERROR(__xludf.DUMMYFUNCTION("""COMPUTED_VALUE"""),"")</f>
        <v/>
      </c>
      <c r="B443" s="269"/>
      <c r="C443" s="269"/>
      <c r="D443" s="269"/>
      <c r="E443" s="269"/>
      <c r="F443" s="269"/>
      <c r="G443" s="269"/>
      <c r="H443" s="269"/>
      <c r="I443" s="269"/>
      <c r="J443" s="269"/>
      <c r="K443" s="269"/>
      <c r="L443" s="269"/>
      <c r="M443" s="269"/>
      <c r="N443" s="269"/>
      <c r="O443" s="269"/>
      <c r="P443" s="269"/>
      <c r="Q443" s="269"/>
      <c r="R443" s="269"/>
      <c r="S443" s="269"/>
      <c r="T443" s="269"/>
      <c r="U443" s="269"/>
      <c r="V443" s="269"/>
      <c r="W443" s="269"/>
      <c r="X443" s="269"/>
      <c r="Y443" s="269"/>
      <c r="Z443" s="269"/>
    </row>
    <row r="444">
      <c r="A444" s="269" t="str">
        <f>IFERROR(__xludf.DUMMYFUNCTION("""COMPUTED_VALUE"""),"")</f>
        <v/>
      </c>
      <c r="B444" s="269"/>
      <c r="C444" s="269"/>
      <c r="D444" s="269"/>
      <c r="E444" s="269"/>
      <c r="F444" s="269"/>
      <c r="G444" s="269"/>
      <c r="H444" s="269"/>
      <c r="I444" s="269"/>
      <c r="J444" s="269"/>
      <c r="K444" s="269"/>
      <c r="L444" s="269"/>
      <c r="M444" s="269"/>
      <c r="N444" s="269"/>
      <c r="O444" s="269"/>
      <c r="P444" s="269"/>
      <c r="Q444" s="269"/>
      <c r="R444" s="269"/>
      <c r="S444" s="269"/>
      <c r="T444" s="269"/>
      <c r="U444" s="269"/>
      <c r="V444" s="269"/>
      <c r="W444" s="269"/>
      <c r="X444" s="269"/>
      <c r="Y444" s="269"/>
      <c r="Z444" s="269"/>
    </row>
    <row r="445">
      <c r="A445" s="269" t="str">
        <f>IFERROR(__xludf.DUMMYFUNCTION("""COMPUTED_VALUE"""),"")</f>
        <v/>
      </c>
      <c r="B445" s="269"/>
      <c r="C445" s="269"/>
      <c r="D445" s="269"/>
      <c r="E445" s="269"/>
      <c r="F445" s="269"/>
      <c r="G445" s="269"/>
      <c r="H445" s="269"/>
      <c r="I445" s="269"/>
      <c r="J445" s="269"/>
      <c r="K445" s="269"/>
      <c r="L445" s="269"/>
      <c r="M445" s="269"/>
      <c r="N445" s="269"/>
      <c r="O445" s="269"/>
      <c r="P445" s="269"/>
      <c r="Q445" s="269"/>
      <c r="R445" s="269"/>
      <c r="S445" s="269"/>
      <c r="T445" s="269"/>
      <c r="U445" s="269"/>
      <c r="V445" s="269"/>
      <c r="W445" s="269"/>
      <c r="X445" s="269"/>
      <c r="Y445" s="269"/>
      <c r="Z445" s="269"/>
    </row>
    <row r="446">
      <c r="A446" s="269" t="str">
        <f>IFERROR(__xludf.DUMMYFUNCTION("""COMPUTED_VALUE"""),"")</f>
        <v/>
      </c>
      <c r="B446" s="269"/>
      <c r="C446" s="269"/>
      <c r="D446" s="269"/>
      <c r="E446" s="269"/>
      <c r="F446" s="269"/>
      <c r="G446" s="269"/>
      <c r="H446" s="269"/>
      <c r="I446" s="269"/>
      <c r="J446" s="269"/>
      <c r="K446" s="269"/>
      <c r="L446" s="269"/>
      <c r="M446" s="269"/>
      <c r="N446" s="269"/>
      <c r="O446" s="269"/>
      <c r="P446" s="269"/>
      <c r="Q446" s="269"/>
      <c r="R446" s="269"/>
      <c r="S446" s="269"/>
      <c r="T446" s="269"/>
      <c r="U446" s="269"/>
      <c r="V446" s="269"/>
      <c r="W446" s="269"/>
      <c r="X446" s="269"/>
      <c r="Y446" s="269"/>
      <c r="Z446" s="269"/>
    </row>
    <row r="447">
      <c r="A447" s="269" t="str">
        <f>IFERROR(__xludf.DUMMYFUNCTION("""COMPUTED_VALUE"""),"")</f>
        <v/>
      </c>
      <c r="B447" s="269"/>
      <c r="C447" s="269"/>
      <c r="D447" s="269"/>
      <c r="E447" s="269"/>
      <c r="F447" s="269"/>
      <c r="G447" s="269"/>
      <c r="H447" s="269"/>
      <c r="I447" s="269"/>
      <c r="J447" s="269"/>
      <c r="K447" s="269"/>
      <c r="L447" s="269"/>
      <c r="M447" s="269"/>
      <c r="N447" s="269"/>
      <c r="O447" s="269"/>
      <c r="P447" s="269"/>
      <c r="Q447" s="269"/>
      <c r="R447" s="269"/>
      <c r="S447" s="269"/>
      <c r="T447" s="269"/>
      <c r="U447" s="269"/>
      <c r="V447" s="269"/>
      <c r="W447" s="269"/>
      <c r="X447" s="269"/>
      <c r="Y447" s="269"/>
      <c r="Z447" s="269"/>
    </row>
    <row r="448">
      <c r="A448" s="269" t="str">
        <f>IFERROR(__xludf.DUMMYFUNCTION("""COMPUTED_VALUE"""),"")</f>
        <v/>
      </c>
      <c r="B448" s="269"/>
      <c r="C448" s="269"/>
      <c r="D448" s="269"/>
      <c r="E448" s="269"/>
      <c r="F448" s="269"/>
      <c r="G448" s="269"/>
      <c r="H448" s="269"/>
      <c r="I448" s="269"/>
      <c r="J448" s="269"/>
      <c r="K448" s="269"/>
      <c r="L448" s="269"/>
      <c r="M448" s="269"/>
      <c r="N448" s="269"/>
      <c r="O448" s="269"/>
      <c r="P448" s="269"/>
      <c r="Q448" s="269"/>
      <c r="R448" s="269"/>
      <c r="S448" s="269"/>
      <c r="T448" s="269"/>
      <c r="U448" s="269"/>
      <c r="V448" s="269"/>
      <c r="W448" s="269"/>
      <c r="X448" s="269"/>
      <c r="Y448" s="269"/>
      <c r="Z448" s="269"/>
    </row>
    <row r="449">
      <c r="A449" s="269" t="str">
        <f>IFERROR(__xludf.DUMMYFUNCTION("""COMPUTED_VALUE"""),"")</f>
        <v/>
      </c>
      <c r="B449" s="269"/>
      <c r="C449" s="269"/>
      <c r="D449" s="269"/>
      <c r="E449" s="269"/>
      <c r="F449" s="269"/>
      <c r="G449" s="269"/>
      <c r="H449" s="269"/>
      <c r="I449" s="269"/>
      <c r="J449" s="269"/>
      <c r="K449" s="269"/>
      <c r="L449" s="269"/>
      <c r="M449" s="269"/>
      <c r="N449" s="269"/>
      <c r="O449" s="269"/>
      <c r="P449" s="269"/>
      <c r="Q449" s="269"/>
      <c r="R449" s="269"/>
      <c r="S449" s="269"/>
      <c r="T449" s="269"/>
      <c r="U449" s="269"/>
      <c r="V449" s="269"/>
      <c r="W449" s="269"/>
      <c r="X449" s="269"/>
      <c r="Y449" s="269"/>
      <c r="Z449" s="269"/>
    </row>
    <row r="450">
      <c r="A450" s="269" t="str">
        <f>IFERROR(__xludf.DUMMYFUNCTION("""COMPUTED_VALUE"""),"")</f>
        <v/>
      </c>
      <c r="B450" s="269"/>
      <c r="C450" s="269"/>
      <c r="D450" s="269"/>
      <c r="E450" s="269"/>
      <c r="F450" s="269"/>
      <c r="G450" s="269"/>
      <c r="H450" s="269"/>
      <c r="I450" s="269"/>
      <c r="J450" s="269"/>
      <c r="K450" s="269"/>
      <c r="L450" s="269"/>
      <c r="M450" s="269"/>
      <c r="N450" s="269"/>
      <c r="O450" s="269"/>
      <c r="P450" s="269"/>
      <c r="Q450" s="269"/>
      <c r="R450" s="269"/>
      <c r="S450" s="269"/>
      <c r="T450" s="269"/>
      <c r="U450" s="269"/>
      <c r="V450" s="269"/>
      <c r="W450" s="269"/>
      <c r="X450" s="269"/>
      <c r="Y450" s="269"/>
      <c r="Z450" s="269"/>
    </row>
    <row r="451">
      <c r="A451" s="269" t="str">
        <f>IFERROR(__xludf.DUMMYFUNCTION("""COMPUTED_VALUE"""),"")</f>
        <v/>
      </c>
      <c r="B451" s="269"/>
      <c r="C451" s="269"/>
      <c r="D451" s="269"/>
      <c r="E451" s="269"/>
      <c r="F451" s="269"/>
      <c r="G451" s="269"/>
      <c r="H451" s="269"/>
      <c r="I451" s="269"/>
      <c r="J451" s="269"/>
      <c r="K451" s="269"/>
      <c r="L451" s="269"/>
      <c r="M451" s="269"/>
      <c r="N451" s="269"/>
      <c r="O451" s="269"/>
      <c r="P451" s="269"/>
      <c r="Q451" s="269"/>
      <c r="R451" s="269"/>
      <c r="S451" s="269"/>
      <c r="T451" s="269"/>
      <c r="U451" s="269"/>
      <c r="V451" s="269"/>
      <c r="W451" s="269"/>
      <c r="X451" s="269"/>
      <c r="Y451" s="269"/>
      <c r="Z451" s="269"/>
    </row>
    <row r="452">
      <c r="A452" s="269" t="str">
        <f>IFERROR(__xludf.DUMMYFUNCTION("""COMPUTED_VALUE"""),"")</f>
        <v/>
      </c>
      <c r="B452" s="269"/>
      <c r="C452" s="269"/>
      <c r="D452" s="269"/>
      <c r="E452" s="269"/>
      <c r="F452" s="269"/>
      <c r="G452" s="269"/>
      <c r="H452" s="269"/>
      <c r="I452" s="269"/>
      <c r="J452" s="269"/>
      <c r="K452" s="269"/>
      <c r="L452" s="269"/>
      <c r="M452" s="269"/>
      <c r="N452" s="269"/>
      <c r="O452" s="269"/>
      <c r="P452" s="269"/>
      <c r="Q452" s="269"/>
      <c r="R452" s="269"/>
      <c r="S452" s="269"/>
      <c r="T452" s="269"/>
      <c r="U452" s="269"/>
      <c r="V452" s="269"/>
      <c r="W452" s="269"/>
      <c r="X452" s="269"/>
      <c r="Y452" s="269"/>
      <c r="Z452" s="269"/>
    </row>
    <row r="453">
      <c r="A453" s="269" t="str">
        <f>IFERROR(__xludf.DUMMYFUNCTION("""COMPUTED_VALUE"""),"")</f>
        <v/>
      </c>
      <c r="B453" s="269"/>
      <c r="C453" s="269"/>
      <c r="D453" s="269"/>
      <c r="E453" s="269"/>
      <c r="F453" s="269"/>
      <c r="G453" s="269"/>
      <c r="H453" s="269"/>
      <c r="I453" s="269"/>
      <c r="J453" s="269"/>
      <c r="K453" s="269"/>
      <c r="L453" s="269"/>
      <c r="M453" s="269"/>
      <c r="N453" s="269"/>
      <c r="O453" s="269"/>
      <c r="P453" s="269"/>
      <c r="Q453" s="269"/>
      <c r="R453" s="269"/>
      <c r="S453" s="269"/>
      <c r="T453" s="269"/>
      <c r="U453" s="269"/>
      <c r="V453" s="269"/>
      <c r="W453" s="269"/>
      <c r="X453" s="269"/>
      <c r="Y453" s="269"/>
      <c r="Z453" s="269"/>
    </row>
    <row r="454">
      <c r="A454" s="269" t="str">
        <f>IFERROR(__xludf.DUMMYFUNCTION("""COMPUTED_VALUE"""),"")</f>
        <v/>
      </c>
      <c r="B454" s="269"/>
      <c r="C454" s="269"/>
      <c r="D454" s="269"/>
      <c r="E454" s="269"/>
      <c r="F454" s="269"/>
      <c r="G454" s="269"/>
      <c r="H454" s="269"/>
      <c r="I454" s="269"/>
      <c r="J454" s="269"/>
      <c r="K454" s="269"/>
      <c r="L454" s="269"/>
      <c r="M454" s="269"/>
      <c r="N454" s="269"/>
      <c r="O454" s="269"/>
      <c r="P454" s="269"/>
      <c r="Q454" s="269"/>
      <c r="R454" s="269"/>
      <c r="S454" s="269"/>
      <c r="T454" s="269"/>
      <c r="U454" s="269"/>
      <c r="V454" s="269"/>
      <c r="W454" s="269"/>
      <c r="X454" s="269"/>
      <c r="Y454" s="269"/>
      <c r="Z454" s="269"/>
    </row>
    <row r="455">
      <c r="A455" s="269" t="str">
        <f>IFERROR(__xludf.DUMMYFUNCTION("""COMPUTED_VALUE"""),"")</f>
        <v/>
      </c>
      <c r="B455" s="269"/>
      <c r="C455" s="269"/>
      <c r="D455" s="269"/>
      <c r="E455" s="269"/>
      <c r="F455" s="269"/>
      <c r="G455" s="269"/>
      <c r="H455" s="269"/>
      <c r="I455" s="269"/>
      <c r="J455" s="269"/>
      <c r="K455" s="269"/>
      <c r="L455" s="269"/>
      <c r="M455" s="269"/>
      <c r="N455" s="269"/>
      <c r="O455" s="269"/>
      <c r="P455" s="269"/>
      <c r="Q455" s="269"/>
      <c r="R455" s="269"/>
      <c r="S455" s="269"/>
      <c r="T455" s="269"/>
      <c r="U455" s="269"/>
      <c r="V455" s="269"/>
      <c r="W455" s="269"/>
      <c r="X455" s="269"/>
      <c r="Y455" s="269"/>
      <c r="Z455" s="269"/>
    </row>
    <row r="456">
      <c r="A456" s="269" t="str">
        <f>IFERROR(__xludf.DUMMYFUNCTION("""COMPUTED_VALUE"""),"")</f>
        <v/>
      </c>
      <c r="B456" s="269"/>
      <c r="C456" s="269"/>
      <c r="D456" s="269"/>
      <c r="E456" s="269"/>
      <c r="F456" s="269"/>
      <c r="G456" s="269"/>
      <c r="H456" s="269"/>
      <c r="I456" s="269"/>
      <c r="J456" s="269"/>
      <c r="K456" s="269"/>
      <c r="L456" s="269"/>
      <c r="M456" s="269"/>
      <c r="N456" s="269"/>
      <c r="O456" s="269"/>
      <c r="P456" s="269"/>
      <c r="Q456" s="269"/>
      <c r="R456" s="269"/>
      <c r="S456" s="269"/>
      <c r="T456" s="269"/>
      <c r="U456" s="269"/>
      <c r="V456" s="269"/>
      <c r="W456" s="269"/>
      <c r="X456" s="269"/>
      <c r="Y456" s="269"/>
      <c r="Z456" s="269"/>
    </row>
    <row r="457">
      <c r="A457" s="269" t="str">
        <f>IFERROR(__xludf.DUMMYFUNCTION("""COMPUTED_VALUE"""),"")</f>
        <v/>
      </c>
      <c r="B457" s="269"/>
      <c r="C457" s="269"/>
      <c r="D457" s="269"/>
      <c r="E457" s="269"/>
      <c r="F457" s="269"/>
      <c r="G457" s="269"/>
      <c r="H457" s="269"/>
      <c r="I457" s="269"/>
      <c r="J457" s="269"/>
      <c r="K457" s="269"/>
      <c r="L457" s="269"/>
      <c r="M457" s="269"/>
      <c r="N457" s="269"/>
      <c r="O457" s="269"/>
      <c r="P457" s="269"/>
      <c r="Q457" s="269"/>
      <c r="R457" s="269"/>
      <c r="S457" s="269"/>
      <c r="T457" s="269"/>
      <c r="U457" s="269"/>
      <c r="V457" s="269"/>
      <c r="W457" s="269"/>
      <c r="X457" s="269"/>
      <c r="Y457" s="269"/>
      <c r="Z457" s="269"/>
    </row>
    <row r="458">
      <c r="A458" s="269" t="str">
        <f>IFERROR(__xludf.DUMMYFUNCTION("""COMPUTED_VALUE"""),"")</f>
        <v/>
      </c>
      <c r="B458" s="269"/>
      <c r="C458" s="269"/>
      <c r="D458" s="269"/>
      <c r="E458" s="269"/>
      <c r="F458" s="269"/>
      <c r="G458" s="269"/>
      <c r="H458" s="269"/>
      <c r="I458" s="269"/>
      <c r="J458" s="269"/>
      <c r="K458" s="269"/>
      <c r="L458" s="269"/>
      <c r="M458" s="269"/>
      <c r="N458" s="269"/>
      <c r="O458" s="269"/>
      <c r="P458" s="269"/>
      <c r="Q458" s="269"/>
      <c r="R458" s="269"/>
      <c r="S458" s="269"/>
      <c r="T458" s="269"/>
      <c r="U458" s="269"/>
      <c r="V458" s="269"/>
      <c r="W458" s="269"/>
      <c r="X458" s="269"/>
      <c r="Y458" s="269"/>
      <c r="Z458" s="269"/>
    </row>
    <row r="459">
      <c r="A459" s="269" t="str">
        <f>IFERROR(__xludf.DUMMYFUNCTION("""COMPUTED_VALUE"""),"")</f>
        <v/>
      </c>
      <c r="B459" s="269"/>
      <c r="C459" s="269"/>
      <c r="D459" s="269"/>
      <c r="E459" s="269"/>
      <c r="F459" s="269"/>
      <c r="G459" s="269"/>
      <c r="H459" s="269"/>
      <c r="I459" s="269"/>
      <c r="J459" s="269"/>
      <c r="K459" s="269"/>
      <c r="L459" s="269"/>
      <c r="M459" s="269"/>
      <c r="N459" s="269"/>
      <c r="O459" s="269"/>
      <c r="P459" s="269"/>
      <c r="Q459" s="269"/>
      <c r="R459" s="269"/>
      <c r="S459" s="269"/>
      <c r="T459" s="269"/>
      <c r="U459" s="269"/>
      <c r="V459" s="269"/>
      <c r="W459" s="269"/>
      <c r="X459" s="269"/>
      <c r="Y459" s="269"/>
      <c r="Z459" s="269"/>
    </row>
    <row r="460">
      <c r="A460" s="269" t="str">
        <f>IFERROR(__xludf.DUMMYFUNCTION("""COMPUTED_VALUE"""),"")</f>
        <v/>
      </c>
      <c r="B460" s="269"/>
      <c r="C460" s="269"/>
      <c r="D460" s="269"/>
      <c r="E460" s="269"/>
      <c r="F460" s="269"/>
      <c r="G460" s="269"/>
      <c r="H460" s="269"/>
      <c r="I460" s="269"/>
      <c r="J460" s="269"/>
      <c r="K460" s="269"/>
      <c r="L460" s="269"/>
      <c r="M460" s="269"/>
      <c r="N460" s="269"/>
      <c r="O460" s="269"/>
      <c r="P460" s="269"/>
      <c r="Q460" s="269"/>
      <c r="R460" s="269"/>
      <c r="S460" s="269"/>
      <c r="T460" s="269"/>
      <c r="U460" s="269"/>
      <c r="V460" s="269"/>
      <c r="W460" s="269"/>
      <c r="X460" s="269"/>
      <c r="Y460" s="269"/>
      <c r="Z460" s="269"/>
    </row>
    <row r="461">
      <c r="A461" s="269" t="str">
        <f>IFERROR(__xludf.DUMMYFUNCTION("""COMPUTED_VALUE"""),"")</f>
        <v/>
      </c>
      <c r="B461" s="269"/>
      <c r="C461" s="269"/>
      <c r="D461" s="269"/>
      <c r="E461" s="269"/>
      <c r="F461" s="269"/>
      <c r="G461" s="269"/>
      <c r="H461" s="269"/>
      <c r="I461" s="269"/>
      <c r="J461" s="269"/>
      <c r="K461" s="269"/>
      <c r="L461" s="269"/>
      <c r="M461" s="269"/>
      <c r="N461" s="269"/>
      <c r="O461" s="269"/>
      <c r="P461" s="269"/>
      <c r="Q461" s="269"/>
      <c r="R461" s="269"/>
      <c r="S461" s="269"/>
      <c r="T461" s="269"/>
      <c r="U461" s="269"/>
      <c r="V461" s="269"/>
      <c r="W461" s="269"/>
      <c r="X461" s="269"/>
      <c r="Y461" s="269"/>
      <c r="Z461" s="269"/>
    </row>
    <row r="462">
      <c r="A462" s="269" t="str">
        <f>IFERROR(__xludf.DUMMYFUNCTION("""COMPUTED_VALUE"""),"")</f>
        <v/>
      </c>
      <c r="B462" s="269"/>
      <c r="C462" s="269"/>
      <c r="D462" s="269"/>
      <c r="E462" s="269"/>
      <c r="F462" s="269"/>
      <c r="G462" s="269"/>
      <c r="H462" s="269"/>
      <c r="I462" s="269"/>
      <c r="J462" s="269"/>
      <c r="K462" s="269"/>
      <c r="L462" s="269"/>
      <c r="M462" s="269"/>
      <c r="N462" s="269"/>
      <c r="O462" s="269"/>
      <c r="P462" s="269"/>
      <c r="Q462" s="269"/>
      <c r="R462" s="269"/>
      <c r="S462" s="269"/>
      <c r="T462" s="269"/>
      <c r="U462" s="269"/>
      <c r="V462" s="269"/>
      <c r="W462" s="269"/>
      <c r="X462" s="269"/>
      <c r="Y462" s="269"/>
      <c r="Z462" s="269"/>
    </row>
    <row r="463">
      <c r="A463" s="269" t="str">
        <f>IFERROR(__xludf.DUMMYFUNCTION("""COMPUTED_VALUE"""),"")</f>
        <v/>
      </c>
      <c r="B463" s="269"/>
      <c r="C463" s="269"/>
      <c r="D463" s="269"/>
      <c r="E463" s="269"/>
      <c r="F463" s="269"/>
      <c r="G463" s="269"/>
      <c r="H463" s="269"/>
      <c r="I463" s="269"/>
      <c r="J463" s="269"/>
      <c r="K463" s="269"/>
      <c r="L463" s="269"/>
      <c r="M463" s="269"/>
      <c r="N463" s="269"/>
      <c r="O463" s="269"/>
      <c r="P463" s="269"/>
      <c r="Q463" s="269"/>
      <c r="R463" s="269"/>
      <c r="S463" s="269"/>
      <c r="T463" s="269"/>
      <c r="U463" s="269"/>
      <c r="V463" s="269"/>
      <c r="W463" s="269"/>
      <c r="X463" s="269"/>
      <c r="Y463" s="269"/>
      <c r="Z463" s="269"/>
    </row>
    <row r="464">
      <c r="A464" s="269" t="str">
        <f>IFERROR(__xludf.DUMMYFUNCTION("""COMPUTED_VALUE"""),"")</f>
        <v/>
      </c>
      <c r="B464" s="269"/>
      <c r="C464" s="269"/>
      <c r="D464" s="269"/>
      <c r="E464" s="269"/>
      <c r="F464" s="269"/>
      <c r="G464" s="269"/>
      <c r="H464" s="269"/>
      <c r="I464" s="269"/>
      <c r="J464" s="269"/>
      <c r="K464" s="269"/>
      <c r="L464" s="269"/>
      <c r="M464" s="269"/>
      <c r="N464" s="269"/>
      <c r="O464" s="269"/>
      <c r="P464" s="269"/>
      <c r="Q464" s="269"/>
      <c r="R464" s="269"/>
      <c r="S464" s="269"/>
      <c r="T464" s="269"/>
      <c r="U464" s="269"/>
      <c r="V464" s="269"/>
      <c r="W464" s="269"/>
      <c r="X464" s="269"/>
      <c r="Y464" s="269"/>
      <c r="Z464" s="269"/>
    </row>
    <row r="465">
      <c r="A465" s="269" t="str">
        <f>IFERROR(__xludf.DUMMYFUNCTION("""COMPUTED_VALUE"""),"")</f>
        <v/>
      </c>
      <c r="B465" s="269"/>
      <c r="C465" s="269"/>
      <c r="D465" s="269"/>
      <c r="E465" s="269"/>
      <c r="F465" s="269"/>
      <c r="G465" s="269"/>
      <c r="H465" s="269"/>
      <c r="I465" s="269"/>
      <c r="J465" s="269"/>
      <c r="K465" s="269"/>
      <c r="L465" s="269"/>
      <c r="M465" s="269"/>
      <c r="N465" s="269"/>
      <c r="O465" s="269"/>
      <c r="P465" s="269"/>
      <c r="Q465" s="269"/>
      <c r="R465" s="269"/>
      <c r="S465" s="269"/>
      <c r="T465" s="269"/>
      <c r="U465" s="269"/>
      <c r="V465" s="269"/>
      <c r="W465" s="269"/>
      <c r="X465" s="269"/>
      <c r="Y465" s="269"/>
      <c r="Z465" s="269"/>
    </row>
    <row r="466">
      <c r="A466" s="269" t="str">
        <f>IFERROR(__xludf.DUMMYFUNCTION("""COMPUTED_VALUE"""),"")</f>
        <v/>
      </c>
      <c r="B466" s="269"/>
      <c r="C466" s="269"/>
      <c r="D466" s="269"/>
      <c r="E466" s="269"/>
      <c r="F466" s="269"/>
      <c r="G466" s="269"/>
      <c r="H466" s="269"/>
      <c r="I466" s="269"/>
      <c r="J466" s="269"/>
      <c r="K466" s="269"/>
      <c r="L466" s="269"/>
      <c r="M466" s="269"/>
      <c r="N466" s="269"/>
      <c r="O466" s="269"/>
      <c r="P466" s="269"/>
      <c r="Q466" s="269"/>
      <c r="R466" s="269"/>
      <c r="S466" s="269"/>
      <c r="T466" s="269"/>
      <c r="U466" s="269"/>
      <c r="V466" s="269"/>
      <c r="W466" s="269"/>
      <c r="X466" s="269"/>
      <c r="Y466" s="269"/>
      <c r="Z466" s="269"/>
    </row>
    <row r="467">
      <c r="A467" s="269" t="str">
        <f>IFERROR(__xludf.DUMMYFUNCTION("""COMPUTED_VALUE"""),"")</f>
        <v/>
      </c>
      <c r="B467" s="269"/>
      <c r="C467" s="269"/>
      <c r="D467" s="269"/>
      <c r="E467" s="269"/>
      <c r="F467" s="269"/>
      <c r="G467" s="269"/>
      <c r="H467" s="269"/>
      <c r="I467" s="269"/>
      <c r="J467" s="269"/>
      <c r="K467" s="269"/>
      <c r="L467" s="269"/>
      <c r="M467" s="269"/>
      <c r="N467" s="269"/>
      <c r="O467" s="269"/>
      <c r="P467" s="269"/>
      <c r="Q467" s="269"/>
      <c r="R467" s="269"/>
      <c r="S467" s="269"/>
      <c r="T467" s="269"/>
      <c r="U467" s="269"/>
      <c r="V467" s="269"/>
      <c r="W467" s="269"/>
      <c r="X467" s="269"/>
      <c r="Y467" s="269"/>
      <c r="Z467" s="269"/>
    </row>
    <row r="468">
      <c r="A468" s="269" t="str">
        <f>IFERROR(__xludf.DUMMYFUNCTION("""COMPUTED_VALUE"""),"")</f>
        <v/>
      </c>
      <c r="B468" s="269"/>
      <c r="C468" s="269"/>
      <c r="D468" s="269"/>
      <c r="E468" s="269"/>
      <c r="F468" s="269"/>
      <c r="G468" s="269"/>
      <c r="H468" s="269"/>
      <c r="I468" s="269"/>
      <c r="J468" s="269"/>
      <c r="K468" s="269"/>
      <c r="L468" s="269"/>
      <c r="M468" s="269"/>
      <c r="N468" s="269"/>
      <c r="O468" s="269"/>
      <c r="P468" s="269"/>
      <c r="Q468" s="269"/>
      <c r="R468" s="269"/>
      <c r="S468" s="269"/>
      <c r="T468" s="269"/>
      <c r="U468" s="269"/>
      <c r="V468" s="269"/>
      <c r="W468" s="269"/>
      <c r="X468" s="269"/>
      <c r="Y468" s="269"/>
      <c r="Z468" s="269"/>
    </row>
    <row r="469">
      <c r="A469" s="269" t="str">
        <f>IFERROR(__xludf.DUMMYFUNCTION("""COMPUTED_VALUE"""),"")</f>
        <v/>
      </c>
      <c r="B469" s="269"/>
      <c r="C469" s="269"/>
      <c r="D469" s="269"/>
      <c r="E469" s="269"/>
      <c r="F469" s="269"/>
      <c r="G469" s="269"/>
      <c r="H469" s="269"/>
      <c r="I469" s="269"/>
      <c r="J469" s="269"/>
      <c r="K469" s="269"/>
      <c r="L469" s="269"/>
      <c r="M469" s="269"/>
      <c r="N469" s="269"/>
      <c r="O469" s="269"/>
      <c r="P469" s="269"/>
      <c r="Q469" s="269"/>
      <c r="R469" s="269"/>
      <c r="S469" s="269"/>
      <c r="T469" s="269"/>
      <c r="U469" s="269"/>
      <c r="V469" s="269"/>
      <c r="W469" s="269"/>
      <c r="X469" s="269"/>
      <c r="Y469" s="269"/>
      <c r="Z469" s="269"/>
    </row>
    <row r="470">
      <c r="A470" s="269" t="str">
        <f>IFERROR(__xludf.DUMMYFUNCTION("""COMPUTED_VALUE"""),"")</f>
        <v/>
      </c>
      <c r="B470" s="269"/>
      <c r="C470" s="269"/>
      <c r="D470" s="269"/>
      <c r="E470" s="269"/>
      <c r="F470" s="269"/>
      <c r="G470" s="269"/>
      <c r="H470" s="269"/>
      <c r="I470" s="269"/>
      <c r="J470" s="269"/>
      <c r="K470" s="269"/>
      <c r="L470" s="269"/>
      <c r="M470" s="269"/>
      <c r="N470" s="269"/>
      <c r="O470" s="269"/>
      <c r="P470" s="269"/>
      <c r="Q470" s="269"/>
      <c r="R470" s="269"/>
      <c r="S470" s="269"/>
      <c r="T470" s="269"/>
      <c r="U470" s="269"/>
      <c r="V470" s="269"/>
      <c r="W470" s="269"/>
      <c r="X470" s="269"/>
      <c r="Y470" s="269"/>
      <c r="Z470" s="269"/>
    </row>
    <row r="471">
      <c r="A471" s="269" t="str">
        <f>IFERROR(__xludf.DUMMYFUNCTION("""COMPUTED_VALUE"""),"")</f>
        <v/>
      </c>
      <c r="B471" s="269"/>
      <c r="C471" s="269"/>
      <c r="D471" s="269"/>
      <c r="E471" s="269"/>
      <c r="F471" s="269"/>
      <c r="G471" s="269"/>
      <c r="H471" s="269"/>
      <c r="I471" s="269"/>
      <c r="J471" s="269"/>
      <c r="K471" s="269"/>
      <c r="L471" s="269"/>
      <c r="M471" s="269"/>
      <c r="N471" s="269"/>
      <c r="O471" s="269"/>
      <c r="P471" s="269"/>
      <c r="Q471" s="269"/>
      <c r="R471" s="269"/>
      <c r="S471" s="269"/>
      <c r="T471" s="269"/>
      <c r="U471" s="269"/>
      <c r="V471" s="269"/>
      <c r="W471" s="269"/>
      <c r="X471" s="269"/>
      <c r="Y471" s="269"/>
      <c r="Z471" s="269"/>
    </row>
    <row r="472">
      <c r="A472" s="269" t="str">
        <f>IFERROR(__xludf.DUMMYFUNCTION("""COMPUTED_VALUE"""),"")</f>
        <v/>
      </c>
      <c r="B472" s="269"/>
      <c r="C472" s="269"/>
      <c r="D472" s="269"/>
      <c r="E472" s="269"/>
      <c r="F472" s="269"/>
      <c r="G472" s="269"/>
      <c r="H472" s="269"/>
      <c r="I472" s="269"/>
      <c r="J472" s="269"/>
      <c r="K472" s="269"/>
      <c r="L472" s="269"/>
      <c r="M472" s="269"/>
      <c r="N472" s="269"/>
      <c r="O472" s="269"/>
      <c r="P472" s="269"/>
      <c r="Q472" s="269"/>
      <c r="R472" s="269"/>
      <c r="S472" s="269"/>
      <c r="T472" s="269"/>
      <c r="U472" s="269"/>
      <c r="V472" s="269"/>
      <c r="W472" s="269"/>
      <c r="X472" s="269"/>
      <c r="Y472" s="269"/>
      <c r="Z472" s="269"/>
    </row>
    <row r="473">
      <c r="A473" s="269" t="str">
        <f>IFERROR(__xludf.DUMMYFUNCTION("""COMPUTED_VALUE"""),"")</f>
        <v/>
      </c>
      <c r="B473" s="269"/>
      <c r="C473" s="269"/>
      <c r="D473" s="269"/>
      <c r="E473" s="269"/>
      <c r="F473" s="269"/>
      <c r="G473" s="269"/>
      <c r="H473" s="269"/>
      <c r="I473" s="269"/>
      <c r="J473" s="269"/>
      <c r="K473" s="269"/>
      <c r="L473" s="269"/>
      <c r="M473" s="269"/>
      <c r="N473" s="269"/>
      <c r="O473" s="269"/>
      <c r="P473" s="269"/>
      <c r="Q473" s="269"/>
      <c r="R473" s="269"/>
      <c r="S473" s="269"/>
      <c r="T473" s="269"/>
      <c r="U473" s="269"/>
      <c r="V473" s="269"/>
      <c r="W473" s="269"/>
      <c r="X473" s="269"/>
      <c r="Y473" s="269"/>
      <c r="Z473" s="269"/>
    </row>
    <row r="474">
      <c r="A474" s="269" t="str">
        <f>IFERROR(__xludf.DUMMYFUNCTION("""COMPUTED_VALUE"""),"")</f>
        <v/>
      </c>
      <c r="B474" s="269"/>
      <c r="C474" s="269"/>
      <c r="D474" s="269"/>
      <c r="E474" s="269"/>
      <c r="F474" s="269"/>
      <c r="G474" s="269"/>
      <c r="H474" s="269"/>
      <c r="I474" s="269"/>
      <c r="J474" s="269"/>
      <c r="K474" s="269"/>
      <c r="L474" s="269"/>
      <c r="M474" s="269"/>
      <c r="N474" s="269"/>
      <c r="O474" s="269"/>
      <c r="P474" s="269"/>
      <c r="Q474" s="269"/>
      <c r="R474" s="269"/>
      <c r="S474" s="269"/>
      <c r="T474" s="269"/>
      <c r="U474" s="269"/>
      <c r="V474" s="269"/>
      <c r="W474" s="269"/>
      <c r="X474" s="269"/>
      <c r="Y474" s="269"/>
      <c r="Z474" s="269"/>
    </row>
    <row r="475">
      <c r="A475" s="269" t="str">
        <f>IFERROR(__xludf.DUMMYFUNCTION("""COMPUTED_VALUE"""),"")</f>
        <v/>
      </c>
      <c r="B475" s="269"/>
      <c r="C475" s="269"/>
      <c r="D475" s="269"/>
      <c r="E475" s="269"/>
      <c r="F475" s="269"/>
      <c r="G475" s="269"/>
      <c r="H475" s="269"/>
      <c r="I475" s="269"/>
      <c r="J475" s="269"/>
      <c r="K475" s="269"/>
      <c r="L475" s="269"/>
      <c r="M475" s="269"/>
      <c r="N475" s="269"/>
      <c r="O475" s="269"/>
      <c r="P475" s="269"/>
      <c r="Q475" s="269"/>
      <c r="R475" s="269"/>
      <c r="S475" s="269"/>
      <c r="T475" s="269"/>
      <c r="U475" s="269"/>
      <c r="V475" s="269"/>
      <c r="W475" s="269"/>
      <c r="X475" s="269"/>
      <c r="Y475" s="269"/>
      <c r="Z475" s="269"/>
    </row>
    <row r="476">
      <c r="A476" s="269" t="str">
        <f>IFERROR(__xludf.DUMMYFUNCTION("""COMPUTED_VALUE"""),"")</f>
        <v/>
      </c>
      <c r="B476" s="269"/>
      <c r="C476" s="269"/>
      <c r="D476" s="269"/>
      <c r="E476" s="269"/>
      <c r="F476" s="269"/>
      <c r="G476" s="269"/>
      <c r="H476" s="269"/>
      <c r="I476" s="269"/>
      <c r="J476" s="269"/>
      <c r="K476" s="269"/>
      <c r="L476" s="269"/>
      <c r="M476" s="269"/>
      <c r="N476" s="269"/>
      <c r="O476" s="269"/>
      <c r="P476" s="269"/>
      <c r="Q476" s="269"/>
      <c r="R476" s="269"/>
      <c r="S476" s="269"/>
      <c r="T476" s="269"/>
      <c r="U476" s="269"/>
      <c r="V476" s="269"/>
      <c r="W476" s="269"/>
      <c r="X476" s="269"/>
      <c r="Y476" s="269"/>
      <c r="Z476" s="269"/>
    </row>
    <row r="477">
      <c r="A477" s="269" t="str">
        <f>IFERROR(__xludf.DUMMYFUNCTION("""COMPUTED_VALUE"""),"")</f>
        <v/>
      </c>
      <c r="B477" s="269"/>
      <c r="C477" s="269"/>
      <c r="D477" s="269"/>
      <c r="E477" s="269"/>
      <c r="F477" s="269"/>
      <c r="G477" s="269"/>
      <c r="H477" s="269"/>
      <c r="I477" s="269"/>
      <c r="J477" s="269"/>
      <c r="K477" s="269"/>
      <c r="L477" s="269"/>
      <c r="M477" s="269"/>
      <c r="N477" s="269"/>
      <c r="O477" s="269"/>
      <c r="P477" s="269"/>
      <c r="Q477" s="269"/>
      <c r="R477" s="269"/>
      <c r="S477" s="269"/>
      <c r="T477" s="269"/>
      <c r="U477" s="269"/>
      <c r="V477" s="269"/>
      <c r="W477" s="269"/>
      <c r="X477" s="269"/>
      <c r="Y477" s="269"/>
      <c r="Z477" s="269"/>
    </row>
    <row r="478">
      <c r="A478" s="269" t="str">
        <f>IFERROR(__xludf.DUMMYFUNCTION("""COMPUTED_VALUE"""),"")</f>
        <v/>
      </c>
      <c r="B478" s="269"/>
      <c r="C478" s="269"/>
      <c r="D478" s="269"/>
      <c r="E478" s="269"/>
      <c r="F478" s="269"/>
      <c r="G478" s="269"/>
      <c r="H478" s="269"/>
      <c r="I478" s="269"/>
      <c r="J478" s="269"/>
      <c r="K478" s="269"/>
      <c r="L478" s="269"/>
      <c r="M478" s="269"/>
      <c r="N478" s="269"/>
      <c r="O478" s="269"/>
      <c r="P478" s="269"/>
      <c r="Q478" s="269"/>
      <c r="R478" s="269"/>
      <c r="S478" s="269"/>
      <c r="T478" s="269"/>
      <c r="U478" s="269"/>
      <c r="V478" s="269"/>
      <c r="W478" s="269"/>
      <c r="X478" s="269"/>
      <c r="Y478" s="269"/>
      <c r="Z478" s="269"/>
    </row>
    <row r="479">
      <c r="A479" s="269" t="str">
        <f>IFERROR(__xludf.DUMMYFUNCTION("""COMPUTED_VALUE"""),"")</f>
        <v/>
      </c>
      <c r="B479" s="269"/>
      <c r="C479" s="269"/>
      <c r="D479" s="269"/>
      <c r="E479" s="269"/>
      <c r="F479" s="269"/>
      <c r="G479" s="269"/>
      <c r="H479" s="269"/>
      <c r="I479" s="269"/>
      <c r="J479" s="269"/>
      <c r="K479" s="269"/>
      <c r="L479" s="269"/>
      <c r="M479" s="269"/>
      <c r="N479" s="269"/>
      <c r="O479" s="269"/>
      <c r="P479" s="269"/>
      <c r="Q479" s="269"/>
      <c r="R479" s="269"/>
      <c r="S479" s="269"/>
      <c r="T479" s="269"/>
      <c r="U479" s="269"/>
      <c r="V479" s="269"/>
      <c r="W479" s="269"/>
      <c r="X479" s="269"/>
      <c r="Y479" s="269"/>
      <c r="Z479" s="269"/>
    </row>
    <row r="480">
      <c r="A480" s="269" t="str">
        <f>IFERROR(__xludf.DUMMYFUNCTION("""COMPUTED_VALUE"""),"")</f>
        <v/>
      </c>
      <c r="B480" s="269"/>
      <c r="C480" s="269"/>
      <c r="D480" s="269"/>
      <c r="E480" s="269"/>
      <c r="F480" s="269"/>
      <c r="G480" s="269"/>
      <c r="H480" s="269"/>
      <c r="I480" s="269"/>
      <c r="J480" s="269"/>
      <c r="K480" s="269"/>
      <c r="L480" s="269"/>
      <c r="M480" s="269"/>
      <c r="N480" s="269"/>
      <c r="O480" s="269"/>
      <c r="P480" s="269"/>
      <c r="Q480" s="269"/>
      <c r="R480" s="269"/>
      <c r="S480" s="269"/>
      <c r="T480" s="269"/>
      <c r="U480" s="269"/>
      <c r="V480" s="269"/>
      <c r="W480" s="269"/>
      <c r="X480" s="269"/>
      <c r="Y480" s="269"/>
      <c r="Z480" s="269"/>
    </row>
    <row r="481">
      <c r="A481" s="269" t="str">
        <f>IFERROR(__xludf.DUMMYFUNCTION("""COMPUTED_VALUE"""),"")</f>
        <v/>
      </c>
      <c r="B481" s="269"/>
      <c r="C481" s="269"/>
      <c r="D481" s="269"/>
      <c r="E481" s="269"/>
      <c r="F481" s="269"/>
      <c r="G481" s="269"/>
      <c r="H481" s="269"/>
      <c r="I481" s="269"/>
      <c r="J481" s="269"/>
      <c r="K481" s="269"/>
      <c r="L481" s="269"/>
      <c r="M481" s="269"/>
      <c r="N481" s="269"/>
      <c r="O481" s="269"/>
      <c r="P481" s="269"/>
      <c r="Q481" s="269"/>
      <c r="R481" s="269"/>
      <c r="S481" s="269"/>
      <c r="T481" s="269"/>
      <c r="U481" s="269"/>
      <c r="V481" s="269"/>
      <c r="W481" s="269"/>
      <c r="X481" s="269"/>
      <c r="Y481" s="269"/>
      <c r="Z481" s="269"/>
    </row>
    <row r="482">
      <c r="A482" s="269" t="str">
        <f>IFERROR(__xludf.DUMMYFUNCTION("""COMPUTED_VALUE"""),"")</f>
        <v/>
      </c>
      <c r="B482" s="269"/>
      <c r="C482" s="269"/>
      <c r="D482" s="269"/>
      <c r="E482" s="269"/>
      <c r="F482" s="269"/>
      <c r="G482" s="269"/>
      <c r="H482" s="269"/>
      <c r="I482" s="269"/>
      <c r="J482" s="269"/>
      <c r="K482" s="269"/>
      <c r="L482" s="269"/>
      <c r="M482" s="269"/>
      <c r="N482" s="269"/>
      <c r="O482" s="269"/>
      <c r="P482" s="269"/>
      <c r="Q482" s="269"/>
      <c r="R482" s="269"/>
      <c r="S482" s="269"/>
      <c r="T482" s="269"/>
      <c r="U482" s="269"/>
      <c r="V482" s="269"/>
      <c r="W482" s="269"/>
      <c r="X482" s="269"/>
      <c r="Y482" s="269"/>
      <c r="Z482" s="269"/>
    </row>
    <row r="483">
      <c r="A483" s="269" t="str">
        <f>IFERROR(__xludf.DUMMYFUNCTION("""COMPUTED_VALUE"""),"")</f>
        <v/>
      </c>
      <c r="B483" s="269"/>
      <c r="C483" s="269"/>
      <c r="D483" s="269"/>
      <c r="E483" s="269"/>
      <c r="F483" s="269"/>
      <c r="G483" s="269"/>
      <c r="H483" s="269"/>
      <c r="I483" s="269"/>
      <c r="J483" s="269"/>
      <c r="K483" s="269"/>
      <c r="L483" s="269"/>
      <c r="M483" s="269"/>
      <c r="N483" s="269"/>
      <c r="O483" s="269"/>
      <c r="P483" s="269"/>
      <c r="Q483" s="269"/>
      <c r="R483" s="269"/>
      <c r="S483" s="269"/>
      <c r="T483" s="269"/>
      <c r="U483" s="269"/>
      <c r="V483" s="269"/>
      <c r="W483" s="269"/>
      <c r="X483" s="269"/>
      <c r="Y483" s="269"/>
      <c r="Z483" s="269"/>
    </row>
    <row r="484">
      <c r="A484" s="269" t="str">
        <f>IFERROR(__xludf.DUMMYFUNCTION("""COMPUTED_VALUE"""),"")</f>
        <v/>
      </c>
      <c r="B484" s="269"/>
      <c r="C484" s="269"/>
      <c r="D484" s="269"/>
      <c r="E484" s="269"/>
      <c r="F484" s="269"/>
      <c r="G484" s="269"/>
      <c r="H484" s="269"/>
      <c r="I484" s="269"/>
      <c r="J484" s="269"/>
      <c r="K484" s="269"/>
      <c r="L484" s="269"/>
      <c r="M484" s="269"/>
      <c r="N484" s="269"/>
      <c r="O484" s="269"/>
      <c r="P484" s="269"/>
      <c r="Q484" s="269"/>
      <c r="R484" s="269"/>
      <c r="S484" s="269"/>
      <c r="T484" s="269"/>
      <c r="U484" s="269"/>
      <c r="V484" s="269"/>
      <c r="W484" s="269"/>
      <c r="X484" s="269"/>
      <c r="Y484" s="269"/>
      <c r="Z484" s="269"/>
    </row>
    <row r="485">
      <c r="A485" s="269" t="str">
        <f>IFERROR(__xludf.DUMMYFUNCTION("""COMPUTED_VALUE"""),"")</f>
        <v/>
      </c>
      <c r="B485" s="269"/>
      <c r="C485" s="269"/>
      <c r="D485" s="269"/>
      <c r="E485" s="269"/>
      <c r="F485" s="269"/>
      <c r="G485" s="269"/>
      <c r="H485" s="269"/>
      <c r="I485" s="269"/>
      <c r="J485" s="269"/>
      <c r="K485" s="269"/>
      <c r="L485" s="269"/>
      <c r="M485" s="269"/>
      <c r="N485" s="269"/>
      <c r="O485" s="269"/>
      <c r="P485" s="269"/>
      <c r="Q485" s="269"/>
      <c r="R485" s="269"/>
      <c r="S485" s="269"/>
      <c r="T485" s="269"/>
      <c r="U485" s="269"/>
      <c r="V485" s="269"/>
      <c r="W485" s="269"/>
      <c r="X485" s="269"/>
      <c r="Y485" s="269"/>
      <c r="Z485" s="269"/>
    </row>
    <row r="486">
      <c r="A486" s="269" t="str">
        <f>IFERROR(__xludf.DUMMYFUNCTION("""COMPUTED_VALUE"""),"")</f>
        <v/>
      </c>
      <c r="B486" s="269"/>
      <c r="C486" s="269"/>
      <c r="D486" s="269"/>
      <c r="E486" s="269"/>
      <c r="F486" s="269"/>
      <c r="G486" s="269"/>
      <c r="H486" s="269"/>
      <c r="I486" s="269"/>
      <c r="J486" s="269"/>
      <c r="K486" s="269"/>
      <c r="L486" s="269"/>
      <c r="M486" s="269"/>
      <c r="N486" s="269"/>
      <c r="O486" s="269"/>
      <c r="P486" s="269"/>
      <c r="Q486" s="269"/>
      <c r="R486" s="269"/>
      <c r="S486" s="269"/>
      <c r="T486" s="269"/>
      <c r="U486" s="269"/>
      <c r="V486" s="269"/>
      <c r="W486" s="269"/>
      <c r="X486" s="269"/>
      <c r="Y486" s="269"/>
      <c r="Z486" s="269"/>
    </row>
    <row r="487">
      <c r="A487" s="269" t="str">
        <f>IFERROR(__xludf.DUMMYFUNCTION("""COMPUTED_VALUE"""),"")</f>
        <v/>
      </c>
      <c r="B487" s="269"/>
      <c r="C487" s="269"/>
      <c r="D487" s="269"/>
      <c r="E487" s="269"/>
      <c r="F487" s="269"/>
      <c r="G487" s="269"/>
      <c r="H487" s="269"/>
      <c r="I487" s="269"/>
      <c r="J487" s="269"/>
      <c r="K487" s="269"/>
      <c r="L487" s="269"/>
      <c r="M487" s="269"/>
      <c r="N487" s="269"/>
      <c r="O487" s="269"/>
      <c r="P487" s="269"/>
      <c r="Q487" s="269"/>
      <c r="R487" s="269"/>
      <c r="S487" s="269"/>
      <c r="T487" s="269"/>
      <c r="U487" s="269"/>
      <c r="V487" s="269"/>
      <c r="W487" s="269"/>
      <c r="X487" s="269"/>
      <c r="Y487" s="269"/>
      <c r="Z487" s="269"/>
    </row>
    <row r="488">
      <c r="A488" s="269" t="str">
        <f>IFERROR(__xludf.DUMMYFUNCTION("""COMPUTED_VALUE"""),"")</f>
        <v/>
      </c>
      <c r="B488" s="269"/>
      <c r="C488" s="269"/>
      <c r="D488" s="269"/>
      <c r="E488" s="269"/>
      <c r="F488" s="269"/>
      <c r="G488" s="269"/>
      <c r="H488" s="269"/>
      <c r="I488" s="269"/>
      <c r="J488" s="269"/>
      <c r="K488" s="269"/>
      <c r="L488" s="269"/>
      <c r="M488" s="269"/>
      <c r="N488" s="269"/>
      <c r="O488" s="269"/>
      <c r="P488" s="269"/>
      <c r="Q488" s="269"/>
      <c r="R488" s="269"/>
      <c r="S488" s="269"/>
      <c r="T488" s="269"/>
      <c r="U488" s="269"/>
      <c r="V488" s="269"/>
      <c r="W488" s="269"/>
      <c r="X488" s="269"/>
      <c r="Y488" s="269"/>
      <c r="Z488" s="269"/>
    </row>
    <row r="489">
      <c r="A489" s="269" t="str">
        <f>IFERROR(__xludf.DUMMYFUNCTION("""COMPUTED_VALUE"""),"")</f>
        <v/>
      </c>
      <c r="B489" s="269"/>
      <c r="C489" s="269"/>
      <c r="D489" s="269"/>
      <c r="E489" s="269"/>
      <c r="F489" s="269"/>
      <c r="G489" s="269"/>
      <c r="H489" s="269"/>
      <c r="I489" s="269"/>
      <c r="J489" s="269"/>
      <c r="K489" s="269"/>
      <c r="L489" s="269"/>
      <c r="M489" s="269"/>
      <c r="N489" s="269"/>
      <c r="O489" s="269"/>
      <c r="P489" s="269"/>
      <c r="Q489" s="269"/>
      <c r="R489" s="269"/>
      <c r="S489" s="269"/>
      <c r="T489" s="269"/>
      <c r="U489" s="269"/>
      <c r="V489" s="269"/>
      <c r="W489" s="269"/>
      <c r="X489" s="269"/>
      <c r="Y489" s="269"/>
      <c r="Z489" s="269"/>
    </row>
    <row r="490">
      <c r="A490" s="269" t="str">
        <f>IFERROR(__xludf.DUMMYFUNCTION("""COMPUTED_VALUE"""),"")</f>
        <v/>
      </c>
      <c r="B490" s="269"/>
      <c r="C490" s="269"/>
      <c r="D490" s="269"/>
      <c r="E490" s="269"/>
      <c r="F490" s="269"/>
      <c r="G490" s="269"/>
      <c r="H490" s="269"/>
      <c r="I490" s="269"/>
      <c r="J490" s="269"/>
      <c r="K490" s="269"/>
      <c r="L490" s="269"/>
      <c r="M490" s="269"/>
      <c r="N490" s="269"/>
      <c r="O490" s="269"/>
      <c r="P490" s="269"/>
      <c r="Q490" s="269"/>
      <c r="R490" s="269"/>
      <c r="S490" s="269"/>
      <c r="T490" s="269"/>
      <c r="U490" s="269"/>
      <c r="V490" s="269"/>
      <c r="W490" s="269"/>
      <c r="X490" s="269"/>
      <c r="Y490" s="269"/>
      <c r="Z490" s="269"/>
    </row>
    <row r="491">
      <c r="A491" s="269" t="str">
        <f>IFERROR(__xludf.DUMMYFUNCTION("""COMPUTED_VALUE"""),"")</f>
        <v/>
      </c>
      <c r="B491" s="269"/>
      <c r="C491" s="269"/>
      <c r="D491" s="269"/>
      <c r="E491" s="269"/>
      <c r="F491" s="269"/>
      <c r="G491" s="269"/>
      <c r="H491" s="269"/>
      <c r="I491" s="269"/>
      <c r="J491" s="269"/>
      <c r="K491" s="269"/>
      <c r="L491" s="269"/>
      <c r="M491" s="269"/>
      <c r="N491" s="269"/>
      <c r="O491" s="269"/>
      <c r="P491" s="269"/>
      <c r="Q491" s="269"/>
      <c r="R491" s="269"/>
      <c r="S491" s="269"/>
      <c r="T491" s="269"/>
      <c r="U491" s="269"/>
      <c r="V491" s="269"/>
      <c r="W491" s="269"/>
      <c r="X491" s="269"/>
      <c r="Y491" s="269"/>
      <c r="Z491" s="269"/>
    </row>
    <row r="492">
      <c r="A492" s="269" t="str">
        <f>IFERROR(__xludf.DUMMYFUNCTION("""COMPUTED_VALUE"""),"")</f>
        <v/>
      </c>
      <c r="B492" s="269"/>
      <c r="C492" s="269"/>
      <c r="D492" s="269"/>
      <c r="E492" s="269"/>
      <c r="F492" s="269"/>
      <c r="G492" s="269"/>
      <c r="H492" s="269"/>
      <c r="I492" s="269"/>
      <c r="J492" s="269"/>
      <c r="K492" s="269"/>
      <c r="L492" s="269"/>
      <c r="M492" s="269"/>
      <c r="N492" s="269"/>
      <c r="O492" s="269"/>
      <c r="P492" s="269"/>
      <c r="Q492" s="269"/>
      <c r="R492" s="269"/>
      <c r="S492" s="269"/>
      <c r="T492" s="269"/>
      <c r="U492" s="269"/>
      <c r="V492" s="269"/>
      <c r="W492" s="269"/>
      <c r="X492" s="269"/>
      <c r="Y492" s="269"/>
      <c r="Z492" s="269"/>
    </row>
    <row r="493">
      <c r="A493" s="269" t="str">
        <f>IFERROR(__xludf.DUMMYFUNCTION("""COMPUTED_VALUE"""),"")</f>
        <v/>
      </c>
      <c r="B493" s="269"/>
      <c r="C493" s="269"/>
      <c r="D493" s="269"/>
      <c r="E493" s="269"/>
      <c r="F493" s="269"/>
      <c r="G493" s="269"/>
      <c r="H493" s="269"/>
      <c r="I493" s="269"/>
      <c r="J493" s="269"/>
      <c r="K493" s="269"/>
      <c r="L493" s="269"/>
      <c r="M493" s="269"/>
      <c r="N493" s="269"/>
      <c r="O493" s="269"/>
      <c r="P493" s="269"/>
      <c r="Q493" s="269"/>
      <c r="R493" s="269"/>
      <c r="S493" s="269"/>
      <c r="T493" s="269"/>
      <c r="U493" s="269"/>
      <c r="V493" s="269"/>
      <c r="W493" s="269"/>
      <c r="X493" s="269"/>
      <c r="Y493" s="269"/>
      <c r="Z493" s="269"/>
    </row>
    <row r="494">
      <c r="A494" s="269" t="str">
        <f>IFERROR(__xludf.DUMMYFUNCTION("""COMPUTED_VALUE"""),"")</f>
        <v/>
      </c>
      <c r="B494" s="269"/>
      <c r="C494" s="269"/>
      <c r="D494" s="269"/>
      <c r="E494" s="269"/>
      <c r="F494" s="269"/>
      <c r="G494" s="269"/>
      <c r="H494" s="269"/>
      <c r="I494" s="269"/>
      <c r="J494" s="269"/>
      <c r="K494" s="269"/>
      <c r="L494" s="269"/>
      <c r="M494" s="269"/>
      <c r="N494" s="269"/>
      <c r="O494" s="269"/>
      <c r="P494" s="269"/>
      <c r="Q494" s="269"/>
      <c r="R494" s="269"/>
      <c r="S494" s="269"/>
      <c r="T494" s="269"/>
      <c r="U494" s="269"/>
      <c r="V494" s="269"/>
      <c r="W494" s="269"/>
      <c r="X494" s="269"/>
      <c r="Y494" s="269"/>
      <c r="Z494" s="269"/>
    </row>
    <row r="495">
      <c r="A495" s="269" t="str">
        <f>IFERROR(__xludf.DUMMYFUNCTION("""COMPUTED_VALUE"""),"")</f>
        <v/>
      </c>
      <c r="B495" s="269"/>
      <c r="C495" s="269"/>
      <c r="D495" s="269"/>
      <c r="E495" s="269"/>
      <c r="F495" s="269"/>
      <c r="G495" s="269"/>
      <c r="H495" s="269"/>
      <c r="I495" s="269"/>
      <c r="J495" s="269"/>
      <c r="K495" s="269"/>
      <c r="L495" s="269"/>
      <c r="M495" s="269"/>
      <c r="N495" s="269"/>
      <c r="O495" s="269"/>
      <c r="P495" s="269"/>
      <c r="Q495" s="269"/>
      <c r="R495" s="269"/>
      <c r="S495" s="269"/>
      <c r="T495" s="269"/>
      <c r="U495" s="269"/>
      <c r="V495" s="269"/>
      <c r="W495" s="269"/>
      <c r="X495" s="269"/>
      <c r="Y495" s="269"/>
      <c r="Z495" s="269"/>
    </row>
    <row r="496">
      <c r="A496" s="269" t="str">
        <f>IFERROR(__xludf.DUMMYFUNCTION("""COMPUTED_VALUE"""),"")</f>
        <v/>
      </c>
      <c r="B496" s="269"/>
      <c r="C496" s="269"/>
      <c r="D496" s="269"/>
      <c r="E496" s="269"/>
      <c r="F496" s="269"/>
      <c r="G496" s="269"/>
      <c r="H496" s="269"/>
      <c r="I496" s="269"/>
      <c r="J496" s="269"/>
      <c r="K496" s="269"/>
      <c r="L496" s="269"/>
      <c r="M496" s="269"/>
      <c r="N496" s="269"/>
      <c r="O496" s="269"/>
      <c r="P496" s="269"/>
      <c r="Q496" s="269"/>
      <c r="R496" s="269"/>
      <c r="S496" s="269"/>
      <c r="T496" s="269"/>
      <c r="U496" s="269"/>
      <c r="V496" s="269"/>
      <c r="W496" s="269"/>
      <c r="X496" s="269"/>
      <c r="Y496" s="269"/>
      <c r="Z496" s="269"/>
    </row>
    <row r="497">
      <c r="A497" s="269" t="str">
        <f>IFERROR(__xludf.DUMMYFUNCTION("""COMPUTED_VALUE"""),"")</f>
        <v/>
      </c>
      <c r="B497" s="269"/>
      <c r="C497" s="269"/>
      <c r="D497" s="269"/>
      <c r="E497" s="269"/>
      <c r="F497" s="269"/>
      <c r="G497" s="269"/>
      <c r="H497" s="269"/>
      <c r="I497" s="269"/>
      <c r="J497" s="269"/>
      <c r="K497" s="269"/>
      <c r="L497" s="269"/>
      <c r="M497" s="269"/>
      <c r="N497" s="269"/>
      <c r="O497" s="269"/>
      <c r="P497" s="269"/>
      <c r="Q497" s="269"/>
      <c r="R497" s="269"/>
      <c r="S497" s="269"/>
      <c r="T497" s="269"/>
      <c r="U497" s="269"/>
      <c r="V497" s="269"/>
      <c r="W497" s="269"/>
      <c r="X497" s="269"/>
      <c r="Y497" s="269"/>
      <c r="Z497" s="269"/>
    </row>
    <row r="498">
      <c r="A498" s="269" t="str">
        <f>IFERROR(__xludf.DUMMYFUNCTION("""COMPUTED_VALUE"""),"")</f>
        <v/>
      </c>
      <c r="B498" s="269"/>
      <c r="C498" s="269"/>
      <c r="D498" s="269"/>
      <c r="E498" s="269"/>
      <c r="F498" s="269"/>
      <c r="G498" s="269"/>
      <c r="H498" s="269"/>
      <c r="I498" s="269"/>
      <c r="J498" s="269"/>
      <c r="K498" s="269"/>
      <c r="L498" s="269"/>
      <c r="M498" s="269"/>
      <c r="N498" s="269"/>
      <c r="O498" s="269"/>
      <c r="P498" s="269"/>
      <c r="Q498" s="269"/>
      <c r="R498" s="269"/>
      <c r="S498" s="269"/>
      <c r="T498" s="269"/>
      <c r="U498" s="269"/>
      <c r="V498" s="269"/>
      <c r="W498" s="269"/>
      <c r="X498" s="269"/>
      <c r="Y498" s="269"/>
      <c r="Z498" s="269"/>
    </row>
    <row r="499">
      <c r="A499" s="269" t="str">
        <f>IFERROR(__xludf.DUMMYFUNCTION("""COMPUTED_VALUE"""),"")</f>
        <v/>
      </c>
      <c r="B499" s="269"/>
      <c r="C499" s="269"/>
      <c r="D499" s="269"/>
      <c r="E499" s="269"/>
      <c r="F499" s="269"/>
      <c r="G499" s="269"/>
      <c r="H499" s="269"/>
      <c r="I499" s="269"/>
      <c r="J499" s="269"/>
      <c r="K499" s="269"/>
      <c r="L499" s="269"/>
      <c r="M499" s="269"/>
      <c r="N499" s="269"/>
      <c r="O499" s="269"/>
      <c r="P499" s="269"/>
      <c r="Q499" s="269"/>
      <c r="R499" s="269"/>
      <c r="S499" s="269"/>
      <c r="T499" s="269"/>
      <c r="U499" s="269"/>
      <c r="V499" s="269"/>
      <c r="W499" s="269"/>
      <c r="X499" s="269"/>
      <c r="Y499" s="269"/>
      <c r="Z499" s="269"/>
    </row>
    <row r="500">
      <c r="A500" s="269" t="str">
        <f>IFERROR(__xludf.DUMMYFUNCTION("""COMPUTED_VALUE"""),"")</f>
        <v/>
      </c>
      <c r="B500" s="269"/>
      <c r="C500" s="269"/>
      <c r="D500" s="269"/>
      <c r="E500" s="269"/>
      <c r="F500" s="269"/>
      <c r="G500" s="269"/>
      <c r="H500" s="269"/>
      <c r="I500" s="269"/>
      <c r="J500" s="269"/>
      <c r="K500" s="269"/>
      <c r="L500" s="269"/>
      <c r="M500" s="269"/>
      <c r="N500" s="269"/>
      <c r="O500" s="269"/>
      <c r="P500" s="269"/>
      <c r="Q500" s="269"/>
      <c r="R500" s="269"/>
      <c r="S500" s="269"/>
      <c r="T500" s="269"/>
      <c r="U500" s="269"/>
      <c r="V500" s="269"/>
      <c r="W500" s="269"/>
      <c r="X500" s="269"/>
      <c r="Y500" s="269"/>
      <c r="Z500" s="269"/>
    </row>
    <row r="501">
      <c r="A501" s="269" t="str">
        <f>IFERROR(__xludf.DUMMYFUNCTION("""COMPUTED_VALUE"""),"")</f>
        <v/>
      </c>
      <c r="B501" s="269"/>
      <c r="C501" s="269"/>
      <c r="D501" s="269"/>
      <c r="E501" s="269"/>
      <c r="F501" s="269"/>
      <c r="G501" s="269"/>
      <c r="H501" s="269"/>
      <c r="I501" s="269"/>
      <c r="J501" s="269"/>
      <c r="K501" s="269"/>
      <c r="L501" s="269"/>
      <c r="M501" s="269"/>
      <c r="N501" s="269"/>
      <c r="O501" s="269"/>
      <c r="P501" s="269"/>
      <c r="Q501" s="269"/>
      <c r="R501" s="269"/>
      <c r="S501" s="269"/>
      <c r="T501" s="269"/>
      <c r="U501" s="269"/>
      <c r="V501" s="269"/>
      <c r="W501" s="269"/>
      <c r="X501" s="269"/>
      <c r="Y501" s="269"/>
      <c r="Z501" s="269"/>
    </row>
    <row r="502">
      <c r="A502" s="269" t="str">
        <f>IFERROR(__xludf.DUMMYFUNCTION("""COMPUTED_VALUE"""),"")</f>
        <v/>
      </c>
      <c r="B502" s="269"/>
      <c r="C502" s="269"/>
      <c r="D502" s="269"/>
      <c r="E502" s="269"/>
      <c r="F502" s="269"/>
      <c r="G502" s="269"/>
      <c r="H502" s="269"/>
      <c r="I502" s="269"/>
      <c r="J502" s="269"/>
      <c r="K502" s="269"/>
      <c r="L502" s="269"/>
      <c r="M502" s="269"/>
      <c r="N502" s="269"/>
      <c r="O502" s="269"/>
      <c r="P502" s="269"/>
      <c r="Q502" s="269"/>
      <c r="R502" s="269"/>
      <c r="S502" s="269"/>
      <c r="T502" s="269"/>
      <c r="U502" s="269"/>
      <c r="V502" s="269"/>
      <c r="W502" s="269"/>
      <c r="X502" s="269"/>
      <c r="Y502" s="269"/>
      <c r="Z502" s="269"/>
    </row>
    <row r="503">
      <c r="A503" s="269" t="str">
        <f>IFERROR(__xludf.DUMMYFUNCTION("""COMPUTED_VALUE"""),"")</f>
        <v/>
      </c>
      <c r="B503" s="269"/>
      <c r="C503" s="269"/>
      <c r="D503" s="269"/>
      <c r="E503" s="269"/>
      <c r="F503" s="269"/>
      <c r="G503" s="269"/>
      <c r="H503" s="269"/>
      <c r="I503" s="269"/>
      <c r="J503" s="269"/>
      <c r="K503" s="269"/>
      <c r="L503" s="269"/>
      <c r="M503" s="269"/>
      <c r="N503" s="269"/>
      <c r="O503" s="269"/>
      <c r="P503" s="269"/>
      <c r="Q503" s="269"/>
      <c r="R503" s="269"/>
      <c r="S503" s="269"/>
      <c r="T503" s="269"/>
      <c r="U503" s="269"/>
      <c r="V503" s="269"/>
      <c r="W503" s="269"/>
      <c r="X503" s="269"/>
      <c r="Y503" s="269"/>
      <c r="Z503" s="269"/>
    </row>
    <row r="504">
      <c r="A504" s="269" t="str">
        <f>IFERROR(__xludf.DUMMYFUNCTION("""COMPUTED_VALUE"""),"")</f>
        <v/>
      </c>
      <c r="B504" s="269"/>
      <c r="C504" s="269"/>
      <c r="D504" s="269"/>
      <c r="E504" s="269"/>
      <c r="F504" s="269"/>
      <c r="G504" s="269"/>
      <c r="H504" s="269"/>
      <c r="I504" s="269"/>
      <c r="J504" s="269"/>
      <c r="K504" s="269"/>
      <c r="L504" s="269"/>
      <c r="M504" s="269"/>
      <c r="N504" s="269"/>
      <c r="O504" s="269"/>
      <c r="P504" s="269"/>
      <c r="Q504" s="269"/>
      <c r="R504" s="269"/>
      <c r="S504" s="269"/>
      <c r="T504" s="269"/>
      <c r="U504" s="269"/>
      <c r="V504" s="269"/>
      <c r="W504" s="269"/>
      <c r="X504" s="269"/>
      <c r="Y504" s="269"/>
      <c r="Z504" s="269"/>
    </row>
    <row r="505">
      <c r="A505" s="269" t="str">
        <f>IFERROR(__xludf.DUMMYFUNCTION("""COMPUTED_VALUE"""),"")</f>
        <v/>
      </c>
      <c r="B505" s="269"/>
      <c r="C505" s="269"/>
      <c r="D505" s="269"/>
      <c r="E505" s="269"/>
      <c r="F505" s="269"/>
      <c r="G505" s="269"/>
      <c r="H505" s="269"/>
      <c r="I505" s="269"/>
      <c r="J505" s="269"/>
      <c r="K505" s="269"/>
      <c r="L505" s="269"/>
      <c r="M505" s="269"/>
      <c r="N505" s="269"/>
      <c r="O505" s="269"/>
      <c r="P505" s="269"/>
      <c r="Q505" s="269"/>
      <c r="R505" s="269"/>
      <c r="S505" s="269"/>
      <c r="T505" s="269"/>
      <c r="U505" s="269"/>
      <c r="V505" s="269"/>
      <c r="W505" s="269"/>
      <c r="X505" s="269"/>
      <c r="Y505" s="269"/>
      <c r="Z505" s="269"/>
    </row>
    <row r="506">
      <c r="A506" s="269" t="str">
        <f>IFERROR(__xludf.DUMMYFUNCTION("""COMPUTED_VALUE"""),"")</f>
        <v/>
      </c>
      <c r="B506" s="269"/>
      <c r="C506" s="269"/>
      <c r="D506" s="269"/>
      <c r="E506" s="269"/>
      <c r="F506" s="269"/>
      <c r="G506" s="269"/>
      <c r="H506" s="269"/>
      <c r="I506" s="269"/>
      <c r="J506" s="269"/>
      <c r="K506" s="269"/>
      <c r="L506" s="269"/>
      <c r="M506" s="269"/>
      <c r="N506" s="269"/>
      <c r="O506" s="269"/>
      <c r="P506" s="269"/>
      <c r="Q506" s="269"/>
      <c r="R506" s="269"/>
      <c r="S506" s="269"/>
      <c r="T506" s="269"/>
      <c r="U506" s="269"/>
      <c r="V506" s="269"/>
      <c r="W506" s="269"/>
      <c r="X506" s="269"/>
      <c r="Y506" s="269"/>
      <c r="Z506" s="269"/>
    </row>
    <row r="507">
      <c r="A507" s="269" t="str">
        <f>IFERROR(__xludf.DUMMYFUNCTION("""COMPUTED_VALUE"""),"")</f>
        <v/>
      </c>
      <c r="B507" s="269"/>
      <c r="C507" s="269"/>
      <c r="D507" s="269"/>
      <c r="E507" s="269"/>
      <c r="F507" s="269"/>
      <c r="G507" s="269"/>
      <c r="H507" s="269"/>
      <c r="I507" s="269"/>
      <c r="J507" s="269"/>
      <c r="K507" s="269"/>
      <c r="L507" s="269"/>
      <c r="M507" s="269"/>
      <c r="N507" s="269"/>
      <c r="O507" s="269"/>
      <c r="P507" s="269"/>
      <c r="Q507" s="269"/>
      <c r="R507" s="269"/>
      <c r="S507" s="269"/>
      <c r="T507" s="269"/>
      <c r="U507" s="269"/>
      <c r="V507" s="269"/>
      <c r="W507" s="269"/>
      <c r="X507" s="269"/>
      <c r="Y507" s="269"/>
      <c r="Z507" s="269"/>
    </row>
    <row r="508">
      <c r="A508" s="269" t="str">
        <f>IFERROR(__xludf.DUMMYFUNCTION("""COMPUTED_VALUE"""),"")</f>
        <v/>
      </c>
      <c r="B508" s="269"/>
      <c r="C508" s="269"/>
      <c r="D508" s="269"/>
      <c r="E508" s="269"/>
      <c r="F508" s="269"/>
      <c r="G508" s="269"/>
      <c r="H508" s="269"/>
      <c r="I508" s="269"/>
      <c r="J508" s="269"/>
      <c r="K508" s="269"/>
      <c r="L508" s="269"/>
      <c r="M508" s="269"/>
      <c r="N508" s="269"/>
      <c r="O508" s="269"/>
      <c r="P508" s="269"/>
      <c r="Q508" s="269"/>
      <c r="R508" s="269"/>
      <c r="S508" s="269"/>
      <c r="T508" s="269"/>
      <c r="U508" s="269"/>
      <c r="V508" s="269"/>
      <c r="W508" s="269"/>
      <c r="X508" s="269"/>
      <c r="Y508" s="269"/>
      <c r="Z508" s="269"/>
    </row>
    <row r="509">
      <c r="A509" s="269" t="str">
        <f>IFERROR(__xludf.DUMMYFUNCTION("""COMPUTED_VALUE"""),"")</f>
        <v/>
      </c>
      <c r="B509" s="269"/>
      <c r="C509" s="269"/>
      <c r="D509" s="269"/>
      <c r="E509" s="269"/>
      <c r="F509" s="269"/>
      <c r="G509" s="269"/>
      <c r="H509" s="269"/>
      <c r="I509" s="269"/>
      <c r="J509" s="269"/>
      <c r="K509" s="269"/>
      <c r="L509" s="269"/>
      <c r="M509" s="269"/>
      <c r="N509" s="269"/>
      <c r="O509" s="269"/>
      <c r="P509" s="269"/>
      <c r="Q509" s="269"/>
      <c r="R509" s="269"/>
      <c r="S509" s="269"/>
      <c r="T509" s="269"/>
      <c r="U509" s="269"/>
      <c r="V509" s="269"/>
      <c r="W509" s="269"/>
      <c r="X509" s="269"/>
      <c r="Y509" s="269"/>
      <c r="Z509" s="269"/>
    </row>
    <row r="510">
      <c r="A510" s="269" t="str">
        <f>IFERROR(__xludf.DUMMYFUNCTION("""COMPUTED_VALUE"""),"")</f>
        <v/>
      </c>
      <c r="B510" s="269"/>
      <c r="C510" s="269"/>
      <c r="D510" s="269"/>
      <c r="E510" s="269"/>
      <c r="F510" s="269"/>
      <c r="G510" s="269"/>
      <c r="H510" s="269"/>
      <c r="I510" s="269"/>
      <c r="J510" s="269"/>
      <c r="K510" s="269"/>
      <c r="L510" s="269"/>
      <c r="M510" s="269"/>
      <c r="N510" s="269"/>
      <c r="O510" s="269"/>
      <c r="P510" s="269"/>
      <c r="Q510" s="269"/>
      <c r="R510" s="269"/>
      <c r="S510" s="269"/>
      <c r="T510" s="269"/>
      <c r="U510" s="269"/>
      <c r="V510" s="269"/>
      <c r="W510" s="269"/>
      <c r="X510" s="269"/>
      <c r="Y510" s="269"/>
      <c r="Z510" s="269"/>
    </row>
    <row r="511">
      <c r="A511" s="269" t="str">
        <f>IFERROR(__xludf.DUMMYFUNCTION("""COMPUTED_VALUE"""),"")</f>
        <v/>
      </c>
      <c r="B511" s="269"/>
      <c r="C511" s="269"/>
      <c r="D511" s="269"/>
      <c r="E511" s="269"/>
      <c r="F511" s="269"/>
      <c r="G511" s="269"/>
      <c r="H511" s="269"/>
      <c r="I511" s="269"/>
      <c r="J511" s="269"/>
      <c r="K511" s="269"/>
      <c r="L511" s="269"/>
      <c r="M511" s="269"/>
      <c r="N511" s="269"/>
      <c r="O511" s="269"/>
      <c r="P511" s="269"/>
      <c r="Q511" s="269"/>
      <c r="R511" s="269"/>
      <c r="S511" s="269"/>
      <c r="T511" s="269"/>
      <c r="U511" s="269"/>
      <c r="V511" s="269"/>
      <c r="W511" s="269"/>
      <c r="X511" s="269"/>
      <c r="Y511" s="269"/>
      <c r="Z511" s="269"/>
    </row>
    <row r="512">
      <c r="A512" s="269" t="str">
        <f>IFERROR(__xludf.DUMMYFUNCTION("""COMPUTED_VALUE"""),"")</f>
        <v/>
      </c>
      <c r="B512" s="269"/>
      <c r="C512" s="269"/>
      <c r="D512" s="269"/>
      <c r="E512" s="269"/>
      <c r="F512" s="269"/>
      <c r="G512" s="269"/>
      <c r="H512" s="269"/>
      <c r="I512" s="269"/>
      <c r="J512" s="269"/>
      <c r="K512" s="269"/>
      <c r="L512" s="269"/>
      <c r="M512" s="269"/>
      <c r="N512" s="269"/>
      <c r="O512" s="269"/>
      <c r="P512" s="269"/>
      <c r="Q512" s="269"/>
      <c r="R512" s="269"/>
      <c r="S512" s="269"/>
      <c r="T512" s="269"/>
      <c r="U512" s="269"/>
      <c r="V512" s="269"/>
      <c r="W512" s="269"/>
      <c r="X512" s="269"/>
      <c r="Y512" s="269"/>
      <c r="Z512" s="269"/>
    </row>
    <row r="513">
      <c r="A513" s="269" t="str">
        <f>IFERROR(__xludf.DUMMYFUNCTION("""COMPUTED_VALUE"""),"")</f>
        <v/>
      </c>
      <c r="B513" s="269"/>
      <c r="C513" s="269"/>
      <c r="D513" s="269"/>
      <c r="E513" s="269"/>
      <c r="F513" s="269"/>
      <c r="G513" s="269"/>
      <c r="H513" s="269"/>
      <c r="I513" s="269"/>
      <c r="J513" s="269"/>
      <c r="K513" s="269"/>
      <c r="L513" s="269"/>
      <c r="M513" s="269"/>
      <c r="N513" s="269"/>
      <c r="O513" s="269"/>
      <c r="P513" s="269"/>
      <c r="Q513" s="269"/>
      <c r="R513" s="269"/>
      <c r="S513" s="269"/>
      <c r="T513" s="269"/>
      <c r="U513" s="269"/>
      <c r="V513" s="269"/>
      <c r="W513" s="269"/>
      <c r="X513" s="269"/>
      <c r="Y513" s="269"/>
      <c r="Z513" s="269"/>
    </row>
    <row r="514">
      <c r="A514" s="269" t="str">
        <f>IFERROR(__xludf.DUMMYFUNCTION("""COMPUTED_VALUE"""),"")</f>
        <v/>
      </c>
      <c r="B514" s="269"/>
      <c r="C514" s="269"/>
      <c r="D514" s="269"/>
      <c r="E514" s="269"/>
      <c r="F514" s="269"/>
      <c r="G514" s="269"/>
      <c r="H514" s="269"/>
      <c r="I514" s="269"/>
      <c r="J514" s="269"/>
      <c r="K514" s="269"/>
      <c r="L514" s="269"/>
      <c r="M514" s="269"/>
      <c r="N514" s="269"/>
      <c r="O514" s="269"/>
      <c r="P514" s="269"/>
      <c r="Q514" s="269"/>
      <c r="R514" s="269"/>
      <c r="S514" s="269"/>
      <c r="T514" s="269"/>
      <c r="U514" s="269"/>
      <c r="V514" s="269"/>
      <c r="W514" s="269"/>
      <c r="X514" s="269"/>
      <c r="Y514" s="269"/>
      <c r="Z514" s="269"/>
    </row>
    <row r="515">
      <c r="A515" s="269" t="str">
        <f>IFERROR(__xludf.DUMMYFUNCTION("""COMPUTED_VALUE"""),"")</f>
        <v/>
      </c>
      <c r="B515" s="269"/>
      <c r="C515" s="269"/>
      <c r="D515" s="269"/>
      <c r="E515" s="269"/>
      <c r="F515" s="269"/>
      <c r="G515" s="269"/>
      <c r="H515" s="269"/>
      <c r="I515" s="269"/>
      <c r="J515" s="269"/>
      <c r="K515" s="269"/>
      <c r="L515" s="269"/>
      <c r="M515" s="269"/>
      <c r="N515" s="269"/>
      <c r="O515" s="269"/>
      <c r="P515" s="269"/>
      <c r="Q515" s="269"/>
      <c r="R515" s="269"/>
      <c r="S515" s="269"/>
      <c r="T515" s="269"/>
      <c r="U515" s="269"/>
      <c r="V515" s="269"/>
      <c r="W515" s="269"/>
      <c r="X515" s="269"/>
      <c r="Y515" s="269"/>
      <c r="Z515" s="269"/>
    </row>
    <row r="516">
      <c r="A516" s="269" t="str">
        <f>IFERROR(__xludf.DUMMYFUNCTION("""COMPUTED_VALUE"""),"")</f>
        <v/>
      </c>
      <c r="B516" s="269"/>
      <c r="C516" s="269"/>
      <c r="D516" s="269"/>
      <c r="E516" s="269"/>
      <c r="F516" s="269"/>
      <c r="G516" s="269"/>
      <c r="H516" s="269"/>
      <c r="I516" s="269"/>
      <c r="J516" s="269"/>
      <c r="K516" s="269"/>
      <c r="L516" s="269"/>
      <c r="M516" s="269"/>
      <c r="N516" s="269"/>
      <c r="O516" s="269"/>
      <c r="P516" s="269"/>
      <c r="Q516" s="269"/>
      <c r="R516" s="269"/>
      <c r="S516" s="269"/>
      <c r="T516" s="269"/>
      <c r="U516" s="269"/>
      <c r="V516" s="269"/>
      <c r="W516" s="269"/>
      <c r="X516" s="269"/>
      <c r="Y516" s="269"/>
      <c r="Z516" s="269"/>
    </row>
    <row r="517">
      <c r="A517" s="269" t="str">
        <f>IFERROR(__xludf.DUMMYFUNCTION("""COMPUTED_VALUE"""),"")</f>
        <v/>
      </c>
      <c r="B517" s="269"/>
      <c r="C517" s="269"/>
      <c r="D517" s="269"/>
      <c r="E517" s="269"/>
      <c r="F517" s="269"/>
      <c r="G517" s="269"/>
      <c r="H517" s="269"/>
      <c r="I517" s="269"/>
      <c r="J517" s="269"/>
      <c r="K517" s="269"/>
      <c r="L517" s="269"/>
      <c r="M517" s="269"/>
      <c r="N517" s="269"/>
      <c r="O517" s="269"/>
      <c r="P517" s="269"/>
      <c r="Q517" s="269"/>
      <c r="R517" s="269"/>
      <c r="S517" s="269"/>
      <c r="T517" s="269"/>
      <c r="U517" s="269"/>
      <c r="V517" s="269"/>
      <c r="W517" s="269"/>
      <c r="X517" s="269"/>
      <c r="Y517" s="269"/>
      <c r="Z517" s="269"/>
    </row>
    <row r="518">
      <c r="A518" s="269" t="str">
        <f>IFERROR(__xludf.DUMMYFUNCTION("""COMPUTED_VALUE"""),"")</f>
        <v/>
      </c>
      <c r="B518" s="269"/>
      <c r="C518" s="269"/>
      <c r="D518" s="269"/>
      <c r="E518" s="269"/>
      <c r="F518" s="269"/>
      <c r="G518" s="269"/>
      <c r="H518" s="269"/>
      <c r="I518" s="269"/>
      <c r="J518" s="269"/>
      <c r="K518" s="269"/>
      <c r="L518" s="269"/>
      <c r="M518" s="269"/>
      <c r="N518" s="269"/>
      <c r="O518" s="269"/>
      <c r="P518" s="269"/>
      <c r="Q518" s="269"/>
      <c r="R518" s="269"/>
      <c r="S518" s="269"/>
      <c r="T518" s="269"/>
      <c r="U518" s="269"/>
      <c r="V518" s="269"/>
      <c r="W518" s="269"/>
      <c r="X518" s="269"/>
      <c r="Y518" s="269"/>
      <c r="Z518" s="269"/>
    </row>
    <row r="519">
      <c r="A519" s="269" t="str">
        <f>IFERROR(__xludf.DUMMYFUNCTION("""COMPUTED_VALUE"""),"")</f>
        <v/>
      </c>
      <c r="B519" s="269"/>
      <c r="C519" s="269"/>
      <c r="D519" s="269"/>
      <c r="E519" s="269"/>
      <c r="F519" s="269"/>
      <c r="G519" s="269"/>
      <c r="H519" s="269"/>
      <c r="I519" s="269"/>
      <c r="J519" s="269"/>
      <c r="K519" s="269"/>
      <c r="L519" s="269"/>
      <c r="M519" s="269"/>
      <c r="N519" s="269"/>
      <c r="O519" s="269"/>
      <c r="P519" s="269"/>
      <c r="Q519" s="269"/>
      <c r="R519" s="269"/>
      <c r="S519" s="269"/>
      <c r="T519" s="269"/>
      <c r="U519" s="269"/>
      <c r="V519" s="269"/>
      <c r="W519" s="269"/>
      <c r="X519" s="269"/>
      <c r="Y519" s="269"/>
      <c r="Z519" s="269"/>
    </row>
    <row r="520">
      <c r="A520" s="269" t="str">
        <f>IFERROR(__xludf.DUMMYFUNCTION("""COMPUTED_VALUE"""),"")</f>
        <v/>
      </c>
      <c r="B520" s="269"/>
      <c r="C520" s="269"/>
      <c r="D520" s="269"/>
      <c r="E520" s="269"/>
      <c r="F520" s="269"/>
      <c r="G520" s="269"/>
      <c r="H520" s="269"/>
      <c r="I520" s="269"/>
      <c r="J520" s="269"/>
      <c r="K520" s="269"/>
      <c r="L520" s="269"/>
      <c r="M520" s="269"/>
      <c r="N520" s="269"/>
      <c r="O520" s="269"/>
      <c r="P520" s="269"/>
      <c r="Q520" s="269"/>
      <c r="R520" s="269"/>
      <c r="S520" s="269"/>
      <c r="T520" s="269"/>
      <c r="U520" s="269"/>
      <c r="V520" s="269"/>
      <c r="W520" s="269"/>
      <c r="X520" s="269"/>
      <c r="Y520" s="269"/>
      <c r="Z520" s="269"/>
    </row>
    <row r="521">
      <c r="A521" s="269" t="str">
        <f>IFERROR(__xludf.DUMMYFUNCTION("""COMPUTED_VALUE"""),"")</f>
        <v/>
      </c>
      <c r="B521" s="269"/>
      <c r="C521" s="269"/>
      <c r="D521" s="269"/>
      <c r="E521" s="269"/>
      <c r="F521" s="269"/>
      <c r="G521" s="269"/>
      <c r="H521" s="269"/>
      <c r="I521" s="269"/>
      <c r="J521" s="269"/>
      <c r="K521" s="269"/>
      <c r="L521" s="269"/>
      <c r="M521" s="269"/>
      <c r="N521" s="269"/>
      <c r="O521" s="269"/>
      <c r="P521" s="269"/>
      <c r="Q521" s="269"/>
      <c r="R521" s="269"/>
      <c r="S521" s="269"/>
      <c r="T521" s="269"/>
      <c r="U521" s="269"/>
      <c r="V521" s="269"/>
      <c r="W521" s="269"/>
      <c r="X521" s="269"/>
      <c r="Y521" s="269"/>
      <c r="Z521" s="269"/>
    </row>
    <row r="522">
      <c r="A522" s="269" t="str">
        <f>IFERROR(__xludf.DUMMYFUNCTION("""COMPUTED_VALUE"""),"")</f>
        <v/>
      </c>
      <c r="B522" s="269"/>
      <c r="C522" s="269"/>
      <c r="D522" s="269"/>
      <c r="E522" s="269"/>
      <c r="F522" s="269"/>
      <c r="G522" s="269"/>
      <c r="H522" s="269"/>
      <c r="I522" s="269"/>
      <c r="J522" s="269"/>
      <c r="K522" s="269"/>
      <c r="L522" s="269"/>
      <c r="M522" s="269"/>
      <c r="N522" s="269"/>
      <c r="O522" s="269"/>
      <c r="P522" s="269"/>
      <c r="Q522" s="269"/>
      <c r="R522" s="269"/>
      <c r="S522" s="269"/>
      <c r="T522" s="269"/>
      <c r="U522" s="269"/>
      <c r="V522" s="269"/>
      <c r="W522" s="269"/>
      <c r="X522" s="269"/>
      <c r="Y522" s="269"/>
      <c r="Z522" s="269"/>
    </row>
    <row r="523">
      <c r="A523" s="269" t="str">
        <f>IFERROR(__xludf.DUMMYFUNCTION("""COMPUTED_VALUE"""),"")</f>
        <v/>
      </c>
      <c r="B523" s="269"/>
      <c r="C523" s="269"/>
      <c r="D523" s="269"/>
      <c r="E523" s="269"/>
      <c r="F523" s="269"/>
      <c r="G523" s="269"/>
      <c r="H523" s="269"/>
      <c r="I523" s="269"/>
      <c r="J523" s="269"/>
      <c r="K523" s="269"/>
      <c r="L523" s="269"/>
      <c r="M523" s="269"/>
      <c r="N523" s="269"/>
      <c r="O523" s="269"/>
      <c r="P523" s="269"/>
      <c r="Q523" s="269"/>
      <c r="R523" s="269"/>
      <c r="S523" s="269"/>
      <c r="T523" s="269"/>
      <c r="U523" s="269"/>
      <c r="V523" s="269"/>
      <c r="W523" s="269"/>
      <c r="X523" s="269"/>
      <c r="Y523" s="269"/>
      <c r="Z523" s="269"/>
    </row>
    <row r="524">
      <c r="A524" s="269" t="str">
        <f>IFERROR(__xludf.DUMMYFUNCTION("""COMPUTED_VALUE"""),"")</f>
        <v/>
      </c>
      <c r="B524" s="269"/>
      <c r="C524" s="269"/>
      <c r="D524" s="269"/>
      <c r="E524" s="269"/>
      <c r="F524" s="269"/>
      <c r="G524" s="269"/>
      <c r="H524" s="269"/>
      <c r="I524" s="269"/>
      <c r="J524" s="269"/>
      <c r="K524" s="269"/>
      <c r="L524" s="269"/>
      <c r="M524" s="269"/>
      <c r="N524" s="269"/>
      <c r="O524" s="269"/>
      <c r="P524" s="269"/>
      <c r="Q524" s="269"/>
      <c r="R524" s="269"/>
      <c r="S524" s="269"/>
      <c r="T524" s="269"/>
      <c r="U524" s="269"/>
      <c r="V524" s="269"/>
      <c r="W524" s="269"/>
      <c r="X524" s="269"/>
      <c r="Y524" s="269"/>
      <c r="Z524" s="269"/>
    </row>
    <row r="525">
      <c r="A525" s="269" t="str">
        <f>IFERROR(__xludf.DUMMYFUNCTION("""COMPUTED_VALUE"""),"")</f>
        <v/>
      </c>
      <c r="B525" s="269"/>
      <c r="C525" s="269"/>
      <c r="D525" s="269"/>
      <c r="E525" s="269"/>
      <c r="F525" s="269"/>
      <c r="G525" s="269"/>
      <c r="H525" s="269"/>
      <c r="I525" s="269"/>
      <c r="J525" s="269"/>
      <c r="K525" s="269"/>
      <c r="L525" s="269"/>
      <c r="M525" s="269"/>
      <c r="N525" s="269"/>
      <c r="O525" s="269"/>
      <c r="P525" s="269"/>
      <c r="Q525" s="269"/>
      <c r="R525" s="269"/>
      <c r="S525" s="269"/>
      <c r="T525" s="269"/>
      <c r="U525" s="269"/>
      <c r="V525" s="269"/>
      <c r="W525" s="269"/>
      <c r="X525" s="269"/>
      <c r="Y525" s="269"/>
      <c r="Z525" s="269"/>
    </row>
    <row r="526">
      <c r="A526" s="269" t="str">
        <f>IFERROR(__xludf.DUMMYFUNCTION("""COMPUTED_VALUE"""),"")</f>
        <v/>
      </c>
      <c r="B526" s="269"/>
      <c r="C526" s="269"/>
      <c r="D526" s="269"/>
      <c r="E526" s="269"/>
      <c r="F526" s="269"/>
      <c r="G526" s="269"/>
      <c r="H526" s="269"/>
      <c r="I526" s="269"/>
      <c r="J526" s="269"/>
      <c r="K526" s="269"/>
      <c r="L526" s="269"/>
      <c r="M526" s="269"/>
      <c r="N526" s="269"/>
      <c r="O526" s="269"/>
      <c r="P526" s="269"/>
      <c r="Q526" s="269"/>
      <c r="R526" s="269"/>
      <c r="S526" s="269"/>
      <c r="T526" s="269"/>
      <c r="U526" s="269"/>
      <c r="V526" s="269"/>
      <c r="W526" s="269"/>
      <c r="X526" s="269"/>
      <c r="Y526" s="269"/>
      <c r="Z526" s="269"/>
    </row>
    <row r="527">
      <c r="A527" s="269" t="str">
        <f>IFERROR(__xludf.DUMMYFUNCTION("""COMPUTED_VALUE"""),"")</f>
        <v/>
      </c>
      <c r="B527" s="269"/>
      <c r="C527" s="269"/>
      <c r="D527" s="269"/>
      <c r="E527" s="269"/>
      <c r="F527" s="269"/>
      <c r="G527" s="269"/>
      <c r="H527" s="269"/>
      <c r="I527" s="269"/>
      <c r="J527" s="269"/>
      <c r="K527" s="269"/>
      <c r="L527" s="269"/>
      <c r="M527" s="269"/>
      <c r="N527" s="269"/>
      <c r="O527" s="269"/>
      <c r="P527" s="269"/>
      <c r="Q527" s="269"/>
      <c r="R527" s="269"/>
      <c r="S527" s="269"/>
      <c r="T527" s="269"/>
      <c r="U527" s="269"/>
      <c r="V527" s="269"/>
      <c r="W527" s="269"/>
      <c r="X527" s="269"/>
      <c r="Y527" s="269"/>
      <c r="Z527" s="269"/>
    </row>
    <row r="528">
      <c r="A528" s="269" t="str">
        <f>IFERROR(__xludf.DUMMYFUNCTION("""COMPUTED_VALUE"""),"")</f>
        <v/>
      </c>
      <c r="B528" s="269"/>
      <c r="C528" s="269"/>
      <c r="D528" s="269"/>
      <c r="E528" s="269"/>
      <c r="F528" s="269"/>
      <c r="G528" s="269"/>
      <c r="H528" s="269"/>
      <c r="I528" s="269"/>
      <c r="J528" s="269"/>
      <c r="K528" s="269"/>
      <c r="L528" s="269"/>
      <c r="M528" s="269"/>
      <c r="N528" s="269"/>
      <c r="O528" s="269"/>
      <c r="P528" s="269"/>
      <c r="Q528" s="269"/>
      <c r="R528" s="269"/>
      <c r="S528" s="269"/>
      <c r="T528" s="269"/>
      <c r="U528" s="269"/>
      <c r="V528" s="269"/>
      <c r="W528" s="269"/>
      <c r="X528" s="269"/>
      <c r="Y528" s="269"/>
      <c r="Z528" s="269"/>
    </row>
    <row r="529">
      <c r="A529" s="269" t="str">
        <f>IFERROR(__xludf.DUMMYFUNCTION("""COMPUTED_VALUE"""),"")</f>
        <v/>
      </c>
      <c r="B529" s="269"/>
      <c r="C529" s="269"/>
      <c r="D529" s="269"/>
      <c r="E529" s="269"/>
      <c r="F529" s="269"/>
      <c r="G529" s="269"/>
      <c r="H529" s="269"/>
      <c r="I529" s="269"/>
      <c r="J529" s="269"/>
      <c r="K529" s="269"/>
      <c r="L529" s="269"/>
      <c r="M529" s="269"/>
      <c r="N529" s="269"/>
      <c r="O529" s="269"/>
      <c r="P529" s="269"/>
      <c r="Q529" s="269"/>
      <c r="R529" s="269"/>
      <c r="S529" s="269"/>
      <c r="T529" s="269"/>
      <c r="U529" s="269"/>
      <c r="V529" s="269"/>
      <c r="W529" s="269"/>
      <c r="X529" s="269"/>
      <c r="Y529" s="269"/>
      <c r="Z529" s="269"/>
    </row>
    <row r="530">
      <c r="A530" s="269" t="str">
        <f>IFERROR(__xludf.DUMMYFUNCTION("""COMPUTED_VALUE"""),"")</f>
        <v/>
      </c>
      <c r="B530" s="269"/>
      <c r="C530" s="269"/>
      <c r="D530" s="269"/>
      <c r="E530" s="269"/>
      <c r="F530" s="269"/>
      <c r="G530" s="269"/>
      <c r="H530" s="269"/>
      <c r="I530" s="269"/>
      <c r="J530" s="269"/>
      <c r="K530" s="269"/>
      <c r="L530" s="269"/>
      <c r="M530" s="269"/>
      <c r="N530" s="269"/>
      <c r="O530" s="269"/>
      <c r="P530" s="269"/>
      <c r="Q530" s="269"/>
      <c r="R530" s="269"/>
      <c r="S530" s="269"/>
      <c r="T530" s="269"/>
      <c r="U530" s="269"/>
      <c r="V530" s="269"/>
      <c r="W530" s="269"/>
      <c r="X530" s="269"/>
      <c r="Y530" s="269"/>
      <c r="Z530" s="269"/>
    </row>
    <row r="531">
      <c r="A531" s="269" t="str">
        <f>IFERROR(__xludf.DUMMYFUNCTION("""COMPUTED_VALUE"""),"")</f>
        <v/>
      </c>
      <c r="B531" s="269"/>
      <c r="C531" s="269"/>
      <c r="D531" s="269"/>
      <c r="E531" s="269"/>
      <c r="F531" s="269"/>
      <c r="G531" s="269"/>
      <c r="H531" s="269"/>
      <c r="I531" s="269"/>
      <c r="J531" s="269"/>
      <c r="K531" s="269"/>
      <c r="L531" s="269"/>
      <c r="M531" s="269"/>
      <c r="N531" s="269"/>
      <c r="O531" s="269"/>
      <c r="P531" s="269"/>
      <c r="Q531" s="269"/>
      <c r="R531" s="269"/>
      <c r="S531" s="269"/>
      <c r="T531" s="269"/>
      <c r="U531" s="269"/>
      <c r="V531" s="269"/>
      <c r="W531" s="269"/>
      <c r="X531" s="269"/>
      <c r="Y531" s="269"/>
      <c r="Z531" s="269"/>
    </row>
    <row r="532">
      <c r="A532" s="269" t="str">
        <f>IFERROR(__xludf.DUMMYFUNCTION("""COMPUTED_VALUE"""),"")</f>
        <v/>
      </c>
      <c r="B532" s="269"/>
      <c r="C532" s="269"/>
      <c r="D532" s="269"/>
      <c r="E532" s="269"/>
      <c r="F532" s="269"/>
      <c r="G532" s="269"/>
      <c r="H532" s="269"/>
      <c r="I532" s="269"/>
      <c r="J532" s="269"/>
      <c r="K532" s="269"/>
      <c r="L532" s="269"/>
      <c r="M532" s="269"/>
      <c r="N532" s="269"/>
      <c r="O532" s="269"/>
      <c r="P532" s="269"/>
      <c r="Q532" s="269"/>
      <c r="R532" s="269"/>
      <c r="S532" s="269"/>
      <c r="T532" s="269"/>
      <c r="U532" s="269"/>
      <c r="V532" s="269"/>
      <c r="W532" s="269"/>
      <c r="X532" s="269"/>
      <c r="Y532" s="269"/>
      <c r="Z532" s="269"/>
    </row>
    <row r="533">
      <c r="A533" s="269" t="str">
        <f>IFERROR(__xludf.DUMMYFUNCTION("""COMPUTED_VALUE"""),"")</f>
        <v/>
      </c>
      <c r="B533" s="269"/>
      <c r="C533" s="269"/>
      <c r="D533" s="269"/>
      <c r="E533" s="269"/>
      <c r="F533" s="269"/>
      <c r="G533" s="269"/>
      <c r="H533" s="269"/>
      <c r="I533" s="269"/>
      <c r="J533" s="269"/>
      <c r="K533" s="269"/>
      <c r="L533" s="269"/>
      <c r="M533" s="269"/>
      <c r="N533" s="269"/>
      <c r="O533" s="269"/>
      <c r="P533" s="269"/>
      <c r="Q533" s="269"/>
      <c r="R533" s="269"/>
      <c r="S533" s="269"/>
      <c r="T533" s="269"/>
      <c r="U533" s="269"/>
      <c r="V533" s="269"/>
      <c r="W533" s="269"/>
      <c r="X533" s="269"/>
      <c r="Y533" s="269"/>
      <c r="Z533" s="269"/>
    </row>
    <row r="534">
      <c r="A534" s="269" t="str">
        <f>IFERROR(__xludf.DUMMYFUNCTION("""COMPUTED_VALUE"""),"")</f>
        <v/>
      </c>
      <c r="B534" s="269"/>
      <c r="C534" s="269"/>
      <c r="D534" s="269"/>
      <c r="E534" s="269"/>
      <c r="F534" s="269"/>
      <c r="G534" s="269"/>
      <c r="H534" s="269"/>
      <c r="I534" s="269"/>
      <c r="J534" s="269"/>
      <c r="K534" s="269"/>
      <c r="L534" s="269"/>
      <c r="M534" s="269"/>
      <c r="N534" s="269"/>
      <c r="O534" s="269"/>
      <c r="P534" s="269"/>
      <c r="Q534" s="269"/>
      <c r="R534" s="269"/>
      <c r="S534" s="269"/>
      <c r="T534" s="269"/>
      <c r="U534" s="269"/>
      <c r="V534" s="269"/>
      <c r="W534" s="269"/>
      <c r="X534" s="269"/>
      <c r="Y534" s="269"/>
      <c r="Z534" s="269"/>
    </row>
    <row r="535">
      <c r="A535" s="269" t="str">
        <f>IFERROR(__xludf.DUMMYFUNCTION("""COMPUTED_VALUE"""),"")</f>
        <v/>
      </c>
      <c r="B535" s="269"/>
      <c r="C535" s="269"/>
      <c r="D535" s="269"/>
      <c r="E535" s="269"/>
      <c r="F535" s="269"/>
      <c r="G535" s="269"/>
      <c r="H535" s="269"/>
      <c r="I535" s="269"/>
      <c r="J535" s="269"/>
      <c r="K535" s="269"/>
      <c r="L535" s="269"/>
      <c r="M535" s="269"/>
      <c r="N535" s="269"/>
      <c r="O535" s="269"/>
      <c r="P535" s="269"/>
      <c r="Q535" s="269"/>
      <c r="R535" s="269"/>
      <c r="S535" s="269"/>
      <c r="T535" s="269"/>
      <c r="U535" s="269"/>
      <c r="V535" s="269"/>
      <c r="W535" s="269"/>
      <c r="X535" s="269"/>
      <c r="Y535" s="269"/>
      <c r="Z535" s="269"/>
    </row>
    <row r="536">
      <c r="A536" s="269" t="str">
        <f>IFERROR(__xludf.DUMMYFUNCTION("""COMPUTED_VALUE"""),"")</f>
        <v/>
      </c>
      <c r="B536" s="269"/>
      <c r="C536" s="269"/>
      <c r="D536" s="269"/>
      <c r="E536" s="269"/>
      <c r="F536" s="269"/>
      <c r="G536" s="269"/>
      <c r="H536" s="269"/>
      <c r="I536" s="269"/>
      <c r="J536" s="269"/>
      <c r="K536" s="269"/>
      <c r="L536" s="269"/>
      <c r="M536" s="269"/>
      <c r="N536" s="269"/>
      <c r="O536" s="269"/>
      <c r="P536" s="269"/>
      <c r="Q536" s="269"/>
      <c r="R536" s="269"/>
      <c r="S536" s="269"/>
      <c r="T536" s="269"/>
      <c r="U536" s="269"/>
      <c r="V536" s="269"/>
      <c r="W536" s="269"/>
      <c r="X536" s="269"/>
      <c r="Y536" s="269"/>
      <c r="Z536" s="269"/>
    </row>
    <row r="537">
      <c r="A537" s="269" t="str">
        <f>IFERROR(__xludf.DUMMYFUNCTION("""COMPUTED_VALUE"""),"")</f>
        <v/>
      </c>
      <c r="B537" s="269"/>
      <c r="C537" s="269"/>
      <c r="D537" s="269"/>
      <c r="E537" s="269"/>
      <c r="F537" s="269"/>
      <c r="G537" s="269"/>
      <c r="H537" s="269"/>
      <c r="I537" s="269"/>
      <c r="J537" s="269"/>
      <c r="K537" s="269"/>
      <c r="L537" s="269"/>
      <c r="M537" s="269"/>
      <c r="N537" s="269"/>
      <c r="O537" s="269"/>
      <c r="P537" s="269"/>
      <c r="Q537" s="269"/>
      <c r="R537" s="269"/>
      <c r="S537" s="269"/>
      <c r="T537" s="269"/>
      <c r="U537" s="269"/>
      <c r="V537" s="269"/>
      <c r="W537" s="269"/>
      <c r="X537" s="269"/>
      <c r="Y537" s="269"/>
      <c r="Z537" s="269"/>
    </row>
    <row r="538">
      <c r="A538" s="269" t="str">
        <f>IFERROR(__xludf.DUMMYFUNCTION("""COMPUTED_VALUE"""),"")</f>
        <v/>
      </c>
      <c r="B538" s="269"/>
      <c r="C538" s="269"/>
      <c r="D538" s="269"/>
      <c r="E538" s="269"/>
      <c r="F538" s="269"/>
      <c r="G538" s="269"/>
      <c r="H538" s="269"/>
      <c r="I538" s="269"/>
      <c r="J538" s="269"/>
      <c r="K538" s="269"/>
      <c r="L538" s="269"/>
      <c r="M538" s="269"/>
      <c r="N538" s="269"/>
      <c r="O538" s="269"/>
      <c r="P538" s="269"/>
      <c r="Q538" s="269"/>
      <c r="R538" s="269"/>
      <c r="S538" s="269"/>
      <c r="T538" s="269"/>
      <c r="U538" s="269"/>
      <c r="V538" s="269"/>
      <c r="W538" s="269"/>
      <c r="X538" s="269"/>
      <c r="Y538" s="269"/>
      <c r="Z538" s="269"/>
    </row>
    <row r="539">
      <c r="A539" s="269" t="str">
        <f>IFERROR(__xludf.DUMMYFUNCTION("""COMPUTED_VALUE"""),"")</f>
        <v/>
      </c>
      <c r="B539" s="269"/>
      <c r="C539" s="269"/>
      <c r="D539" s="269"/>
      <c r="E539" s="269"/>
      <c r="F539" s="269"/>
      <c r="G539" s="269"/>
      <c r="H539" s="269"/>
      <c r="I539" s="269"/>
      <c r="J539" s="269"/>
      <c r="K539" s="269"/>
      <c r="L539" s="269"/>
      <c r="M539" s="269"/>
      <c r="N539" s="269"/>
      <c r="O539" s="269"/>
      <c r="P539" s="269"/>
      <c r="Q539" s="269"/>
      <c r="R539" s="269"/>
      <c r="S539" s="269"/>
      <c r="T539" s="269"/>
      <c r="U539" s="269"/>
      <c r="V539" s="269"/>
      <c r="W539" s="269"/>
      <c r="X539" s="269"/>
      <c r="Y539" s="269"/>
      <c r="Z539" s="269"/>
    </row>
    <row r="540">
      <c r="A540" s="269" t="str">
        <f>IFERROR(__xludf.DUMMYFUNCTION("""COMPUTED_VALUE"""),"")</f>
        <v/>
      </c>
      <c r="B540" s="269"/>
      <c r="C540" s="269"/>
      <c r="D540" s="269"/>
      <c r="E540" s="269"/>
      <c r="F540" s="269"/>
      <c r="G540" s="269"/>
      <c r="H540" s="269"/>
      <c r="I540" s="269"/>
      <c r="J540" s="269"/>
      <c r="K540" s="269"/>
      <c r="L540" s="269"/>
      <c r="M540" s="269"/>
      <c r="N540" s="269"/>
      <c r="O540" s="269"/>
      <c r="P540" s="269"/>
      <c r="Q540" s="269"/>
      <c r="R540" s="269"/>
      <c r="S540" s="269"/>
      <c r="T540" s="269"/>
      <c r="U540" s="269"/>
      <c r="V540" s="269"/>
      <c r="W540" s="269"/>
      <c r="X540" s="269"/>
      <c r="Y540" s="269"/>
      <c r="Z540" s="269"/>
    </row>
    <row r="541">
      <c r="A541" s="269" t="str">
        <f>IFERROR(__xludf.DUMMYFUNCTION("""COMPUTED_VALUE"""),"")</f>
        <v/>
      </c>
      <c r="B541" s="269"/>
      <c r="C541" s="269"/>
      <c r="D541" s="269"/>
      <c r="E541" s="269"/>
      <c r="F541" s="269"/>
      <c r="G541" s="269"/>
      <c r="H541" s="269"/>
      <c r="I541" s="269"/>
      <c r="J541" s="269"/>
      <c r="K541" s="269"/>
      <c r="L541" s="269"/>
      <c r="M541" s="269"/>
      <c r="N541" s="269"/>
      <c r="O541" s="269"/>
      <c r="P541" s="269"/>
      <c r="Q541" s="269"/>
      <c r="R541" s="269"/>
      <c r="S541" s="269"/>
      <c r="T541" s="269"/>
      <c r="U541" s="269"/>
      <c r="V541" s="269"/>
      <c r="W541" s="269"/>
      <c r="X541" s="269"/>
      <c r="Y541" s="269"/>
      <c r="Z541" s="269"/>
    </row>
    <row r="542">
      <c r="A542" s="269" t="str">
        <f>IFERROR(__xludf.DUMMYFUNCTION("""COMPUTED_VALUE"""),"")</f>
        <v/>
      </c>
      <c r="B542" s="269"/>
      <c r="C542" s="269"/>
      <c r="D542" s="269"/>
      <c r="E542" s="269"/>
      <c r="F542" s="269"/>
      <c r="G542" s="269"/>
      <c r="H542" s="269"/>
      <c r="I542" s="269"/>
      <c r="J542" s="269"/>
      <c r="K542" s="269"/>
      <c r="L542" s="269"/>
      <c r="M542" s="269"/>
      <c r="N542" s="269"/>
      <c r="O542" s="269"/>
      <c r="P542" s="269"/>
      <c r="Q542" s="269"/>
      <c r="R542" s="269"/>
      <c r="S542" s="269"/>
      <c r="T542" s="269"/>
      <c r="U542" s="269"/>
      <c r="V542" s="269"/>
      <c r="W542" s="269"/>
      <c r="X542" s="269"/>
      <c r="Y542" s="269"/>
      <c r="Z542" s="269"/>
    </row>
    <row r="543">
      <c r="A543" s="269" t="str">
        <f>IFERROR(__xludf.DUMMYFUNCTION("""COMPUTED_VALUE"""),"")</f>
        <v/>
      </c>
      <c r="B543" s="269"/>
      <c r="C543" s="269"/>
      <c r="D543" s="269"/>
      <c r="E543" s="269"/>
      <c r="F543" s="269"/>
      <c r="G543" s="269"/>
      <c r="H543" s="269"/>
      <c r="I543" s="269"/>
      <c r="J543" s="269"/>
      <c r="K543" s="269"/>
      <c r="L543" s="269"/>
      <c r="M543" s="269"/>
      <c r="N543" s="269"/>
      <c r="O543" s="269"/>
      <c r="P543" s="269"/>
      <c r="Q543" s="269"/>
      <c r="R543" s="269"/>
      <c r="S543" s="269"/>
      <c r="T543" s="269"/>
      <c r="U543" s="269"/>
      <c r="V543" s="269"/>
      <c r="W543" s="269"/>
      <c r="X543" s="269"/>
      <c r="Y543" s="269"/>
      <c r="Z543" s="269"/>
    </row>
    <row r="544">
      <c r="A544" s="269" t="str">
        <f>IFERROR(__xludf.DUMMYFUNCTION("""COMPUTED_VALUE"""),"")</f>
        <v/>
      </c>
      <c r="B544" s="269"/>
      <c r="C544" s="269"/>
      <c r="D544" s="269"/>
      <c r="E544" s="269"/>
      <c r="F544" s="269"/>
      <c r="G544" s="269"/>
      <c r="H544" s="269"/>
      <c r="I544" s="269"/>
      <c r="J544" s="269"/>
      <c r="K544" s="269"/>
      <c r="L544" s="269"/>
      <c r="M544" s="269"/>
      <c r="N544" s="269"/>
      <c r="O544" s="269"/>
      <c r="P544" s="269"/>
      <c r="Q544" s="269"/>
      <c r="R544" s="269"/>
      <c r="S544" s="269"/>
      <c r="T544" s="269"/>
      <c r="U544" s="269"/>
      <c r="V544" s="269"/>
      <c r="W544" s="269"/>
      <c r="X544" s="269"/>
      <c r="Y544" s="269"/>
      <c r="Z544" s="269"/>
    </row>
    <row r="545">
      <c r="A545" s="269" t="str">
        <f>IFERROR(__xludf.DUMMYFUNCTION("""COMPUTED_VALUE"""),"")</f>
        <v/>
      </c>
      <c r="B545" s="269"/>
      <c r="C545" s="269"/>
      <c r="D545" s="269"/>
      <c r="E545" s="269"/>
      <c r="F545" s="269"/>
      <c r="G545" s="269"/>
      <c r="H545" s="269"/>
      <c r="I545" s="269"/>
      <c r="J545" s="269"/>
      <c r="K545" s="269"/>
      <c r="L545" s="269"/>
      <c r="M545" s="269"/>
      <c r="N545" s="269"/>
      <c r="O545" s="269"/>
      <c r="P545" s="269"/>
      <c r="Q545" s="269"/>
      <c r="R545" s="269"/>
      <c r="S545" s="269"/>
      <c r="T545" s="269"/>
      <c r="U545" s="269"/>
      <c r="V545" s="269"/>
      <c r="W545" s="269"/>
      <c r="X545" s="269"/>
      <c r="Y545" s="269"/>
      <c r="Z545" s="269"/>
    </row>
    <row r="546">
      <c r="A546" s="269" t="str">
        <f>IFERROR(__xludf.DUMMYFUNCTION("""COMPUTED_VALUE"""),"")</f>
        <v/>
      </c>
      <c r="B546" s="269"/>
      <c r="C546" s="269"/>
      <c r="D546" s="269"/>
      <c r="E546" s="269"/>
      <c r="F546" s="269"/>
      <c r="G546" s="269"/>
      <c r="H546" s="269"/>
      <c r="I546" s="269"/>
      <c r="J546" s="269"/>
      <c r="K546" s="269"/>
      <c r="L546" s="269"/>
      <c r="M546" s="269"/>
      <c r="N546" s="269"/>
      <c r="O546" s="269"/>
      <c r="P546" s="269"/>
      <c r="Q546" s="269"/>
      <c r="R546" s="269"/>
      <c r="S546" s="269"/>
      <c r="T546" s="269"/>
      <c r="U546" s="269"/>
      <c r="V546" s="269"/>
      <c r="W546" s="269"/>
      <c r="X546" s="269"/>
      <c r="Y546" s="269"/>
      <c r="Z546" s="269"/>
    </row>
    <row r="547">
      <c r="A547" s="269" t="str">
        <f>IFERROR(__xludf.DUMMYFUNCTION("""COMPUTED_VALUE"""),"")</f>
        <v/>
      </c>
      <c r="B547" s="269"/>
      <c r="C547" s="269"/>
      <c r="D547" s="269"/>
      <c r="E547" s="269"/>
      <c r="F547" s="269"/>
      <c r="G547" s="269"/>
      <c r="H547" s="269"/>
      <c r="I547" s="269"/>
      <c r="J547" s="269"/>
      <c r="K547" s="269"/>
      <c r="L547" s="269"/>
      <c r="M547" s="269"/>
      <c r="N547" s="269"/>
      <c r="O547" s="269"/>
      <c r="P547" s="269"/>
      <c r="Q547" s="269"/>
      <c r="R547" s="269"/>
      <c r="S547" s="269"/>
      <c r="T547" s="269"/>
      <c r="U547" s="269"/>
      <c r="V547" s="269"/>
      <c r="W547" s="269"/>
      <c r="X547" s="269"/>
      <c r="Y547" s="269"/>
      <c r="Z547" s="269"/>
    </row>
    <row r="548">
      <c r="A548" s="269" t="str">
        <f>IFERROR(__xludf.DUMMYFUNCTION("""COMPUTED_VALUE"""),"")</f>
        <v/>
      </c>
      <c r="B548" s="269"/>
      <c r="C548" s="269"/>
      <c r="D548" s="269"/>
      <c r="E548" s="269"/>
      <c r="F548" s="269"/>
      <c r="G548" s="269"/>
      <c r="H548" s="269"/>
      <c r="I548" s="269"/>
      <c r="J548" s="269"/>
      <c r="K548" s="269"/>
      <c r="L548" s="269"/>
      <c r="M548" s="269"/>
      <c r="N548" s="269"/>
      <c r="O548" s="269"/>
      <c r="P548" s="269"/>
      <c r="Q548" s="269"/>
      <c r="R548" s="269"/>
      <c r="S548" s="269"/>
      <c r="T548" s="269"/>
      <c r="U548" s="269"/>
      <c r="V548" s="269"/>
      <c r="W548" s="269"/>
      <c r="X548" s="269"/>
      <c r="Y548" s="269"/>
      <c r="Z548" s="269"/>
    </row>
    <row r="549">
      <c r="A549" s="269" t="str">
        <f>IFERROR(__xludf.DUMMYFUNCTION("""COMPUTED_VALUE"""),"")</f>
        <v/>
      </c>
      <c r="B549" s="269"/>
      <c r="C549" s="269"/>
      <c r="D549" s="269"/>
      <c r="E549" s="269"/>
      <c r="F549" s="269"/>
      <c r="G549" s="269"/>
      <c r="H549" s="269"/>
      <c r="I549" s="269"/>
      <c r="J549" s="269"/>
      <c r="K549" s="269"/>
      <c r="L549" s="269"/>
      <c r="M549" s="269"/>
      <c r="N549" s="269"/>
      <c r="O549" s="269"/>
      <c r="P549" s="269"/>
      <c r="Q549" s="269"/>
      <c r="R549" s="269"/>
      <c r="S549" s="269"/>
      <c r="T549" s="269"/>
      <c r="U549" s="269"/>
      <c r="V549" s="269"/>
      <c r="W549" s="269"/>
      <c r="X549" s="269"/>
      <c r="Y549" s="269"/>
      <c r="Z549" s="269"/>
    </row>
    <row r="550">
      <c r="A550" s="269" t="str">
        <f>IFERROR(__xludf.DUMMYFUNCTION("""COMPUTED_VALUE"""),"")</f>
        <v/>
      </c>
      <c r="B550" s="269"/>
      <c r="C550" s="269"/>
      <c r="D550" s="269"/>
      <c r="E550" s="269"/>
      <c r="F550" s="269"/>
      <c r="G550" s="269"/>
      <c r="H550" s="269"/>
      <c r="I550" s="269"/>
      <c r="J550" s="269"/>
      <c r="K550" s="269"/>
      <c r="L550" s="269"/>
      <c r="M550" s="269"/>
      <c r="N550" s="269"/>
      <c r="O550" s="269"/>
      <c r="P550" s="269"/>
      <c r="Q550" s="269"/>
      <c r="R550" s="269"/>
      <c r="S550" s="269"/>
      <c r="T550" s="269"/>
      <c r="U550" s="269"/>
      <c r="V550" s="269"/>
      <c r="W550" s="269"/>
      <c r="X550" s="269"/>
      <c r="Y550" s="269"/>
      <c r="Z550" s="269"/>
    </row>
    <row r="551">
      <c r="A551" s="269" t="str">
        <f>IFERROR(__xludf.DUMMYFUNCTION("""COMPUTED_VALUE"""),"")</f>
        <v/>
      </c>
      <c r="B551" s="269"/>
      <c r="C551" s="269"/>
      <c r="D551" s="269"/>
      <c r="E551" s="269"/>
      <c r="F551" s="269"/>
      <c r="G551" s="269"/>
      <c r="H551" s="269"/>
      <c r="I551" s="269"/>
      <c r="J551" s="269"/>
      <c r="K551" s="269"/>
      <c r="L551" s="269"/>
      <c r="M551" s="269"/>
      <c r="N551" s="269"/>
      <c r="O551" s="269"/>
      <c r="P551" s="269"/>
      <c r="Q551" s="269"/>
      <c r="R551" s="269"/>
      <c r="S551" s="269"/>
      <c r="T551" s="269"/>
      <c r="U551" s="269"/>
      <c r="V551" s="269"/>
      <c r="W551" s="269"/>
      <c r="X551" s="269"/>
      <c r="Y551" s="269"/>
      <c r="Z551" s="269"/>
    </row>
    <row r="552">
      <c r="A552" s="269" t="str">
        <f>IFERROR(__xludf.DUMMYFUNCTION("""COMPUTED_VALUE"""),"")</f>
        <v/>
      </c>
      <c r="B552" s="269"/>
      <c r="C552" s="269"/>
      <c r="D552" s="269"/>
      <c r="E552" s="269"/>
      <c r="F552" s="269"/>
      <c r="G552" s="269"/>
      <c r="H552" s="269"/>
      <c r="I552" s="269"/>
      <c r="J552" s="269"/>
      <c r="K552" s="269"/>
      <c r="L552" s="269"/>
      <c r="M552" s="269"/>
      <c r="N552" s="269"/>
      <c r="O552" s="269"/>
      <c r="P552" s="269"/>
      <c r="Q552" s="269"/>
      <c r="R552" s="269"/>
      <c r="S552" s="269"/>
      <c r="T552" s="269"/>
      <c r="U552" s="269"/>
      <c r="V552" s="269"/>
      <c r="W552" s="269"/>
      <c r="X552" s="269"/>
      <c r="Y552" s="269"/>
      <c r="Z552" s="269"/>
    </row>
    <row r="553">
      <c r="A553" s="269" t="str">
        <f>IFERROR(__xludf.DUMMYFUNCTION("""COMPUTED_VALUE"""),"")</f>
        <v/>
      </c>
      <c r="B553" s="269"/>
      <c r="C553" s="269"/>
      <c r="D553" s="269"/>
      <c r="E553" s="269"/>
      <c r="F553" s="269"/>
      <c r="G553" s="269"/>
      <c r="H553" s="269"/>
      <c r="I553" s="269"/>
      <c r="J553" s="269"/>
      <c r="K553" s="269"/>
      <c r="L553" s="269"/>
      <c r="M553" s="269"/>
      <c r="N553" s="269"/>
      <c r="O553" s="269"/>
      <c r="P553" s="269"/>
      <c r="Q553" s="269"/>
      <c r="R553" s="269"/>
      <c r="S553" s="269"/>
      <c r="T553" s="269"/>
      <c r="U553" s="269"/>
      <c r="V553" s="269"/>
      <c r="W553" s="269"/>
      <c r="X553" s="269"/>
      <c r="Y553" s="269"/>
      <c r="Z553" s="269"/>
    </row>
    <row r="554">
      <c r="A554" s="269" t="str">
        <f>IFERROR(__xludf.DUMMYFUNCTION("""COMPUTED_VALUE"""),"")</f>
        <v/>
      </c>
      <c r="B554" s="269"/>
      <c r="C554" s="269"/>
      <c r="D554" s="269"/>
      <c r="E554" s="269"/>
      <c r="F554" s="269"/>
      <c r="G554" s="269"/>
      <c r="H554" s="269"/>
      <c r="I554" s="269"/>
      <c r="J554" s="269"/>
      <c r="K554" s="269"/>
      <c r="L554" s="269"/>
      <c r="M554" s="269"/>
      <c r="N554" s="269"/>
      <c r="O554" s="269"/>
      <c r="P554" s="269"/>
      <c r="Q554" s="269"/>
      <c r="R554" s="269"/>
      <c r="S554" s="269"/>
      <c r="T554" s="269"/>
      <c r="U554" s="269"/>
      <c r="V554" s="269"/>
      <c r="W554" s="269"/>
      <c r="X554" s="269"/>
      <c r="Y554" s="269"/>
      <c r="Z554" s="269"/>
    </row>
    <row r="555">
      <c r="A555" s="269" t="str">
        <f>IFERROR(__xludf.DUMMYFUNCTION("""COMPUTED_VALUE"""),"")</f>
        <v/>
      </c>
      <c r="B555" s="269"/>
      <c r="C555" s="269"/>
      <c r="D555" s="269"/>
      <c r="E555" s="269"/>
      <c r="F555" s="269"/>
      <c r="G555" s="269"/>
      <c r="H555" s="269"/>
      <c r="I555" s="269"/>
      <c r="J555" s="269"/>
      <c r="K555" s="269"/>
      <c r="L555" s="269"/>
      <c r="M555" s="269"/>
      <c r="N555" s="269"/>
      <c r="O555" s="269"/>
      <c r="P555" s="269"/>
      <c r="Q555" s="269"/>
      <c r="R555" s="269"/>
      <c r="S555" s="269"/>
      <c r="T555" s="269"/>
      <c r="U555" s="269"/>
      <c r="V555" s="269"/>
      <c r="W555" s="269"/>
      <c r="X555" s="269"/>
      <c r="Y555" s="269"/>
      <c r="Z555" s="269"/>
    </row>
    <row r="556">
      <c r="A556" s="269" t="str">
        <f>IFERROR(__xludf.DUMMYFUNCTION("""COMPUTED_VALUE"""),"")</f>
        <v/>
      </c>
      <c r="B556" s="269"/>
      <c r="C556" s="269"/>
      <c r="D556" s="269"/>
      <c r="E556" s="269"/>
      <c r="F556" s="269"/>
      <c r="G556" s="269"/>
      <c r="H556" s="269"/>
      <c r="I556" s="269"/>
      <c r="J556" s="269"/>
      <c r="K556" s="269"/>
      <c r="L556" s="269"/>
      <c r="M556" s="269"/>
      <c r="N556" s="269"/>
      <c r="O556" s="269"/>
      <c r="P556" s="269"/>
      <c r="Q556" s="269"/>
      <c r="R556" s="269"/>
      <c r="S556" s="269"/>
      <c r="T556" s="269"/>
      <c r="U556" s="269"/>
      <c r="V556" s="269"/>
      <c r="W556" s="269"/>
      <c r="X556" s="269"/>
      <c r="Y556" s="269"/>
      <c r="Z556" s="269"/>
    </row>
    <row r="557">
      <c r="A557" s="269" t="str">
        <f>IFERROR(__xludf.DUMMYFUNCTION("""COMPUTED_VALUE"""),"")</f>
        <v/>
      </c>
      <c r="B557" s="269"/>
      <c r="C557" s="269"/>
      <c r="D557" s="269"/>
      <c r="E557" s="269"/>
      <c r="F557" s="269"/>
      <c r="G557" s="269"/>
      <c r="H557" s="269"/>
      <c r="I557" s="269"/>
      <c r="J557" s="269"/>
      <c r="K557" s="269"/>
      <c r="L557" s="269"/>
      <c r="M557" s="269"/>
      <c r="N557" s="269"/>
      <c r="O557" s="269"/>
      <c r="P557" s="269"/>
      <c r="Q557" s="269"/>
      <c r="R557" s="269"/>
      <c r="S557" s="269"/>
      <c r="T557" s="269"/>
      <c r="U557" s="269"/>
      <c r="V557" s="269"/>
      <c r="W557" s="269"/>
      <c r="X557" s="269"/>
      <c r="Y557" s="269"/>
      <c r="Z557" s="269"/>
    </row>
    <row r="558">
      <c r="A558" s="269" t="str">
        <f>IFERROR(__xludf.DUMMYFUNCTION("""COMPUTED_VALUE"""),"")</f>
        <v/>
      </c>
      <c r="B558" s="269"/>
      <c r="C558" s="269"/>
      <c r="D558" s="269"/>
      <c r="E558" s="269"/>
      <c r="F558" s="269"/>
      <c r="G558" s="269"/>
      <c r="H558" s="269"/>
      <c r="I558" s="269"/>
      <c r="J558" s="269"/>
      <c r="K558" s="269"/>
      <c r="L558" s="269"/>
      <c r="M558" s="269"/>
      <c r="N558" s="269"/>
      <c r="O558" s="269"/>
      <c r="P558" s="269"/>
      <c r="Q558" s="269"/>
      <c r="R558" s="269"/>
      <c r="S558" s="269"/>
      <c r="T558" s="269"/>
      <c r="U558" s="269"/>
      <c r="V558" s="269"/>
      <c r="W558" s="269"/>
      <c r="X558" s="269"/>
      <c r="Y558" s="269"/>
      <c r="Z558" s="269"/>
    </row>
    <row r="559">
      <c r="A559" s="269" t="str">
        <f>IFERROR(__xludf.DUMMYFUNCTION("""COMPUTED_VALUE"""),"")</f>
        <v/>
      </c>
      <c r="B559" s="269"/>
      <c r="C559" s="269"/>
      <c r="D559" s="269"/>
      <c r="E559" s="269"/>
      <c r="F559" s="269"/>
      <c r="G559" s="269"/>
      <c r="H559" s="269"/>
      <c r="I559" s="269"/>
      <c r="J559" s="269"/>
      <c r="K559" s="269"/>
      <c r="L559" s="269"/>
      <c r="M559" s="269"/>
      <c r="N559" s="269"/>
      <c r="O559" s="269"/>
      <c r="P559" s="269"/>
      <c r="Q559" s="269"/>
      <c r="R559" s="269"/>
      <c r="S559" s="269"/>
      <c r="T559" s="269"/>
      <c r="U559" s="269"/>
      <c r="V559" s="269"/>
      <c r="W559" s="269"/>
      <c r="X559" s="269"/>
      <c r="Y559" s="269"/>
      <c r="Z559" s="269"/>
    </row>
    <row r="560">
      <c r="A560" s="269" t="str">
        <f>IFERROR(__xludf.DUMMYFUNCTION("""COMPUTED_VALUE"""),"")</f>
        <v/>
      </c>
      <c r="B560" s="269"/>
      <c r="C560" s="269"/>
      <c r="D560" s="269"/>
      <c r="E560" s="269"/>
      <c r="F560" s="269"/>
      <c r="G560" s="269"/>
      <c r="H560" s="269"/>
      <c r="I560" s="269"/>
      <c r="J560" s="269"/>
      <c r="K560" s="269"/>
      <c r="L560" s="269"/>
      <c r="M560" s="269"/>
      <c r="N560" s="269"/>
      <c r="O560" s="269"/>
      <c r="P560" s="269"/>
      <c r="Q560" s="269"/>
      <c r="R560" s="269"/>
      <c r="S560" s="269"/>
      <c r="T560" s="269"/>
      <c r="U560" s="269"/>
      <c r="V560" s="269"/>
      <c r="W560" s="269"/>
      <c r="X560" s="269"/>
      <c r="Y560" s="269"/>
      <c r="Z560" s="269"/>
    </row>
    <row r="561">
      <c r="A561" s="269" t="str">
        <f>IFERROR(__xludf.DUMMYFUNCTION("""COMPUTED_VALUE"""),"")</f>
        <v/>
      </c>
      <c r="B561" s="269"/>
      <c r="C561" s="269"/>
      <c r="D561" s="269"/>
      <c r="E561" s="269"/>
      <c r="F561" s="269"/>
      <c r="G561" s="269"/>
      <c r="H561" s="269"/>
      <c r="I561" s="269"/>
      <c r="J561" s="269"/>
      <c r="K561" s="269"/>
      <c r="L561" s="269"/>
      <c r="M561" s="269"/>
      <c r="N561" s="269"/>
      <c r="O561" s="269"/>
      <c r="P561" s="269"/>
      <c r="Q561" s="269"/>
      <c r="R561" s="269"/>
      <c r="S561" s="269"/>
      <c r="T561" s="269"/>
      <c r="U561" s="269"/>
      <c r="V561" s="269"/>
      <c r="W561" s="269"/>
      <c r="X561" s="269"/>
      <c r="Y561" s="269"/>
      <c r="Z561" s="269"/>
    </row>
    <row r="562">
      <c r="A562" s="269" t="str">
        <f>IFERROR(__xludf.DUMMYFUNCTION("""COMPUTED_VALUE"""),"")</f>
        <v/>
      </c>
      <c r="B562" s="269"/>
      <c r="C562" s="269"/>
      <c r="D562" s="269"/>
      <c r="E562" s="269"/>
      <c r="F562" s="269"/>
      <c r="G562" s="269"/>
      <c r="H562" s="269"/>
      <c r="I562" s="269"/>
      <c r="J562" s="269"/>
      <c r="K562" s="269"/>
      <c r="L562" s="269"/>
      <c r="M562" s="269"/>
      <c r="N562" s="269"/>
      <c r="O562" s="269"/>
      <c r="P562" s="269"/>
      <c r="Q562" s="269"/>
      <c r="R562" s="269"/>
      <c r="S562" s="269"/>
      <c r="T562" s="269"/>
      <c r="U562" s="269"/>
      <c r="V562" s="269"/>
      <c r="W562" s="269"/>
      <c r="X562" s="269"/>
      <c r="Y562" s="269"/>
      <c r="Z562" s="269"/>
    </row>
    <row r="563">
      <c r="A563" s="269" t="str">
        <f>IFERROR(__xludf.DUMMYFUNCTION("""COMPUTED_VALUE"""),"")</f>
        <v/>
      </c>
      <c r="B563" s="269"/>
      <c r="C563" s="269"/>
      <c r="D563" s="269"/>
      <c r="E563" s="269"/>
      <c r="F563" s="269"/>
      <c r="G563" s="269"/>
      <c r="H563" s="269"/>
      <c r="I563" s="269"/>
      <c r="J563" s="269"/>
      <c r="K563" s="269"/>
      <c r="L563" s="269"/>
      <c r="M563" s="269"/>
      <c r="N563" s="269"/>
      <c r="O563" s="269"/>
      <c r="P563" s="269"/>
      <c r="Q563" s="269"/>
      <c r="R563" s="269"/>
      <c r="S563" s="269"/>
      <c r="T563" s="269"/>
      <c r="U563" s="269"/>
      <c r="V563" s="269"/>
      <c r="W563" s="269"/>
      <c r="X563" s="269"/>
      <c r="Y563" s="269"/>
      <c r="Z563" s="269"/>
    </row>
    <row r="564">
      <c r="A564" s="269" t="str">
        <f>IFERROR(__xludf.DUMMYFUNCTION("""COMPUTED_VALUE"""),"")</f>
        <v/>
      </c>
      <c r="B564" s="269"/>
      <c r="C564" s="269"/>
      <c r="D564" s="269"/>
      <c r="E564" s="269"/>
      <c r="F564" s="269"/>
      <c r="G564" s="269"/>
      <c r="H564" s="269"/>
      <c r="I564" s="269"/>
      <c r="J564" s="269"/>
      <c r="K564" s="269"/>
      <c r="L564" s="269"/>
      <c r="M564" s="269"/>
      <c r="N564" s="269"/>
      <c r="O564" s="269"/>
      <c r="P564" s="269"/>
      <c r="Q564" s="269"/>
      <c r="R564" s="269"/>
      <c r="S564" s="269"/>
      <c r="T564" s="269"/>
      <c r="U564" s="269"/>
      <c r="V564" s="269"/>
      <c r="W564" s="269"/>
      <c r="X564" s="269"/>
      <c r="Y564" s="269"/>
      <c r="Z564" s="269"/>
    </row>
    <row r="565">
      <c r="A565" s="269" t="str">
        <f>IFERROR(__xludf.DUMMYFUNCTION("""COMPUTED_VALUE"""),"")</f>
        <v/>
      </c>
      <c r="B565" s="269"/>
      <c r="C565" s="269"/>
      <c r="D565" s="269"/>
      <c r="E565" s="269"/>
      <c r="F565" s="269"/>
      <c r="G565" s="269"/>
      <c r="H565" s="269"/>
      <c r="I565" s="269"/>
      <c r="J565" s="269"/>
      <c r="K565" s="269"/>
      <c r="L565" s="269"/>
      <c r="M565" s="269"/>
      <c r="N565" s="269"/>
      <c r="O565" s="269"/>
      <c r="P565" s="269"/>
      <c r="Q565" s="269"/>
      <c r="R565" s="269"/>
      <c r="S565" s="269"/>
      <c r="T565" s="269"/>
      <c r="U565" s="269"/>
      <c r="V565" s="269"/>
      <c r="W565" s="269"/>
      <c r="X565" s="269"/>
      <c r="Y565" s="269"/>
      <c r="Z565" s="269"/>
    </row>
    <row r="566">
      <c r="A566" s="269" t="str">
        <f>IFERROR(__xludf.DUMMYFUNCTION("""COMPUTED_VALUE"""),"")</f>
        <v/>
      </c>
      <c r="B566" s="269"/>
      <c r="C566" s="269"/>
      <c r="D566" s="269"/>
      <c r="E566" s="269"/>
      <c r="F566" s="269"/>
      <c r="G566" s="269"/>
      <c r="H566" s="269"/>
      <c r="I566" s="269"/>
      <c r="J566" s="269"/>
      <c r="K566" s="269"/>
      <c r="L566" s="269"/>
      <c r="M566" s="269"/>
      <c r="N566" s="269"/>
      <c r="O566" s="269"/>
      <c r="P566" s="269"/>
      <c r="Q566" s="269"/>
      <c r="R566" s="269"/>
      <c r="S566" s="269"/>
      <c r="T566" s="269"/>
      <c r="U566" s="269"/>
      <c r="V566" s="269"/>
      <c r="W566" s="269"/>
      <c r="X566" s="269"/>
      <c r="Y566" s="269"/>
      <c r="Z566" s="269"/>
    </row>
    <row r="567">
      <c r="A567" s="269" t="str">
        <f>IFERROR(__xludf.DUMMYFUNCTION("""COMPUTED_VALUE"""),"")</f>
        <v/>
      </c>
      <c r="B567" s="269"/>
      <c r="C567" s="269"/>
      <c r="D567" s="269"/>
      <c r="E567" s="269"/>
      <c r="F567" s="269"/>
      <c r="G567" s="269"/>
      <c r="H567" s="269"/>
      <c r="I567" s="269"/>
      <c r="J567" s="269"/>
      <c r="K567" s="269"/>
      <c r="L567" s="269"/>
      <c r="M567" s="269"/>
      <c r="N567" s="269"/>
      <c r="O567" s="269"/>
      <c r="P567" s="269"/>
      <c r="Q567" s="269"/>
      <c r="R567" s="269"/>
      <c r="S567" s="269"/>
      <c r="T567" s="269"/>
      <c r="U567" s="269"/>
      <c r="V567" s="269"/>
      <c r="W567" s="269"/>
      <c r="X567" s="269"/>
      <c r="Y567" s="269"/>
      <c r="Z567" s="269"/>
    </row>
    <row r="568">
      <c r="A568" s="269" t="str">
        <f>IFERROR(__xludf.DUMMYFUNCTION("""COMPUTED_VALUE"""),"")</f>
        <v/>
      </c>
      <c r="B568" s="269"/>
      <c r="C568" s="269"/>
      <c r="D568" s="269"/>
      <c r="E568" s="269"/>
      <c r="F568" s="269"/>
      <c r="G568" s="269"/>
      <c r="H568" s="269"/>
      <c r="I568" s="269"/>
      <c r="J568" s="269"/>
      <c r="K568" s="269"/>
      <c r="L568" s="269"/>
      <c r="M568" s="269"/>
      <c r="N568" s="269"/>
      <c r="O568" s="269"/>
      <c r="P568" s="269"/>
      <c r="Q568" s="269"/>
      <c r="R568" s="269"/>
      <c r="S568" s="269"/>
      <c r="T568" s="269"/>
      <c r="U568" s="269"/>
      <c r="V568" s="269"/>
      <c r="W568" s="269"/>
      <c r="X568" s="269"/>
      <c r="Y568" s="269"/>
      <c r="Z568" s="269"/>
    </row>
    <row r="569">
      <c r="A569" s="269" t="str">
        <f>IFERROR(__xludf.DUMMYFUNCTION("""COMPUTED_VALUE"""),"")</f>
        <v/>
      </c>
      <c r="B569" s="269"/>
      <c r="C569" s="269"/>
      <c r="D569" s="269"/>
      <c r="E569" s="269"/>
      <c r="F569" s="269"/>
      <c r="G569" s="269"/>
      <c r="H569" s="269"/>
      <c r="I569" s="269"/>
      <c r="J569" s="269"/>
      <c r="K569" s="269"/>
      <c r="L569" s="269"/>
      <c r="M569" s="269"/>
      <c r="N569" s="269"/>
      <c r="O569" s="269"/>
      <c r="P569" s="269"/>
      <c r="Q569" s="269"/>
      <c r="R569" s="269"/>
      <c r="S569" s="269"/>
      <c r="T569" s="269"/>
      <c r="U569" s="269"/>
      <c r="V569" s="269"/>
      <c r="W569" s="269"/>
      <c r="X569" s="269"/>
      <c r="Y569" s="269"/>
      <c r="Z569" s="269"/>
    </row>
    <row r="570">
      <c r="A570" s="269" t="str">
        <f>IFERROR(__xludf.DUMMYFUNCTION("""COMPUTED_VALUE"""),"")</f>
        <v/>
      </c>
      <c r="B570" s="269"/>
      <c r="C570" s="269"/>
      <c r="D570" s="269"/>
      <c r="E570" s="269"/>
      <c r="F570" s="269"/>
      <c r="G570" s="269"/>
      <c r="H570" s="269"/>
      <c r="I570" s="269"/>
      <c r="J570" s="269"/>
      <c r="K570" s="269"/>
      <c r="L570" s="269"/>
      <c r="M570" s="269"/>
      <c r="N570" s="269"/>
      <c r="O570" s="269"/>
      <c r="P570" s="269"/>
      <c r="Q570" s="269"/>
      <c r="R570" s="269"/>
      <c r="S570" s="269"/>
      <c r="T570" s="269"/>
      <c r="U570" s="269"/>
      <c r="V570" s="269"/>
      <c r="W570" s="269"/>
      <c r="X570" s="269"/>
      <c r="Y570" s="269"/>
      <c r="Z570" s="269"/>
    </row>
    <row r="571">
      <c r="A571" s="269" t="str">
        <f>IFERROR(__xludf.DUMMYFUNCTION("""COMPUTED_VALUE"""),"")</f>
        <v/>
      </c>
      <c r="B571" s="269"/>
      <c r="C571" s="269"/>
      <c r="D571" s="269"/>
      <c r="E571" s="269"/>
      <c r="F571" s="269"/>
      <c r="G571" s="269"/>
      <c r="H571" s="269"/>
      <c r="I571" s="269"/>
      <c r="J571" s="269"/>
      <c r="K571" s="269"/>
      <c r="L571" s="269"/>
      <c r="M571" s="269"/>
      <c r="N571" s="269"/>
      <c r="O571" s="269"/>
      <c r="P571" s="269"/>
      <c r="Q571" s="269"/>
      <c r="R571" s="269"/>
      <c r="S571" s="269"/>
      <c r="T571" s="269"/>
      <c r="U571" s="269"/>
      <c r="V571" s="269"/>
      <c r="W571" s="269"/>
      <c r="X571" s="269"/>
      <c r="Y571" s="269"/>
      <c r="Z571" s="269"/>
    </row>
    <row r="572">
      <c r="A572" s="269" t="str">
        <f>IFERROR(__xludf.DUMMYFUNCTION("""COMPUTED_VALUE"""),"")</f>
        <v/>
      </c>
      <c r="B572" s="269"/>
      <c r="C572" s="269"/>
      <c r="D572" s="269"/>
      <c r="E572" s="269"/>
      <c r="F572" s="269"/>
      <c r="G572" s="269"/>
      <c r="H572" s="269"/>
      <c r="I572" s="269"/>
      <c r="J572" s="269"/>
      <c r="K572" s="269"/>
      <c r="L572" s="269"/>
      <c r="M572" s="269"/>
      <c r="N572" s="269"/>
      <c r="O572" s="269"/>
      <c r="P572" s="269"/>
      <c r="Q572" s="269"/>
      <c r="R572" s="269"/>
      <c r="S572" s="269"/>
      <c r="T572" s="269"/>
      <c r="U572" s="269"/>
      <c r="V572" s="269"/>
      <c r="W572" s="269"/>
      <c r="X572" s="269"/>
      <c r="Y572" s="269"/>
      <c r="Z572" s="269"/>
    </row>
    <row r="573">
      <c r="A573" s="269" t="str">
        <f>IFERROR(__xludf.DUMMYFUNCTION("""COMPUTED_VALUE"""),"")</f>
        <v/>
      </c>
      <c r="B573" s="269"/>
      <c r="C573" s="269"/>
      <c r="D573" s="269"/>
      <c r="E573" s="269"/>
      <c r="F573" s="269"/>
      <c r="G573" s="269"/>
      <c r="H573" s="269"/>
      <c r="I573" s="269"/>
      <c r="J573" s="269"/>
      <c r="K573" s="269"/>
      <c r="L573" s="269"/>
      <c r="M573" s="269"/>
      <c r="N573" s="269"/>
      <c r="O573" s="269"/>
      <c r="P573" s="269"/>
      <c r="Q573" s="269"/>
      <c r="R573" s="269"/>
      <c r="S573" s="269"/>
      <c r="T573" s="269"/>
      <c r="U573" s="269"/>
      <c r="V573" s="269"/>
      <c r="W573" s="269"/>
      <c r="X573" s="269"/>
      <c r="Y573" s="269"/>
      <c r="Z573" s="269"/>
    </row>
    <row r="574">
      <c r="A574" s="269" t="str">
        <f>IFERROR(__xludf.DUMMYFUNCTION("""COMPUTED_VALUE"""),"")</f>
        <v/>
      </c>
      <c r="B574" s="269"/>
      <c r="C574" s="269"/>
      <c r="D574" s="269"/>
      <c r="E574" s="269"/>
      <c r="F574" s="269"/>
      <c r="G574" s="269"/>
      <c r="H574" s="269"/>
      <c r="I574" s="269"/>
      <c r="J574" s="269"/>
      <c r="K574" s="269"/>
      <c r="L574" s="269"/>
      <c r="M574" s="269"/>
      <c r="N574" s="269"/>
      <c r="O574" s="269"/>
      <c r="P574" s="269"/>
      <c r="Q574" s="269"/>
      <c r="R574" s="269"/>
      <c r="S574" s="269"/>
      <c r="T574" s="269"/>
      <c r="U574" s="269"/>
      <c r="V574" s="269"/>
      <c r="W574" s="269"/>
      <c r="X574" s="269"/>
      <c r="Y574" s="269"/>
      <c r="Z574" s="269"/>
    </row>
    <row r="575">
      <c r="A575" s="269" t="str">
        <f>IFERROR(__xludf.DUMMYFUNCTION("""COMPUTED_VALUE"""),"")</f>
        <v/>
      </c>
      <c r="B575" s="269"/>
      <c r="C575" s="269"/>
      <c r="D575" s="269"/>
      <c r="E575" s="269"/>
      <c r="F575" s="269"/>
      <c r="G575" s="269"/>
      <c r="H575" s="269"/>
      <c r="I575" s="269"/>
      <c r="J575" s="269"/>
      <c r="K575" s="269"/>
      <c r="L575" s="269"/>
      <c r="M575" s="269"/>
      <c r="N575" s="269"/>
      <c r="O575" s="269"/>
      <c r="P575" s="269"/>
      <c r="Q575" s="269"/>
      <c r="R575" s="269"/>
      <c r="S575" s="269"/>
      <c r="T575" s="269"/>
      <c r="U575" s="269"/>
      <c r="V575" s="269"/>
      <c r="W575" s="269"/>
      <c r="X575" s="269"/>
      <c r="Y575" s="269"/>
      <c r="Z575" s="269"/>
    </row>
    <row r="576">
      <c r="A576" s="269" t="str">
        <f>IFERROR(__xludf.DUMMYFUNCTION("""COMPUTED_VALUE"""),"")</f>
        <v/>
      </c>
      <c r="B576" s="269"/>
      <c r="C576" s="269"/>
      <c r="D576" s="269"/>
      <c r="E576" s="269"/>
      <c r="F576" s="269"/>
      <c r="G576" s="269"/>
      <c r="H576" s="269"/>
      <c r="I576" s="269"/>
      <c r="J576" s="269"/>
      <c r="K576" s="269"/>
      <c r="L576" s="269"/>
      <c r="M576" s="269"/>
      <c r="N576" s="269"/>
      <c r="O576" s="269"/>
      <c r="P576" s="269"/>
      <c r="Q576" s="269"/>
      <c r="R576" s="269"/>
      <c r="S576" s="269"/>
      <c r="T576" s="269"/>
      <c r="U576" s="269"/>
      <c r="V576" s="269"/>
      <c r="W576" s="269"/>
      <c r="X576" s="269"/>
      <c r="Y576" s="269"/>
      <c r="Z576" s="269"/>
    </row>
    <row r="577">
      <c r="A577" s="269" t="str">
        <f>IFERROR(__xludf.DUMMYFUNCTION("""COMPUTED_VALUE"""),"")</f>
        <v/>
      </c>
      <c r="B577" s="269"/>
      <c r="C577" s="269"/>
      <c r="D577" s="269"/>
      <c r="E577" s="269"/>
      <c r="F577" s="269"/>
      <c r="G577" s="269"/>
      <c r="H577" s="269"/>
      <c r="I577" s="269"/>
      <c r="J577" s="269"/>
      <c r="K577" s="269"/>
      <c r="L577" s="269"/>
      <c r="M577" s="269"/>
      <c r="N577" s="269"/>
      <c r="O577" s="269"/>
      <c r="P577" s="269"/>
      <c r="Q577" s="269"/>
      <c r="R577" s="269"/>
      <c r="S577" s="269"/>
      <c r="T577" s="269"/>
      <c r="U577" s="269"/>
      <c r="V577" s="269"/>
      <c r="W577" s="269"/>
      <c r="X577" s="269"/>
      <c r="Y577" s="269"/>
      <c r="Z577" s="269"/>
    </row>
    <row r="578">
      <c r="A578" s="269" t="str">
        <f>IFERROR(__xludf.DUMMYFUNCTION("""COMPUTED_VALUE"""),"")</f>
        <v/>
      </c>
      <c r="B578" s="269"/>
      <c r="C578" s="269"/>
      <c r="D578" s="269"/>
      <c r="E578" s="269"/>
      <c r="F578" s="269"/>
      <c r="G578" s="269"/>
      <c r="H578" s="269"/>
      <c r="I578" s="269"/>
      <c r="J578" s="269"/>
      <c r="K578" s="269"/>
      <c r="L578" s="269"/>
      <c r="M578" s="269"/>
      <c r="N578" s="269"/>
      <c r="O578" s="269"/>
      <c r="P578" s="269"/>
      <c r="Q578" s="269"/>
      <c r="R578" s="269"/>
      <c r="S578" s="269"/>
      <c r="T578" s="269"/>
      <c r="U578" s="269"/>
      <c r="V578" s="269"/>
      <c r="W578" s="269"/>
      <c r="X578" s="269"/>
      <c r="Y578" s="269"/>
      <c r="Z578" s="269"/>
    </row>
    <row r="579">
      <c r="A579" s="269" t="str">
        <f>IFERROR(__xludf.DUMMYFUNCTION("""COMPUTED_VALUE"""),"")</f>
        <v/>
      </c>
      <c r="B579" s="269"/>
      <c r="C579" s="269"/>
      <c r="D579" s="269"/>
      <c r="E579" s="269"/>
      <c r="F579" s="269"/>
      <c r="G579" s="269"/>
      <c r="H579" s="269"/>
      <c r="I579" s="269"/>
      <c r="J579" s="269"/>
      <c r="K579" s="269"/>
      <c r="L579" s="269"/>
      <c r="M579" s="269"/>
      <c r="N579" s="269"/>
      <c r="O579" s="269"/>
      <c r="P579" s="269"/>
      <c r="Q579" s="269"/>
      <c r="R579" s="269"/>
      <c r="S579" s="269"/>
      <c r="T579" s="269"/>
      <c r="U579" s="269"/>
      <c r="V579" s="269"/>
      <c r="W579" s="269"/>
      <c r="X579" s="269"/>
      <c r="Y579" s="269"/>
      <c r="Z579" s="269"/>
    </row>
    <row r="580">
      <c r="A580" s="269" t="str">
        <f>IFERROR(__xludf.DUMMYFUNCTION("""COMPUTED_VALUE"""),"")</f>
        <v/>
      </c>
      <c r="B580" s="269"/>
      <c r="C580" s="269"/>
      <c r="D580" s="269"/>
      <c r="E580" s="269"/>
      <c r="F580" s="269"/>
      <c r="G580" s="269"/>
      <c r="H580" s="269"/>
      <c r="I580" s="269"/>
      <c r="J580" s="269"/>
      <c r="K580" s="269"/>
      <c r="L580" s="269"/>
      <c r="M580" s="269"/>
      <c r="N580" s="269"/>
      <c r="O580" s="269"/>
      <c r="P580" s="269"/>
      <c r="Q580" s="269"/>
      <c r="R580" s="269"/>
      <c r="S580" s="269"/>
      <c r="T580" s="269"/>
      <c r="U580" s="269"/>
      <c r="V580" s="269"/>
      <c r="W580" s="269"/>
      <c r="X580" s="269"/>
      <c r="Y580" s="269"/>
      <c r="Z580" s="269"/>
    </row>
    <row r="581">
      <c r="A581" s="269" t="str">
        <f>IFERROR(__xludf.DUMMYFUNCTION("""COMPUTED_VALUE"""),"")</f>
        <v/>
      </c>
      <c r="B581" s="269"/>
      <c r="C581" s="269"/>
      <c r="D581" s="269"/>
      <c r="E581" s="269"/>
      <c r="F581" s="269"/>
      <c r="G581" s="269"/>
      <c r="H581" s="269"/>
      <c r="I581" s="269"/>
      <c r="J581" s="269"/>
      <c r="K581" s="269"/>
      <c r="L581" s="269"/>
      <c r="M581" s="269"/>
      <c r="N581" s="269"/>
      <c r="O581" s="269"/>
      <c r="P581" s="269"/>
      <c r="Q581" s="269"/>
      <c r="R581" s="269"/>
      <c r="S581" s="269"/>
      <c r="T581" s="269"/>
      <c r="U581" s="269"/>
      <c r="V581" s="269"/>
      <c r="W581" s="269"/>
      <c r="X581" s="269"/>
      <c r="Y581" s="269"/>
      <c r="Z581" s="269"/>
    </row>
    <row r="582">
      <c r="A582" s="269" t="str">
        <f>IFERROR(__xludf.DUMMYFUNCTION("""COMPUTED_VALUE"""),"")</f>
        <v/>
      </c>
      <c r="B582" s="269"/>
      <c r="C582" s="269"/>
      <c r="D582" s="269"/>
      <c r="E582" s="269"/>
      <c r="F582" s="269"/>
      <c r="G582" s="269"/>
      <c r="H582" s="269"/>
      <c r="I582" s="269"/>
      <c r="J582" s="269"/>
      <c r="K582" s="269"/>
      <c r="L582" s="269"/>
      <c r="M582" s="269"/>
      <c r="N582" s="269"/>
      <c r="O582" s="269"/>
      <c r="P582" s="269"/>
      <c r="Q582" s="269"/>
      <c r="R582" s="269"/>
      <c r="S582" s="269"/>
      <c r="T582" s="269"/>
      <c r="U582" s="269"/>
      <c r="V582" s="269"/>
      <c r="W582" s="269"/>
      <c r="X582" s="269"/>
      <c r="Y582" s="269"/>
      <c r="Z582" s="269"/>
    </row>
    <row r="583">
      <c r="A583" s="269" t="str">
        <f>IFERROR(__xludf.DUMMYFUNCTION("""COMPUTED_VALUE"""),"")</f>
        <v/>
      </c>
      <c r="B583" s="269"/>
      <c r="C583" s="269"/>
      <c r="D583" s="269"/>
      <c r="E583" s="269"/>
      <c r="F583" s="269"/>
      <c r="G583" s="269"/>
      <c r="H583" s="269"/>
      <c r="I583" s="269"/>
      <c r="J583" s="269"/>
      <c r="K583" s="269"/>
      <c r="L583" s="269"/>
      <c r="M583" s="269"/>
      <c r="N583" s="269"/>
      <c r="O583" s="269"/>
      <c r="P583" s="269"/>
      <c r="Q583" s="269"/>
      <c r="R583" s="269"/>
      <c r="S583" s="269"/>
      <c r="T583" s="269"/>
      <c r="U583" s="269"/>
      <c r="V583" s="269"/>
      <c r="W583" s="269"/>
      <c r="X583" s="269"/>
      <c r="Y583" s="269"/>
      <c r="Z583" s="269"/>
    </row>
    <row r="584">
      <c r="A584" s="269" t="str">
        <f>IFERROR(__xludf.DUMMYFUNCTION("""COMPUTED_VALUE"""),"")</f>
        <v/>
      </c>
      <c r="B584" s="269"/>
      <c r="C584" s="269"/>
      <c r="D584" s="269"/>
      <c r="E584" s="269"/>
      <c r="F584" s="269"/>
      <c r="G584" s="269"/>
      <c r="H584" s="269"/>
      <c r="I584" s="269"/>
      <c r="J584" s="269"/>
      <c r="K584" s="269"/>
      <c r="L584" s="269"/>
      <c r="M584" s="269"/>
      <c r="N584" s="269"/>
      <c r="O584" s="269"/>
      <c r="P584" s="269"/>
      <c r="Q584" s="269"/>
      <c r="R584" s="269"/>
      <c r="S584" s="269"/>
      <c r="T584" s="269"/>
      <c r="U584" s="269"/>
      <c r="V584" s="269"/>
      <c r="W584" s="269"/>
      <c r="X584" s="269"/>
      <c r="Y584" s="269"/>
      <c r="Z584" s="269"/>
    </row>
    <row r="585">
      <c r="A585" s="269" t="str">
        <f>IFERROR(__xludf.DUMMYFUNCTION("""COMPUTED_VALUE"""),"")</f>
        <v/>
      </c>
      <c r="B585" s="269"/>
      <c r="C585" s="269"/>
      <c r="D585" s="269"/>
      <c r="E585" s="269"/>
      <c r="F585" s="269"/>
      <c r="G585" s="269"/>
      <c r="H585" s="269"/>
      <c r="I585" s="269"/>
      <c r="J585" s="269"/>
      <c r="K585" s="269"/>
      <c r="L585" s="269"/>
      <c r="M585" s="269"/>
      <c r="N585" s="269"/>
      <c r="O585" s="269"/>
      <c r="P585" s="269"/>
      <c r="Q585" s="269"/>
      <c r="R585" s="269"/>
      <c r="S585" s="269"/>
      <c r="T585" s="269"/>
      <c r="U585" s="269"/>
      <c r="V585" s="269"/>
      <c r="W585" s="269"/>
      <c r="X585" s="269"/>
      <c r="Y585" s="269"/>
      <c r="Z585" s="269"/>
    </row>
    <row r="586">
      <c r="A586" s="269" t="str">
        <f>IFERROR(__xludf.DUMMYFUNCTION("""COMPUTED_VALUE"""),"")</f>
        <v/>
      </c>
      <c r="B586" s="269"/>
      <c r="C586" s="269"/>
      <c r="D586" s="269"/>
      <c r="E586" s="269"/>
      <c r="F586" s="269"/>
      <c r="G586" s="269"/>
      <c r="H586" s="269"/>
      <c r="I586" s="269"/>
      <c r="J586" s="269"/>
      <c r="K586" s="269"/>
      <c r="L586" s="269"/>
      <c r="M586" s="269"/>
      <c r="N586" s="269"/>
      <c r="O586" s="269"/>
      <c r="P586" s="269"/>
      <c r="Q586" s="269"/>
      <c r="R586" s="269"/>
      <c r="S586" s="269"/>
      <c r="T586" s="269"/>
      <c r="U586" s="269"/>
      <c r="V586" s="269"/>
      <c r="W586" s="269"/>
      <c r="X586" s="269"/>
      <c r="Y586" s="269"/>
      <c r="Z586" s="269"/>
    </row>
    <row r="587">
      <c r="A587" s="269" t="str">
        <f>IFERROR(__xludf.DUMMYFUNCTION("""COMPUTED_VALUE"""),"")</f>
        <v/>
      </c>
      <c r="B587" s="269"/>
      <c r="C587" s="269"/>
      <c r="D587" s="269"/>
      <c r="E587" s="269"/>
      <c r="F587" s="269"/>
      <c r="G587" s="269"/>
      <c r="H587" s="269"/>
      <c r="I587" s="269"/>
      <c r="J587" s="269"/>
      <c r="K587" s="269"/>
      <c r="L587" s="269"/>
      <c r="M587" s="269"/>
      <c r="N587" s="269"/>
      <c r="O587" s="269"/>
      <c r="P587" s="269"/>
      <c r="Q587" s="269"/>
      <c r="R587" s="269"/>
      <c r="S587" s="269"/>
      <c r="T587" s="269"/>
      <c r="U587" s="269"/>
      <c r="V587" s="269"/>
      <c r="W587" s="269"/>
      <c r="X587" s="269"/>
      <c r="Y587" s="269"/>
      <c r="Z587" s="269"/>
    </row>
    <row r="588">
      <c r="A588" s="269" t="str">
        <f>IFERROR(__xludf.DUMMYFUNCTION("""COMPUTED_VALUE"""),"")</f>
        <v/>
      </c>
      <c r="B588" s="269"/>
      <c r="C588" s="269"/>
      <c r="D588" s="269"/>
      <c r="E588" s="269"/>
      <c r="F588" s="269"/>
      <c r="G588" s="269"/>
      <c r="H588" s="269"/>
      <c r="I588" s="269"/>
      <c r="J588" s="269"/>
      <c r="K588" s="269"/>
      <c r="L588" s="269"/>
      <c r="M588" s="269"/>
      <c r="N588" s="269"/>
      <c r="O588" s="269"/>
      <c r="P588" s="269"/>
      <c r="Q588" s="269"/>
      <c r="R588" s="269"/>
      <c r="S588" s="269"/>
      <c r="T588" s="269"/>
      <c r="U588" s="269"/>
      <c r="V588" s="269"/>
      <c r="W588" s="269"/>
      <c r="X588" s="269"/>
      <c r="Y588" s="269"/>
      <c r="Z588" s="269"/>
    </row>
    <row r="589">
      <c r="A589" s="269" t="str">
        <f>IFERROR(__xludf.DUMMYFUNCTION("""COMPUTED_VALUE"""),"")</f>
        <v/>
      </c>
      <c r="B589" s="269"/>
      <c r="C589" s="269"/>
      <c r="D589" s="269"/>
      <c r="E589" s="269"/>
      <c r="F589" s="269"/>
      <c r="G589" s="269"/>
      <c r="H589" s="269"/>
      <c r="I589" s="269"/>
      <c r="J589" s="269"/>
      <c r="K589" s="269"/>
      <c r="L589" s="269"/>
      <c r="M589" s="269"/>
      <c r="N589" s="269"/>
      <c r="O589" s="269"/>
      <c r="P589" s="269"/>
      <c r="Q589" s="269"/>
      <c r="R589" s="269"/>
      <c r="S589" s="269"/>
      <c r="T589" s="269"/>
      <c r="U589" s="269"/>
      <c r="V589" s="269"/>
      <c r="W589" s="269"/>
      <c r="X589" s="269"/>
      <c r="Y589" s="269"/>
      <c r="Z589" s="269"/>
    </row>
    <row r="590">
      <c r="A590" s="269" t="str">
        <f>IFERROR(__xludf.DUMMYFUNCTION("""COMPUTED_VALUE"""),"")</f>
        <v/>
      </c>
      <c r="B590" s="269"/>
      <c r="C590" s="269"/>
      <c r="D590" s="269"/>
      <c r="E590" s="269"/>
      <c r="F590" s="269"/>
      <c r="G590" s="269"/>
      <c r="H590" s="269"/>
      <c r="I590" s="269"/>
      <c r="J590" s="269"/>
      <c r="K590" s="269"/>
      <c r="L590" s="269"/>
      <c r="M590" s="269"/>
      <c r="N590" s="269"/>
      <c r="O590" s="269"/>
      <c r="P590" s="269"/>
      <c r="Q590" s="269"/>
      <c r="R590" s="269"/>
      <c r="S590" s="269"/>
      <c r="T590" s="269"/>
      <c r="U590" s="269"/>
      <c r="V590" s="269"/>
      <c r="W590" s="269"/>
      <c r="X590" s="269"/>
      <c r="Y590" s="269"/>
      <c r="Z590" s="269"/>
    </row>
    <row r="591">
      <c r="A591" s="269" t="str">
        <f>IFERROR(__xludf.DUMMYFUNCTION("""COMPUTED_VALUE"""),"")</f>
        <v/>
      </c>
      <c r="B591" s="269"/>
      <c r="C591" s="269"/>
      <c r="D591" s="269"/>
      <c r="E591" s="269"/>
      <c r="F591" s="269"/>
      <c r="G591" s="269"/>
      <c r="H591" s="269"/>
      <c r="I591" s="269"/>
      <c r="J591" s="269"/>
      <c r="K591" s="269"/>
      <c r="L591" s="269"/>
      <c r="M591" s="269"/>
      <c r="N591" s="269"/>
      <c r="O591" s="269"/>
      <c r="P591" s="269"/>
      <c r="Q591" s="269"/>
      <c r="R591" s="269"/>
      <c r="S591" s="269"/>
      <c r="T591" s="269"/>
      <c r="U591" s="269"/>
      <c r="V591" s="269"/>
      <c r="W591" s="269"/>
      <c r="X591" s="269"/>
      <c r="Y591" s="269"/>
      <c r="Z591" s="269"/>
    </row>
    <row r="592">
      <c r="A592" s="269" t="str">
        <f>IFERROR(__xludf.DUMMYFUNCTION("""COMPUTED_VALUE"""),"")</f>
        <v/>
      </c>
      <c r="B592" s="269"/>
      <c r="C592" s="269"/>
      <c r="D592" s="269"/>
      <c r="E592" s="269"/>
      <c r="F592" s="269"/>
      <c r="G592" s="269"/>
      <c r="H592" s="269"/>
      <c r="I592" s="269"/>
      <c r="J592" s="269"/>
      <c r="K592" s="269"/>
      <c r="L592" s="269"/>
      <c r="M592" s="269"/>
      <c r="N592" s="269"/>
      <c r="O592" s="269"/>
      <c r="P592" s="269"/>
      <c r="Q592" s="269"/>
      <c r="R592" s="269"/>
      <c r="S592" s="269"/>
      <c r="T592" s="269"/>
      <c r="U592" s="269"/>
      <c r="V592" s="269"/>
      <c r="W592" s="269"/>
      <c r="X592" s="269"/>
      <c r="Y592" s="269"/>
      <c r="Z592" s="269"/>
    </row>
    <row r="593">
      <c r="A593" s="269" t="str">
        <f>IFERROR(__xludf.DUMMYFUNCTION("""COMPUTED_VALUE"""),"")</f>
        <v/>
      </c>
      <c r="B593" s="269"/>
      <c r="C593" s="269"/>
      <c r="D593" s="269"/>
      <c r="E593" s="269"/>
      <c r="F593" s="269"/>
      <c r="G593" s="269"/>
      <c r="H593" s="269"/>
      <c r="I593" s="269"/>
      <c r="J593" s="269"/>
      <c r="K593" s="269"/>
      <c r="L593" s="269"/>
      <c r="M593" s="269"/>
      <c r="N593" s="269"/>
      <c r="O593" s="269"/>
      <c r="P593" s="269"/>
      <c r="Q593" s="269"/>
      <c r="R593" s="269"/>
      <c r="S593" s="269"/>
      <c r="T593" s="269"/>
      <c r="U593" s="269"/>
      <c r="V593" s="269"/>
      <c r="W593" s="269"/>
      <c r="X593" s="269"/>
      <c r="Y593" s="269"/>
      <c r="Z593" s="269"/>
    </row>
    <row r="594">
      <c r="A594" s="269" t="str">
        <f>IFERROR(__xludf.DUMMYFUNCTION("""COMPUTED_VALUE"""),"")</f>
        <v/>
      </c>
      <c r="B594" s="269"/>
      <c r="C594" s="269"/>
      <c r="D594" s="269"/>
      <c r="E594" s="269"/>
      <c r="F594" s="269"/>
      <c r="G594" s="269"/>
      <c r="H594" s="269"/>
      <c r="I594" s="269"/>
      <c r="J594" s="269"/>
      <c r="K594" s="269"/>
      <c r="L594" s="269"/>
      <c r="M594" s="269"/>
      <c r="N594" s="269"/>
      <c r="O594" s="269"/>
      <c r="P594" s="269"/>
      <c r="Q594" s="269"/>
      <c r="R594" s="269"/>
      <c r="S594" s="269"/>
      <c r="T594" s="269"/>
      <c r="U594" s="269"/>
      <c r="V594" s="269"/>
      <c r="W594" s="269"/>
      <c r="X594" s="269"/>
      <c r="Y594" s="269"/>
      <c r="Z594" s="269"/>
    </row>
    <row r="595">
      <c r="A595" s="269" t="str">
        <f>IFERROR(__xludf.DUMMYFUNCTION("""COMPUTED_VALUE"""),"")</f>
        <v/>
      </c>
      <c r="B595" s="269"/>
      <c r="C595" s="269"/>
      <c r="D595" s="269"/>
      <c r="E595" s="269"/>
      <c r="F595" s="269"/>
      <c r="G595" s="269"/>
      <c r="H595" s="269"/>
      <c r="I595" s="269"/>
      <c r="J595" s="269"/>
      <c r="K595" s="269"/>
      <c r="L595" s="269"/>
      <c r="M595" s="269"/>
      <c r="N595" s="269"/>
      <c r="O595" s="269"/>
      <c r="P595" s="269"/>
      <c r="Q595" s="269"/>
      <c r="R595" s="269"/>
      <c r="S595" s="269"/>
      <c r="T595" s="269"/>
      <c r="U595" s="269"/>
      <c r="V595" s="269"/>
      <c r="W595" s="269"/>
      <c r="X595" s="269"/>
      <c r="Y595" s="269"/>
      <c r="Z595" s="269"/>
    </row>
    <row r="596">
      <c r="A596" s="269" t="str">
        <f>IFERROR(__xludf.DUMMYFUNCTION("""COMPUTED_VALUE"""),"")</f>
        <v/>
      </c>
      <c r="B596" s="269"/>
      <c r="C596" s="269"/>
      <c r="D596" s="269"/>
      <c r="E596" s="269"/>
      <c r="F596" s="269"/>
      <c r="G596" s="269"/>
      <c r="H596" s="269"/>
      <c r="I596" s="269"/>
      <c r="J596" s="269"/>
      <c r="K596" s="269"/>
      <c r="L596" s="269"/>
      <c r="M596" s="269"/>
      <c r="N596" s="269"/>
      <c r="O596" s="269"/>
      <c r="P596" s="269"/>
      <c r="Q596" s="269"/>
      <c r="R596" s="269"/>
      <c r="S596" s="269"/>
      <c r="T596" s="269"/>
      <c r="U596" s="269"/>
      <c r="V596" s="269"/>
      <c r="W596" s="269"/>
      <c r="X596" s="269"/>
      <c r="Y596" s="269"/>
      <c r="Z596" s="269"/>
    </row>
    <row r="597">
      <c r="A597" s="269" t="str">
        <f>IFERROR(__xludf.DUMMYFUNCTION("""COMPUTED_VALUE"""),"")</f>
        <v/>
      </c>
      <c r="B597" s="269"/>
      <c r="C597" s="269"/>
      <c r="D597" s="269"/>
      <c r="E597" s="269"/>
      <c r="F597" s="269"/>
      <c r="G597" s="269"/>
      <c r="H597" s="269"/>
      <c r="I597" s="269"/>
      <c r="J597" s="269"/>
      <c r="K597" s="269"/>
      <c r="L597" s="269"/>
      <c r="M597" s="269"/>
      <c r="N597" s="269"/>
      <c r="O597" s="269"/>
      <c r="P597" s="269"/>
      <c r="Q597" s="269"/>
      <c r="R597" s="269"/>
      <c r="S597" s="269"/>
      <c r="T597" s="269"/>
      <c r="U597" s="269"/>
      <c r="V597" s="269"/>
      <c r="W597" s="269"/>
      <c r="X597" s="269"/>
      <c r="Y597" s="269"/>
      <c r="Z597" s="269"/>
    </row>
    <row r="598">
      <c r="A598" s="269" t="str">
        <f>IFERROR(__xludf.DUMMYFUNCTION("""COMPUTED_VALUE"""),"")</f>
        <v/>
      </c>
      <c r="B598" s="269"/>
      <c r="C598" s="269"/>
      <c r="D598" s="269"/>
      <c r="E598" s="269"/>
      <c r="F598" s="269"/>
      <c r="G598" s="269"/>
      <c r="H598" s="269"/>
      <c r="I598" s="269"/>
      <c r="J598" s="269"/>
      <c r="K598" s="269"/>
      <c r="L598" s="269"/>
      <c r="M598" s="269"/>
      <c r="N598" s="269"/>
      <c r="O598" s="269"/>
      <c r="P598" s="269"/>
      <c r="Q598" s="269"/>
      <c r="R598" s="269"/>
      <c r="S598" s="269"/>
      <c r="T598" s="269"/>
      <c r="U598" s="269"/>
      <c r="V598" s="269"/>
      <c r="W598" s="269"/>
      <c r="X598" s="269"/>
      <c r="Y598" s="269"/>
      <c r="Z598" s="269"/>
    </row>
    <row r="599">
      <c r="A599" s="269" t="str">
        <f>IFERROR(__xludf.DUMMYFUNCTION("""COMPUTED_VALUE"""),"")</f>
        <v/>
      </c>
      <c r="B599" s="269"/>
      <c r="C599" s="269"/>
      <c r="D599" s="269"/>
      <c r="E599" s="269"/>
      <c r="F599" s="269"/>
      <c r="G599" s="269"/>
      <c r="H599" s="269"/>
      <c r="I599" s="269"/>
      <c r="J599" s="269"/>
      <c r="K599" s="269"/>
      <c r="L599" s="269"/>
      <c r="M599" s="269"/>
      <c r="N599" s="269"/>
      <c r="O599" s="269"/>
      <c r="P599" s="269"/>
      <c r="Q599" s="269"/>
      <c r="R599" s="269"/>
      <c r="S599" s="269"/>
      <c r="T599" s="269"/>
      <c r="U599" s="269"/>
      <c r="V599" s="269"/>
      <c r="W599" s="269"/>
      <c r="X599" s="269"/>
      <c r="Y599" s="269"/>
      <c r="Z599" s="269"/>
    </row>
    <row r="600">
      <c r="A600" s="269" t="str">
        <f>IFERROR(__xludf.DUMMYFUNCTION("""COMPUTED_VALUE"""),"")</f>
        <v/>
      </c>
      <c r="B600" s="269"/>
      <c r="C600" s="269"/>
      <c r="D600" s="269"/>
      <c r="E600" s="269"/>
      <c r="F600" s="269"/>
      <c r="G600" s="269"/>
      <c r="H600" s="269"/>
      <c r="I600" s="269"/>
      <c r="J600" s="269"/>
      <c r="K600" s="269"/>
      <c r="L600" s="269"/>
      <c r="M600" s="269"/>
      <c r="N600" s="269"/>
      <c r="O600" s="269"/>
      <c r="P600" s="269"/>
      <c r="Q600" s="269"/>
      <c r="R600" s="269"/>
      <c r="S600" s="269"/>
      <c r="T600" s="269"/>
      <c r="U600" s="269"/>
      <c r="V600" s="269"/>
      <c r="W600" s="269"/>
      <c r="X600" s="269"/>
      <c r="Y600" s="269"/>
      <c r="Z600" s="269"/>
    </row>
    <row r="601">
      <c r="A601" s="269" t="str">
        <f>IFERROR(__xludf.DUMMYFUNCTION("""COMPUTED_VALUE"""),"")</f>
        <v/>
      </c>
      <c r="B601" s="269"/>
      <c r="C601" s="269"/>
      <c r="D601" s="269"/>
      <c r="E601" s="269"/>
      <c r="F601" s="269"/>
      <c r="G601" s="269"/>
      <c r="H601" s="269"/>
      <c r="I601" s="269"/>
      <c r="J601" s="269"/>
      <c r="K601" s="269"/>
      <c r="L601" s="269"/>
      <c r="M601" s="269"/>
      <c r="N601" s="269"/>
      <c r="O601" s="269"/>
      <c r="P601" s="269"/>
      <c r="Q601" s="269"/>
      <c r="R601" s="269"/>
      <c r="S601" s="269"/>
      <c r="T601" s="269"/>
      <c r="U601" s="269"/>
      <c r="V601" s="269"/>
      <c r="W601" s="269"/>
      <c r="X601" s="269"/>
      <c r="Y601" s="269"/>
      <c r="Z601" s="269"/>
    </row>
    <row r="602">
      <c r="A602" s="269" t="str">
        <f>IFERROR(__xludf.DUMMYFUNCTION("""COMPUTED_VALUE"""),"")</f>
        <v/>
      </c>
      <c r="B602" s="269"/>
      <c r="C602" s="269"/>
      <c r="D602" s="269"/>
      <c r="E602" s="269"/>
      <c r="F602" s="269"/>
      <c r="G602" s="269"/>
      <c r="H602" s="269"/>
      <c r="I602" s="269"/>
      <c r="J602" s="269"/>
      <c r="K602" s="269"/>
      <c r="L602" s="269"/>
      <c r="M602" s="269"/>
      <c r="N602" s="269"/>
      <c r="O602" s="269"/>
      <c r="P602" s="269"/>
      <c r="Q602" s="269"/>
      <c r="R602" s="269"/>
      <c r="S602" s="269"/>
      <c r="T602" s="269"/>
      <c r="U602" s="269"/>
      <c r="V602" s="269"/>
      <c r="W602" s="269"/>
      <c r="X602" s="269"/>
      <c r="Y602" s="269"/>
      <c r="Z602" s="269"/>
    </row>
    <row r="603">
      <c r="A603" s="269" t="str">
        <f>IFERROR(__xludf.DUMMYFUNCTION("""COMPUTED_VALUE"""),"")</f>
        <v/>
      </c>
      <c r="B603" s="269"/>
      <c r="C603" s="269"/>
      <c r="D603" s="269"/>
      <c r="E603" s="269"/>
      <c r="F603" s="269"/>
      <c r="G603" s="269"/>
      <c r="H603" s="269"/>
      <c r="I603" s="269"/>
      <c r="J603" s="269"/>
      <c r="K603" s="269"/>
      <c r="L603" s="269"/>
      <c r="M603" s="269"/>
      <c r="N603" s="269"/>
      <c r="O603" s="269"/>
      <c r="P603" s="269"/>
      <c r="Q603" s="269"/>
      <c r="R603" s="269"/>
      <c r="S603" s="269"/>
      <c r="T603" s="269"/>
      <c r="U603" s="269"/>
      <c r="V603" s="269"/>
      <c r="W603" s="269"/>
      <c r="X603" s="269"/>
      <c r="Y603" s="269"/>
      <c r="Z603" s="269"/>
    </row>
    <row r="604">
      <c r="A604" s="269" t="str">
        <f>IFERROR(__xludf.DUMMYFUNCTION("""COMPUTED_VALUE"""),"")</f>
        <v/>
      </c>
      <c r="B604" s="269"/>
      <c r="C604" s="269"/>
      <c r="D604" s="269"/>
      <c r="E604" s="269"/>
      <c r="F604" s="269"/>
      <c r="G604" s="269"/>
      <c r="H604" s="269"/>
      <c r="I604" s="269"/>
      <c r="J604" s="269"/>
      <c r="K604" s="269"/>
      <c r="L604" s="269"/>
      <c r="M604" s="269"/>
      <c r="N604" s="269"/>
      <c r="O604" s="269"/>
      <c r="P604" s="269"/>
      <c r="Q604" s="269"/>
      <c r="R604" s="269"/>
      <c r="S604" s="269"/>
      <c r="T604" s="269"/>
      <c r="U604" s="269"/>
      <c r="V604" s="269"/>
      <c r="W604" s="269"/>
      <c r="X604" s="269"/>
      <c r="Y604" s="269"/>
      <c r="Z604" s="269"/>
    </row>
    <row r="605">
      <c r="A605" s="269" t="str">
        <f>IFERROR(__xludf.DUMMYFUNCTION("""COMPUTED_VALUE"""),"")</f>
        <v/>
      </c>
      <c r="B605" s="269"/>
      <c r="C605" s="269"/>
      <c r="D605" s="269"/>
      <c r="E605" s="269"/>
      <c r="F605" s="269"/>
      <c r="G605" s="269"/>
      <c r="H605" s="269"/>
      <c r="I605" s="269"/>
      <c r="J605" s="269"/>
      <c r="K605" s="269"/>
      <c r="L605" s="269"/>
      <c r="M605" s="269"/>
      <c r="N605" s="269"/>
      <c r="O605" s="269"/>
      <c r="P605" s="269"/>
      <c r="Q605" s="269"/>
      <c r="R605" s="269"/>
      <c r="S605" s="269"/>
      <c r="T605" s="269"/>
      <c r="U605" s="269"/>
      <c r="V605" s="269"/>
      <c r="W605" s="269"/>
      <c r="X605" s="269"/>
      <c r="Y605" s="269"/>
      <c r="Z605" s="269"/>
    </row>
    <row r="606">
      <c r="A606" s="269" t="str">
        <f>IFERROR(__xludf.DUMMYFUNCTION("""COMPUTED_VALUE"""),"")</f>
        <v/>
      </c>
      <c r="B606" s="269"/>
      <c r="C606" s="269"/>
      <c r="D606" s="269"/>
      <c r="E606" s="269"/>
      <c r="F606" s="269"/>
      <c r="G606" s="269"/>
      <c r="H606" s="269"/>
      <c r="I606" s="269"/>
      <c r="J606" s="269"/>
      <c r="K606" s="269"/>
      <c r="L606" s="269"/>
      <c r="M606" s="269"/>
      <c r="N606" s="269"/>
      <c r="O606" s="269"/>
      <c r="P606" s="269"/>
      <c r="Q606" s="269"/>
      <c r="R606" s="269"/>
      <c r="S606" s="269"/>
      <c r="T606" s="269"/>
      <c r="U606" s="269"/>
      <c r="V606" s="269"/>
      <c r="W606" s="269"/>
      <c r="X606" s="269"/>
      <c r="Y606" s="269"/>
      <c r="Z606" s="269"/>
    </row>
    <row r="607">
      <c r="A607" s="269" t="str">
        <f>IFERROR(__xludf.DUMMYFUNCTION("""COMPUTED_VALUE"""),"")</f>
        <v/>
      </c>
      <c r="B607" s="269"/>
      <c r="C607" s="269"/>
      <c r="D607" s="269"/>
      <c r="E607" s="269"/>
      <c r="F607" s="269"/>
      <c r="G607" s="269"/>
      <c r="H607" s="269"/>
      <c r="I607" s="269"/>
      <c r="J607" s="269"/>
      <c r="K607" s="269"/>
      <c r="L607" s="269"/>
      <c r="M607" s="269"/>
      <c r="N607" s="269"/>
      <c r="O607" s="269"/>
      <c r="P607" s="269"/>
      <c r="Q607" s="269"/>
      <c r="R607" s="269"/>
      <c r="S607" s="269"/>
      <c r="T607" s="269"/>
      <c r="U607" s="269"/>
      <c r="V607" s="269"/>
      <c r="W607" s="269"/>
      <c r="X607" s="269"/>
      <c r="Y607" s="269"/>
      <c r="Z607" s="269"/>
    </row>
    <row r="608">
      <c r="A608" s="269" t="str">
        <f>IFERROR(__xludf.DUMMYFUNCTION("""COMPUTED_VALUE"""),"")</f>
        <v/>
      </c>
      <c r="B608" s="269"/>
      <c r="C608" s="269"/>
      <c r="D608" s="269"/>
      <c r="E608" s="269"/>
      <c r="F608" s="269"/>
      <c r="G608" s="269"/>
      <c r="H608" s="269"/>
      <c r="I608" s="269"/>
      <c r="J608" s="269"/>
      <c r="K608" s="269"/>
      <c r="L608" s="269"/>
      <c r="M608" s="269"/>
      <c r="N608" s="269"/>
      <c r="O608" s="269"/>
      <c r="P608" s="269"/>
      <c r="Q608" s="269"/>
      <c r="R608" s="269"/>
      <c r="S608" s="269"/>
      <c r="T608" s="269"/>
      <c r="U608" s="269"/>
      <c r="V608" s="269"/>
      <c r="W608" s="269"/>
      <c r="X608" s="269"/>
      <c r="Y608" s="269"/>
      <c r="Z608" s="269"/>
    </row>
    <row r="609">
      <c r="A609" s="269" t="str">
        <f>IFERROR(__xludf.DUMMYFUNCTION("""COMPUTED_VALUE"""),"")</f>
        <v/>
      </c>
      <c r="B609" s="269"/>
      <c r="C609" s="269"/>
      <c r="D609" s="269"/>
      <c r="E609" s="269"/>
      <c r="F609" s="269"/>
      <c r="G609" s="269"/>
      <c r="H609" s="269"/>
      <c r="I609" s="269"/>
      <c r="J609" s="269"/>
      <c r="K609" s="269"/>
      <c r="L609" s="269"/>
      <c r="M609" s="269"/>
      <c r="N609" s="269"/>
      <c r="O609" s="269"/>
      <c r="P609" s="269"/>
      <c r="Q609" s="269"/>
      <c r="R609" s="269"/>
      <c r="S609" s="269"/>
      <c r="T609" s="269"/>
      <c r="U609" s="269"/>
      <c r="V609" s="269"/>
      <c r="W609" s="269"/>
      <c r="X609" s="269"/>
      <c r="Y609" s="269"/>
      <c r="Z609" s="269"/>
    </row>
    <row r="610">
      <c r="A610" s="269" t="str">
        <f>IFERROR(__xludf.DUMMYFUNCTION("""COMPUTED_VALUE"""),"")</f>
        <v/>
      </c>
      <c r="B610" s="269"/>
      <c r="C610" s="269"/>
      <c r="D610" s="269"/>
      <c r="E610" s="269"/>
      <c r="F610" s="269"/>
      <c r="G610" s="269"/>
      <c r="H610" s="269"/>
      <c r="I610" s="269"/>
      <c r="J610" s="269"/>
      <c r="K610" s="269"/>
      <c r="L610" s="269"/>
      <c r="M610" s="269"/>
      <c r="N610" s="269"/>
      <c r="O610" s="269"/>
      <c r="P610" s="269"/>
      <c r="Q610" s="269"/>
      <c r="R610" s="269"/>
      <c r="S610" s="269"/>
      <c r="T610" s="269"/>
      <c r="U610" s="269"/>
      <c r="V610" s="269"/>
      <c r="W610" s="269"/>
      <c r="X610" s="269"/>
      <c r="Y610" s="269"/>
      <c r="Z610" s="269"/>
    </row>
    <row r="611">
      <c r="A611" s="269" t="str">
        <f>IFERROR(__xludf.DUMMYFUNCTION("""COMPUTED_VALUE"""),"")</f>
        <v/>
      </c>
      <c r="B611" s="269"/>
      <c r="C611" s="269"/>
      <c r="D611" s="269"/>
      <c r="E611" s="269"/>
      <c r="F611" s="269"/>
      <c r="G611" s="269"/>
      <c r="H611" s="269"/>
      <c r="I611" s="269"/>
      <c r="J611" s="269"/>
      <c r="K611" s="269"/>
      <c r="L611" s="269"/>
      <c r="M611" s="269"/>
      <c r="N611" s="269"/>
      <c r="O611" s="269"/>
      <c r="P611" s="269"/>
      <c r="Q611" s="269"/>
      <c r="R611" s="269"/>
      <c r="S611" s="269"/>
      <c r="T611" s="269"/>
      <c r="U611" s="269"/>
      <c r="V611" s="269"/>
      <c r="W611" s="269"/>
      <c r="X611" s="269"/>
      <c r="Y611" s="269"/>
      <c r="Z611" s="269"/>
    </row>
    <row r="612">
      <c r="A612" s="269" t="str">
        <f>IFERROR(__xludf.DUMMYFUNCTION("""COMPUTED_VALUE"""),"")</f>
        <v/>
      </c>
      <c r="B612" s="269"/>
      <c r="C612" s="269"/>
      <c r="D612" s="269"/>
      <c r="E612" s="269"/>
      <c r="F612" s="269"/>
      <c r="G612" s="269"/>
      <c r="H612" s="269"/>
      <c r="I612" s="269"/>
      <c r="J612" s="269"/>
      <c r="K612" s="269"/>
      <c r="L612" s="269"/>
      <c r="M612" s="269"/>
      <c r="N612" s="269"/>
      <c r="O612" s="269"/>
      <c r="P612" s="269"/>
      <c r="Q612" s="269"/>
      <c r="R612" s="269"/>
      <c r="S612" s="269"/>
      <c r="T612" s="269"/>
      <c r="U612" s="269"/>
      <c r="V612" s="269"/>
      <c r="W612" s="269"/>
      <c r="X612" s="269"/>
      <c r="Y612" s="269"/>
      <c r="Z612" s="269"/>
    </row>
    <row r="613">
      <c r="A613" s="269" t="str">
        <f>IFERROR(__xludf.DUMMYFUNCTION("""COMPUTED_VALUE"""),"")</f>
        <v/>
      </c>
      <c r="B613" s="269"/>
      <c r="C613" s="269"/>
      <c r="D613" s="269"/>
      <c r="E613" s="269"/>
      <c r="F613" s="269"/>
      <c r="G613" s="269"/>
      <c r="H613" s="269"/>
      <c r="I613" s="269"/>
      <c r="J613" s="269"/>
      <c r="K613" s="269"/>
      <c r="L613" s="269"/>
      <c r="M613" s="269"/>
      <c r="N613" s="269"/>
      <c r="O613" s="269"/>
      <c r="P613" s="269"/>
      <c r="Q613" s="269"/>
      <c r="R613" s="269"/>
      <c r="S613" s="269"/>
      <c r="T613" s="269"/>
      <c r="U613" s="269"/>
      <c r="V613" s="269"/>
      <c r="W613" s="269"/>
      <c r="X613" s="269"/>
      <c r="Y613" s="269"/>
      <c r="Z613" s="269"/>
    </row>
    <row r="614">
      <c r="A614" s="269" t="str">
        <f>IFERROR(__xludf.DUMMYFUNCTION("""COMPUTED_VALUE"""),"")</f>
        <v/>
      </c>
      <c r="B614" s="269"/>
      <c r="C614" s="269"/>
      <c r="D614" s="269"/>
      <c r="E614" s="269"/>
      <c r="F614" s="269"/>
      <c r="G614" s="269"/>
      <c r="H614" s="269"/>
      <c r="I614" s="269"/>
      <c r="J614" s="269"/>
      <c r="K614" s="269"/>
      <c r="L614" s="269"/>
      <c r="M614" s="269"/>
      <c r="N614" s="269"/>
      <c r="O614" s="269"/>
      <c r="P614" s="269"/>
      <c r="Q614" s="269"/>
      <c r="R614" s="269"/>
      <c r="S614" s="269"/>
      <c r="T614" s="269"/>
      <c r="U614" s="269"/>
      <c r="V614" s="269"/>
      <c r="W614" s="269"/>
      <c r="X614" s="269"/>
      <c r="Y614" s="269"/>
      <c r="Z614" s="269"/>
    </row>
    <row r="615">
      <c r="A615" s="269" t="str">
        <f>IFERROR(__xludf.DUMMYFUNCTION("""COMPUTED_VALUE"""),"")</f>
        <v/>
      </c>
      <c r="B615" s="269"/>
      <c r="C615" s="269"/>
      <c r="D615" s="269"/>
      <c r="E615" s="269"/>
      <c r="F615" s="269"/>
      <c r="G615" s="269"/>
      <c r="H615" s="269"/>
      <c r="I615" s="269"/>
      <c r="J615" s="269"/>
      <c r="K615" s="269"/>
      <c r="L615" s="269"/>
      <c r="M615" s="269"/>
      <c r="N615" s="269"/>
      <c r="O615" s="269"/>
      <c r="P615" s="269"/>
      <c r="Q615" s="269"/>
      <c r="R615" s="269"/>
      <c r="S615" s="269"/>
      <c r="T615" s="269"/>
      <c r="U615" s="269"/>
      <c r="V615" s="269"/>
      <c r="W615" s="269"/>
      <c r="X615" s="269"/>
      <c r="Y615" s="269"/>
      <c r="Z615" s="269"/>
    </row>
    <row r="616">
      <c r="A616" s="269" t="str">
        <f>IFERROR(__xludf.DUMMYFUNCTION("""COMPUTED_VALUE"""),"")</f>
        <v/>
      </c>
      <c r="B616" s="269"/>
      <c r="C616" s="269"/>
      <c r="D616" s="269"/>
      <c r="E616" s="269"/>
      <c r="F616" s="269"/>
      <c r="G616" s="269"/>
      <c r="H616" s="269"/>
      <c r="I616" s="269"/>
      <c r="J616" s="269"/>
      <c r="K616" s="269"/>
      <c r="L616" s="269"/>
      <c r="M616" s="269"/>
      <c r="N616" s="269"/>
      <c r="O616" s="269"/>
      <c r="P616" s="269"/>
      <c r="Q616" s="269"/>
      <c r="R616" s="269"/>
      <c r="S616" s="269"/>
      <c r="T616" s="269"/>
      <c r="U616" s="269"/>
      <c r="V616" s="269"/>
      <c r="W616" s="269"/>
      <c r="X616" s="269"/>
      <c r="Y616" s="269"/>
      <c r="Z616" s="269"/>
    </row>
    <row r="617">
      <c r="A617" s="269" t="str">
        <f>IFERROR(__xludf.DUMMYFUNCTION("""COMPUTED_VALUE"""),"")</f>
        <v/>
      </c>
      <c r="B617" s="269"/>
      <c r="C617" s="269"/>
      <c r="D617" s="269"/>
      <c r="E617" s="269"/>
      <c r="F617" s="269"/>
      <c r="G617" s="269"/>
      <c r="H617" s="269"/>
      <c r="I617" s="269"/>
      <c r="J617" s="269"/>
      <c r="K617" s="269"/>
      <c r="L617" s="269"/>
      <c r="M617" s="269"/>
      <c r="N617" s="269"/>
      <c r="O617" s="269"/>
      <c r="P617" s="269"/>
      <c r="Q617" s="269"/>
      <c r="R617" s="269"/>
      <c r="S617" s="269"/>
      <c r="T617" s="269"/>
      <c r="U617" s="269"/>
      <c r="V617" s="269"/>
      <c r="W617" s="269"/>
      <c r="X617" s="269"/>
      <c r="Y617" s="269"/>
      <c r="Z617" s="269"/>
    </row>
    <row r="618">
      <c r="A618" s="269" t="str">
        <f>IFERROR(__xludf.DUMMYFUNCTION("""COMPUTED_VALUE"""),"")</f>
        <v/>
      </c>
      <c r="B618" s="269"/>
      <c r="C618" s="269"/>
      <c r="D618" s="269"/>
      <c r="E618" s="269"/>
      <c r="F618" s="269"/>
      <c r="G618" s="269"/>
      <c r="H618" s="269"/>
      <c r="I618" s="269"/>
      <c r="J618" s="269"/>
      <c r="K618" s="269"/>
      <c r="L618" s="269"/>
      <c r="M618" s="269"/>
      <c r="N618" s="269"/>
      <c r="O618" s="269"/>
      <c r="P618" s="269"/>
      <c r="Q618" s="269"/>
      <c r="R618" s="269"/>
      <c r="S618" s="269"/>
      <c r="T618" s="269"/>
      <c r="U618" s="269"/>
      <c r="V618" s="269"/>
      <c r="W618" s="269"/>
      <c r="X618" s="269"/>
      <c r="Y618" s="269"/>
      <c r="Z618" s="269"/>
    </row>
    <row r="619">
      <c r="A619" s="269" t="str">
        <f>IFERROR(__xludf.DUMMYFUNCTION("""COMPUTED_VALUE"""),"")</f>
        <v/>
      </c>
      <c r="B619" s="269"/>
      <c r="C619" s="269"/>
      <c r="D619" s="269"/>
      <c r="E619" s="269"/>
      <c r="F619" s="269"/>
      <c r="G619" s="269"/>
      <c r="H619" s="269"/>
      <c r="I619" s="269"/>
      <c r="J619" s="269"/>
      <c r="K619" s="269"/>
      <c r="L619" s="269"/>
      <c r="M619" s="269"/>
      <c r="N619" s="269"/>
      <c r="O619" s="269"/>
      <c r="P619" s="269"/>
      <c r="Q619" s="269"/>
      <c r="R619" s="269"/>
      <c r="S619" s="269"/>
      <c r="T619" s="269"/>
      <c r="U619" s="269"/>
      <c r="V619" s="269"/>
      <c r="W619" s="269"/>
      <c r="X619" s="269"/>
      <c r="Y619" s="269"/>
      <c r="Z619" s="269"/>
    </row>
    <row r="620">
      <c r="A620" s="269" t="str">
        <f>IFERROR(__xludf.DUMMYFUNCTION("""COMPUTED_VALUE"""),"")</f>
        <v/>
      </c>
      <c r="B620" s="269"/>
      <c r="C620" s="269"/>
      <c r="D620" s="269"/>
      <c r="E620" s="269"/>
      <c r="F620" s="269"/>
      <c r="G620" s="269"/>
      <c r="H620" s="269"/>
      <c r="I620" s="269"/>
      <c r="J620" s="269"/>
      <c r="K620" s="269"/>
      <c r="L620" s="269"/>
      <c r="M620" s="269"/>
      <c r="N620" s="269"/>
      <c r="O620" s="269"/>
      <c r="P620" s="269"/>
      <c r="Q620" s="269"/>
      <c r="R620" s="269"/>
      <c r="S620" s="269"/>
      <c r="T620" s="269"/>
      <c r="U620" s="269"/>
      <c r="V620" s="269"/>
      <c r="W620" s="269"/>
      <c r="X620" s="269"/>
      <c r="Y620" s="269"/>
      <c r="Z620" s="269"/>
    </row>
    <row r="621">
      <c r="A621" s="269" t="str">
        <f>IFERROR(__xludf.DUMMYFUNCTION("""COMPUTED_VALUE"""),"")</f>
        <v/>
      </c>
      <c r="B621" s="269"/>
      <c r="C621" s="269"/>
      <c r="D621" s="269"/>
      <c r="E621" s="269"/>
      <c r="F621" s="269"/>
      <c r="G621" s="269"/>
      <c r="H621" s="269"/>
      <c r="I621" s="269"/>
      <c r="J621" s="269"/>
      <c r="K621" s="269"/>
      <c r="L621" s="269"/>
      <c r="M621" s="269"/>
      <c r="N621" s="269"/>
      <c r="O621" s="269"/>
      <c r="P621" s="269"/>
      <c r="Q621" s="269"/>
      <c r="R621" s="269"/>
      <c r="S621" s="269"/>
      <c r="T621" s="269"/>
      <c r="U621" s="269"/>
      <c r="V621" s="269"/>
      <c r="W621" s="269"/>
      <c r="X621" s="269"/>
      <c r="Y621" s="269"/>
      <c r="Z621" s="269"/>
    </row>
    <row r="622">
      <c r="A622" s="269" t="str">
        <f>IFERROR(__xludf.DUMMYFUNCTION("""COMPUTED_VALUE"""),"")</f>
        <v/>
      </c>
      <c r="B622" s="269"/>
      <c r="C622" s="269"/>
      <c r="D622" s="269"/>
      <c r="E622" s="269"/>
      <c r="F622" s="269"/>
      <c r="G622" s="269"/>
      <c r="H622" s="269"/>
      <c r="I622" s="269"/>
      <c r="J622" s="269"/>
      <c r="K622" s="269"/>
      <c r="L622" s="269"/>
      <c r="M622" s="269"/>
      <c r="N622" s="269"/>
      <c r="O622" s="269"/>
      <c r="P622" s="269"/>
      <c r="Q622" s="269"/>
      <c r="R622" s="269"/>
      <c r="S622" s="269"/>
      <c r="T622" s="269"/>
      <c r="U622" s="269"/>
      <c r="V622" s="269"/>
      <c r="W622" s="269"/>
      <c r="X622" s="269"/>
      <c r="Y622" s="269"/>
      <c r="Z622" s="269"/>
    </row>
    <row r="623">
      <c r="A623" s="269" t="str">
        <f>IFERROR(__xludf.DUMMYFUNCTION("""COMPUTED_VALUE"""),"")</f>
        <v/>
      </c>
      <c r="B623" s="269"/>
      <c r="C623" s="269"/>
      <c r="D623" s="269"/>
      <c r="E623" s="269"/>
      <c r="F623" s="269"/>
      <c r="G623" s="269"/>
      <c r="H623" s="269"/>
      <c r="I623" s="269"/>
      <c r="J623" s="269"/>
      <c r="K623" s="269"/>
      <c r="L623" s="269"/>
      <c r="M623" s="269"/>
      <c r="N623" s="269"/>
      <c r="O623" s="269"/>
      <c r="P623" s="269"/>
      <c r="Q623" s="269"/>
      <c r="R623" s="269"/>
      <c r="S623" s="269"/>
      <c r="T623" s="269"/>
      <c r="U623" s="269"/>
      <c r="V623" s="269"/>
      <c r="W623" s="269"/>
      <c r="X623" s="269"/>
      <c r="Y623" s="269"/>
      <c r="Z623" s="269"/>
    </row>
    <row r="624">
      <c r="A624" s="269" t="str">
        <f>IFERROR(__xludf.DUMMYFUNCTION("""COMPUTED_VALUE"""),"")</f>
        <v/>
      </c>
      <c r="B624" s="269"/>
      <c r="C624" s="269"/>
      <c r="D624" s="269"/>
      <c r="E624" s="269"/>
      <c r="F624" s="269"/>
      <c r="G624" s="269"/>
      <c r="H624" s="269"/>
      <c r="I624" s="269"/>
      <c r="J624" s="269"/>
      <c r="K624" s="269"/>
      <c r="L624" s="269"/>
      <c r="M624" s="269"/>
      <c r="N624" s="269"/>
      <c r="O624" s="269"/>
      <c r="P624" s="269"/>
      <c r="Q624" s="269"/>
      <c r="R624" s="269"/>
      <c r="S624" s="269"/>
      <c r="T624" s="269"/>
      <c r="U624" s="269"/>
      <c r="V624" s="269"/>
      <c r="W624" s="269"/>
      <c r="X624" s="269"/>
      <c r="Y624" s="269"/>
      <c r="Z624" s="269"/>
    </row>
    <row r="625">
      <c r="A625" s="269" t="str">
        <f>IFERROR(__xludf.DUMMYFUNCTION("""COMPUTED_VALUE"""),"")</f>
        <v/>
      </c>
      <c r="B625" s="269"/>
      <c r="C625" s="269"/>
      <c r="D625" s="269"/>
      <c r="E625" s="269"/>
      <c r="F625" s="269"/>
      <c r="G625" s="269"/>
      <c r="H625" s="269"/>
      <c r="I625" s="269"/>
      <c r="J625" s="269"/>
      <c r="K625" s="269"/>
      <c r="L625" s="269"/>
      <c r="M625" s="269"/>
      <c r="N625" s="269"/>
      <c r="O625" s="269"/>
      <c r="P625" s="269"/>
      <c r="Q625" s="269"/>
      <c r="R625" s="269"/>
      <c r="S625" s="269"/>
      <c r="T625" s="269"/>
      <c r="U625" s="269"/>
      <c r="V625" s="269"/>
      <c r="W625" s="269"/>
      <c r="X625" s="269"/>
      <c r="Y625" s="269"/>
      <c r="Z625" s="269"/>
    </row>
    <row r="626">
      <c r="A626" s="269" t="str">
        <f>IFERROR(__xludf.DUMMYFUNCTION("""COMPUTED_VALUE"""),"")</f>
        <v/>
      </c>
      <c r="B626" s="269"/>
      <c r="C626" s="269"/>
      <c r="D626" s="269"/>
      <c r="E626" s="269"/>
      <c r="F626" s="269"/>
      <c r="G626" s="269"/>
      <c r="H626" s="269"/>
      <c r="I626" s="269"/>
      <c r="J626" s="269"/>
      <c r="K626" s="269"/>
      <c r="L626" s="269"/>
      <c r="M626" s="269"/>
      <c r="N626" s="269"/>
      <c r="O626" s="269"/>
      <c r="P626" s="269"/>
      <c r="Q626" s="269"/>
      <c r="R626" s="269"/>
      <c r="S626" s="269"/>
      <c r="T626" s="269"/>
      <c r="U626" s="269"/>
      <c r="V626" s="269"/>
      <c r="W626" s="269"/>
      <c r="X626" s="269"/>
      <c r="Y626" s="269"/>
      <c r="Z626" s="269"/>
    </row>
    <row r="627">
      <c r="A627" s="269" t="str">
        <f>IFERROR(__xludf.DUMMYFUNCTION("""COMPUTED_VALUE"""),"")</f>
        <v/>
      </c>
      <c r="B627" s="269"/>
      <c r="C627" s="269"/>
      <c r="D627" s="269"/>
      <c r="E627" s="269"/>
      <c r="F627" s="269"/>
      <c r="G627" s="269"/>
      <c r="H627" s="269"/>
      <c r="I627" s="269"/>
      <c r="J627" s="269"/>
      <c r="K627" s="269"/>
      <c r="L627" s="269"/>
      <c r="M627" s="269"/>
      <c r="N627" s="269"/>
      <c r="O627" s="269"/>
      <c r="P627" s="269"/>
      <c r="Q627" s="269"/>
      <c r="R627" s="269"/>
      <c r="S627" s="269"/>
      <c r="T627" s="269"/>
      <c r="U627" s="269"/>
      <c r="V627" s="269"/>
      <c r="W627" s="269"/>
      <c r="X627" s="269"/>
      <c r="Y627" s="269"/>
      <c r="Z627" s="269"/>
    </row>
    <row r="628">
      <c r="A628" s="269" t="str">
        <f>IFERROR(__xludf.DUMMYFUNCTION("""COMPUTED_VALUE"""),"")</f>
        <v/>
      </c>
      <c r="B628" s="269"/>
      <c r="C628" s="269"/>
      <c r="D628" s="269"/>
      <c r="E628" s="269"/>
      <c r="F628" s="269"/>
      <c r="G628" s="269"/>
      <c r="H628" s="269"/>
      <c r="I628" s="269"/>
      <c r="J628" s="269"/>
      <c r="K628" s="269"/>
      <c r="L628" s="269"/>
      <c r="M628" s="269"/>
      <c r="N628" s="269"/>
      <c r="O628" s="269"/>
      <c r="P628" s="269"/>
      <c r="Q628" s="269"/>
      <c r="R628" s="269"/>
      <c r="S628" s="269"/>
      <c r="T628" s="269"/>
      <c r="U628" s="269"/>
      <c r="V628" s="269"/>
      <c r="W628" s="269"/>
      <c r="X628" s="269"/>
      <c r="Y628" s="269"/>
      <c r="Z628" s="269"/>
    </row>
    <row r="629">
      <c r="A629" s="269" t="str">
        <f>IFERROR(__xludf.DUMMYFUNCTION("""COMPUTED_VALUE"""),"")</f>
        <v/>
      </c>
      <c r="B629" s="269"/>
      <c r="C629" s="269"/>
      <c r="D629" s="269"/>
      <c r="E629" s="269"/>
      <c r="F629" s="269"/>
      <c r="G629" s="269"/>
      <c r="H629" s="269"/>
      <c r="I629" s="269"/>
      <c r="J629" s="269"/>
      <c r="K629" s="269"/>
      <c r="L629" s="269"/>
      <c r="M629" s="269"/>
      <c r="N629" s="269"/>
      <c r="O629" s="269"/>
      <c r="P629" s="269"/>
      <c r="Q629" s="269"/>
      <c r="R629" s="269"/>
      <c r="S629" s="269"/>
      <c r="T629" s="269"/>
      <c r="U629" s="269"/>
      <c r="V629" s="269"/>
      <c r="W629" s="269"/>
      <c r="X629" s="269"/>
      <c r="Y629" s="269"/>
      <c r="Z629" s="269"/>
    </row>
    <row r="630">
      <c r="A630" s="269" t="str">
        <f>IFERROR(__xludf.DUMMYFUNCTION("""COMPUTED_VALUE"""),"")</f>
        <v/>
      </c>
      <c r="B630" s="269"/>
      <c r="C630" s="269"/>
      <c r="D630" s="269"/>
      <c r="E630" s="269"/>
      <c r="F630" s="269"/>
      <c r="G630" s="269"/>
      <c r="H630" s="269"/>
      <c r="I630" s="269"/>
      <c r="J630" s="269"/>
      <c r="K630" s="269"/>
      <c r="L630" s="269"/>
      <c r="M630" s="269"/>
      <c r="N630" s="269"/>
      <c r="O630" s="269"/>
      <c r="P630" s="269"/>
      <c r="Q630" s="269"/>
      <c r="R630" s="269"/>
      <c r="S630" s="269"/>
      <c r="T630" s="269"/>
      <c r="U630" s="269"/>
      <c r="V630" s="269"/>
      <c r="W630" s="269"/>
      <c r="X630" s="269"/>
      <c r="Y630" s="269"/>
      <c r="Z630" s="269"/>
    </row>
    <row r="631">
      <c r="A631" s="269" t="str">
        <f>IFERROR(__xludf.DUMMYFUNCTION("""COMPUTED_VALUE"""),"")</f>
        <v/>
      </c>
      <c r="B631" s="269"/>
      <c r="C631" s="269"/>
      <c r="D631" s="269"/>
      <c r="E631" s="269"/>
      <c r="F631" s="269"/>
      <c r="G631" s="269"/>
      <c r="H631" s="269"/>
      <c r="I631" s="269"/>
      <c r="J631" s="269"/>
      <c r="K631" s="269"/>
      <c r="L631" s="269"/>
      <c r="M631" s="269"/>
      <c r="N631" s="269"/>
      <c r="O631" s="269"/>
      <c r="P631" s="269"/>
      <c r="Q631" s="269"/>
      <c r="R631" s="269"/>
      <c r="S631" s="269"/>
      <c r="T631" s="269"/>
      <c r="U631" s="269"/>
      <c r="V631" s="269"/>
      <c r="W631" s="269"/>
      <c r="X631" s="269"/>
      <c r="Y631" s="269"/>
      <c r="Z631" s="269"/>
    </row>
    <row r="632">
      <c r="A632" s="269" t="str">
        <f>IFERROR(__xludf.DUMMYFUNCTION("""COMPUTED_VALUE"""),"")</f>
        <v/>
      </c>
      <c r="B632" s="269"/>
      <c r="C632" s="269"/>
      <c r="D632" s="269"/>
      <c r="E632" s="269"/>
      <c r="F632" s="269"/>
      <c r="G632" s="269"/>
      <c r="H632" s="269"/>
      <c r="I632" s="269"/>
      <c r="J632" s="269"/>
      <c r="K632" s="269"/>
      <c r="L632" s="269"/>
      <c r="M632" s="269"/>
      <c r="N632" s="269"/>
      <c r="O632" s="269"/>
      <c r="P632" s="269"/>
      <c r="Q632" s="269"/>
      <c r="R632" s="269"/>
      <c r="S632" s="269"/>
      <c r="T632" s="269"/>
      <c r="U632" s="269"/>
      <c r="V632" s="269"/>
      <c r="W632" s="269"/>
      <c r="X632" s="269"/>
      <c r="Y632" s="269"/>
      <c r="Z632" s="269"/>
    </row>
    <row r="633">
      <c r="A633" s="269" t="str">
        <f>IFERROR(__xludf.DUMMYFUNCTION("""COMPUTED_VALUE"""),"")</f>
        <v/>
      </c>
      <c r="B633" s="269"/>
      <c r="C633" s="269"/>
      <c r="D633" s="269"/>
      <c r="E633" s="269"/>
      <c r="F633" s="269"/>
      <c r="G633" s="269"/>
      <c r="H633" s="269"/>
      <c r="I633" s="269"/>
      <c r="J633" s="269"/>
      <c r="K633" s="269"/>
      <c r="L633" s="269"/>
      <c r="M633" s="269"/>
      <c r="N633" s="269"/>
      <c r="O633" s="269"/>
      <c r="P633" s="269"/>
      <c r="Q633" s="269"/>
      <c r="R633" s="269"/>
      <c r="S633" s="269"/>
      <c r="T633" s="269"/>
      <c r="U633" s="269"/>
      <c r="V633" s="269"/>
      <c r="W633" s="269"/>
      <c r="X633" s="269"/>
      <c r="Y633" s="269"/>
      <c r="Z633" s="269"/>
    </row>
    <row r="634">
      <c r="A634" s="269" t="str">
        <f>IFERROR(__xludf.DUMMYFUNCTION("""COMPUTED_VALUE"""),"")</f>
        <v/>
      </c>
      <c r="B634" s="269"/>
      <c r="C634" s="269"/>
      <c r="D634" s="269"/>
      <c r="E634" s="269"/>
      <c r="F634" s="269"/>
      <c r="G634" s="269"/>
      <c r="H634" s="269"/>
      <c r="I634" s="269"/>
      <c r="J634" s="269"/>
      <c r="K634" s="269"/>
      <c r="L634" s="269"/>
      <c r="M634" s="269"/>
      <c r="N634" s="269"/>
      <c r="O634" s="269"/>
      <c r="P634" s="269"/>
      <c r="Q634" s="269"/>
      <c r="R634" s="269"/>
      <c r="S634" s="269"/>
      <c r="T634" s="269"/>
      <c r="U634" s="269"/>
      <c r="V634" s="269"/>
      <c r="W634" s="269"/>
      <c r="X634" s="269"/>
      <c r="Y634" s="269"/>
      <c r="Z634" s="269"/>
    </row>
    <row r="635">
      <c r="A635" s="269" t="str">
        <f>IFERROR(__xludf.DUMMYFUNCTION("""COMPUTED_VALUE"""),"")</f>
        <v/>
      </c>
      <c r="B635" s="269"/>
      <c r="C635" s="269"/>
      <c r="D635" s="269"/>
      <c r="E635" s="269"/>
      <c r="F635" s="269"/>
      <c r="G635" s="269"/>
      <c r="H635" s="269"/>
      <c r="I635" s="269"/>
      <c r="J635" s="269"/>
      <c r="K635" s="269"/>
      <c r="L635" s="269"/>
      <c r="M635" s="269"/>
      <c r="N635" s="269"/>
      <c r="O635" s="269"/>
      <c r="P635" s="269"/>
      <c r="Q635" s="269"/>
      <c r="R635" s="269"/>
      <c r="S635" s="269"/>
      <c r="T635" s="269"/>
      <c r="U635" s="269"/>
      <c r="V635" s="269"/>
      <c r="W635" s="269"/>
      <c r="X635" s="269"/>
      <c r="Y635" s="269"/>
      <c r="Z635" s="269"/>
    </row>
    <row r="636">
      <c r="A636" s="269" t="str">
        <f>IFERROR(__xludf.DUMMYFUNCTION("""COMPUTED_VALUE"""),"")</f>
        <v/>
      </c>
      <c r="B636" s="269"/>
      <c r="C636" s="269"/>
      <c r="D636" s="269"/>
      <c r="E636" s="269"/>
      <c r="F636" s="269"/>
      <c r="G636" s="269"/>
      <c r="H636" s="269"/>
      <c r="I636" s="269"/>
      <c r="J636" s="269"/>
      <c r="K636" s="269"/>
      <c r="L636" s="269"/>
      <c r="M636" s="269"/>
      <c r="N636" s="269"/>
      <c r="O636" s="269"/>
      <c r="P636" s="269"/>
      <c r="Q636" s="269"/>
      <c r="R636" s="269"/>
      <c r="S636" s="269"/>
      <c r="T636" s="269"/>
      <c r="U636" s="269"/>
      <c r="V636" s="269"/>
      <c r="W636" s="269"/>
      <c r="X636" s="269"/>
      <c r="Y636" s="269"/>
      <c r="Z636" s="269"/>
    </row>
    <row r="637">
      <c r="A637" s="269" t="str">
        <f>IFERROR(__xludf.DUMMYFUNCTION("""COMPUTED_VALUE"""),"")</f>
        <v/>
      </c>
      <c r="B637" s="269"/>
      <c r="C637" s="269"/>
      <c r="D637" s="269"/>
      <c r="E637" s="269"/>
      <c r="F637" s="269"/>
      <c r="G637" s="269"/>
      <c r="H637" s="269"/>
      <c r="I637" s="269"/>
      <c r="J637" s="269"/>
      <c r="K637" s="269"/>
      <c r="L637" s="269"/>
      <c r="M637" s="269"/>
      <c r="N637" s="269"/>
      <c r="O637" s="269"/>
      <c r="P637" s="269"/>
      <c r="Q637" s="269"/>
      <c r="R637" s="269"/>
      <c r="S637" s="269"/>
      <c r="T637" s="269"/>
      <c r="U637" s="269"/>
      <c r="V637" s="269"/>
      <c r="W637" s="269"/>
      <c r="X637" s="269"/>
      <c r="Y637" s="269"/>
      <c r="Z637" s="269"/>
    </row>
    <row r="638">
      <c r="A638" s="269" t="str">
        <f>IFERROR(__xludf.DUMMYFUNCTION("""COMPUTED_VALUE"""),"")</f>
        <v/>
      </c>
      <c r="B638" s="269"/>
      <c r="C638" s="269"/>
      <c r="D638" s="269"/>
      <c r="E638" s="269"/>
      <c r="F638" s="269"/>
      <c r="G638" s="269"/>
      <c r="H638" s="269"/>
      <c r="I638" s="269"/>
      <c r="J638" s="269"/>
      <c r="K638" s="269"/>
      <c r="L638" s="269"/>
      <c r="M638" s="269"/>
      <c r="N638" s="269"/>
      <c r="O638" s="269"/>
      <c r="P638" s="269"/>
      <c r="Q638" s="269"/>
      <c r="R638" s="269"/>
      <c r="S638" s="269"/>
      <c r="T638" s="269"/>
      <c r="U638" s="269"/>
      <c r="V638" s="269"/>
      <c r="W638" s="269"/>
      <c r="X638" s="269"/>
      <c r="Y638" s="269"/>
      <c r="Z638" s="269"/>
    </row>
    <row r="639">
      <c r="A639" s="269" t="str">
        <f>IFERROR(__xludf.DUMMYFUNCTION("""COMPUTED_VALUE"""),"")</f>
        <v/>
      </c>
      <c r="B639" s="269"/>
      <c r="C639" s="269"/>
      <c r="D639" s="269"/>
      <c r="E639" s="269"/>
      <c r="F639" s="269"/>
      <c r="G639" s="269"/>
      <c r="H639" s="269"/>
      <c r="I639" s="269"/>
      <c r="J639" s="269"/>
      <c r="K639" s="269"/>
      <c r="L639" s="269"/>
      <c r="M639" s="269"/>
      <c r="N639" s="269"/>
      <c r="O639" s="269"/>
      <c r="P639" s="269"/>
      <c r="Q639" s="269"/>
      <c r="R639" s="269"/>
      <c r="S639" s="269"/>
      <c r="T639" s="269"/>
      <c r="U639" s="269"/>
      <c r="V639" s="269"/>
      <c r="W639" s="269"/>
      <c r="X639" s="269"/>
      <c r="Y639" s="269"/>
      <c r="Z639" s="269"/>
    </row>
    <row r="640">
      <c r="A640" s="269" t="str">
        <f>IFERROR(__xludf.DUMMYFUNCTION("""COMPUTED_VALUE"""),"")</f>
        <v/>
      </c>
      <c r="B640" s="269"/>
      <c r="C640" s="269"/>
      <c r="D640" s="269"/>
      <c r="E640" s="269"/>
      <c r="F640" s="269"/>
      <c r="G640" s="269"/>
      <c r="H640" s="269"/>
      <c r="I640" s="269"/>
      <c r="J640" s="269"/>
      <c r="K640" s="269"/>
      <c r="L640" s="269"/>
      <c r="M640" s="269"/>
      <c r="N640" s="269"/>
      <c r="O640" s="269"/>
      <c r="P640" s="269"/>
      <c r="Q640" s="269"/>
      <c r="R640" s="269"/>
      <c r="S640" s="269"/>
      <c r="T640" s="269"/>
      <c r="U640" s="269"/>
      <c r="V640" s="269"/>
      <c r="W640" s="269"/>
      <c r="X640" s="269"/>
      <c r="Y640" s="269"/>
      <c r="Z640" s="269"/>
    </row>
    <row r="641">
      <c r="A641" s="269" t="str">
        <f>IFERROR(__xludf.DUMMYFUNCTION("""COMPUTED_VALUE"""),"")</f>
        <v/>
      </c>
      <c r="B641" s="269"/>
      <c r="C641" s="269"/>
      <c r="D641" s="269"/>
      <c r="E641" s="269"/>
      <c r="F641" s="269"/>
      <c r="G641" s="269"/>
      <c r="H641" s="269"/>
      <c r="I641" s="269"/>
      <c r="J641" s="269"/>
      <c r="K641" s="269"/>
      <c r="L641" s="269"/>
      <c r="M641" s="269"/>
      <c r="N641" s="269"/>
      <c r="O641" s="269"/>
      <c r="P641" s="269"/>
      <c r="Q641" s="269"/>
      <c r="R641" s="269"/>
      <c r="S641" s="269"/>
      <c r="T641" s="269"/>
      <c r="U641" s="269"/>
      <c r="V641" s="269"/>
      <c r="W641" s="269"/>
      <c r="X641" s="269"/>
      <c r="Y641" s="269"/>
      <c r="Z641" s="269"/>
    </row>
    <row r="642">
      <c r="A642" s="269" t="str">
        <f>IFERROR(__xludf.DUMMYFUNCTION("""COMPUTED_VALUE"""),"")</f>
        <v/>
      </c>
      <c r="B642" s="269"/>
      <c r="C642" s="269"/>
      <c r="D642" s="269"/>
      <c r="E642" s="269"/>
      <c r="F642" s="269"/>
      <c r="G642" s="269"/>
      <c r="H642" s="269"/>
      <c r="I642" s="269"/>
      <c r="J642" s="269"/>
      <c r="K642" s="269"/>
      <c r="L642" s="269"/>
      <c r="M642" s="269"/>
      <c r="N642" s="269"/>
      <c r="O642" s="269"/>
      <c r="P642" s="269"/>
      <c r="Q642" s="269"/>
      <c r="R642" s="269"/>
      <c r="S642" s="269"/>
      <c r="T642" s="269"/>
      <c r="U642" s="269"/>
      <c r="V642" s="269"/>
      <c r="W642" s="269"/>
      <c r="X642" s="269"/>
      <c r="Y642" s="269"/>
      <c r="Z642" s="269"/>
    </row>
    <row r="643">
      <c r="A643" s="269" t="str">
        <f>IFERROR(__xludf.DUMMYFUNCTION("""COMPUTED_VALUE"""),"")</f>
        <v/>
      </c>
      <c r="B643" s="269"/>
      <c r="C643" s="269"/>
      <c r="D643" s="269"/>
      <c r="E643" s="269"/>
      <c r="F643" s="269"/>
      <c r="G643" s="269"/>
      <c r="H643" s="269"/>
      <c r="I643" s="269"/>
      <c r="J643" s="269"/>
      <c r="K643" s="269"/>
      <c r="L643" s="269"/>
      <c r="M643" s="269"/>
      <c r="N643" s="269"/>
      <c r="O643" s="269"/>
      <c r="P643" s="269"/>
      <c r="Q643" s="269"/>
      <c r="R643" s="269"/>
      <c r="S643" s="269"/>
      <c r="T643" s="269"/>
      <c r="U643" s="269"/>
      <c r="V643" s="269"/>
      <c r="W643" s="269"/>
      <c r="X643" s="269"/>
      <c r="Y643" s="269"/>
      <c r="Z643" s="269"/>
    </row>
    <row r="644">
      <c r="A644" s="269" t="str">
        <f>IFERROR(__xludf.DUMMYFUNCTION("""COMPUTED_VALUE"""),"")</f>
        <v/>
      </c>
      <c r="B644" s="269"/>
      <c r="C644" s="269"/>
      <c r="D644" s="269"/>
      <c r="E644" s="269"/>
      <c r="F644" s="269"/>
      <c r="G644" s="269"/>
      <c r="H644" s="269"/>
      <c r="I644" s="269"/>
      <c r="J644" s="269"/>
      <c r="K644" s="269"/>
      <c r="L644" s="269"/>
      <c r="M644" s="269"/>
      <c r="N644" s="269"/>
      <c r="O644" s="269"/>
      <c r="P644" s="269"/>
      <c r="Q644" s="269"/>
      <c r="R644" s="269"/>
      <c r="S644" s="269"/>
      <c r="T644" s="269"/>
      <c r="U644" s="269"/>
      <c r="V644" s="269"/>
      <c r="W644" s="269"/>
      <c r="X644" s="269"/>
      <c r="Y644" s="269"/>
      <c r="Z644" s="269"/>
    </row>
    <row r="645">
      <c r="A645" s="269" t="str">
        <f>IFERROR(__xludf.DUMMYFUNCTION("""COMPUTED_VALUE"""),"")</f>
        <v/>
      </c>
      <c r="B645" s="269"/>
      <c r="C645" s="269"/>
      <c r="D645" s="269"/>
      <c r="E645" s="269"/>
      <c r="F645" s="269"/>
      <c r="G645" s="269"/>
      <c r="H645" s="269"/>
      <c r="I645" s="269"/>
      <c r="J645" s="269"/>
      <c r="K645" s="269"/>
      <c r="L645" s="269"/>
      <c r="M645" s="269"/>
      <c r="N645" s="269"/>
      <c r="O645" s="269"/>
      <c r="P645" s="269"/>
      <c r="Q645" s="269"/>
      <c r="R645" s="269"/>
      <c r="S645" s="269"/>
      <c r="T645" s="269"/>
      <c r="U645" s="269"/>
      <c r="V645" s="269"/>
      <c r="W645" s="269"/>
      <c r="X645" s="269"/>
      <c r="Y645" s="269"/>
      <c r="Z645" s="269"/>
    </row>
    <row r="646">
      <c r="A646" s="269" t="str">
        <f>IFERROR(__xludf.DUMMYFUNCTION("""COMPUTED_VALUE"""),"")</f>
        <v/>
      </c>
      <c r="B646" s="269"/>
      <c r="C646" s="269"/>
      <c r="D646" s="269"/>
      <c r="E646" s="269"/>
      <c r="F646" s="269"/>
      <c r="G646" s="269"/>
      <c r="H646" s="269"/>
      <c r="I646" s="269"/>
      <c r="J646" s="269"/>
      <c r="K646" s="269"/>
      <c r="L646" s="269"/>
      <c r="M646" s="269"/>
      <c r="N646" s="269"/>
      <c r="O646" s="269"/>
      <c r="P646" s="269"/>
      <c r="Q646" s="269"/>
      <c r="R646" s="269"/>
      <c r="S646" s="269"/>
      <c r="T646" s="269"/>
      <c r="U646" s="269"/>
      <c r="V646" s="269"/>
      <c r="W646" s="269"/>
      <c r="X646" s="269"/>
      <c r="Y646" s="269"/>
      <c r="Z646" s="269"/>
    </row>
    <row r="647">
      <c r="A647" s="269" t="str">
        <f>IFERROR(__xludf.DUMMYFUNCTION("""COMPUTED_VALUE"""),"")</f>
        <v/>
      </c>
      <c r="B647" s="269"/>
      <c r="C647" s="269"/>
      <c r="D647" s="269"/>
      <c r="E647" s="269"/>
      <c r="F647" s="269"/>
      <c r="G647" s="269"/>
      <c r="H647" s="269"/>
      <c r="I647" s="269"/>
      <c r="J647" s="269"/>
      <c r="K647" s="269"/>
      <c r="L647" s="269"/>
      <c r="M647" s="269"/>
      <c r="N647" s="269"/>
      <c r="O647" s="269"/>
      <c r="P647" s="269"/>
      <c r="Q647" s="269"/>
      <c r="R647" s="269"/>
      <c r="S647" s="269"/>
      <c r="T647" s="269"/>
      <c r="U647" s="269"/>
      <c r="V647" s="269"/>
      <c r="W647" s="269"/>
      <c r="X647" s="269"/>
      <c r="Y647" s="269"/>
      <c r="Z647" s="269"/>
    </row>
    <row r="648">
      <c r="A648" s="269" t="str">
        <f>IFERROR(__xludf.DUMMYFUNCTION("""COMPUTED_VALUE"""),"")</f>
        <v/>
      </c>
      <c r="B648" s="269"/>
      <c r="C648" s="269"/>
      <c r="D648" s="269"/>
      <c r="E648" s="269"/>
      <c r="F648" s="269"/>
      <c r="G648" s="269"/>
      <c r="H648" s="269"/>
      <c r="I648" s="269"/>
      <c r="J648" s="269"/>
      <c r="K648" s="269"/>
      <c r="L648" s="269"/>
      <c r="M648" s="269"/>
      <c r="N648" s="269"/>
      <c r="O648" s="269"/>
      <c r="P648" s="269"/>
      <c r="Q648" s="269"/>
      <c r="R648" s="269"/>
      <c r="S648" s="269"/>
      <c r="T648" s="269"/>
      <c r="U648" s="269"/>
      <c r="V648" s="269"/>
      <c r="W648" s="269"/>
      <c r="X648" s="269"/>
      <c r="Y648" s="269"/>
      <c r="Z648" s="269"/>
    </row>
    <row r="649">
      <c r="A649" s="269" t="str">
        <f>IFERROR(__xludf.DUMMYFUNCTION("""COMPUTED_VALUE"""),"")</f>
        <v/>
      </c>
      <c r="B649" s="269"/>
      <c r="C649" s="269"/>
      <c r="D649" s="269"/>
      <c r="E649" s="269"/>
      <c r="F649" s="269"/>
      <c r="G649" s="269"/>
      <c r="H649" s="269"/>
      <c r="I649" s="269"/>
      <c r="J649" s="269"/>
      <c r="K649" s="269"/>
      <c r="L649" s="269"/>
      <c r="M649" s="269"/>
      <c r="N649" s="269"/>
      <c r="O649" s="269"/>
      <c r="P649" s="269"/>
      <c r="Q649" s="269"/>
      <c r="R649" s="269"/>
      <c r="S649" s="269"/>
      <c r="T649" s="269"/>
      <c r="U649" s="269"/>
      <c r="V649" s="269"/>
      <c r="W649" s="269"/>
      <c r="X649" s="269"/>
      <c r="Y649" s="269"/>
      <c r="Z649" s="269"/>
    </row>
    <row r="650">
      <c r="A650" s="269" t="str">
        <f>IFERROR(__xludf.DUMMYFUNCTION("""COMPUTED_VALUE"""),"")</f>
        <v/>
      </c>
      <c r="B650" s="269"/>
      <c r="C650" s="269"/>
      <c r="D650" s="269"/>
      <c r="E650" s="269"/>
      <c r="F650" s="269"/>
      <c r="G650" s="269"/>
      <c r="H650" s="269"/>
      <c r="I650" s="269"/>
      <c r="J650" s="269"/>
      <c r="K650" s="269"/>
      <c r="L650" s="269"/>
      <c r="M650" s="269"/>
      <c r="N650" s="269"/>
      <c r="O650" s="269"/>
      <c r="P650" s="269"/>
      <c r="Q650" s="269"/>
      <c r="R650" s="269"/>
      <c r="S650" s="269"/>
      <c r="T650" s="269"/>
      <c r="U650" s="269"/>
      <c r="V650" s="269"/>
      <c r="W650" s="269"/>
      <c r="X650" s="269"/>
      <c r="Y650" s="269"/>
      <c r="Z650" s="269"/>
    </row>
    <row r="651">
      <c r="A651" s="269" t="str">
        <f>IFERROR(__xludf.DUMMYFUNCTION("""COMPUTED_VALUE"""),"")</f>
        <v/>
      </c>
      <c r="B651" s="269"/>
      <c r="C651" s="269"/>
      <c r="D651" s="269"/>
      <c r="E651" s="269"/>
      <c r="F651" s="269"/>
      <c r="G651" s="269"/>
      <c r="H651" s="269"/>
      <c r="I651" s="269"/>
      <c r="J651" s="269"/>
      <c r="K651" s="269"/>
      <c r="L651" s="269"/>
      <c r="M651" s="269"/>
      <c r="N651" s="269"/>
      <c r="O651" s="269"/>
      <c r="P651" s="269"/>
      <c r="Q651" s="269"/>
      <c r="R651" s="269"/>
      <c r="S651" s="269"/>
      <c r="T651" s="269"/>
      <c r="U651" s="269"/>
      <c r="V651" s="269"/>
      <c r="W651" s="269"/>
      <c r="X651" s="269"/>
      <c r="Y651" s="269"/>
      <c r="Z651" s="269"/>
    </row>
    <row r="652">
      <c r="A652" s="269" t="str">
        <f>IFERROR(__xludf.DUMMYFUNCTION("""COMPUTED_VALUE"""),"")</f>
        <v/>
      </c>
      <c r="B652" s="269"/>
      <c r="C652" s="269"/>
      <c r="D652" s="269"/>
      <c r="E652" s="269"/>
      <c r="F652" s="269"/>
      <c r="G652" s="269"/>
      <c r="H652" s="269"/>
      <c r="I652" s="269"/>
      <c r="J652" s="269"/>
      <c r="K652" s="269"/>
      <c r="L652" s="269"/>
      <c r="M652" s="269"/>
      <c r="N652" s="269"/>
      <c r="O652" s="269"/>
      <c r="P652" s="269"/>
      <c r="Q652" s="269"/>
      <c r="R652" s="269"/>
      <c r="S652" s="269"/>
      <c r="T652" s="269"/>
      <c r="U652" s="269"/>
      <c r="V652" s="269"/>
      <c r="W652" s="269"/>
      <c r="X652" s="269"/>
      <c r="Y652" s="269"/>
      <c r="Z652" s="269"/>
    </row>
    <row r="653">
      <c r="A653" s="269" t="str">
        <f>IFERROR(__xludf.DUMMYFUNCTION("""COMPUTED_VALUE"""),"")</f>
        <v/>
      </c>
      <c r="B653" s="269"/>
      <c r="C653" s="269"/>
      <c r="D653" s="269"/>
      <c r="E653" s="269"/>
      <c r="F653" s="269"/>
      <c r="G653" s="269"/>
      <c r="H653" s="269"/>
      <c r="I653" s="269"/>
      <c r="J653" s="269"/>
      <c r="K653" s="269"/>
      <c r="L653" s="269"/>
      <c r="M653" s="269"/>
      <c r="N653" s="269"/>
      <c r="O653" s="269"/>
      <c r="P653" s="269"/>
      <c r="Q653" s="269"/>
      <c r="R653" s="269"/>
      <c r="S653" s="269"/>
      <c r="T653" s="269"/>
      <c r="U653" s="269"/>
      <c r="V653" s="269"/>
      <c r="W653" s="269"/>
      <c r="X653" s="269"/>
      <c r="Y653" s="269"/>
      <c r="Z653" s="269"/>
    </row>
    <row r="654">
      <c r="A654" s="269" t="str">
        <f>IFERROR(__xludf.DUMMYFUNCTION("""COMPUTED_VALUE"""),"")</f>
        <v/>
      </c>
      <c r="B654" s="269"/>
      <c r="C654" s="269"/>
      <c r="D654" s="269"/>
      <c r="E654" s="269"/>
      <c r="F654" s="269"/>
      <c r="G654" s="269"/>
      <c r="H654" s="269"/>
      <c r="I654" s="269"/>
      <c r="J654" s="269"/>
      <c r="K654" s="269"/>
      <c r="L654" s="269"/>
      <c r="M654" s="269"/>
      <c r="N654" s="269"/>
      <c r="O654" s="269"/>
      <c r="P654" s="269"/>
      <c r="Q654" s="269"/>
      <c r="R654" s="269"/>
      <c r="S654" s="269"/>
      <c r="T654" s="269"/>
      <c r="U654" s="269"/>
      <c r="V654" s="269"/>
      <c r="W654" s="269"/>
      <c r="X654" s="269"/>
      <c r="Y654" s="269"/>
      <c r="Z654" s="269"/>
    </row>
    <row r="655">
      <c r="A655" s="269" t="str">
        <f>IFERROR(__xludf.DUMMYFUNCTION("""COMPUTED_VALUE"""),"")</f>
        <v/>
      </c>
      <c r="B655" s="269"/>
      <c r="C655" s="269"/>
      <c r="D655" s="269"/>
      <c r="E655" s="269"/>
      <c r="F655" s="269"/>
      <c r="G655" s="269"/>
      <c r="H655" s="269"/>
      <c r="I655" s="269"/>
      <c r="J655" s="269"/>
      <c r="K655" s="269"/>
      <c r="L655" s="269"/>
      <c r="M655" s="269"/>
      <c r="N655" s="269"/>
      <c r="O655" s="269"/>
      <c r="P655" s="269"/>
      <c r="Q655" s="269"/>
      <c r="R655" s="269"/>
      <c r="S655" s="269"/>
      <c r="T655" s="269"/>
      <c r="U655" s="269"/>
      <c r="V655" s="269"/>
      <c r="W655" s="269"/>
      <c r="X655" s="269"/>
      <c r="Y655" s="269"/>
      <c r="Z655" s="269"/>
    </row>
    <row r="656">
      <c r="A656" s="269" t="str">
        <f>IFERROR(__xludf.DUMMYFUNCTION("""COMPUTED_VALUE"""),"")</f>
        <v/>
      </c>
      <c r="B656" s="269"/>
      <c r="C656" s="269"/>
      <c r="D656" s="269"/>
      <c r="E656" s="269"/>
      <c r="F656" s="269"/>
      <c r="G656" s="269"/>
      <c r="H656" s="269"/>
      <c r="I656" s="269"/>
      <c r="J656" s="269"/>
      <c r="K656" s="269"/>
      <c r="L656" s="269"/>
      <c r="M656" s="269"/>
      <c r="N656" s="269"/>
      <c r="O656" s="269"/>
      <c r="P656" s="269"/>
      <c r="Q656" s="269"/>
      <c r="R656" s="269"/>
      <c r="S656" s="269"/>
      <c r="T656" s="269"/>
      <c r="U656" s="269"/>
      <c r="V656" s="269"/>
      <c r="W656" s="269"/>
      <c r="X656" s="269"/>
      <c r="Y656" s="269"/>
      <c r="Z656" s="269"/>
    </row>
    <row r="657">
      <c r="A657" s="269" t="str">
        <f>IFERROR(__xludf.DUMMYFUNCTION("""COMPUTED_VALUE"""),"")</f>
        <v/>
      </c>
      <c r="B657" s="269"/>
      <c r="C657" s="269"/>
      <c r="D657" s="269"/>
      <c r="E657" s="269"/>
      <c r="F657" s="269"/>
      <c r="G657" s="269"/>
      <c r="H657" s="269"/>
      <c r="I657" s="269"/>
      <c r="J657" s="269"/>
      <c r="K657" s="269"/>
      <c r="L657" s="269"/>
      <c r="M657" s="269"/>
      <c r="N657" s="269"/>
      <c r="O657" s="269"/>
      <c r="P657" s="269"/>
      <c r="Q657" s="269"/>
      <c r="R657" s="269"/>
      <c r="S657" s="269"/>
      <c r="T657" s="269"/>
      <c r="U657" s="269"/>
      <c r="V657" s="269"/>
      <c r="W657" s="269"/>
      <c r="X657" s="269"/>
      <c r="Y657" s="269"/>
      <c r="Z657" s="269"/>
    </row>
    <row r="658">
      <c r="A658" s="269" t="str">
        <f>IFERROR(__xludf.DUMMYFUNCTION("""COMPUTED_VALUE"""),"")</f>
        <v/>
      </c>
      <c r="B658" s="269"/>
      <c r="C658" s="269"/>
      <c r="D658" s="269"/>
      <c r="E658" s="269"/>
      <c r="F658" s="269"/>
      <c r="G658" s="269"/>
      <c r="H658" s="269"/>
      <c r="I658" s="269"/>
      <c r="J658" s="269"/>
      <c r="K658" s="269"/>
      <c r="L658" s="269"/>
      <c r="M658" s="269"/>
      <c r="N658" s="269"/>
      <c r="O658" s="269"/>
      <c r="P658" s="269"/>
      <c r="Q658" s="269"/>
      <c r="R658" s="269"/>
      <c r="S658" s="269"/>
      <c r="T658" s="269"/>
      <c r="U658" s="269"/>
      <c r="V658" s="269"/>
      <c r="W658" s="269"/>
      <c r="X658" s="269"/>
      <c r="Y658" s="269"/>
      <c r="Z658" s="269"/>
    </row>
    <row r="659">
      <c r="A659" s="269" t="str">
        <f>IFERROR(__xludf.DUMMYFUNCTION("""COMPUTED_VALUE"""),"")</f>
        <v/>
      </c>
      <c r="B659" s="269"/>
      <c r="C659" s="269"/>
      <c r="D659" s="269"/>
      <c r="E659" s="269"/>
      <c r="F659" s="269"/>
      <c r="G659" s="269"/>
      <c r="H659" s="269"/>
      <c r="I659" s="269"/>
      <c r="J659" s="269"/>
      <c r="K659" s="269"/>
      <c r="L659" s="269"/>
      <c r="M659" s="269"/>
      <c r="N659" s="269"/>
      <c r="O659" s="269"/>
      <c r="P659" s="269"/>
      <c r="Q659" s="269"/>
      <c r="R659" s="269"/>
      <c r="S659" s="269"/>
      <c r="T659" s="269"/>
      <c r="U659" s="269"/>
      <c r="V659" s="269"/>
      <c r="W659" s="269"/>
      <c r="X659" s="269"/>
      <c r="Y659" s="269"/>
      <c r="Z659" s="269"/>
    </row>
    <row r="660">
      <c r="A660" s="269" t="str">
        <f>IFERROR(__xludf.DUMMYFUNCTION("""COMPUTED_VALUE"""),"")</f>
        <v/>
      </c>
      <c r="B660" s="269"/>
      <c r="C660" s="269"/>
      <c r="D660" s="269"/>
      <c r="E660" s="269"/>
      <c r="F660" s="269"/>
      <c r="G660" s="269"/>
      <c r="H660" s="269"/>
      <c r="I660" s="269"/>
      <c r="J660" s="269"/>
      <c r="K660" s="269"/>
      <c r="L660" s="269"/>
      <c r="M660" s="269"/>
      <c r="N660" s="269"/>
      <c r="O660" s="269"/>
      <c r="P660" s="269"/>
      <c r="Q660" s="269"/>
      <c r="R660" s="269"/>
      <c r="S660" s="269"/>
      <c r="T660" s="269"/>
      <c r="U660" s="269"/>
      <c r="V660" s="269"/>
      <c r="W660" s="269"/>
      <c r="X660" s="269"/>
      <c r="Y660" s="269"/>
      <c r="Z660" s="269"/>
    </row>
    <row r="661">
      <c r="A661" s="269" t="str">
        <f>IFERROR(__xludf.DUMMYFUNCTION("""COMPUTED_VALUE"""),"")</f>
        <v/>
      </c>
      <c r="B661" s="269"/>
      <c r="C661" s="269"/>
      <c r="D661" s="269"/>
      <c r="E661" s="269"/>
      <c r="F661" s="269"/>
      <c r="G661" s="269"/>
      <c r="H661" s="269"/>
      <c r="I661" s="269"/>
      <c r="J661" s="269"/>
      <c r="K661" s="269"/>
      <c r="L661" s="269"/>
      <c r="M661" s="269"/>
      <c r="N661" s="269"/>
      <c r="O661" s="269"/>
      <c r="P661" s="269"/>
      <c r="Q661" s="269"/>
      <c r="R661" s="269"/>
      <c r="S661" s="269"/>
      <c r="T661" s="269"/>
      <c r="U661" s="269"/>
      <c r="V661" s="269"/>
      <c r="W661" s="269"/>
      <c r="X661" s="269"/>
      <c r="Y661" s="269"/>
      <c r="Z661" s="269"/>
    </row>
    <row r="662">
      <c r="A662" s="269" t="str">
        <f>IFERROR(__xludf.DUMMYFUNCTION("""COMPUTED_VALUE"""),"")</f>
        <v/>
      </c>
      <c r="B662" s="269"/>
      <c r="C662" s="269"/>
      <c r="D662" s="269"/>
      <c r="E662" s="269"/>
      <c r="F662" s="269"/>
      <c r="G662" s="269"/>
      <c r="H662" s="269"/>
      <c r="I662" s="269"/>
      <c r="J662" s="269"/>
      <c r="K662" s="269"/>
      <c r="L662" s="269"/>
      <c r="M662" s="269"/>
      <c r="N662" s="269"/>
      <c r="O662" s="269"/>
      <c r="P662" s="269"/>
      <c r="Q662" s="269"/>
      <c r="R662" s="269"/>
      <c r="S662" s="269"/>
      <c r="T662" s="269"/>
      <c r="U662" s="269"/>
      <c r="V662" s="269"/>
      <c r="W662" s="269"/>
      <c r="X662" s="269"/>
      <c r="Y662" s="269"/>
      <c r="Z662" s="269"/>
    </row>
    <row r="663">
      <c r="A663" s="269" t="str">
        <f>IFERROR(__xludf.DUMMYFUNCTION("""COMPUTED_VALUE"""),"")</f>
        <v/>
      </c>
      <c r="B663" s="269"/>
      <c r="C663" s="269"/>
      <c r="D663" s="269"/>
      <c r="E663" s="269"/>
      <c r="F663" s="269"/>
      <c r="G663" s="269"/>
      <c r="H663" s="269"/>
      <c r="I663" s="269"/>
      <c r="J663" s="269"/>
      <c r="K663" s="269"/>
      <c r="L663" s="269"/>
      <c r="M663" s="269"/>
      <c r="N663" s="269"/>
      <c r="O663" s="269"/>
      <c r="P663" s="269"/>
      <c r="Q663" s="269"/>
      <c r="R663" s="269"/>
      <c r="S663" s="269"/>
      <c r="T663" s="269"/>
      <c r="U663" s="269"/>
      <c r="V663" s="269"/>
      <c r="W663" s="269"/>
      <c r="X663" s="269"/>
      <c r="Y663" s="269"/>
      <c r="Z663" s="269"/>
    </row>
    <row r="664">
      <c r="A664" s="269" t="str">
        <f>IFERROR(__xludf.DUMMYFUNCTION("""COMPUTED_VALUE"""),"")</f>
        <v/>
      </c>
      <c r="B664" s="269"/>
      <c r="C664" s="269"/>
      <c r="D664" s="269"/>
      <c r="E664" s="269"/>
      <c r="F664" s="269"/>
      <c r="G664" s="269"/>
      <c r="H664" s="269"/>
      <c r="I664" s="269"/>
      <c r="J664" s="269"/>
      <c r="K664" s="269"/>
      <c r="L664" s="269"/>
      <c r="M664" s="269"/>
      <c r="N664" s="269"/>
      <c r="O664" s="269"/>
      <c r="P664" s="269"/>
      <c r="Q664" s="269"/>
      <c r="R664" s="269"/>
      <c r="S664" s="269"/>
      <c r="T664" s="269"/>
      <c r="U664" s="269"/>
      <c r="V664" s="269"/>
      <c r="W664" s="269"/>
      <c r="X664" s="269"/>
      <c r="Y664" s="269"/>
      <c r="Z664" s="269"/>
    </row>
    <row r="665">
      <c r="A665" s="269" t="str">
        <f>IFERROR(__xludf.DUMMYFUNCTION("""COMPUTED_VALUE"""),"")</f>
        <v/>
      </c>
      <c r="B665" s="269"/>
      <c r="C665" s="269"/>
      <c r="D665" s="269"/>
      <c r="E665" s="269"/>
      <c r="F665" s="269"/>
      <c r="G665" s="269"/>
      <c r="H665" s="269"/>
      <c r="I665" s="269"/>
      <c r="J665" s="269"/>
      <c r="K665" s="269"/>
      <c r="L665" s="269"/>
      <c r="M665" s="269"/>
      <c r="N665" s="269"/>
      <c r="O665" s="269"/>
      <c r="P665" s="269"/>
      <c r="Q665" s="269"/>
      <c r="R665" s="269"/>
      <c r="S665" s="269"/>
      <c r="T665" s="269"/>
      <c r="U665" s="269"/>
      <c r="V665" s="269"/>
      <c r="W665" s="269"/>
      <c r="X665" s="269"/>
      <c r="Y665" s="269"/>
      <c r="Z665" s="269"/>
    </row>
    <row r="666">
      <c r="A666" s="269" t="str">
        <f>IFERROR(__xludf.DUMMYFUNCTION("""COMPUTED_VALUE"""),"")</f>
        <v/>
      </c>
      <c r="B666" s="269"/>
      <c r="C666" s="269"/>
      <c r="D666" s="269"/>
      <c r="E666" s="269"/>
      <c r="F666" s="269"/>
      <c r="G666" s="269"/>
      <c r="H666" s="269"/>
      <c r="I666" s="269"/>
      <c r="J666" s="269"/>
      <c r="K666" s="269"/>
      <c r="L666" s="269"/>
      <c r="M666" s="269"/>
      <c r="N666" s="269"/>
      <c r="O666" s="269"/>
      <c r="P666" s="269"/>
      <c r="Q666" s="269"/>
      <c r="R666" s="269"/>
      <c r="S666" s="269"/>
      <c r="T666" s="269"/>
      <c r="U666" s="269"/>
      <c r="V666" s="269"/>
      <c r="W666" s="269"/>
      <c r="X666" s="269"/>
      <c r="Y666" s="269"/>
      <c r="Z666" s="269"/>
    </row>
    <row r="667">
      <c r="A667" s="269" t="str">
        <f>IFERROR(__xludf.DUMMYFUNCTION("""COMPUTED_VALUE"""),"")</f>
        <v/>
      </c>
      <c r="B667" s="269"/>
      <c r="C667" s="269"/>
      <c r="D667" s="269"/>
      <c r="E667" s="269"/>
      <c r="F667" s="269"/>
      <c r="G667" s="269"/>
      <c r="H667" s="269"/>
      <c r="I667" s="269"/>
      <c r="J667" s="269"/>
      <c r="K667" s="269"/>
      <c r="L667" s="269"/>
      <c r="M667" s="269"/>
      <c r="N667" s="269"/>
      <c r="O667" s="269"/>
      <c r="P667" s="269"/>
      <c r="Q667" s="269"/>
      <c r="R667" s="269"/>
      <c r="S667" s="269"/>
      <c r="T667" s="269"/>
      <c r="U667" s="269"/>
      <c r="V667" s="269"/>
      <c r="W667" s="269"/>
      <c r="X667" s="269"/>
      <c r="Y667" s="269"/>
      <c r="Z667" s="269"/>
    </row>
    <row r="668">
      <c r="A668" s="269" t="str">
        <f>IFERROR(__xludf.DUMMYFUNCTION("""COMPUTED_VALUE"""),"")</f>
        <v/>
      </c>
      <c r="B668" s="269"/>
      <c r="C668" s="269"/>
      <c r="D668" s="269"/>
      <c r="E668" s="269"/>
      <c r="F668" s="269"/>
      <c r="G668" s="269"/>
      <c r="H668" s="269"/>
      <c r="I668" s="269"/>
      <c r="J668" s="269"/>
      <c r="K668" s="269"/>
      <c r="L668" s="269"/>
      <c r="M668" s="269"/>
      <c r="N668" s="269"/>
      <c r="O668" s="269"/>
      <c r="P668" s="269"/>
      <c r="Q668" s="269"/>
      <c r="R668" s="269"/>
      <c r="S668" s="269"/>
      <c r="T668" s="269"/>
      <c r="U668" s="269"/>
      <c r="V668" s="269"/>
      <c r="W668" s="269"/>
      <c r="X668" s="269"/>
      <c r="Y668" s="269"/>
      <c r="Z668" s="269"/>
    </row>
    <row r="669">
      <c r="A669" s="269" t="str">
        <f>IFERROR(__xludf.DUMMYFUNCTION("""COMPUTED_VALUE"""),"")</f>
        <v/>
      </c>
      <c r="B669" s="269"/>
      <c r="C669" s="269"/>
      <c r="D669" s="269"/>
      <c r="E669" s="269"/>
      <c r="F669" s="269"/>
      <c r="G669" s="269"/>
      <c r="H669" s="269"/>
      <c r="I669" s="269"/>
      <c r="J669" s="269"/>
      <c r="K669" s="269"/>
      <c r="L669" s="269"/>
      <c r="M669" s="269"/>
      <c r="N669" s="269"/>
      <c r="O669" s="269"/>
      <c r="P669" s="269"/>
      <c r="Q669" s="269"/>
      <c r="R669" s="269"/>
      <c r="S669" s="269"/>
      <c r="T669" s="269"/>
      <c r="U669" s="269"/>
      <c r="V669" s="269"/>
      <c r="W669" s="269"/>
      <c r="X669" s="269"/>
      <c r="Y669" s="269"/>
      <c r="Z669" s="269"/>
    </row>
    <row r="670">
      <c r="A670" s="269" t="str">
        <f>IFERROR(__xludf.DUMMYFUNCTION("""COMPUTED_VALUE"""),"")</f>
        <v/>
      </c>
      <c r="B670" s="269"/>
      <c r="C670" s="269"/>
      <c r="D670" s="269"/>
      <c r="E670" s="269"/>
      <c r="F670" s="269"/>
      <c r="G670" s="269"/>
      <c r="H670" s="269"/>
      <c r="I670" s="269"/>
      <c r="J670" s="269"/>
      <c r="K670" s="269"/>
      <c r="L670" s="269"/>
      <c r="M670" s="269"/>
      <c r="N670" s="269"/>
      <c r="O670" s="269"/>
      <c r="P670" s="269"/>
      <c r="Q670" s="269"/>
      <c r="R670" s="269"/>
      <c r="S670" s="269"/>
      <c r="T670" s="269"/>
      <c r="U670" s="269"/>
      <c r="V670" s="269"/>
      <c r="W670" s="269"/>
      <c r="X670" s="269"/>
      <c r="Y670" s="269"/>
      <c r="Z670" s="269"/>
    </row>
    <row r="671">
      <c r="A671" s="269" t="str">
        <f>IFERROR(__xludf.DUMMYFUNCTION("""COMPUTED_VALUE"""),"")</f>
        <v/>
      </c>
      <c r="B671" s="269"/>
      <c r="C671" s="269"/>
      <c r="D671" s="269"/>
      <c r="E671" s="269"/>
      <c r="F671" s="269"/>
      <c r="G671" s="269"/>
      <c r="H671" s="269"/>
      <c r="I671" s="269"/>
      <c r="J671" s="269"/>
      <c r="K671" s="269"/>
      <c r="L671" s="269"/>
      <c r="M671" s="269"/>
      <c r="N671" s="269"/>
      <c r="O671" s="269"/>
      <c r="P671" s="269"/>
      <c r="Q671" s="269"/>
      <c r="R671" s="269"/>
      <c r="S671" s="269"/>
      <c r="T671" s="269"/>
      <c r="U671" s="269"/>
      <c r="V671" s="269"/>
      <c r="W671" s="269"/>
      <c r="X671" s="269"/>
      <c r="Y671" s="269"/>
      <c r="Z671" s="269"/>
    </row>
    <row r="672">
      <c r="A672" s="269" t="str">
        <f>IFERROR(__xludf.DUMMYFUNCTION("""COMPUTED_VALUE"""),"")</f>
        <v/>
      </c>
      <c r="B672" s="269"/>
      <c r="C672" s="269"/>
      <c r="D672" s="269"/>
      <c r="E672" s="269"/>
      <c r="F672" s="269"/>
      <c r="G672" s="269"/>
      <c r="H672" s="269"/>
      <c r="I672" s="269"/>
      <c r="J672" s="269"/>
      <c r="K672" s="269"/>
      <c r="L672" s="269"/>
      <c r="M672" s="269"/>
      <c r="N672" s="269"/>
      <c r="O672" s="269"/>
      <c r="P672" s="269"/>
      <c r="Q672" s="269"/>
      <c r="R672" s="269"/>
      <c r="S672" s="269"/>
      <c r="T672" s="269"/>
      <c r="U672" s="269"/>
      <c r="V672" s="269"/>
      <c r="W672" s="269"/>
      <c r="X672" s="269"/>
      <c r="Y672" s="269"/>
      <c r="Z672" s="269"/>
    </row>
    <row r="673">
      <c r="A673" s="269" t="str">
        <f>IFERROR(__xludf.DUMMYFUNCTION("""COMPUTED_VALUE"""),"")</f>
        <v/>
      </c>
      <c r="B673" s="269"/>
      <c r="C673" s="269"/>
      <c r="D673" s="269"/>
      <c r="E673" s="269"/>
      <c r="F673" s="269"/>
      <c r="G673" s="269"/>
      <c r="H673" s="269"/>
      <c r="I673" s="269"/>
      <c r="J673" s="269"/>
      <c r="K673" s="269"/>
      <c r="L673" s="269"/>
      <c r="M673" s="269"/>
      <c r="N673" s="269"/>
      <c r="O673" s="269"/>
      <c r="P673" s="269"/>
      <c r="Q673" s="269"/>
      <c r="R673" s="269"/>
      <c r="S673" s="269"/>
      <c r="T673" s="269"/>
      <c r="U673" s="269"/>
      <c r="V673" s="269"/>
      <c r="W673" s="269"/>
      <c r="X673" s="269"/>
      <c r="Y673" s="269"/>
      <c r="Z673" s="269"/>
    </row>
    <row r="674">
      <c r="A674" s="269" t="str">
        <f>IFERROR(__xludf.DUMMYFUNCTION("""COMPUTED_VALUE"""),"")</f>
        <v/>
      </c>
      <c r="B674" s="269"/>
      <c r="C674" s="269"/>
      <c r="D674" s="269"/>
      <c r="E674" s="269"/>
      <c r="F674" s="269"/>
      <c r="G674" s="269"/>
      <c r="H674" s="269"/>
      <c r="I674" s="269"/>
      <c r="J674" s="269"/>
      <c r="K674" s="269"/>
      <c r="L674" s="269"/>
      <c r="M674" s="269"/>
      <c r="N674" s="269"/>
      <c r="O674" s="269"/>
      <c r="P674" s="269"/>
      <c r="Q674" s="269"/>
      <c r="R674" s="269"/>
      <c r="S674" s="269"/>
      <c r="T674" s="269"/>
      <c r="U674" s="269"/>
      <c r="V674" s="269"/>
      <c r="W674" s="269"/>
      <c r="X674" s="269"/>
      <c r="Y674" s="269"/>
      <c r="Z674" s="269"/>
    </row>
    <row r="675">
      <c r="A675" s="269" t="str">
        <f>IFERROR(__xludf.DUMMYFUNCTION("""COMPUTED_VALUE"""),"")</f>
        <v/>
      </c>
      <c r="B675" s="269"/>
      <c r="C675" s="269"/>
      <c r="D675" s="269"/>
      <c r="E675" s="269"/>
      <c r="F675" s="269"/>
      <c r="G675" s="269"/>
      <c r="H675" s="269"/>
      <c r="I675" s="269"/>
      <c r="J675" s="269"/>
      <c r="K675" s="269"/>
      <c r="L675" s="269"/>
      <c r="M675" s="269"/>
      <c r="N675" s="269"/>
      <c r="O675" s="269"/>
      <c r="P675" s="269"/>
      <c r="Q675" s="269"/>
      <c r="R675" s="269"/>
      <c r="S675" s="269"/>
      <c r="T675" s="269"/>
      <c r="U675" s="269"/>
      <c r="V675" s="269"/>
      <c r="W675" s="269"/>
      <c r="X675" s="269"/>
      <c r="Y675" s="269"/>
      <c r="Z675" s="269"/>
    </row>
    <row r="676">
      <c r="A676" s="269" t="str">
        <f>IFERROR(__xludf.DUMMYFUNCTION("""COMPUTED_VALUE"""),"")</f>
        <v/>
      </c>
      <c r="B676" s="269"/>
      <c r="C676" s="269"/>
      <c r="D676" s="269"/>
      <c r="E676" s="269"/>
      <c r="F676" s="269"/>
      <c r="G676" s="269"/>
      <c r="H676" s="269"/>
      <c r="I676" s="269"/>
      <c r="J676" s="269"/>
      <c r="K676" s="269"/>
      <c r="L676" s="269"/>
      <c r="M676" s="269"/>
      <c r="N676" s="269"/>
      <c r="O676" s="269"/>
      <c r="P676" s="269"/>
      <c r="Q676" s="269"/>
      <c r="R676" s="269"/>
      <c r="S676" s="269"/>
      <c r="T676" s="269"/>
      <c r="U676" s="269"/>
      <c r="V676" s="269"/>
      <c r="W676" s="269"/>
      <c r="X676" s="269"/>
      <c r="Y676" s="269"/>
      <c r="Z676" s="269"/>
    </row>
    <row r="677">
      <c r="A677" s="269" t="str">
        <f>IFERROR(__xludf.DUMMYFUNCTION("""COMPUTED_VALUE"""),"")</f>
        <v/>
      </c>
      <c r="B677" s="269"/>
      <c r="C677" s="269"/>
      <c r="D677" s="269"/>
      <c r="E677" s="269"/>
      <c r="F677" s="269"/>
      <c r="G677" s="269"/>
      <c r="H677" s="269"/>
      <c r="I677" s="269"/>
      <c r="J677" s="269"/>
      <c r="K677" s="269"/>
      <c r="L677" s="269"/>
      <c r="M677" s="269"/>
      <c r="N677" s="269"/>
      <c r="O677" s="269"/>
      <c r="P677" s="269"/>
      <c r="Q677" s="269"/>
      <c r="R677" s="269"/>
      <c r="S677" s="269"/>
      <c r="T677" s="269"/>
      <c r="U677" s="269"/>
      <c r="V677" s="269"/>
      <c r="W677" s="269"/>
      <c r="X677" s="269"/>
      <c r="Y677" s="269"/>
      <c r="Z677" s="269"/>
    </row>
    <row r="678">
      <c r="A678" s="269" t="str">
        <f>IFERROR(__xludf.DUMMYFUNCTION("""COMPUTED_VALUE"""),"")</f>
        <v/>
      </c>
      <c r="B678" s="269"/>
      <c r="C678" s="269"/>
      <c r="D678" s="269"/>
      <c r="E678" s="269"/>
      <c r="F678" s="269"/>
      <c r="G678" s="269"/>
      <c r="H678" s="269"/>
      <c r="I678" s="269"/>
      <c r="J678" s="269"/>
      <c r="K678" s="269"/>
      <c r="L678" s="269"/>
      <c r="M678" s="269"/>
      <c r="N678" s="269"/>
      <c r="O678" s="269"/>
      <c r="P678" s="269"/>
      <c r="Q678" s="269"/>
      <c r="R678" s="269"/>
      <c r="S678" s="269"/>
      <c r="T678" s="269"/>
      <c r="U678" s="269"/>
      <c r="V678" s="269"/>
      <c r="W678" s="269"/>
      <c r="X678" s="269"/>
      <c r="Y678" s="269"/>
      <c r="Z678" s="269"/>
    </row>
    <row r="679">
      <c r="A679" s="269" t="str">
        <f>IFERROR(__xludf.DUMMYFUNCTION("""COMPUTED_VALUE"""),"")</f>
        <v/>
      </c>
      <c r="B679" s="269"/>
      <c r="C679" s="269"/>
      <c r="D679" s="269"/>
      <c r="E679" s="269"/>
      <c r="F679" s="269"/>
      <c r="G679" s="269"/>
      <c r="H679" s="269"/>
      <c r="I679" s="269"/>
      <c r="J679" s="269"/>
      <c r="K679" s="269"/>
      <c r="L679" s="269"/>
      <c r="M679" s="269"/>
      <c r="N679" s="269"/>
      <c r="O679" s="269"/>
      <c r="P679" s="269"/>
      <c r="Q679" s="269"/>
      <c r="R679" s="269"/>
      <c r="S679" s="269"/>
      <c r="T679" s="269"/>
      <c r="U679" s="269"/>
      <c r="V679" s="269"/>
      <c r="W679" s="269"/>
      <c r="X679" s="269"/>
      <c r="Y679" s="269"/>
      <c r="Z679" s="269"/>
    </row>
    <row r="680">
      <c r="A680" s="269" t="str">
        <f>IFERROR(__xludf.DUMMYFUNCTION("""COMPUTED_VALUE"""),"")</f>
        <v/>
      </c>
      <c r="B680" s="269"/>
      <c r="C680" s="269"/>
      <c r="D680" s="269"/>
      <c r="E680" s="269"/>
      <c r="F680" s="269"/>
      <c r="G680" s="269"/>
      <c r="H680" s="269"/>
      <c r="I680" s="269"/>
      <c r="J680" s="269"/>
      <c r="K680" s="269"/>
      <c r="L680" s="269"/>
      <c r="M680" s="269"/>
      <c r="N680" s="269"/>
      <c r="O680" s="269"/>
      <c r="P680" s="269"/>
      <c r="Q680" s="269"/>
      <c r="R680" s="269"/>
      <c r="S680" s="269"/>
      <c r="T680" s="269"/>
      <c r="U680" s="269"/>
      <c r="V680" s="269"/>
      <c r="W680" s="269"/>
      <c r="X680" s="269"/>
      <c r="Y680" s="269"/>
      <c r="Z680" s="269"/>
    </row>
    <row r="681">
      <c r="A681" s="269" t="str">
        <f>IFERROR(__xludf.DUMMYFUNCTION("""COMPUTED_VALUE"""),"")</f>
        <v/>
      </c>
      <c r="B681" s="269"/>
      <c r="C681" s="269"/>
      <c r="D681" s="269"/>
      <c r="E681" s="269"/>
      <c r="F681" s="269"/>
      <c r="G681" s="269"/>
      <c r="H681" s="269"/>
      <c r="I681" s="269"/>
      <c r="J681" s="269"/>
      <c r="K681" s="269"/>
      <c r="L681" s="269"/>
      <c r="M681" s="269"/>
      <c r="N681" s="269"/>
      <c r="O681" s="269"/>
      <c r="P681" s="269"/>
      <c r="Q681" s="269"/>
      <c r="R681" s="269"/>
      <c r="S681" s="269"/>
      <c r="T681" s="269"/>
      <c r="U681" s="269"/>
      <c r="V681" s="269"/>
      <c r="W681" s="269"/>
      <c r="X681" s="269"/>
      <c r="Y681" s="269"/>
      <c r="Z681" s="269"/>
    </row>
    <row r="682">
      <c r="A682" s="269" t="str">
        <f>IFERROR(__xludf.DUMMYFUNCTION("""COMPUTED_VALUE"""),"")</f>
        <v/>
      </c>
      <c r="B682" s="269"/>
      <c r="C682" s="269"/>
      <c r="D682" s="269"/>
      <c r="E682" s="269"/>
      <c r="F682" s="269"/>
      <c r="G682" s="269"/>
      <c r="H682" s="269"/>
      <c r="I682" s="269"/>
      <c r="J682" s="269"/>
      <c r="K682" s="269"/>
      <c r="L682" s="269"/>
      <c r="M682" s="269"/>
      <c r="N682" s="269"/>
      <c r="O682" s="269"/>
      <c r="P682" s="269"/>
      <c r="Q682" s="269"/>
      <c r="R682" s="269"/>
      <c r="S682" s="269"/>
      <c r="T682" s="269"/>
      <c r="U682" s="269"/>
      <c r="V682" s="269"/>
      <c r="W682" s="269"/>
      <c r="X682" s="269"/>
      <c r="Y682" s="269"/>
      <c r="Z682" s="269"/>
    </row>
    <row r="683">
      <c r="A683" s="269" t="str">
        <f>IFERROR(__xludf.DUMMYFUNCTION("""COMPUTED_VALUE"""),"")</f>
        <v/>
      </c>
      <c r="B683" s="269"/>
      <c r="C683" s="269"/>
      <c r="D683" s="269"/>
      <c r="E683" s="269"/>
      <c r="F683" s="269"/>
      <c r="G683" s="269"/>
      <c r="H683" s="269"/>
      <c r="I683" s="269"/>
      <c r="J683" s="269"/>
      <c r="K683" s="269"/>
      <c r="L683" s="269"/>
      <c r="M683" s="269"/>
      <c r="N683" s="269"/>
      <c r="O683" s="269"/>
      <c r="P683" s="269"/>
      <c r="Q683" s="269"/>
      <c r="R683" s="269"/>
      <c r="S683" s="269"/>
      <c r="T683" s="269"/>
      <c r="U683" s="269"/>
      <c r="V683" s="269"/>
      <c r="W683" s="269"/>
      <c r="X683" s="269"/>
      <c r="Y683" s="269"/>
      <c r="Z683" s="269"/>
    </row>
    <row r="684">
      <c r="A684" s="269" t="str">
        <f>IFERROR(__xludf.DUMMYFUNCTION("""COMPUTED_VALUE"""),"")</f>
        <v/>
      </c>
      <c r="B684" s="269"/>
      <c r="C684" s="269"/>
      <c r="D684" s="269"/>
      <c r="E684" s="269"/>
      <c r="F684" s="269"/>
      <c r="G684" s="269"/>
      <c r="H684" s="269"/>
      <c r="I684" s="269"/>
      <c r="J684" s="269"/>
      <c r="K684" s="269"/>
      <c r="L684" s="269"/>
      <c r="M684" s="269"/>
      <c r="N684" s="269"/>
      <c r="O684" s="269"/>
      <c r="P684" s="269"/>
      <c r="Q684" s="269"/>
      <c r="R684" s="269"/>
      <c r="S684" s="269"/>
      <c r="T684" s="269"/>
      <c r="U684" s="269"/>
      <c r="V684" s="269"/>
      <c r="W684" s="269"/>
      <c r="X684" s="269"/>
      <c r="Y684" s="269"/>
      <c r="Z684" s="269"/>
    </row>
    <row r="685">
      <c r="A685" s="269" t="str">
        <f>IFERROR(__xludf.DUMMYFUNCTION("""COMPUTED_VALUE"""),"")</f>
        <v/>
      </c>
      <c r="B685" s="269"/>
      <c r="C685" s="269"/>
      <c r="D685" s="269"/>
      <c r="E685" s="269"/>
      <c r="F685" s="269"/>
      <c r="G685" s="269"/>
      <c r="H685" s="269"/>
      <c r="I685" s="269"/>
      <c r="J685" s="269"/>
      <c r="K685" s="269"/>
      <c r="L685" s="269"/>
      <c r="M685" s="269"/>
      <c r="N685" s="269"/>
      <c r="O685" s="269"/>
      <c r="P685" s="269"/>
      <c r="Q685" s="269"/>
      <c r="R685" s="269"/>
      <c r="S685" s="269"/>
      <c r="T685" s="269"/>
      <c r="U685" s="269"/>
      <c r="V685" s="269"/>
      <c r="W685" s="269"/>
      <c r="X685" s="269"/>
      <c r="Y685" s="269"/>
      <c r="Z685" s="269"/>
    </row>
    <row r="686">
      <c r="A686" s="269" t="str">
        <f>IFERROR(__xludf.DUMMYFUNCTION("""COMPUTED_VALUE"""),"")</f>
        <v/>
      </c>
      <c r="B686" s="269"/>
      <c r="C686" s="269"/>
      <c r="D686" s="269"/>
      <c r="E686" s="269"/>
      <c r="F686" s="269"/>
      <c r="G686" s="269"/>
      <c r="H686" s="269"/>
      <c r="I686" s="269"/>
      <c r="J686" s="269"/>
      <c r="K686" s="269"/>
      <c r="L686" s="269"/>
      <c r="M686" s="269"/>
      <c r="N686" s="269"/>
      <c r="O686" s="269"/>
      <c r="P686" s="269"/>
      <c r="Q686" s="269"/>
      <c r="R686" s="269"/>
      <c r="S686" s="269"/>
      <c r="T686" s="269"/>
      <c r="U686" s="269"/>
      <c r="V686" s="269"/>
      <c r="W686" s="269"/>
      <c r="X686" s="269"/>
      <c r="Y686" s="269"/>
      <c r="Z686" s="269"/>
    </row>
    <row r="687">
      <c r="A687" s="269" t="str">
        <f>IFERROR(__xludf.DUMMYFUNCTION("""COMPUTED_VALUE"""),"")</f>
        <v/>
      </c>
      <c r="B687" s="269"/>
      <c r="C687" s="269"/>
      <c r="D687" s="269"/>
      <c r="E687" s="269"/>
      <c r="F687" s="269"/>
      <c r="G687" s="269"/>
      <c r="H687" s="269"/>
      <c r="I687" s="269"/>
      <c r="J687" s="269"/>
      <c r="K687" s="269"/>
      <c r="L687" s="269"/>
      <c r="M687" s="269"/>
      <c r="N687" s="269"/>
      <c r="O687" s="269"/>
      <c r="P687" s="269"/>
      <c r="Q687" s="269"/>
      <c r="R687" s="269"/>
      <c r="S687" s="269"/>
      <c r="T687" s="269"/>
      <c r="U687" s="269"/>
      <c r="V687" s="269"/>
      <c r="W687" s="269"/>
      <c r="X687" s="269"/>
      <c r="Y687" s="269"/>
      <c r="Z687" s="269"/>
    </row>
    <row r="688">
      <c r="A688" s="269" t="str">
        <f>IFERROR(__xludf.DUMMYFUNCTION("""COMPUTED_VALUE"""),"")</f>
        <v/>
      </c>
      <c r="B688" s="269"/>
      <c r="C688" s="269"/>
      <c r="D688" s="269"/>
      <c r="E688" s="269"/>
      <c r="F688" s="269"/>
      <c r="G688" s="269"/>
      <c r="H688" s="269"/>
      <c r="I688" s="269"/>
      <c r="J688" s="269"/>
      <c r="K688" s="269"/>
      <c r="L688" s="269"/>
      <c r="M688" s="269"/>
      <c r="N688" s="269"/>
      <c r="O688" s="269"/>
      <c r="P688" s="269"/>
      <c r="Q688" s="269"/>
      <c r="R688" s="269"/>
      <c r="S688" s="269"/>
      <c r="T688" s="269"/>
      <c r="U688" s="269"/>
      <c r="V688" s="269"/>
      <c r="W688" s="269"/>
      <c r="X688" s="269"/>
      <c r="Y688" s="269"/>
      <c r="Z688" s="269"/>
    </row>
    <row r="689">
      <c r="A689" s="269" t="str">
        <f>IFERROR(__xludf.DUMMYFUNCTION("""COMPUTED_VALUE"""),"")</f>
        <v/>
      </c>
      <c r="B689" s="269"/>
      <c r="C689" s="269"/>
      <c r="D689" s="269"/>
      <c r="E689" s="269"/>
      <c r="F689" s="269"/>
      <c r="G689" s="269"/>
      <c r="H689" s="269"/>
      <c r="I689" s="269"/>
      <c r="J689" s="269"/>
      <c r="K689" s="269"/>
      <c r="L689" s="269"/>
      <c r="M689" s="269"/>
      <c r="N689" s="269"/>
      <c r="O689" s="269"/>
      <c r="P689" s="269"/>
      <c r="Q689" s="269"/>
      <c r="R689" s="269"/>
      <c r="S689" s="269"/>
      <c r="T689" s="269"/>
      <c r="U689" s="269"/>
      <c r="V689" s="269"/>
      <c r="W689" s="269"/>
      <c r="X689" s="269"/>
      <c r="Y689" s="269"/>
      <c r="Z689" s="269"/>
    </row>
    <row r="690">
      <c r="A690" s="269" t="str">
        <f>IFERROR(__xludf.DUMMYFUNCTION("""COMPUTED_VALUE"""),"")</f>
        <v/>
      </c>
      <c r="B690" s="269"/>
      <c r="C690" s="269"/>
      <c r="D690" s="269"/>
      <c r="E690" s="269"/>
      <c r="F690" s="269"/>
      <c r="G690" s="269"/>
      <c r="H690" s="269"/>
      <c r="I690" s="269"/>
      <c r="J690" s="269"/>
      <c r="K690" s="269"/>
      <c r="L690" s="269"/>
      <c r="M690" s="269"/>
      <c r="N690" s="269"/>
      <c r="O690" s="269"/>
      <c r="P690" s="269"/>
      <c r="Q690" s="269"/>
      <c r="R690" s="269"/>
      <c r="S690" s="269"/>
      <c r="T690" s="269"/>
      <c r="U690" s="269"/>
      <c r="V690" s="269"/>
      <c r="W690" s="269"/>
      <c r="X690" s="269"/>
      <c r="Y690" s="269"/>
      <c r="Z690" s="269"/>
    </row>
    <row r="691">
      <c r="A691" s="269" t="str">
        <f>IFERROR(__xludf.DUMMYFUNCTION("""COMPUTED_VALUE"""),"")</f>
        <v/>
      </c>
      <c r="B691" s="269"/>
      <c r="C691" s="269"/>
      <c r="D691" s="269"/>
      <c r="E691" s="269"/>
      <c r="F691" s="269"/>
      <c r="G691" s="269"/>
      <c r="H691" s="269"/>
      <c r="I691" s="269"/>
      <c r="J691" s="269"/>
      <c r="K691" s="269"/>
      <c r="L691" s="269"/>
      <c r="M691" s="269"/>
      <c r="N691" s="269"/>
      <c r="O691" s="269"/>
      <c r="P691" s="269"/>
      <c r="Q691" s="269"/>
      <c r="R691" s="269"/>
      <c r="S691" s="269"/>
      <c r="T691" s="269"/>
      <c r="U691" s="269"/>
      <c r="V691" s="269"/>
      <c r="W691" s="269"/>
      <c r="X691" s="269"/>
      <c r="Y691" s="269"/>
      <c r="Z691" s="269"/>
    </row>
    <row r="692">
      <c r="A692" s="269" t="str">
        <f>IFERROR(__xludf.DUMMYFUNCTION("""COMPUTED_VALUE"""),"")</f>
        <v/>
      </c>
      <c r="B692" s="269"/>
      <c r="C692" s="269"/>
      <c r="D692" s="269"/>
      <c r="E692" s="269"/>
      <c r="F692" s="269"/>
      <c r="G692" s="269"/>
      <c r="H692" s="269"/>
      <c r="I692" s="269"/>
      <c r="J692" s="269"/>
      <c r="K692" s="269"/>
      <c r="L692" s="269"/>
      <c r="M692" s="269"/>
      <c r="N692" s="269"/>
      <c r="O692" s="269"/>
      <c r="P692" s="269"/>
      <c r="Q692" s="269"/>
      <c r="R692" s="269"/>
      <c r="S692" s="269"/>
      <c r="T692" s="269"/>
      <c r="U692" s="269"/>
      <c r="V692" s="269"/>
      <c r="W692" s="269"/>
      <c r="X692" s="269"/>
      <c r="Y692" s="269"/>
      <c r="Z692" s="269"/>
    </row>
    <row r="693">
      <c r="A693" s="269" t="str">
        <f>IFERROR(__xludf.DUMMYFUNCTION("""COMPUTED_VALUE"""),"")</f>
        <v/>
      </c>
      <c r="B693" s="269"/>
      <c r="C693" s="269"/>
      <c r="D693" s="269"/>
      <c r="E693" s="269"/>
      <c r="F693" s="269"/>
      <c r="G693" s="269"/>
      <c r="H693" s="269"/>
      <c r="I693" s="269"/>
      <c r="J693" s="269"/>
      <c r="K693" s="269"/>
      <c r="L693" s="269"/>
      <c r="M693" s="269"/>
      <c r="N693" s="269"/>
      <c r="O693" s="269"/>
      <c r="P693" s="269"/>
      <c r="Q693" s="269"/>
      <c r="R693" s="269"/>
      <c r="S693" s="269"/>
      <c r="T693" s="269"/>
      <c r="U693" s="269"/>
      <c r="V693" s="269"/>
      <c r="W693" s="269"/>
      <c r="X693" s="269"/>
      <c r="Y693" s="269"/>
      <c r="Z693" s="269"/>
    </row>
    <row r="694">
      <c r="A694" s="269" t="str">
        <f>IFERROR(__xludf.DUMMYFUNCTION("""COMPUTED_VALUE"""),"")</f>
        <v/>
      </c>
      <c r="B694" s="269"/>
      <c r="C694" s="269"/>
      <c r="D694" s="269"/>
      <c r="E694" s="269"/>
      <c r="F694" s="269"/>
      <c r="G694" s="269"/>
      <c r="H694" s="269"/>
      <c r="I694" s="269"/>
      <c r="J694" s="269"/>
      <c r="K694" s="269"/>
      <c r="L694" s="269"/>
      <c r="M694" s="269"/>
      <c r="N694" s="269"/>
      <c r="O694" s="269"/>
      <c r="P694" s="269"/>
      <c r="Q694" s="269"/>
      <c r="R694" s="269"/>
      <c r="S694" s="269"/>
      <c r="T694" s="269"/>
      <c r="U694" s="269"/>
      <c r="V694" s="269"/>
      <c r="W694" s="269"/>
      <c r="X694" s="269"/>
      <c r="Y694" s="269"/>
      <c r="Z694" s="269"/>
    </row>
    <row r="695">
      <c r="A695" s="269" t="str">
        <f>IFERROR(__xludf.DUMMYFUNCTION("""COMPUTED_VALUE"""),"")</f>
        <v/>
      </c>
      <c r="B695" s="269"/>
      <c r="C695" s="269"/>
      <c r="D695" s="269"/>
      <c r="E695" s="269"/>
      <c r="F695" s="269"/>
      <c r="G695" s="269"/>
      <c r="H695" s="269"/>
      <c r="I695" s="269"/>
      <c r="J695" s="269"/>
      <c r="K695" s="269"/>
      <c r="L695" s="269"/>
      <c r="M695" s="269"/>
      <c r="N695" s="269"/>
      <c r="O695" s="269"/>
      <c r="P695" s="269"/>
      <c r="Q695" s="269"/>
      <c r="R695" s="269"/>
      <c r="S695" s="269"/>
      <c r="T695" s="269"/>
      <c r="U695" s="269"/>
      <c r="V695" s="269"/>
      <c r="W695" s="269"/>
      <c r="X695" s="269"/>
      <c r="Y695" s="269"/>
      <c r="Z695" s="269"/>
    </row>
    <row r="696">
      <c r="A696" s="269" t="str">
        <f>IFERROR(__xludf.DUMMYFUNCTION("""COMPUTED_VALUE"""),"")</f>
        <v/>
      </c>
      <c r="B696" s="269"/>
      <c r="C696" s="269"/>
      <c r="D696" s="269"/>
      <c r="E696" s="269"/>
      <c r="F696" s="269"/>
      <c r="G696" s="269"/>
      <c r="H696" s="269"/>
      <c r="I696" s="269"/>
      <c r="J696" s="269"/>
      <c r="K696" s="269"/>
      <c r="L696" s="269"/>
      <c r="M696" s="269"/>
      <c r="N696" s="269"/>
      <c r="O696" s="269"/>
      <c r="P696" s="269"/>
      <c r="Q696" s="269"/>
      <c r="R696" s="269"/>
      <c r="S696" s="269"/>
      <c r="T696" s="269"/>
      <c r="U696" s="269"/>
      <c r="V696" s="269"/>
      <c r="W696" s="269"/>
      <c r="X696" s="269"/>
      <c r="Y696" s="269"/>
      <c r="Z696" s="269"/>
    </row>
    <row r="697">
      <c r="A697" s="269" t="str">
        <f>IFERROR(__xludf.DUMMYFUNCTION("""COMPUTED_VALUE"""),"")</f>
        <v/>
      </c>
      <c r="B697" s="269"/>
      <c r="C697" s="269"/>
      <c r="D697" s="269"/>
      <c r="E697" s="269"/>
      <c r="F697" s="269"/>
      <c r="G697" s="269"/>
      <c r="H697" s="269"/>
      <c r="I697" s="269"/>
      <c r="J697" s="269"/>
      <c r="K697" s="269"/>
      <c r="L697" s="269"/>
      <c r="M697" s="269"/>
      <c r="N697" s="269"/>
      <c r="O697" s="269"/>
      <c r="P697" s="269"/>
      <c r="Q697" s="269"/>
      <c r="R697" s="269"/>
      <c r="S697" s="269"/>
      <c r="T697" s="269"/>
      <c r="U697" s="269"/>
      <c r="V697" s="269"/>
      <c r="W697" s="269"/>
      <c r="X697" s="269"/>
      <c r="Y697" s="269"/>
      <c r="Z697" s="269"/>
    </row>
    <row r="698">
      <c r="A698" s="269" t="str">
        <f>IFERROR(__xludf.DUMMYFUNCTION("""COMPUTED_VALUE"""),"")</f>
        <v/>
      </c>
      <c r="B698" s="269"/>
      <c r="C698" s="269"/>
      <c r="D698" s="269"/>
      <c r="E698" s="269"/>
      <c r="F698" s="269"/>
      <c r="G698" s="269"/>
      <c r="H698" s="269"/>
      <c r="I698" s="269"/>
      <c r="J698" s="269"/>
      <c r="K698" s="269"/>
      <c r="L698" s="269"/>
      <c r="M698" s="269"/>
      <c r="N698" s="269"/>
      <c r="O698" s="269"/>
      <c r="P698" s="269"/>
      <c r="Q698" s="269"/>
      <c r="R698" s="269"/>
      <c r="S698" s="269"/>
      <c r="T698" s="269"/>
      <c r="U698" s="269"/>
      <c r="V698" s="269"/>
      <c r="W698" s="269"/>
      <c r="X698" s="269"/>
      <c r="Y698" s="269"/>
      <c r="Z698" s="269"/>
    </row>
    <row r="699">
      <c r="A699" s="269" t="str">
        <f>IFERROR(__xludf.DUMMYFUNCTION("""COMPUTED_VALUE"""),"")</f>
        <v/>
      </c>
      <c r="B699" s="269"/>
      <c r="C699" s="269"/>
      <c r="D699" s="269"/>
      <c r="E699" s="269"/>
      <c r="F699" s="269"/>
      <c r="G699" s="269"/>
      <c r="H699" s="269"/>
      <c r="I699" s="269"/>
      <c r="J699" s="269"/>
      <c r="K699" s="269"/>
      <c r="L699" s="269"/>
      <c r="M699" s="269"/>
      <c r="N699" s="269"/>
      <c r="O699" s="269"/>
      <c r="P699" s="269"/>
      <c r="Q699" s="269"/>
      <c r="R699" s="269"/>
      <c r="S699" s="269"/>
      <c r="T699" s="269"/>
      <c r="U699" s="269"/>
      <c r="V699" s="269"/>
      <c r="W699" s="269"/>
      <c r="X699" s="269"/>
      <c r="Y699" s="269"/>
      <c r="Z699" s="269"/>
    </row>
    <row r="700">
      <c r="A700" s="269" t="str">
        <f>IFERROR(__xludf.DUMMYFUNCTION("""COMPUTED_VALUE"""),"")</f>
        <v/>
      </c>
      <c r="B700" s="269"/>
      <c r="C700" s="269"/>
      <c r="D700" s="269"/>
      <c r="E700" s="269"/>
      <c r="F700" s="269"/>
      <c r="G700" s="269"/>
      <c r="H700" s="269"/>
      <c r="I700" s="269"/>
      <c r="J700" s="269"/>
      <c r="K700" s="269"/>
      <c r="L700" s="269"/>
      <c r="M700" s="269"/>
      <c r="N700" s="269"/>
      <c r="O700" s="269"/>
      <c r="P700" s="269"/>
      <c r="Q700" s="269"/>
      <c r="R700" s="269"/>
      <c r="S700" s="269"/>
      <c r="T700" s="269"/>
      <c r="U700" s="269"/>
      <c r="V700" s="269"/>
      <c r="W700" s="269"/>
      <c r="X700" s="269"/>
      <c r="Y700" s="269"/>
      <c r="Z700" s="269"/>
    </row>
    <row r="701">
      <c r="A701" s="269" t="str">
        <f>IFERROR(__xludf.DUMMYFUNCTION("""COMPUTED_VALUE"""),"")</f>
        <v/>
      </c>
      <c r="B701" s="269"/>
      <c r="C701" s="269"/>
      <c r="D701" s="269"/>
      <c r="E701" s="269"/>
      <c r="F701" s="269"/>
      <c r="G701" s="269"/>
      <c r="H701" s="269"/>
      <c r="I701" s="269"/>
      <c r="J701" s="269"/>
      <c r="K701" s="269"/>
      <c r="L701" s="269"/>
      <c r="M701" s="269"/>
      <c r="N701" s="269"/>
      <c r="O701" s="269"/>
      <c r="P701" s="269"/>
      <c r="Q701" s="269"/>
      <c r="R701" s="269"/>
      <c r="S701" s="269"/>
      <c r="T701" s="269"/>
      <c r="U701" s="269"/>
      <c r="V701" s="269"/>
      <c r="W701" s="269"/>
      <c r="X701" s="269"/>
      <c r="Y701" s="269"/>
      <c r="Z701" s="269"/>
    </row>
    <row r="702">
      <c r="A702" s="269" t="str">
        <f>IFERROR(__xludf.DUMMYFUNCTION("""COMPUTED_VALUE"""),"")</f>
        <v/>
      </c>
      <c r="B702" s="269"/>
      <c r="C702" s="269"/>
      <c r="D702" s="269"/>
      <c r="E702" s="269"/>
      <c r="F702" s="269"/>
      <c r="G702" s="269"/>
      <c r="H702" s="269"/>
      <c r="I702" s="269"/>
      <c r="J702" s="269"/>
      <c r="K702" s="269"/>
      <c r="L702" s="269"/>
      <c r="M702" s="269"/>
      <c r="N702" s="269"/>
      <c r="O702" s="269"/>
      <c r="P702" s="269"/>
      <c r="Q702" s="269"/>
      <c r="R702" s="269"/>
      <c r="S702" s="269"/>
      <c r="T702" s="269"/>
      <c r="U702" s="269"/>
      <c r="V702" s="269"/>
      <c r="W702" s="269"/>
      <c r="X702" s="269"/>
      <c r="Y702" s="269"/>
      <c r="Z702" s="269"/>
    </row>
    <row r="703">
      <c r="A703" s="269" t="str">
        <f>IFERROR(__xludf.DUMMYFUNCTION("""COMPUTED_VALUE"""),"")</f>
        <v/>
      </c>
      <c r="B703" s="269"/>
      <c r="C703" s="269"/>
      <c r="D703" s="269"/>
      <c r="E703" s="269"/>
      <c r="F703" s="269"/>
      <c r="G703" s="269"/>
      <c r="H703" s="269"/>
      <c r="I703" s="269"/>
      <c r="J703" s="269"/>
      <c r="K703" s="269"/>
      <c r="L703" s="269"/>
      <c r="M703" s="269"/>
      <c r="N703" s="269"/>
      <c r="O703" s="269"/>
      <c r="P703" s="269"/>
      <c r="Q703" s="269"/>
      <c r="R703" s="269"/>
      <c r="S703" s="269"/>
      <c r="T703" s="269"/>
      <c r="U703" s="269"/>
      <c r="V703" s="269"/>
      <c r="W703" s="269"/>
      <c r="X703" s="269"/>
      <c r="Y703" s="269"/>
      <c r="Z703" s="269"/>
    </row>
    <row r="704">
      <c r="A704" s="269" t="str">
        <f>IFERROR(__xludf.DUMMYFUNCTION("""COMPUTED_VALUE"""),"")</f>
        <v/>
      </c>
      <c r="B704" s="269"/>
      <c r="C704" s="269"/>
      <c r="D704" s="269"/>
      <c r="E704" s="269"/>
      <c r="F704" s="269"/>
      <c r="G704" s="269"/>
      <c r="H704" s="269"/>
      <c r="I704" s="269"/>
      <c r="J704" s="269"/>
      <c r="K704" s="269"/>
      <c r="L704" s="269"/>
      <c r="M704" s="269"/>
      <c r="N704" s="269"/>
      <c r="O704" s="269"/>
      <c r="P704" s="269"/>
      <c r="Q704" s="269"/>
      <c r="R704" s="269"/>
      <c r="S704" s="269"/>
      <c r="T704" s="269"/>
      <c r="U704" s="269"/>
      <c r="V704" s="269"/>
      <c r="W704" s="269"/>
      <c r="X704" s="269"/>
      <c r="Y704" s="269"/>
      <c r="Z704" s="269"/>
    </row>
    <row r="705">
      <c r="A705" s="269" t="str">
        <f>IFERROR(__xludf.DUMMYFUNCTION("""COMPUTED_VALUE"""),"")</f>
        <v/>
      </c>
      <c r="B705" s="269"/>
      <c r="C705" s="269"/>
      <c r="D705" s="269"/>
      <c r="E705" s="269"/>
      <c r="F705" s="269"/>
      <c r="G705" s="269"/>
      <c r="H705" s="269"/>
      <c r="I705" s="269"/>
      <c r="J705" s="269"/>
      <c r="K705" s="269"/>
      <c r="L705" s="269"/>
      <c r="M705" s="269"/>
      <c r="N705" s="269"/>
      <c r="O705" s="269"/>
      <c r="P705" s="269"/>
      <c r="Q705" s="269"/>
      <c r="R705" s="269"/>
      <c r="S705" s="269"/>
      <c r="T705" s="269"/>
      <c r="U705" s="269"/>
      <c r="V705" s="269"/>
      <c r="W705" s="269"/>
      <c r="X705" s="269"/>
      <c r="Y705" s="269"/>
      <c r="Z705" s="269"/>
    </row>
    <row r="706">
      <c r="A706" s="269" t="str">
        <f>IFERROR(__xludf.DUMMYFUNCTION("""COMPUTED_VALUE"""),"")</f>
        <v/>
      </c>
      <c r="B706" s="269"/>
      <c r="C706" s="269"/>
      <c r="D706" s="269"/>
      <c r="E706" s="269"/>
      <c r="F706" s="269"/>
      <c r="G706" s="269"/>
      <c r="H706" s="269"/>
      <c r="I706" s="269"/>
      <c r="J706" s="269"/>
      <c r="K706" s="269"/>
      <c r="L706" s="269"/>
      <c r="M706" s="269"/>
      <c r="N706" s="269"/>
      <c r="O706" s="269"/>
      <c r="P706" s="269"/>
      <c r="Q706" s="269"/>
      <c r="R706" s="269"/>
      <c r="S706" s="269"/>
      <c r="T706" s="269"/>
      <c r="U706" s="269"/>
      <c r="V706" s="269"/>
      <c r="W706" s="269"/>
      <c r="X706" s="269"/>
      <c r="Y706" s="269"/>
      <c r="Z706" s="269"/>
    </row>
    <row r="707">
      <c r="A707" s="269" t="str">
        <f>IFERROR(__xludf.DUMMYFUNCTION("""COMPUTED_VALUE"""),"")</f>
        <v/>
      </c>
      <c r="B707" s="269"/>
      <c r="C707" s="269"/>
      <c r="D707" s="269"/>
      <c r="E707" s="269"/>
      <c r="F707" s="269"/>
      <c r="G707" s="269"/>
      <c r="H707" s="269"/>
      <c r="I707" s="269"/>
      <c r="J707" s="269"/>
      <c r="K707" s="269"/>
      <c r="L707" s="269"/>
      <c r="M707" s="269"/>
      <c r="N707" s="269"/>
      <c r="O707" s="269"/>
      <c r="P707" s="269"/>
      <c r="Q707" s="269"/>
      <c r="R707" s="269"/>
      <c r="S707" s="269"/>
      <c r="T707" s="269"/>
      <c r="U707" s="269"/>
      <c r="V707" s="269"/>
      <c r="W707" s="269"/>
      <c r="X707" s="269"/>
      <c r="Y707" s="269"/>
      <c r="Z707" s="269"/>
    </row>
    <row r="708">
      <c r="A708" s="269" t="str">
        <f>IFERROR(__xludf.DUMMYFUNCTION("""COMPUTED_VALUE"""),"")</f>
        <v/>
      </c>
      <c r="B708" s="269"/>
      <c r="C708" s="269"/>
      <c r="D708" s="269"/>
      <c r="E708" s="269"/>
      <c r="F708" s="269"/>
      <c r="G708" s="269"/>
      <c r="H708" s="269"/>
      <c r="I708" s="269"/>
      <c r="J708" s="269"/>
      <c r="K708" s="269"/>
      <c r="L708" s="269"/>
      <c r="M708" s="269"/>
      <c r="N708" s="269"/>
      <c r="O708" s="269"/>
      <c r="P708" s="269"/>
      <c r="Q708" s="269"/>
      <c r="R708" s="269"/>
      <c r="S708" s="269"/>
      <c r="T708" s="269"/>
      <c r="U708" s="269"/>
      <c r="V708" s="269"/>
      <c r="W708" s="269"/>
      <c r="X708" s="269"/>
      <c r="Y708" s="269"/>
      <c r="Z708" s="269"/>
    </row>
    <row r="709">
      <c r="A709" s="269" t="str">
        <f>IFERROR(__xludf.DUMMYFUNCTION("""COMPUTED_VALUE"""),"")</f>
        <v/>
      </c>
      <c r="B709" s="269"/>
      <c r="C709" s="269"/>
      <c r="D709" s="269"/>
      <c r="E709" s="269"/>
      <c r="F709" s="269"/>
      <c r="G709" s="269"/>
      <c r="H709" s="269"/>
      <c r="I709" s="269"/>
      <c r="J709" s="269"/>
      <c r="K709" s="269"/>
      <c r="L709" s="269"/>
      <c r="M709" s="269"/>
      <c r="N709" s="269"/>
      <c r="O709" s="269"/>
      <c r="P709" s="269"/>
      <c r="Q709" s="269"/>
      <c r="R709" s="269"/>
      <c r="S709" s="269"/>
      <c r="T709" s="269"/>
      <c r="U709" s="269"/>
      <c r="V709" s="269"/>
      <c r="W709" s="269"/>
      <c r="X709" s="269"/>
      <c r="Y709" s="269"/>
      <c r="Z709" s="269"/>
    </row>
    <row r="710">
      <c r="A710" s="269" t="str">
        <f>IFERROR(__xludf.DUMMYFUNCTION("""COMPUTED_VALUE"""),"")</f>
        <v/>
      </c>
      <c r="B710" s="269"/>
      <c r="C710" s="269"/>
      <c r="D710" s="269"/>
      <c r="E710" s="269"/>
      <c r="F710" s="269"/>
      <c r="G710" s="269"/>
      <c r="H710" s="269"/>
      <c r="I710" s="269"/>
      <c r="J710" s="269"/>
      <c r="K710" s="269"/>
      <c r="L710" s="269"/>
      <c r="M710" s="269"/>
      <c r="N710" s="269"/>
      <c r="O710" s="269"/>
      <c r="P710" s="269"/>
      <c r="Q710" s="269"/>
      <c r="R710" s="269"/>
      <c r="S710" s="269"/>
      <c r="T710" s="269"/>
      <c r="U710" s="269"/>
      <c r="V710" s="269"/>
      <c r="W710" s="269"/>
      <c r="X710" s="269"/>
      <c r="Y710" s="269"/>
      <c r="Z710" s="269"/>
    </row>
    <row r="711">
      <c r="A711" s="269" t="str">
        <f>IFERROR(__xludf.DUMMYFUNCTION("""COMPUTED_VALUE"""),"")</f>
        <v/>
      </c>
      <c r="B711" s="269"/>
      <c r="C711" s="269"/>
      <c r="D711" s="269"/>
      <c r="E711" s="269"/>
      <c r="F711" s="269"/>
      <c r="G711" s="269"/>
      <c r="H711" s="269"/>
      <c r="I711" s="269"/>
      <c r="J711" s="269"/>
      <c r="K711" s="269"/>
      <c r="L711" s="269"/>
      <c r="M711" s="269"/>
      <c r="N711" s="269"/>
      <c r="O711" s="269"/>
      <c r="P711" s="269"/>
      <c r="Q711" s="269"/>
      <c r="R711" s="269"/>
      <c r="S711" s="269"/>
      <c r="T711" s="269"/>
      <c r="U711" s="269"/>
      <c r="V711" s="269"/>
      <c r="W711" s="269"/>
      <c r="X711" s="269"/>
      <c r="Y711" s="269"/>
      <c r="Z711" s="269"/>
    </row>
    <row r="712">
      <c r="A712" s="269" t="str">
        <f>IFERROR(__xludf.DUMMYFUNCTION("""COMPUTED_VALUE"""),"")</f>
        <v/>
      </c>
      <c r="B712" s="269"/>
      <c r="C712" s="269"/>
      <c r="D712" s="269"/>
      <c r="E712" s="269"/>
      <c r="F712" s="269"/>
      <c r="G712" s="269"/>
      <c r="H712" s="269"/>
      <c r="I712" s="269"/>
      <c r="J712" s="269"/>
      <c r="K712" s="269"/>
      <c r="L712" s="269"/>
      <c r="M712" s="269"/>
      <c r="N712" s="269"/>
      <c r="O712" s="269"/>
      <c r="P712" s="269"/>
      <c r="Q712" s="269"/>
      <c r="R712" s="269"/>
      <c r="S712" s="269"/>
      <c r="T712" s="269"/>
      <c r="U712" s="269"/>
      <c r="V712" s="269"/>
      <c r="W712" s="269"/>
      <c r="X712" s="269"/>
      <c r="Y712" s="269"/>
      <c r="Z712" s="269"/>
    </row>
    <row r="713">
      <c r="A713" s="269" t="str">
        <f>IFERROR(__xludf.DUMMYFUNCTION("""COMPUTED_VALUE"""),"")</f>
        <v/>
      </c>
      <c r="B713" s="269"/>
      <c r="C713" s="269"/>
      <c r="D713" s="269"/>
      <c r="E713" s="269"/>
      <c r="F713" s="269"/>
      <c r="G713" s="269"/>
      <c r="H713" s="269"/>
      <c r="I713" s="269"/>
      <c r="J713" s="269"/>
      <c r="K713" s="269"/>
      <c r="L713" s="269"/>
      <c r="M713" s="269"/>
      <c r="N713" s="269"/>
      <c r="O713" s="269"/>
      <c r="P713" s="269"/>
      <c r="Q713" s="269"/>
      <c r="R713" s="269"/>
      <c r="S713" s="269"/>
      <c r="T713" s="269"/>
      <c r="U713" s="269"/>
      <c r="V713" s="269"/>
      <c r="W713" s="269"/>
      <c r="X713" s="269"/>
      <c r="Y713" s="269"/>
      <c r="Z713" s="269"/>
    </row>
    <row r="714">
      <c r="A714" s="269" t="str">
        <f>IFERROR(__xludf.DUMMYFUNCTION("""COMPUTED_VALUE"""),"")</f>
        <v/>
      </c>
      <c r="B714" s="269"/>
      <c r="C714" s="269"/>
      <c r="D714" s="269"/>
      <c r="E714" s="269"/>
      <c r="F714" s="269"/>
      <c r="G714" s="269"/>
      <c r="H714" s="269"/>
      <c r="I714" s="269"/>
      <c r="J714" s="269"/>
      <c r="K714" s="269"/>
      <c r="L714" s="269"/>
      <c r="M714" s="269"/>
      <c r="N714" s="269"/>
      <c r="O714" s="269"/>
      <c r="P714" s="269"/>
      <c r="Q714" s="269"/>
      <c r="R714" s="269"/>
      <c r="S714" s="269"/>
      <c r="T714" s="269"/>
      <c r="U714" s="269"/>
      <c r="V714" s="269"/>
      <c r="W714" s="269"/>
      <c r="X714" s="269"/>
      <c r="Y714" s="269"/>
      <c r="Z714" s="269"/>
    </row>
    <row r="715">
      <c r="A715" s="269" t="str">
        <f>IFERROR(__xludf.DUMMYFUNCTION("""COMPUTED_VALUE"""),"")</f>
        <v/>
      </c>
      <c r="B715" s="269"/>
      <c r="C715" s="269"/>
      <c r="D715" s="269"/>
      <c r="E715" s="269"/>
      <c r="F715" s="269"/>
      <c r="G715" s="269"/>
      <c r="H715" s="269"/>
      <c r="I715" s="269"/>
      <c r="J715" s="269"/>
      <c r="K715" s="269"/>
      <c r="L715" s="269"/>
      <c r="M715" s="269"/>
      <c r="N715" s="269"/>
      <c r="O715" s="269"/>
      <c r="P715" s="269"/>
      <c r="Q715" s="269"/>
      <c r="R715" s="269"/>
      <c r="S715" s="269"/>
      <c r="T715" s="269"/>
      <c r="U715" s="269"/>
      <c r="V715" s="269"/>
      <c r="W715" s="269"/>
      <c r="X715" s="269"/>
      <c r="Y715" s="269"/>
      <c r="Z715" s="269"/>
    </row>
    <row r="716">
      <c r="A716" s="269" t="str">
        <f>IFERROR(__xludf.DUMMYFUNCTION("""COMPUTED_VALUE"""),"")</f>
        <v/>
      </c>
      <c r="B716" s="269"/>
      <c r="C716" s="269"/>
      <c r="D716" s="269"/>
      <c r="E716" s="269"/>
      <c r="F716" s="269"/>
      <c r="G716" s="269"/>
      <c r="H716" s="269"/>
      <c r="I716" s="269"/>
      <c r="J716" s="269"/>
      <c r="K716" s="269"/>
      <c r="L716" s="269"/>
      <c r="M716" s="269"/>
      <c r="N716" s="269"/>
      <c r="O716" s="269"/>
      <c r="P716" s="269"/>
      <c r="Q716" s="269"/>
      <c r="R716" s="269"/>
      <c r="S716" s="269"/>
      <c r="T716" s="269"/>
      <c r="U716" s="269"/>
      <c r="V716" s="269"/>
      <c r="W716" s="269"/>
      <c r="X716" s="269"/>
      <c r="Y716" s="269"/>
      <c r="Z716" s="269"/>
    </row>
    <row r="717">
      <c r="A717" s="269" t="str">
        <f>IFERROR(__xludf.DUMMYFUNCTION("""COMPUTED_VALUE"""),"")</f>
        <v/>
      </c>
      <c r="B717" s="269"/>
      <c r="C717" s="269"/>
      <c r="D717" s="269"/>
      <c r="E717" s="269"/>
      <c r="F717" s="269"/>
      <c r="G717" s="269"/>
      <c r="H717" s="269"/>
      <c r="I717" s="269"/>
      <c r="J717" s="269"/>
      <c r="K717" s="269"/>
      <c r="L717" s="269"/>
      <c r="M717" s="269"/>
      <c r="N717" s="269"/>
      <c r="O717" s="269"/>
      <c r="P717" s="269"/>
      <c r="Q717" s="269"/>
      <c r="R717" s="269"/>
      <c r="S717" s="269"/>
      <c r="T717" s="269"/>
      <c r="U717" s="269"/>
      <c r="V717" s="269"/>
      <c r="W717" s="269"/>
      <c r="X717" s="269"/>
      <c r="Y717" s="269"/>
      <c r="Z717" s="269"/>
    </row>
    <row r="718">
      <c r="A718" s="269" t="str">
        <f>IFERROR(__xludf.DUMMYFUNCTION("""COMPUTED_VALUE"""),"")</f>
        <v/>
      </c>
      <c r="B718" s="269"/>
      <c r="C718" s="269"/>
      <c r="D718" s="269"/>
      <c r="E718" s="269"/>
      <c r="F718" s="269"/>
      <c r="G718" s="269"/>
      <c r="H718" s="269"/>
      <c r="I718" s="269"/>
      <c r="J718" s="269"/>
      <c r="K718" s="269"/>
      <c r="L718" s="269"/>
      <c r="M718" s="269"/>
      <c r="N718" s="269"/>
      <c r="O718" s="269"/>
      <c r="P718" s="269"/>
      <c r="Q718" s="269"/>
      <c r="R718" s="269"/>
      <c r="S718" s="269"/>
      <c r="T718" s="269"/>
      <c r="U718" s="269"/>
      <c r="V718" s="269"/>
      <c r="W718" s="269"/>
      <c r="X718" s="269"/>
      <c r="Y718" s="269"/>
      <c r="Z718" s="269"/>
    </row>
    <row r="719">
      <c r="A719" s="269" t="str">
        <f>IFERROR(__xludf.DUMMYFUNCTION("""COMPUTED_VALUE"""),"")</f>
        <v/>
      </c>
      <c r="B719" s="269"/>
      <c r="C719" s="269"/>
      <c r="D719" s="269"/>
      <c r="E719" s="269"/>
      <c r="F719" s="269"/>
      <c r="G719" s="269"/>
      <c r="H719" s="269"/>
      <c r="I719" s="269"/>
      <c r="J719" s="269"/>
      <c r="K719" s="269"/>
      <c r="L719" s="269"/>
      <c r="M719" s="269"/>
      <c r="N719" s="269"/>
      <c r="O719" s="269"/>
      <c r="P719" s="269"/>
      <c r="Q719" s="269"/>
      <c r="R719" s="269"/>
      <c r="S719" s="269"/>
      <c r="T719" s="269"/>
      <c r="U719" s="269"/>
      <c r="V719" s="269"/>
      <c r="W719" s="269"/>
      <c r="X719" s="269"/>
      <c r="Y719" s="269"/>
      <c r="Z719" s="269"/>
    </row>
    <row r="720">
      <c r="A720" s="269" t="str">
        <f>IFERROR(__xludf.DUMMYFUNCTION("""COMPUTED_VALUE"""),"")</f>
        <v/>
      </c>
      <c r="B720" s="269"/>
      <c r="C720" s="269"/>
      <c r="D720" s="269"/>
      <c r="E720" s="269"/>
      <c r="F720" s="269"/>
      <c r="G720" s="269"/>
      <c r="H720" s="269"/>
      <c r="I720" s="269"/>
      <c r="J720" s="269"/>
      <c r="K720" s="269"/>
      <c r="L720" s="269"/>
      <c r="M720" s="269"/>
      <c r="N720" s="269"/>
      <c r="O720" s="269"/>
      <c r="P720" s="269"/>
      <c r="Q720" s="269"/>
      <c r="R720" s="269"/>
      <c r="S720" s="269"/>
      <c r="T720" s="269"/>
      <c r="U720" s="269"/>
      <c r="V720" s="269"/>
      <c r="W720" s="269"/>
      <c r="X720" s="269"/>
      <c r="Y720" s="269"/>
      <c r="Z720" s="269"/>
    </row>
    <row r="721">
      <c r="A721" s="269" t="str">
        <f>IFERROR(__xludf.DUMMYFUNCTION("""COMPUTED_VALUE"""),"")</f>
        <v/>
      </c>
      <c r="B721" s="269"/>
      <c r="C721" s="269"/>
      <c r="D721" s="269"/>
      <c r="E721" s="269"/>
      <c r="F721" s="269"/>
      <c r="G721" s="269"/>
      <c r="H721" s="269"/>
      <c r="I721" s="269"/>
      <c r="J721" s="269"/>
      <c r="K721" s="269"/>
      <c r="L721" s="269"/>
      <c r="M721" s="269"/>
      <c r="N721" s="269"/>
      <c r="O721" s="269"/>
      <c r="P721" s="269"/>
      <c r="Q721" s="269"/>
      <c r="R721" s="269"/>
      <c r="S721" s="269"/>
      <c r="T721" s="269"/>
      <c r="U721" s="269"/>
      <c r="V721" s="269"/>
      <c r="W721" s="269"/>
      <c r="X721" s="269"/>
      <c r="Y721" s="269"/>
      <c r="Z721" s="269"/>
    </row>
    <row r="722">
      <c r="A722" s="269" t="str">
        <f>IFERROR(__xludf.DUMMYFUNCTION("""COMPUTED_VALUE"""),"")</f>
        <v/>
      </c>
      <c r="B722" s="269"/>
      <c r="C722" s="269"/>
      <c r="D722" s="269"/>
      <c r="E722" s="269"/>
      <c r="F722" s="269"/>
      <c r="G722" s="269"/>
      <c r="H722" s="269"/>
      <c r="I722" s="269"/>
      <c r="J722" s="269"/>
      <c r="K722" s="269"/>
      <c r="L722" s="269"/>
      <c r="M722" s="269"/>
      <c r="N722" s="269"/>
      <c r="O722" s="269"/>
      <c r="P722" s="269"/>
      <c r="Q722" s="269"/>
      <c r="R722" s="269"/>
      <c r="S722" s="269"/>
      <c r="T722" s="269"/>
      <c r="U722" s="269"/>
      <c r="V722" s="269"/>
      <c r="W722" s="269"/>
      <c r="X722" s="269"/>
      <c r="Y722" s="269"/>
      <c r="Z722" s="269"/>
    </row>
    <row r="723">
      <c r="A723" s="269" t="str">
        <f>IFERROR(__xludf.DUMMYFUNCTION("""COMPUTED_VALUE"""),"")</f>
        <v/>
      </c>
      <c r="B723" s="269"/>
      <c r="C723" s="269"/>
      <c r="D723" s="269"/>
      <c r="E723" s="269"/>
      <c r="F723" s="269"/>
      <c r="G723" s="269"/>
      <c r="H723" s="269"/>
      <c r="I723" s="269"/>
      <c r="J723" s="269"/>
      <c r="K723" s="269"/>
      <c r="L723" s="269"/>
      <c r="M723" s="269"/>
      <c r="N723" s="269"/>
      <c r="O723" s="269"/>
      <c r="P723" s="269"/>
      <c r="Q723" s="269"/>
      <c r="R723" s="269"/>
      <c r="S723" s="269"/>
      <c r="T723" s="269"/>
      <c r="U723" s="269"/>
      <c r="V723" s="269"/>
      <c r="W723" s="269"/>
      <c r="X723" s="269"/>
      <c r="Y723" s="269"/>
      <c r="Z723" s="269"/>
    </row>
    <row r="724">
      <c r="A724" s="269" t="str">
        <f>IFERROR(__xludf.DUMMYFUNCTION("""COMPUTED_VALUE"""),"")</f>
        <v/>
      </c>
      <c r="B724" s="269"/>
      <c r="C724" s="269"/>
      <c r="D724" s="269"/>
      <c r="E724" s="269"/>
      <c r="F724" s="269"/>
      <c r="G724" s="269"/>
      <c r="H724" s="269"/>
      <c r="I724" s="269"/>
      <c r="J724" s="269"/>
      <c r="K724" s="269"/>
      <c r="L724" s="269"/>
      <c r="M724" s="269"/>
      <c r="N724" s="269"/>
      <c r="O724" s="269"/>
      <c r="P724" s="269"/>
      <c r="Q724" s="269"/>
      <c r="R724" s="269"/>
      <c r="S724" s="269"/>
      <c r="T724" s="269"/>
      <c r="U724" s="269"/>
      <c r="V724" s="269"/>
      <c r="W724" s="269"/>
      <c r="X724" s="269"/>
      <c r="Y724" s="269"/>
      <c r="Z724" s="269"/>
    </row>
    <row r="725">
      <c r="A725" s="269" t="str">
        <f>IFERROR(__xludf.DUMMYFUNCTION("""COMPUTED_VALUE"""),"")</f>
        <v/>
      </c>
      <c r="B725" s="269"/>
      <c r="C725" s="269"/>
      <c r="D725" s="269"/>
      <c r="E725" s="269"/>
      <c r="F725" s="269"/>
      <c r="G725" s="269"/>
      <c r="H725" s="269"/>
      <c r="I725" s="269"/>
      <c r="J725" s="269"/>
      <c r="K725" s="269"/>
      <c r="L725" s="269"/>
      <c r="M725" s="269"/>
      <c r="N725" s="269"/>
      <c r="O725" s="269"/>
      <c r="P725" s="269"/>
      <c r="Q725" s="269"/>
      <c r="R725" s="269"/>
      <c r="S725" s="269"/>
      <c r="T725" s="269"/>
      <c r="U725" s="269"/>
      <c r="V725" s="269"/>
      <c r="W725" s="269"/>
      <c r="X725" s="269"/>
      <c r="Y725" s="269"/>
      <c r="Z725" s="269"/>
    </row>
    <row r="726">
      <c r="A726" s="269" t="str">
        <f>IFERROR(__xludf.DUMMYFUNCTION("""COMPUTED_VALUE"""),"")</f>
        <v/>
      </c>
      <c r="B726" s="269"/>
      <c r="C726" s="269"/>
      <c r="D726" s="269"/>
      <c r="E726" s="269"/>
      <c r="F726" s="269"/>
      <c r="G726" s="269"/>
      <c r="H726" s="269"/>
      <c r="I726" s="269"/>
      <c r="J726" s="269"/>
      <c r="K726" s="269"/>
      <c r="L726" s="269"/>
      <c r="M726" s="269"/>
      <c r="N726" s="269"/>
      <c r="O726" s="269"/>
      <c r="P726" s="269"/>
      <c r="Q726" s="269"/>
      <c r="R726" s="269"/>
      <c r="S726" s="269"/>
      <c r="T726" s="269"/>
      <c r="U726" s="269"/>
      <c r="V726" s="269"/>
      <c r="W726" s="269"/>
      <c r="X726" s="269"/>
      <c r="Y726" s="269"/>
      <c r="Z726" s="269"/>
    </row>
    <row r="727">
      <c r="A727" s="269" t="str">
        <f>IFERROR(__xludf.DUMMYFUNCTION("""COMPUTED_VALUE"""),"")</f>
        <v/>
      </c>
      <c r="B727" s="269"/>
      <c r="C727" s="269"/>
      <c r="D727" s="269"/>
      <c r="E727" s="269"/>
      <c r="F727" s="269"/>
      <c r="G727" s="269"/>
      <c r="H727" s="269"/>
      <c r="I727" s="269"/>
      <c r="J727" s="269"/>
      <c r="K727" s="269"/>
      <c r="L727" s="269"/>
      <c r="M727" s="269"/>
      <c r="N727" s="269"/>
      <c r="O727" s="269"/>
      <c r="P727" s="269"/>
      <c r="Q727" s="269"/>
      <c r="R727" s="269"/>
      <c r="S727" s="269"/>
      <c r="T727" s="269"/>
      <c r="U727" s="269"/>
      <c r="V727" s="269"/>
      <c r="W727" s="269"/>
      <c r="X727" s="269"/>
      <c r="Y727" s="269"/>
      <c r="Z727" s="269"/>
    </row>
    <row r="728">
      <c r="A728" s="269" t="str">
        <f>IFERROR(__xludf.DUMMYFUNCTION("""COMPUTED_VALUE"""),"")</f>
        <v/>
      </c>
      <c r="B728" s="269"/>
      <c r="C728" s="269"/>
      <c r="D728" s="269"/>
      <c r="E728" s="269"/>
      <c r="F728" s="269"/>
      <c r="G728" s="269"/>
      <c r="H728" s="269"/>
      <c r="I728" s="269"/>
      <c r="J728" s="269"/>
      <c r="K728" s="269"/>
      <c r="L728" s="269"/>
      <c r="M728" s="269"/>
      <c r="N728" s="269"/>
      <c r="O728" s="269"/>
      <c r="P728" s="269"/>
      <c r="Q728" s="269"/>
      <c r="R728" s="269"/>
      <c r="S728" s="269"/>
      <c r="T728" s="269"/>
      <c r="U728" s="269"/>
      <c r="V728" s="269"/>
      <c r="W728" s="269"/>
      <c r="X728" s="269"/>
      <c r="Y728" s="269"/>
      <c r="Z728" s="269"/>
    </row>
    <row r="729">
      <c r="A729" s="269" t="str">
        <f>IFERROR(__xludf.DUMMYFUNCTION("""COMPUTED_VALUE"""),"")</f>
        <v/>
      </c>
      <c r="B729" s="269"/>
      <c r="C729" s="269"/>
      <c r="D729" s="269"/>
      <c r="E729" s="269"/>
      <c r="F729" s="269"/>
      <c r="G729" s="269"/>
      <c r="H729" s="269"/>
      <c r="I729" s="269"/>
      <c r="J729" s="269"/>
      <c r="K729" s="269"/>
      <c r="L729" s="269"/>
      <c r="M729" s="269"/>
      <c r="N729" s="269"/>
      <c r="O729" s="269"/>
      <c r="P729" s="269"/>
      <c r="Q729" s="269"/>
      <c r="R729" s="269"/>
      <c r="S729" s="269"/>
      <c r="T729" s="269"/>
      <c r="U729" s="269"/>
      <c r="V729" s="269"/>
      <c r="W729" s="269"/>
      <c r="X729" s="269"/>
      <c r="Y729" s="269"/>
      <c r="Z729" s="269"/>
    </row>
    <row r="730">
      <c r="A730" s="269" t="str">
        <f>IFERROR(__xludf.DUMMYFUNCTION("""COMPUTED_VALUE"""),"")</f>
        <v/>
      </c>
      <c r="B730" s="269"/>
      <c r="C730" s="269"/>
      <c r="D730" s="269"/>
      <c r="E730" s="269"/>
      <c r="F730" s="269"/>
      <c r="G730" s="269"/>
      <c r="H730" s="269"/>
      <c r="I730" s="269"/>
      <c r="J730" s="269"/>
      <c r="K730" s="269"/>
      <c r="L730" s="269"/>
      <c r="M730" s="269"/>
      <c r="N730" s="269"/>
      <c r="O730" s="269"/>
      <c r="P730" s="269"/>
      <c r="Q730" s="269"/>
      <c r="R730" s="269"/>
      <c r="S730" s="269"/>
      <c r="T730" s="269"/>
      <c r="U730" s="269"/>
      <c r="V730" s="269"/>
      <c r="W730" s="269"/>
      <c r="X730" s="269"/>
      <c r="Y730" s="269"/>
      <c r="Z730" s="269"/>
    </row>
    <row r="731">
      <c r="A731" s="269" t="str">
        <f>IFERROR(__xludf.DUMMYFUNCTION("""COMPUTED_VALUE"""),"")</f>
        <v/>
      </c>
      <c r="B731" s="269"/>
      <c r="C731" s="269"/>
      <c r="D731" s="269"/>
      <c r="E731" s="269"/>
      <c r="F731" s="269"/>
      <c r="G731" s="269"/>
      <c r="H731" s="269"/>
      <c r="I731" s="269"/>
      <c r="J731" s="269"/>
      <c r="K731" s="269"/>
      <c r="L731" s="269"/>
      <c r="M731" s="269"/>
      <c r="N731" s="269"/>
      <c r="O731" s="269"/>
      <c r="P731" s="269"/>
      <c r="Q731" s="269"/>
      <c r="R731" s="269"/>
      <c r="S731" s="269"/>
      <c r="T731" s="269"/>
      <c r="U731" s="269"/>
      <c r="V731" s="269"/>
      <c r="W731" s="269"/>
      <c r="X731" s="269"/>
      <c r="Y731" s="269"/>
      <c r="Z731" s="269"/>
    </row>
    <row r="732">
      <c r="A732" s="269" t="str">
        <f>IFERROR(__xludf.DUMMYFUNCTION("""COMPUTED_VALUE"""),"")</f>
        <v/>
      </c>
      <c r="B732" s="269"/>
      <c r="C732" s="269"/>
      <c r="D732" s="269"/>
      <c r="E732" s="269"/>
      <c r="F732" s="269"/>
      <c r="G732" s="269"/>
      <c r="H732" s="269"/>
      <c r="I732" s="269"/>
      <c r="J732" s="269"/>
      <c r="K732" s="269"/>
      <c r="L732" s="269"/>
      <c r="M732" s="269"/>
      <c r="N732" s="269"/>
      <c r="O732" s="269"/>
      <c r="P732" s="269"/>
      <c r="Q732" s="269"/>
      <c r="R732" s="269"/>
      <c r="S732" s="269"/>
      <c r="T732" s="269"/>
      <c r="U732" s="269"/>
      <c r="V732" s="269"/>
      <c r="W732" s="269"/>
      <c r="X732" s="269"/>
      <c r="Y732" s="269"/>
      <c r="Z732" s="269"/>
    </row>
    <row r="733">
      <c r="A733" s="269" t="str">
        <f>IFERROR(__xludf.DUMMYFUNCTION("""COMPUTED_VALUE"""),"")</f>
        <v/>
      </c>
      <c r="B733" s="269"/>
      <c r="C733" s="269"/>
      <c r="D733" s="269"/>
      <c r="E733" s="269"/>
      <c r="F733" s="269"/>
      <c r="G733" s="269"/>
      <c r="H733" s="269"/>
      <c r="I733" s="269"/>
      <c r="J733" s="269"/>
      <c r="K733" s="269"/>
      <c r="L733" s="269"/>
      <c r="M733" s="269"/>
      <c r="N733" s="269"/>
      <c r="O733" s="269"/>
      <c r="P733" s="269"/>
      <c r="Q733" s="269"/>
      <c r="R733" s="269"/>
      <c r="S733" s="269"/>
      <c r="T733" s="269"/>
      <c r="U733" s="269"/>
      <c r="V733" s="269"/>
      <c r="W733" s="269"/>
      <c r="X733" s="269"/>
      <c r="Y733" s="269"/>
      <c r="Z733" s="269"/>
    </row>
    <row r="734">
      <c r="A734" s="269" t="str">
        <f>IFERROR(__xludf.DUMMYFUNCTION("""COMPUTED_VALUE"""),"")</f>
        <v/>
      </c>
      <c r="B734" s="269"/>
      <c r="C734" s="269"/>
      <c r="D734" s="269"/>
      <c r="E734" s="269"/>
      <c r="F734" s="269"/>
      <c r="G734" s="269"/>
      <c r="H734" s="269"/>
      <c r="I734" s="269"/>
      <c r="J734" s="269"/>
      <c r="K734" s="269"/>
      <c r="L734" s="269"/>
      <c r="M734" s="269"/>
      <c r="N734" s="269"/>
      <c r="O734" s="269"/>
      <c r="P734" s="269"/>
      <c r="Q734" s="269"/>
      <c r="R734" s="269"/>
      <c r="S734" s="269"/>
      <c r="T734" s="269"/>
      <c r="U734" s="269"/>
      <c r="V734" s="269"/>
      <c r="W734" s="269"/>
      <c r="X734" s="269"/>
      <c r="Y734" s="269"/>
      <c r="Z734" s="269"/>
    </row>
    <row r="735">
      <c r="A735" s="269" t="str">
        <f>IFERROR(__xludf.DUMMYFUNCTION("""COMPUTED_VALUE"""),"")</f>
        <v/>
      </c>
      <c r="B735" s="269"/>
      <c r="C735" s="269"/>
      <c r="D735" s="269"/>
      <c r="E735" s="269"/>
      <c r="F735" s="269"/>
      <c r="G735" s="269"/>
      <c r="H735" s="269"/>
      <c r="I735" s="269"/>
      <c r="J735" s="269"/>
      <c r="K735" s="269"/>
      <c r="L735" s="269"/>
      <c r="M735" s="269"/>
      <c r="N735" s="269"/>
      <c r="O735" s="269"/>
      <c r="P735" s="269"/>
      <c r="Q735" s="269"/>
      <c r="R735" s="269"/>
      <c r="S735" s="269"/>
      <c r="T735" s="269"/>
      <c r="U735" s="269"/>
      <c r="V735" s="269"/>
      <c r="W735" s="269"/>
      <c r="X735" s="269"/>
      <c r="Y735" s="269"/>
      <c r="Z735" s="269"/>
    </row>
    <row r="736">
      <c r="A736" s="269" t="str">
        <f>IFERROR(__xludf.DUMMYFUNCTION("""COMPUTED_VALUE"""),"")</f>
        <v/>
      </c>
      <c r="B736" s="269"/>
      <c r="C736" s="269"/>
      <c r="D736" s="269"/>
      <c r="E736" s="269"/>
      <c r="F736" s="269"/>
      <c r="G736" s="269"/>
      <c r="H736" s="269"/>
      <c r="I736" s="269"/>
      <c r="J736" s="269"/>
      <c r="K736" s="269"/>
      <c r="L736" s="269"/>
      <c r="M736" s="269"/>
      <c r="N736" s="269"/>
      <c r="O736" s="269"/>
      <c r="P736" s="269"/>
      <c r="Q736" s="269"/>
      <c r="R736" s="269"/>
      <c r="S736" s="269"/>
      <c r="T736" s="269"/>
      <c r="U736" s="269"/>
      <c r="V736" s="269"/>
      <c r="W736" s="269"/>
      <c r="X736" s="269"/>
      <c r="Y736" s="269"/>
      <c r="Z736" s="269"/>
    </row>
    <row r="737">
      <c r="A737" s="269" t="str">
        <f>IFERROR(__xludf.DUMMYFUNCTION("""COMPUTED_VALUE"""),"")</f>
        <v/>
      </c>
      <c r="B737" s="269"/>
      <c r="C737" s="269"/>
      <c r="D737" s="269"/>
      <c r="E737" s="269"/>
      <c r="F737" s="269"/>
      <c r="G737" s="269"/>
      <c r="H737" s="269"/>
      <c r="I737" s="269"/>
      <c r="J737" s="269"/>
      <c r="K737" s="269"/>
      <c r="L737" s="269"/>
      <c r="M737" s="269"/>
      <c r="N737" s="269"/>
      <c r="O737" s="269"/>
      <c r="P737" s="269"/>
      <c r="Q737" s="269"/>
      <c r="R737" s="269"/>
      <c r="S737" s="269"/>
      <c r="T737" s="269"/>
      <c r="U737" s="269"/>
      <c r="V737" s="269"/>
      <c r="W737" s="269"/>
      <c r="X737" s="269"/>
      <c r="Y737" s="269"/>
      <c r="Z737" s="269"/>
    </row>
    <row r="738">
      <c r="A738" s="269" t="str">
        <f>IFERROR(__xludf.DUMMYFUNCTION("""COMPUTED_VALUE"""),"")</f>
        <v/>
      </c>
      <c r="B738" s="269"/>
      <c r="C738" s="269"/>
      <c r="D738" s="269"/>
      <c r="E738" s="269"/>
      <c r="F738" s="269"/>
      <c r="G738" s="269"/>
      <c r="H738" s="269"/>
      <c r="I738" s="269"/>
      <c r="J738" s="269"/>
      <c r="K738" s="269"/>
      <c r="L738" s="269"/>
      <c r="M738" s="269"/>
      <c r="N738" s="269"/>
      <c r="O738" s="269"/>
      <c r="P738" s="269"/>
      <c r="Q738" s="269"/>
      <c r="R738" s="269"/>
      <c r="S738" s="269"/>
      <c r="T738" s="269"/>
      <c r="U738" s="269"/>
      <c r="V738" s="269"/>
      <c r="W738" s="269"/>
      <c r="X738" s="269"/>
      <c r="Y738" s="269"/>
      <c r="Z738" s="269"/>
    </row>
    <row r="739">
      <c r="A739" s="269" t="str">
        <f>IFERROR(__xludf.DUMMYFUNCTION("""COMPUTED_VALUE"""),"")</f>
        <v/>
      </c>
      <c r="B739" s="269"/>
      <c r="C739" s="269"/>
      <c r="D739" s="269"/>
      <c r="E739" s="269"/>
      <c r="F739" s="269"/>
      <c r="G739" s="269"/>
      <c r="H739" s="269"/>
      <c r="I739" s="269"/>
      <c r="J739" s="269"/>
      <c r="K739" s="269"/>
      <c r="L739" s="269"/>
      <c r="M739" s="269"/>
      <c r="N739" s="269"/>
      <c r="O739" s="269"/>
      <c r="P739" s="269"/>
      <c r="Q739" s="269"/>
      <c r="R739" s="269"/>
      <c r="S739" s="269"/>
      <c r="T739" s="269"/>
      <c r="U739" s="269"/>
      <c r="V739" s="269"/>
      <c r="W739" s="269"/>
      <c r="X739" s="269"/>
      <c r="Y739" s="269"/>
      <c r="Z739" s="269"/>
    </row>
    <row r="740">
      <c r="A740" s="269" t="str">
        <f>IFERROR(__xludf.DUMMYFUNCTION("""COMPUTED_VALUE"""),"")</f>
        <v/>
      </c>
      <c r="B740" s="269"/>
      <c r="C740" s="269"/>
      <c r="D740" s="269"/>
      <c r="E740" s="269"/>
      <c r="F740" s="269"/>
      <c r="G740" s="269"/>
      <c r="H740" s="269"/>
      <c r="I740" s="269"/>
      <c r="J740" s="269"/>
      <c r="K740" s="269"/>
      <c r="L740" s="269"/>
      <c r="M740" s="269"/>
      <c r="N740" s="269"/>
      <c r="O740" s="269"/>
      <c r="P740" s="269"/>
      <c r="Q740" s="269"/>
      <c r="R740" s="269"/>
      <c r="S740" s="269"/>
      <c r="T740" s="269"/>
      <c r="U740" s="269"/>
      <c r="V740" s="269"/>
      <c r="W740" s="269"/>
      <c r="X740" s="269"/>
      <c r="Y740" s="269"/>
      <c r="Z740" s="269"/>
    </row>
    <row r="741">
      <c r="A741" s="269" t="str">
        <f>IFERROR(__xludf.DUMMYFUNCTION("""COMPUTED_VALUE"""),"")</f>
        <v/>
      </c>
      <c r="B741" s="269"/>
      <c r="C741" s="269"/>
      <c r="D741" s="269"/>
      <c r="E741" s="269"/>
      <c r="F741" s="269"/>
      <c r="G741" s="269"/>
      <c r="H741" s="269"/>
      <c r="I741" s="269"/>
      <c r="J741" s="269"/>
      <c r="K741" s="269"/>
      <c r="L741" s="269"/>
      <c r="M741" s="269"/>
      <c r="N741" s="269"/>
      <c r="O741" s="269"/>
      <c r="P741" s="269"/>
      <c r="Q741" s="269"/>
      <c r="R741" s="269"/>
      <c r="S741" s="269"/>
      <c r="T741" s="269"/>
      <c r="U741" s="269"/>
      <c r="V741" s="269"/>
      <c r="W741" s="269"/>
      <c r="X741" s="269"/>
      <c r="Y741" s="269"/>
      <c r="Z741" s="269"/>
    </row>
    <row r="742">
      <c r="A742" s="269" t="str">
        <f>IFERROR(__xludf.DUMMYFUNCTION("""COMPUTED_VALUE"""),"")</f>
        <v/>
      </c>
      <c r="B742" s="269"/>
      <c r="C742" s="269"/>
      <c r="D742" s="269"/>
      <c r="E742" s="269"/>
      <c r="F742" s="269"/>
      <c r="G742" s="269"/>
      <c r="H742" s="269"/>
      <c r="I742" s="269"/>
      <c r="J742" s="269"/>
      <c r="K742" s="269"/>
      <c r="L742" s="269"/>
      <c r="M742" s="269"/>
      <c r="N742" s="269"/>
      <c r="O742" s="269"/>
      <c r="P742" s="269"/>
      <c r="Q742" s="269"/>
      <c r="R742" s="269"/>
      <c r="S742" s="269"/>
      <c r="T742" s="269"/>
      <c r="U742" s="269"/>
      <c r="V742" s="269"/>
      <c r="W742" s="269"/>
      <c r="X742" s="269"/>
      <c r="Y742" s="269"/>
      <c r="Z742" s="269"/>
    </row>
    <row r="743">
      <c r="A743" s="269" t="str">
        <f>IFERROR(__xludf.DUMMYFUNCTION("""COMPUTED_VALUE"""),"")</f>
        <v/>
      </c>
      <c r="B743" s="269"/>
      <c r="C743" s="269"/>
      <c r="D743" s="269"/>
      <c r="E743" s="269"/>
      <c r="F743" s="269"/>
      <c r="G743" s="269"/>
      <c r="H743" s="269"/>
      <c r="I743" s="269"/>
      <c r="J743" s="269"/>
      <c r="K743" s="269"/>
      <c r="L743" s="269"/>
      <c r="M743" s="269"/>
      <c r="N743" s="269"/>
      <c r="O743" s="269"/>
      <c r="P743" s="269"/>
      <c r="Q743" s="269"/>
      <c r="R743" s="269"/>
      <c r="S743" s="269"/>
      <c r="T743" s="269"/>
      <c r="U743" s="269"/>
      <c r="V743" s="269"/>
      <c r="W743" s="269"/>
      <c r="X743" s="269"/>
      <c r="Y743" s="269"/>
      <c r="Z743" s="269"/>
    </row>
    <row r="744">
      <c r="A744" s="269" t="str">
        <f>IFERROR(__xludf.DUMMYFUNCTION("""COMPUTED_VALUE"""),"")</f>
        <v/>
      </c>
      <c r="B744" s="269"/>
      <c r="C744" s="269"/>
      <c r="D744" s="269"/>
      <c r="E744" s="269"/>
      <c r="F744" s="269"/>
      <c r="G744" s="269"/>
      <c r="H744" s="269"/>
      <c r="I744" s="269"/>
      <c r="J744" s="269"/>
      <c r="K744" s="269"/>
      <c r="L744" s="269"/>
      <c r="M744" s="269"/>
      <c r="N744" s="269"/>
      <c r="O744" s="269"/>
      <c r="P744" s="269"/>
      <c r="Q744" s="269"/>
      <c r="R744" s="269"/>
      <c r="S744" s="269"/>
      <c r="T744" s="269"/>
      <c r="U744" s="269"/>
      <c r="V744" s="269"/>
      <c r="W744" s="269"/>
      <c r="X744" s="269"/>
      <c r="Y744" s="269"/>
      <c r="Z744" s="269"/>
    </row>
    <row r="745">
      <c r="A745" s="269" t="str">
        <f>IFERROR(__xludf.DUMMYFUNCTION("""COMPUTED_VALUE"""),"")</f>
        <v/>
      </c>
      <c r="B745" s="269"/>
      <c r="C745" s="269"/>
      <c r="D745" s="269"/>
      <c r="E745" s="269"/>
      <c r="F745" s="269"/>
      <c r="G745" s="269"/>
      <c r="H745" s="269"/>
      <c r="I745" s="269"/>
      <c r="J745" s="269"/>
      <c r="K745" s="269"/>
      <c r="L745" s="269"/>
      <c r="M745" s="269"/>
      <c r="N745" s="269"/>
      <c r="O745" s="269"/>
      <c r="P745" s="269"/>
      <c r="Q745" s="269"/>
      <c r="R745" s="269"/>
      <c r="S745" s="269"/>
      <c r="T745" s="269"/>
      <c r="U745" s="269"/>
      <c r="V745" s="269"/>
      <c r="W745" s="269"/>
      <c r="X745" s="269"/>
      <c r="Y745" s="269"/>
      <c r="Z745" s="269"/>
    </row>
    <row r="746">
      <c r="A746" s="269" t="str">
        <f>IFERROR(__xludf.DUMMYFUNCTION("""COMPUTED_VALUE"""),"")</f>
        <v/>
      </c>
      <c r="B746" s="269"/>
      <c r="C746" s="269"/>
      <c r="D746" s="269"/>
      <c r="E746" s="269"/>
      <c r="F746" s="269"/>
      <c r="G746" s="269"/>
      <c r="H746" s="269"/>
      <c r="I746" s="269"/>
      <c r="J746" s="269"/>
      <c r="K746" s="269"/>
      <c r="L746" s="269"/>
      <c r="M746" s="269"/>
      <c r="N746" s="269"/>
      <c r="O746" s="269"/>
      <c r="P746" s="269"/>
      <c r="Q746" s="269"/>
      <c r="R746" s="269"/>
      <c r="S746" s="269"/>
      <c r="T746" s="269"/>
      <c r="U746" s="269"/>
      <c r="V746" s="269"/>
      <c r="W746" s="269"/>
      <c r="X746" s="269"/>
      <c r="Y746" s="269"/>
      <c r="Z746" s="269"/>
    </row>
    <row r="747">
      <c r="A747" s="269" t="str">
        <f>IFERROR(__xludf.DUMMYFUNCTION("""COMPUTED_VALUE"""),"")</f>
        <v/>
      </c>
      <c r="B747" s="269"/>
      <c r="C747" s="269"/>
      <c r="D747" s="269"/>
      <c r="E747" s="269"/>
      <c r="F747" s="269"/>
      <c r="G747" s="269"/>
      <c r="H747" s="269"/>
      <c r="I747" s="269"/>
      <c r="J747" s="269"/>
      <c r="K747" s="269"/>
      <c r="L747" s="269"/>
      <c r="M747" s="269"/>
      <c r="N747" s="269"/>
      <c r="O747" s="269"/>
      <c r="P747" s="269"/>
      <c r="Q747" s="269"/>
      <c r="R747" s="269"/>
      <c r="S747" s="269"/>
      <c r="T747" s="269"/>
      <c r="U747" s="269"/>
      <c r="V747" s="269"/>
      <c r="W747" s="269"/>
      <c r="X747" s="269"/>
      <c r="Y747" s="269"/>
      <c r="Z747" s="269"/>
    </row>
    <row r="748">
      <c r="A748" s="269" t="str">
        <f>IFERROR(__xludf.DUMMYFUNCTION("""COMPUTED_VALUE"""),"")</f>
        <v/>
      </c>
      <c r="B748" s="269"/>
      <c r="C748" s="269"/>
      <c r="D748" s="269"/>
      <c r="E748" s="269"/>
      <c r="F748" s="269"/>
      <c r="G748" s="269"/>
      <c r="H748" s="269"/>
      <c r="I748" s="269"/>
      <c r="J748" s="269"/>
      <c r="K748" s="269"/>
      <c r="L748" s="269"/>
      <c r="M748" s="269"/>
      <c r="N748" s="269"/>
      <c r="O748" s="269"/>
      <c r="P748" s="269"/>
      <c r="Q748" s="269"/>
      <c r="R748" s="269"/>
      <c r="S748" s="269"/>
      <c r="T748" s="269"/>
      <c r="U748" s="269"/>
      <c r="V748" s="269"/>
      <c r="W748" s="269"/>
      <c r="X748" s="269"/>
      <c r="Y748" s="269"/>
      <c r="Z748" s="269"/>
    </row>
    <row r="749">
      <c r="A749" s="269" t="str">
        <f>IFERROR(__xludf.DUMMYFUNCTION("""COMPUTED_VALUE"""),"")</f>
        <v/>
      </c>
      <c r="B749" s="269"/>
      <c r="C749" s="269"/>
      <c r="D749" s="269"/>
      <c r="E749" s="269"/>
      <c r="F749" s="269"/>
      <c r="G749" s="269"/>
      <c r="H749" s="269"/>
      <c r="I749" s="269"/>
      <c r="J749" s="269"/>
      <c r="K749" s="269"/>
      <c r="L749" s="269"/>
      <c r="M749" s="269"/>
      <c r="N749" s="269"/>
      <c r="O749" s="269"/>
      <c r="P749" s="269"/>
      <c r="Q749" s="269"/>
      <c r="R749" s="269"/>
      <c r="S749" s="269"/>
      <c r="T749" s="269"/>
      <c r="U749" s="269"/>
      <c r="V749" s="269"/>
      <c r="W749" s="269"/>
      <c r="X749" s="269"/>
      <c r="Y749" s="269"/>
      <c r="Z749" s="269"/>
    </row>
    <row r="750">
      <c r="A750" s="269" t="str">
        <f>IFERROR(__xludf.DUMMYFUNCTION("""COMPUTED_VALUE"""),"")</f>
        <v/>
      </c>
      <c r="B750" s="269"/>
      <c r="C750" s="269"/>
      <c r="D750" s="269"/>
      <c r="E750" s="269"/>
      <c r="F750" s="269"/>
      <c r="G750" s="269"/>
      <c r="H750" s="269"/>
      <c r="I750" s="269"/>
      <c r="J750" s="269"/>
      <c r="K750" s="269"/>
      <c r="L750" s="269"/>
      <c r="M750" s="269"/>
      <c r="N750" s="269"/>
      <c r="O750" s="269"/>
      <c r="P750" s="269"/>
      <c r="Q750" s="269"/>
      <c r="R750" s="269"/>
      <c r="S750" s="269"/>
      <c r="T750" s="269"/>
      <c r="U750" s="269"/>
      <c r="V750" s="269"/>
      <c r="W750" s="269"/>
      <c r="X750" s="269"/>
      <c r="Y750" s="269"/>
      <c r="Z750" s="269"/>
    </row>
    <row r="751">
      <c r="A751" s="269" t="str">
        <f>IFERROR(__xludf.DUMMYFUNCTION("""COMPUTED_VALUE"""),"")</f>
        <v/>
      </c>
      <c r="B751" s="269"/>
      <c r="C751" s="269"/>
      <c r="D751" s="269"/>
      <c r="E751" s="269"/>
      <c r="F751" s="269"/>
      <c r="G751" s="269"/>
      <c r="H751" s="269"/>
      <c r="I751" s="269"/>
      <c r="J751" s="269"/>
      <c r="K751" s="269"/>
      <c r="L751" s="269"/>
      <c r="M751" s="269"/>
      <c r="N751" s="269"/>
      <c r="O751" s="269"/>
      <c r="P751" s="269"/>
      <c r="Q751" s="269"/>
      <c r="R751" s="269"/>
      <c r="S751" s="269"/>
      <c r="T751" s="269"/>
      <c r="U751" s="269"/>
      <c r="V751" s="269"/>
      <c r="W751" s="269"/>
      <c r="X751" s="269"/>
      <c r="Y751" s="269"/>
      <c r="Z751" s="269"/>
    </row>
    <row r="752">
      <c r="A752" s="269" t="str">
        <f>IFERROR(__xludf.DUMMYFUNCTION("""COMPUTED_VALUE"""),"")</f>
        <v/>
      </c>
      <c r="B752" s="269"/>
      <c r="C752" s="269"/>
      <c r="D752" s="269"/>
      <c r="E752" s="269"/>
      <c r="F752" s="269"/>
      <c r="G752" s="269"/>
      <c r="H752" s="269"/>
      <c r="I752" s="269"/>
      <c r="J752" s="269"/>
      <c r="K752" s="269"/>
      <c r="L752" s="269"/>
      <c r="M752" s="269"/>
      <c r="N752" s="269"/>
      <c r="O752" s="269"/>
      <c r="P752" s="269"/>
      <c r="Q752" s="269"/>
      <c r="R752" s="269"/>
      <c r="S752" s="269"/>
      <c r="T752" s="269"/>
      <c r="U752" s="269"/>
      <c r="V752" s="269"/>
      <c r="W752" s="269"/>
      <c r="X752" s="269"/>
      <c r="Y752" s="269"/>
      <c r="Z752" s="269"/>
    </row>
    <row r="753">
      <c r="A753" s="269" t="str">
        <f>IFERROR(__xludf.DUMMYFUNCTION("""COMPUTED_VALUE"""),"")</f>
        <v/>
      </c>
      <c r="B753" s="269"/>
      <c r="C753" s="269"/>
      <c r="D753" s="269"/>
      <c r="E753" s="269"/>
      <c r="F753" s="269"/>
      <c r="G753" s="269"/>
      <c r="H753" s="269"/>
      <c r="I753" s="269"/>
      <c r="J753" s="269"/>
      <c r="K753" s="269"/>
      <c r="L753" s="269"/>
      <c r="M753" s="269"/>
      <c r="N753" s="269"/>
      <c r="O753" s="269"/>
      <c r="P753" s="269"/>
      <c r="Q753" s="269"/>
      <c r="R753" s="269"/>
      <c r="S753" s="269"/>
      <c r="T753" s="269"/>
      <c r="U753" s="269"/>
      <c r="V753" s="269"/>
      <c r="W753" s="269"/>
      <c r="X753" s="269"/>
      <c r="Y753" s="269"/>
      <c r="Z753" s="269"/>
    </row>
    <row r="754">
      <c r="A754" s="269" t="str">
        <f>IFERROR(__xludf.DUMMYFUNCTION("""COMPUTED_VALUE"""),"")</f>
        <v/>
      </c>
      <c r="B754" s="269"/>
      <c r="C754" s="269"/>
      <c r="D754" s="269"/>
      <c r="E754" s="269"/>
      <c r="F754" s="269"/>
      <c r="G754" s="269"/>
      <c r="H754" s="269"/>
      <c r="I754" s="269"/>
      <c r="J754" s="269"/>
      <c r="K754" s="269"/>
      <c r="L754" s="269"/>
      <c r="M754" s="269"/>
      <c r="N754" s="269"/>
      <c r="O754" s="269"/>
      <c r="P754" s="269"/>
      <c r="Q754" s="269"/>
      <c r="R754" s="269"/>
      <c r="S754" s="269"/>
      <c r="T754" s="269"/>
      <c r="U754" s="269"/>
      <c r="V754" s="269"/>
      <c r="W754" s="269"/>
      <c r="X754" s="269"/>
      <c r="Y754" s="269"/>
      <c r="Z754" s="269"/>
    </row>
    <row r="755">
      <c r="A755" s="269" t="str">
        <f>IFERROR(__xludf.DUMMYFUNCTION("""COMPUTED_VALUE"""),"")</f>
        <v/>
      </c>
      <c r="B755" s="269"/>
      <c r="C755" s="269"/>
      <c r="D755" s="269"/>
      <c r="E755" s="269"/>
      <c r="F755" s="269"/>
      <c r="G755" s="269"/>
      <c r="H755" s="269"/>
      <c r="I755" s="269"/>
      <c r="J755" s="269"/>
      <c r="K755" s="269"/>
      <c r="L755" s="269"/>
      <c r="M755" s="269"/>
      <c r="N755" s="269"/>
      <c r="O755" s="269"/>
      <c r="P755" s="269"/>
      <c r="Q755" s="269"/>
      <c r="R755" s="269"/>
      <c r="S755" s="269"/>
      <c r="T755" s="269"/>
      <c r="U755" s="269"/>
      <c r="V755" s="269"/>
      <c r="W755" s="269"/>
      <c r="X755" s="269"/>
      <c r="Y755" s="269"/>
      <c r="Z755" s="269"/>
    </row>
    <row r="756">
      <c r="A756" s="269" t="str">
        <f>IFERROR(__xludf.DUMMYFUNCTION("""COMPUTED_VALUE"""),"")</f>
        <v/>
      </c>
      <c r="B756" s="269"/>
      <c r="C756" s="269"/>
      <c r="D756" s="269"/>
      <c r="E756" s="269"/>
      <c r="F756" s="269"/>
      <c r="G756" s="269"/>
      <c r="H756" s="269"/>
      <c r="I756" s="269"/>
      <c r="J756" s="269"/>
      <c r="K756" s="269"/>
      <c r="L756" s="269"/>
      <c r="M756" s="269"/>
      <c r="N756" s="269"/>
      <c r="O756" s="269"/>
      <c r="P756" s="269"/>
      <c r="Q756" s="269"/>
      <c r="R756" s="269"/>
      <c r="S756" s="269"/>
      <c r="T756" s="269"/>
      <c r="U756" s="269"/>
      <c r="V756" s="269"/>
      <c r="W756" s="269"/>
      <c r="X756" s="269"/>
      <c r="Y756" s="269"/>
      <c r="Z756" s="269"/>
    </row>
    <row r="757">
      <c r="A757" s="269" t="str">
        <f>IFERROR(__xludf.DUMMYFUNCTION("""COMPUTED_VALUE"""),"")</f>
        <v/>
      </c>
      <c r="B757" s="269"/>
      <c r="C757" s="269"/>
      <c r="D757" s="269"/>
      <c r="E757" s="269"/>
      <c r="F757" s="269"/>
      <c r="G757" s="269"/>
      <c r="H757" s="269"/>
      <c r="I757" s="269"/>
      <c r="J757" s="269"/>
      <c r="K757" s="269"/>
      <c r="L757" s="269"/>
      <c r="M757" s="269"/>
      <c r="N757" s="269"/>
      <c r="O757" s="269"/>
      <c r="P757" s="269"/>
      <c r="Q757" s="269"/>
      <c r="R757" s="269"/>
      <c r="S757" s="269"/>
      <c r="T757" s="269"/>
      <c r="U757" s="269"/>
      <c r="V757" s="269"/>
      <c r="W757" s="269"/>
      <c r="X757" s="269"/>
      <c r="Y757" s="269"/>
      <c r="Z757" s="269"/>
    </row>
    <row r="758">
      <c r="A758" s="269" t="str">
        <f>IFERROR(__xludf.DUMMYFUNCTION("""COMPUTED_VALUE"""),"")</f>
        <v/>
      </c>
      <c r="B758" s="269"/>
      <c r="C758" s="269"/>
      <c r="D758" s="269"/>
      <c r="E758" s="269"/>
      <c r="F758" s="269"/>
      <c r="G758" s="269"/>
      <c r="H758" s="269"/>
      <c r="I758" s="269"/>
      <c r="J758" s="269"/>
      <c r="K758" s="269"/>
      <c r="L758" s="269"/>
      <c r="M758" s="269"/>
      <c r="N758" s="269"/>
      <c r="O758" s="269"/>
      <c r="P758" s="269"/>
      <c r="Q758" s="269"/>
      <c r="R758" s="269"/>
      <c r="S758" s="269"/>
      <c r="T758" s="269"/>
      <c r="U758" s="269"/>
      <c r="V758" s="269"/>
      <c r="W758" s="269"/>
      <c r="X758" s="269"/>
      <c r="Y758" s="269"/>
      <c r="Z758" s="269"/>
    </row>
    <row r="759">
      <c r="A759" s="269" t="str">
        <f>IFERROR(__xludf.DUMMYFUNCTION("""COMPUTED_VALUE"""),"")</f>
        <v/>
      </c>
      <c r="B759" s="269"/>
      <c r="C759" s="269"/>
      <c r="D759" s="269"/>
      <c r="E759" s="269"/>
      <c r="F759" s="269"/>
      <c r="G759" s="269"/>
      <c r="H759" s="269"/>
      <c r="I759" s="269"/>
      <c r="J759" s="269"/>
      <c r="K759" s="269"/>
      <c r="L759" s="269"/>
      <c r="M759" s="269"/>
      <c r="N759" s="269"/>
      <c r="O759" s="269"/>
      <c r="P759" s="269"/>
      <c r="Q759" s="269"/>
      <c r="R759" s="269"/>
      <c r="S759" s="269"/>
      <c r="T759" s="269"/>
      <c r="U759" s="269"/>
      <c r="V759" s="269"/>
      <c r="W759" s="269"/>
      <c r="X759" s="269"/>
      <c r="Y759" s="269"/>
      <c r="Z759" s="269"/>
    </row>
    <row r="760">
      <c r="A760" s="269" t="str">
        <f>IFERROR(__xludf.DUMMYFUNCTION("""COMPUTED_VALUE"""),"")</f>
        <v/>
      </c>
      <c r="B760" s="269"/>
      <c r="C760" s="269"/>
      <c r="D760" s="269"/>
      <c r="E760" s="269"/>
      <c r="F760" s="269"/>
      <c r="G760" s="269"/>
      <c r="H760" s="269"/>
      <c r="I760" s="269"/>
      <c r="J760" s="269"/>
      <c r="K760" s="269"/>
      <c r="L760" s="269"/>
      <c r="M760" s="269"/>
      <c r="N760" s="269"/>
      <c r="O760" s="269"/>
      <c r="P760" s="269"/>
      <c r="Q760" s="269"/>
      <c r="R760" s="269"/>
      <c r="S760" s="269"/>
      <c r="T760" s="269"/>
      <c r="U760" s="269"/>
      <c r="V760" s="269"/>
      <c r="W760" s="269"/>
      <c r="X760" s="269"/>
      <c r="Y760" s="269"/>
      <c r="Z760" s="269"/>
    </row>
    <row r="761">
      <c r="A761" s="269" t="str">
        <f>IFERROR(__xludf.DUMMYFUNCTION("""COMPUTED_VALUE"""),"")</f>
        <v/>
      </c>
      <c r="B761" s="269"/>
      <c r="C761" s="269"/>
      <c r="D761" s="269"/>
      <c r="E761" s="269"/>
      <c r="F761" s="269"/>
      <c r="G761" s="269"/>
      <c r="H761" s="269"/>
      <c r="I761" s="269"/>
      <c r="J761" s="269"/>
      <c r="K761" s="269"/>
      <c r="L761" s="269"/>
      <c r="M761" s="269"/>
      <c r="N761" s="269"/>
      <c r="O761" s="269"/>
      <c r="P761" s="269"/>
      <c r="Q761" s="269"/>
      <c r="R761" s="269"/>
      <c r="S761" s="269"/>
      <c r="T761" s="269"/>
      <c r="U761" s="269"/>
      <c r="V761" s="269"/>
      <c r="W761" s="269"/>
      <c r="X761" s="269"/>
      <c r="Y761" s="269"/>
      <c r="Z761" s="269"/>
    </row>
    <row r="762">
      <c r="A762" s="269" t="str">
        <f>IFERROR(__xludf.DUMMYFUNCTION("""COMPUTED_VALUE"""),"")</f>
        <v/>
      </c>
      <c r="B762" s="269"/>
      <c r="C762" s="269"/>
      <c r="D762" s="269"/>
      <c r="E762" s="269"/>
      <c r="F762" s="269"/>
      <c r="G762" s="269"/>
      <c r="H762" s="269"/>
      <c r="I762" s="269"/>
      <c r="J762" s="269"/>
      <c r="K762" s="269"/>
      <c r="L762" s="269"/>
      <c r="M762" s="269"/>
      <c r="N762" s="269"/>
      <c r="O762" s="269"/>
      <c r="P762" s="269"/>
      <c r="Q762" s="269"/>
      <c r="R762" s="269"/>
      <c r="S762" s="269"/>
      <c r="T762" s="269"/>
      <c r="U762" s="269"/>
      <c r="V762" s="269"/>
      <c r="W762" s="269"/>
      <c r="X762" s="269"/>
      <c r="Y762" s="269"/>
      <c r="Z762" s="269"/>
    </row>
    <row r="763">
      <c r="A763" s="269" t="str">
        <f>IFERROR(__xludf.DUMMYFUNCTION("""COMPUTED_VALUE"""),"")</f>
        <v/>
      </c>
      <c r="B763" s="269"/>
      <c r="C763" s="269"/>
      <c r="D763" s="269"/>
      <c r="E763" s="269"/>
      <c r="F763" s="269"/>
      <c r="G763" s="269"/>
      <c r="H763" s="269"/>
      <c r="I763" s="269"/>
      <c r="J763" s="269"/>
      <c r="K763" s="269"/>
      <c r="L763" s="269"/>
      <c r="M763" s="269"/>
      <c r="N763" s="269"/>
      <c r="O763" s="269"/>
      <c r="P763" s="269"/>
      <c r="Q763" s="269"/>
      <c r="R763" s="269"/>
      <c r="S763" s="269"/>
      <c r="T763" s="269"/>
      <c r="U763" s="269"/>
      <c r="V763" s="269"/>
      <c r="W763" s="269"/>
      <c r="X763" s="269"/>
      <c r="Y763" s="269"/>
      <c r="Z763" s="269"/>
    </row>
    <row r="764">
      <c r="A764" s="269" t="str">
        <f>IFERROR(__xludf.DUMMYFUNCTION("""COMPUTED_VALUE"""),"")</f>
        <v/>
      </c>
      <c r="B764" s="269"/>
      <c r="C764" s="269"/>
      <c r="D764" s="269"/>
      <c r="E764" s="269"/>
      <c r="F764" s="269"/>
      <c r="G764" s="269"/>
      <c r="H764" s="269"/>
      <c r="I764" s="269"/>
      <c r="J764" s="269"/>
      <c r="K764" s="269"/>
      <c r="L764" s="269"/>
      <c r="M764" s="269"/>
      <c r="N764" s="269"/>
      <c r="O764" s="269"/>
      <c r="P764" s="269"/>
      <c r="Q764" s="269"/>
      <c r="R764" s="269"/>
      <c r="S764" s="269"/>
      <c r="T764" s="269"/>
      <c r="U764" s="269"/>
      <c r="V764" s="269"/>
      <c r="W764" s="269"/>
      <c r="X764" s="269"/>
      <c r="Y764" s="269"/>
      <c r="Z764" s="269"/>
    </row>
    <row r="765">
      <c r="A765" s="269" t="str">
        <f>IFERROR(__xludf.DUMMYFUNCTION("""COMPUTED_VALUE"""),"")</f>
        <v/>
      </c>
      <c r="B765" s="269"/>
      <c r="C765" s="269"/>
      <c r="D765" s="269"/>
      <c r="E765" s="269"/>
      <c r="F765" s="269"/>
      <c r="G765" s="269"/>
      <c r="H765" s="269"/>
      <c r="I765" s="269"/>
      <c r="J765" s="269"/>
      <c r="K765" s="269"/>
      <c r="L765" s="269"/>
      <c r="M765" s="269"/>
      <c r="N765" s="269"/>
      <c r="O765" s="269"/>
      <c r="P765" s="269"/>
      <c r="Q765" s="269"/>
      <c r="R765" s="269"/>
      <c r="S765" s="269"/>
      <c r="T765" s="269"/>
      <c r="U765" s="269"/>
      <c r="V765" s="269"/>
      <c r="W765" s="269"/>
      <c r="X765" s="269"/>
      <c r="Y765" s="269"/>
      <c r="Z765" s="269"/>
    </row>
    <row r="766">
      <c r="A766" s="269" t="str">
        <f>IFERROR(__xludf.DUMMYFUNCTION("""COMPUTED_VALUE"""),"")</f>
        <v/>
      </c>
      <c r="B766" s="269"/>
      <c r="C766" s="269"/>
      <c r="D766" s="269"/>
      <c r="E766" s="269"/>
      <c r="F766" s="269"/>
      <c r="G766" s="269"/>
      <c r="H766" s="269"/>
      <c r="I766" s="269"/>
      <c r="J766" s="269"/>
      <c r="K766" s="269"/>
      <c r="L766" s="269"/>
      <c r="M766" s="269"/>
      <c r="N766" s="269"/>
      <c r="O766" s="269"/>
      <c r="P766" s="269"/>
      <c r="Q766" s="269"/>
      <c r="R766" s="269"/>
      <c r="S766" s="269"/>
      <c r="T766" s="269"/>
      <c r="U766" s="269"/>
      <c r="V766" s="269"/>
      <c r="W766" s="269"/>
      <c r="X766" s="269"/>
      <c r="Y766" s="269"/>
      <c r="Z766" s="269"/>
    </row>
    <row r="767">
      <c r="A767" s="269" t="str">
        <f>IFERROR(__xludf.DUMMYFUNCTION("""COMPUTED_VALUE"""),"")</f>
        <v/>
      </c>
      <c r="B767" s="269"/>
      <c r="C767" s="269"/>
      <c r="D767" s="269"/>
      <c r="E767" s="269"/>
      <c r="F767" s="269"/>
      <c r="G767" s="269"/>
      <c r="H767" s="269"/>
      <c r="I767" s="269"/>
      <c r="J767" s="269"/>
      <c r="K767" s="269"/>
      <c r="L767" s="269"/>
      <c r="M767" s="269"/>
      <c r="N767" s="269"/>
      <c r="O767" s="269"/>
      <c r="P767" s="269"/>
      <c r="Q767" s="269"/>
      <c r="R767" s="269"/>
      <c r="S767" s="269"/>
      <c r="T767" s="269"/>
      <c r="U767" s="269"/>
      <c r="V767" s="269"/>
      <c r="W767" s="269"/>
      <c r="X767" s="269"/>
      <c r="Y767" s="269"/>
      <c r="Z767" s="269"/>
    </row>
    <row r="768">
      <c r="A768" s="269" t="str">
        <f>IFERROR(__xludf.DUMMYFUNCTION("""COMPUTED_VALUE"""),"")</f>
        <v/>
      </c>
      <c r="B768" s="269"/>
      <c r="C768" s="269"/>
      <c r="D768" s="269"/>
      <c r="E768" s="269"/>
      <c r="F768" s="269"/>
      <c r="G768" s="269"/>
      <c r="H768" s="269"/>
      <c r="I768" s="269"/>
      <c r="J768" s="269"/>
      <c r="K768" s="269"/>
      <c r="L768" s="269"/>
      <c r="M768" s="269"/>
      <c r="N768" s="269"/>
      <c r="O768" s="269"/>
      <c r="P768" s="269"/>
      <c r="Q768" s="269"/>
      <c r="R768" s="269"/>
      <c r="S768" s="269"/>
      <c r="T768" s="269"/>
      <c r="U768" s="269"/>
      <c r="V768" s="269"/>
      <c r="W768" s="269"/>
      <c r="X768" s="269"/>
      <c r="Y768" s="269"/>
      <c r="Z768" s="269"/>
    </row>
    <row r="769">
      <c r="A769" s="269" t="str">
        <f>IFERROR(__xludf.DUMMYFUNCTION("""COMPUTED_VALUE"""),"")</f>
        <v/>
      </c>
      <c r="B769" s="269"/>
      <c r="C769" s="269"/>
      <c r="D769" s="269"/>
      <c r="E769" s="269"/>
      <c r="F769" s="269"/>
      <c r="G769" s="269"/>
      <c r="H769" s="269"/>
      <c r="I769" s="269"/>
      <c r="J769" s="269"/>
      <c r="K769" s="269"/>
      <c r="L769" s="269"/>
      <c r="M769" s="269"/>
      <c r="N769" s="269"/>
      <c r="O769" s="269"/>
      <c r="P769" s="269"/>
      <c r="Q769" s="269"/>
      <c r="R769" s="269"/>
      <c r="S769" s="269"/>
      <c r="T769" s="269"/>
      <c r="U769" s="269"/>
      <c r="V769" s="269"/>
      <c r="W769" s="269"/>
      <c r="X769" s="269"/>
      <c r="Y769" s="269"/>
      <c r="Z769" s="269"/>
    </row>
    <row r="770">
      <c r="A770" s="269" t="str">
        <f>IFERROR(__xludf.DUMMYFUNCTION("""COMPUTED_VALUE"""),"")</f>
        <v/>
      </c>
      <c r="B770" s="269"/>
      <c r="C770" s="269"/>
      <c r="D770" s="269"/>
      <c r="E770" s="269"/>
      <c r="F770" s="269"/>
      <c r="G770" s="269"/>
      <c r="H770" s="269"/>
      <c r="I770" s="269"/>
      <c r="J770" s="269"/>
      <c r="K770" s="269"/>
      <c r="L770" s="269"/>
      <c r="M770" s="269"/>
      <c r="N770" s="269"/>
      <c r="O770" s="269"/>
      <c r="P770" s="269"/>
      <c r="Q770" s="269"/>
      <c r="R770" s="269"/>
      <c r="S770" s="269"/>
      <c r="T770" s="269"/>
      <c r="U770" s="269"/>
      <c r="V770" s="269"/>
      <c r="W770" s="269"/>
      <c r="X770" s="269"/>
      <c r="Y770" s="269"/>
      <c r="Z770" s="269"/>
    </row>
    <row r="771">
      <c r="A771" s="269" t="str">
        <f>IFERROR(__xludf.DUMMYFUNCTION("""COMPUTED_VALUE"""),"")</f>
        <v/>
      </c>
      <c r="B771" s="269"/>
      <c r="C771" s="269"/>
      <c r="D771" s="269"/>
      <c r="E771" s="269"/>
      <c r="F771" s="269"/>
      <c r="G771" s="269"/>
      <c r="H771" s="269"/>
      <c r="I771" s="269"/>
      <c r="J771" s="269"/>
      <c r="K771" s="269"/>
      <c r="L771" s="269"/>
      <c r="M771" s="269"/>
      <c r="N771" s="269"/>
      <c r="O771" s="269"/>
      <c r="P771" s="269"/>
      <c r="Q771" s="269"/>
      <c r="R771" s="269"/>
      <c r="S771" s="269"/>
      <c r="T771" s="269"/>
      <c r="U771" s="269"/>
      <c r="V771" s="269"/>
      <c r="W771" s="269"/>
      <c r="X771" s="269"/>
      <c r="Y771" s="269"/>
      <c r="Z771" s="269"/>
    </row>
    <row r="772">
      <c r="A772" s="269" t="str">
        <f>IFERROR(__xludf.DUMMYFUNCTION("""COMPUTED_VALUE"""),"")</f>
        <v/>
      </c>
      <c r="B772" s="269"/>
      <c r="C772" s="269"/>
      <c r="D772" s="269"/>
      <c r="E772" s="269"/>
      <c r="F772" s="269"/>
      <c r="G772" s="269"/>
      <c r="H772" s="269"/>
      <c r="I772" s="269"/>
      <c r="J772" s="269"/>
      <c r="K772" s="269"/>
      <c r="L772" s="269"/>
      <c r="M772" s="269"/>
      <c r="N772" s="269"/>
      <c r="O772" s="269"/>
      <c r="P772" s="269"/>
      <c r="Q772" s="269"/>
      <c r="R772" s="269"/>
      <c r="S772" s="269"/>
      <c r="T772" s="269"/>
      <c r="U772" s="269"/>
      <c r="V772" s="269"/>
      <c r="W772" s="269"/>
      <c r="X772" s="269"/>
      <c r="Y772" s="269"/>
      <c r="Z772" s="269"/>
    </row>
    <row r="773">
      <c r="A773" s="269" t="str">
        <f>IFERROR(__xludf.DUMMYFUNCTION("""COMPUTED_VALUE"""),"")</f>
        <v/>
      </c>
      <c r="B773" s="269"/>
      <c r="C773" s="269"/>
      <c r="D773" s="269"/>
      <c r="E773" s="269"/>
      <c r="F773" s="269"/>
      <c r="G773" s="269"/>
      <c r="H773" s="269"/>
      <c r="I773" s="269"/>
      <c r="J773" s="269"/>
      <c r="K773" s="269"/>
      <c r="L773" s="269"/>
      <c r="M773" s="269"/>
      <c r="N773" s="269"/>
      <c r="O773" s="269"/>
      <c r="P773" s="269"/>
      <c r="Q773" s="269"/>
      <c r="R773" s="269"/>
      <c r="S773" s="269"/>
      <c r="T773" s="269"/>
      <c r="U773" s="269"/>
      <c r="V773" s="269"/>
      <c r="W773" s="269"/>
      <c r="X773" s="269"/>
      <c r="Y773" s="269"/>
      <c r="Z773" s="269"/>
    </row>
    <row r="774">
      <c r="A774" s="269" t="str">
        <f>IFERROR(__xludf.DUMMYFUNCTION("""COMPUTED_VALUE"""),"")</f>
        <v/>
      </c>
      <c r="B774" s="269"/>
      <c r="C774" s="269"/>
      <c r="D774" s="269"/>
      <c r="E774" s="269"/>
      <c r="F774" s="269"/>
      <c r="G774" s="269"/>
      <c r="H774" s="269"/>
      <c r="I774" s="269"/>
      <c r="J774" s="269"/>
      <c r="K774" s="269"/>
      <c r="L774" s="269"/>
      <c r="M774" s="269"/>
      <c r="N774" s="269"/>
      <c r="O774" s="269"/>
      <c r="P774" s="269"/>
      <c r="Q774" s="269"/>
      <c r="R774" s="269"/>
      <c r="S774" s="269"/>
      <c r="T774" s="269"/>
      <c r="U774" s="269"/>
      <c r="V774" s="269"/>
      <c r="W774" s="269"/>
      <c r="X774" s="269"/>
      <c r="Y774" s="269"/>
      <c r="Z774" s="269"/>
    </row>
    <row r="775">
      <c r="A775" s="269" t="str">
        <f>IFERROR(__xludf.DUMMYFUNCTION("""COMPUTED_VALUE"""),"")</f>
        <v/>
      </c>
      <c r="B775" s="269"/>
      <c r="C775" s="269"/>
      <c r="D775" s="269"/>
      <c r="E775" s="269"/>
      <c r="F775" s="269"/>
      <c r="G775" s="269"/>
      <c r="H775" s="269"/>
      <c r="I775" s="269"/>
      <c r="J775" s="269"/>
      <c r="K775" s="269"/>
      <c r="L775" s="269"/>
      <c r="M775" s="269"/>
      <c r="N775" s="269"/>
      <c r="O775" s="269"/>
      <c r="P775" s="269"/>
      <c r="Q775" s="269"/>
      <c r="R775" s="269"/>
      <c r="S775" s="269"/>
      <c r="T775" s="269"/>
      <c r="U775" s="269"/>
      <c r="V775" s="269"/>
      <c r="W775" s="269"/>
      <c r="X775" s="269"/>
      <c r="Y775" s="269"/>
      <c r="Z775" s="269"/>
    </row>
    <row r="776">
      <c r="A776" s="269" t="str">
        <f>IFERROR(__xludf.DUMMYFUNCTION("""COMPUTED_VALUE"""),"")</f>
        <v/>
      </c>
      <c r="B776" s="269"/>
      <c r="C776" s="269"/>
      <c r="D776" s="269"/>
      <c r="E776" s="269"/>
      <c r="F776" s="269"/>
      <c r="G776" s="269"/>
      <c r="H776" s="269"/>
      <c r="I776" s="269"/>
      <c r="J776" s="269"/>
      <c r="K776" s="269"/>
      <c r="L776" s="269"/>
      <c r="M776" s="269"/>
      <c r="N776" s="269"/>
      <c r="O776" s="269"/>
      <c r="P776" s="269"/>
      <c r="Q776" s="269"/>
      <c r="R776" s="269"/>
      <c r="S776" s="269"/>
      <c r="T776" s="269"/>
      <c r="U776" s="269"/>
      <c r="V776" s="269"/>
      <c r="W776" s="269"/>
      <c r="X776" s="269"/>
      <c r="Y776" s="269"/>
      <c r="Z776" s="269"/>
    </row>
    <row r="777">
      <c r="A777" s="269" t="str">
        <f>IFERROR(__xludf.DUMMYFUNCTION("""COMPUTED_VALUE"""),"")</f>
        <v/>
      </c>
      <c r="B777" s="269"/>
      <c r="C777" s="269"/>
      <c r="D777" s="269"/>
      <c r="E777" s="269"/>
      <c r="F777" s="269"/>
      <c r="G777" s="269"/>
      <c r="H777" s="269"/>
      <c r="I777" s="269"/>
      <c r="J777" s="269"/>
      <c r="K777" s="269"/>
      <c r="L777" s="269"/>
      <c r="M777" s="269"/>
      <c r="N777" s="269"/>
      <c r="O777" s="269"/>
      <c r="P777" s="269"/>
      <c r="Q777" s="269"/>
      <c r="R777" s="269"/>
      <c r="S777" s="269"/>
      <c r="T777" s="269"/>
      <c r="U777" s="269"/>
      <c r="V777" s="269"/>
      <c r="W777" s="269"/>
      <c r="X777" s="269"/>
      <c r="Y777" s="269"/>
      <c r="Z777" s="269"/>
    </row>
    <row r="778">
      <c r="A778" s="269" t="str">
        <f>IFERROR(__xludf.DUMMYFUNCTION("""COMPUTED_VALUE"""),"")</f>
        <v/>
      </c>
      <c r="B778" s="269"/>
      <c r="C778" s="269"/>
      <c r="D778" s="269"/>
      <c r="E778" s="269"/>
      <c r="F778" s="269"/>
      <c r="G778" s="269"/>
      <c r="H778" s="269"/>
      <c r="I778" s="269"/>
      <c r="J778" s="269"/>
      <c r="K778" s="269"/>
      <c r="L778" s="269"/>
      <c r="M778" s="269"/>
      <c r="N778" s="269"/>
      <c r="O778" s="269"/>
      <c r="P778" s="269"/>
      <c r="Q778" s="269"/>
      <c r="R778" s="269"/>
      <c r="S778" s="269"/>
      <c r="T778" s="269"/>
      <c r="U778" s="269"/>
      <c r="V778" s="269"/>
      <c r="W778" s="269"/>
      <c r="X778" s="269"/>
      <c r="Y778" s="269"/>
      <c r="Z778" s="269"/>
    </row>
    <row r="779">
      <c r="A779" s="269" t="str">
        <f>IFERROR(__xludf.DUMMYFUNCTION("""COMPUTED_VALUE"""),"")</f>
        <v/>
      </c>
      <c r="B779" s="269"/>
      <c r="C779" s="269"/>
      <c r="D779" s="269"/>
      <c r="E779" s="269"/>
      <c r="F779" s="269"/>
      <c r="G779" s="269"/>
      <c r="H779" s="269"/>
      <c r="I779" s="269"/>
      <c r="J779" s="269"/>
      <c r="K779" s="269"/>
      <c r="L779" s="269"/>
      <c r="M779" s="269"/>
      <c r="N779" s="269"/>
      <c r="O779" s="269"/>
      <c r="P779" s="269"/>
      <c r="Q779" s="269"/>
      <c r="R779" s="269"/>
      <c r="S779" s="269"/>
      <c r="T779" s="269"/>
      <c r="U779" s="269"/>
      <c r="V779" s="269"/>
      <c r="W779" s="269"/>
      <c r="X779" s="269"/>
      <c r="Y779" s="269"/>
      <c r="Z779" s="269"/>
    </row>
    <row r="780">
      <c r="A780" s="269" t="str">
        <f>IFERROR(__xludf.DUMMYFUNCTION("""COMPUTED_VALUE"""),"")</f>
        <v/>
      </c>
      <c r="B780" s="269"/>
      <c r="C780" s="269"/>
      <c r="D780" s="269"/>
      <c r="E780" s="269"/>
      <c r="F780" s="269"/>
      <c r="G780" s="269"/>
      <c r="H780" s="269"/>
      <c r="I780" s="269"/>
      <c r="J780" s="269"/>
      <c r="K780" s="269"/>
      <c r="L780" s="269"/>
      <c r="M780" s="269"/>
      <c r="N780" s="269"/>
      <c r="O780" s="269"/>
      <c r="P780" s="269"/>
      <c r="Q780" s="269"/>
      <c r="R780" s="269"/>
      <c r="S780" s="269"/>
      <c r="T780" s="269"/>
      <c r="U780" s="269"/>
      <c r="V780" s="269"/>
      <c r="W780" s="269"/>
      <c r="X780" s="269"/>
      <c r="Y780" s="269"/>
      <c r="Z780" s="269"/>
    </row>
    <row r="781">
      <c r="A781" s="269" t="str">
        <f>IFERROR(__xludf.DUMMYFUNCTION("""COMPUTED_VALUE"""),"")</f>
        <v/>
      </c>
      <c r="B781" s="269"/>
      <c r="C781" s="269"/>
      <c r="D781" s="269"/>
      <c r="E781" s="269"/>
      <c r="F781" s="269"/>
      <c r="G781" s="269"/>
      <c r="H781" s="269"/>
      <c r="I781" s="269"/>
      <c r="J781" s="269"/>
      <c r="K781" s="269"/>
      <c r="L781" s="269"/>
      <c r="M781" s="269"/>
      <c r="N781" s="269"/>
      <c r="O781" s="269"/>
      <c r="P781" s="269"/>
      <c r="Q781" s="269"/>
      <c r="R781" s="269"/>
      <c r="S781" s="269"/>
      <c r="T781" s="269"/>
      <c r="U781" s="269"/>
      <c r="V781" s="269"/>
      <c r="W781" s="269"/>
      <c r="X781" s="269"/>
      <c r="Y781" s="269"/>
      <c r="Z781" s="269"/>
    </row>
    <row r="782">
      <c r="A782" s="269" t="str">
        <f>IFERROR(__xludf.DUMMYFUNCTION("""COMPUTED_VALUE"""),"")</f>
        <v/>
      </c>
      <c r="B782" s="269"/>
      <c r="C782" s="269"/>
      <c r="D782" s="269"/>
      <c r="E782" s="269"/>
      <c r="F782" s="269"/>
      <c r="G782" s="269"/>
      <c r="H782" s="269"/>
      <c r="I782" s="269"/>
      <c r="J782" s="269"/>
      <c r="K782" s="269"/>
      <c r="L782" s="269"/>
      <c r="M782" s="269"/>
      <c r="N782" s="269"/>
      <c r="O782" s="269"/>
      <c r="P782" s="269"/>
      <c r="Q782" s="269"/>
      <c r="R782" s="269"/>
      <c r="S782" s="269"/>
      <c r="T782" s="269"/>
      <c r="U782" s="269"/>
      <c r="V782" s="269"/>
      <c r="W782" s="269"/>
      <c r="X782" s="269"/>
      <c r="Y782" s="269"/>
      <c r="Z782" s="269"/>
    </row>
    <row r="783">
      <c r="A783" s="269" t="str">
        <f>IFERROR(__xludf.DUMMYFUNCTION("""COMPUTED_VALUE"""),"")</f>
        <v/>
      </c>
      <c r="B783" s="269"/>
      <c r="C783" s="269"/>
      <c r="D783" s="269"/>
      <c r="E783" s="269"/>
      <c r="F783" s="269"/>
      <c r="G783" s="269"/>
      <c r="H783" s="269"/>
      <c r="I783" s="269"/>
      <c r="J783" s="269"/>
      <c r="K783" s="269"/>
      <c r="L783" s="269"/>
      <c r="M783" s="269"/>
      <c r="N783" s="269"/>
      <c r="O783" s="269"/>
      <c r="P783" s="269"/>
      <c r="Q783" s="269"/>
      <c r="R783" s="269"/>
      <c r="S783" s="269"/>
      <c r="T783" s="269"/>
      <c r="U783" s="269"/>
      <c r="V783" s="269"/>
      <c r="W783" s="269"/>
      <c r="X783" s="269"/>
      <c r="Y783" s="269"/>
      <c r="Z783" s="269"/>
    </row>
    <row r="784">
      <c r="A784" s="269" t="str">
        <f>IFERROR(__xludf.DUMMYFUNCTION("""COMPUTED_VALUE"""),"")</f>
        <v/>
      </c>
      <c r="B784" s="269"/>
      <c r="C784" s="269"/>
      <c r="D784" s="269"/>
      <c r="E784" s="269"/>
      <c r="F784" s="269"/>
      <c r="G784" s="269"/>
      <c r="H784" s="269"/>
      <c r="I784" s="269"/>
      <c r="J784" s="269"/>
      <c r="K784" s="269"/>
      <c r="L784" s="269"/>
      <c r="M784" s="269"/>
      <c r="N784" s="269"/>
      <c r="O784" s="269"/>
      <c r="P784" s="269"/>
      <c r="Q784" s="269"/>
      <c r="R784" s="269"/>
      <c r="S784" s="269"/>
      <c r="T784" s="269"/>
      <c r="U784" s="269"/>
      <c r="V784" s="269"/>
      <c r="W784" s="269"/>
      <c r="X784" s="269"/>
      <c r="Y784" s="269"/>
      <c r="Z784" s="269"/>
    </row>
    <row r="785">
      <c r="A785" s="269" t="str">
        <f>IFERROR(__xludf.DUMMYFUNCTION("""COMPUTED_VALUE"""),"")</f>
        <v/>
      </c>
      <c r="B785" s="269"/>
      <c r="C785" s="269"/>
      <c r="D785" s="269"/>
      <c r="E785" s="269"/>
      <c r="F785" s="269"/>
      <c r="G785" s="269"/>
      <c r="H785" s="269"/>
      <c r="I785" s="269"/>
      <c r="J785" s="269"/>
      <c r="K785" s="269"/>
      <c r="L785" s="269"/>
      <c r="M785" s="269"/>
      <c r="N785" s="269"/>
      <c r="O785" s="269"/>
      <c r="P785" s="269"/>
      <c r="Q785" s="269"/>
      <c r="R785" s="269"/>
      <c r="S785" s="269"/>
      <c r="T785" s="269"/>
      <c r="U785" s="269"/>
      <c r="V785" s="269"/>
      <c r="W785" s="269"/>
      <c r="X785" s="269"/>
      <c r="Y785" s="269"/>
      <c r="Z785" s="269"/>
    </row>
    <row r="786">
      <c r="A786" s="269" t="str">
        <f>IFERROR(__xludf.DUMMYFUNCTION("""COMPUTED_VALUE"""),"")</f>
        <v/>
      </c>
      <c r="B786" s="269"/>
      <c r="C786" s="269"/>
      <c r="D786" s="269"/>
      <c r="E786" s="269"/>
      <c r="F786" s="269"/>
      <c r="G786" s="269"/>
      <c r="H786" s="269"/>
      <c r="I786" s="269"/>
      <c r="J786" s="269"/>
      <c r="K786" s="269"/>
      <c r="L786" s="269"/>
      <c r="M786" s="269"/>
      <c r="N786" s="269"/>
      <c r="O786" s="269"/>
      <c r="P786" s="269"/>
      <c r="Q786" s="269"/>
      <c r="R786" s="269"/>
      <c r="S786" s="269"/>
      <c r="T786" s="269"/>
      <c r="U786" s="269"/>
      <c r="V786" s="269"/>
      <c r="W786" s="269"/>
      <c r="X786" s="269"/>
      <c r="Y786" s="269"/>
      <c r="Z786" s="269"/>
    </row>
    <row r="787">
      <c r="A787" s="269" t="str">
        <f>IFERROR(__xludf.DUMMYFUNCTION("""COMPUTED_VALUE"""),"")</f>
        <v/>
      </c>
      <c r="B787" s="269"/>
      <c r="C787" s="269"/>
      <c r="D787" s="269"/>
      <c r="E787" s="269"/>
      <c r="F787" s="269"/>
      <c r="G787" s="269"/>
      <c r="H787" s="269"/>
      <c r="I787" s="269"/>
      <c r="J787" s="269"/>
      <c r="K787" s="269"/>
      <c r="L787" s="269"/>
      <c r="M787" s="269"/>
      <c r="N787" s="269"/>
      <c r="O787" s="269"/>
      <c r="P787" s="269"/>
      <c r="Q787" s="269"/>
      <c r="R787" s="269"/>
      <c r="S787" s="269"/>
      <c r="T787" s="269"/>
      <c r="U787" s="269"/>
      <c r="V787" s="269"/>
      <c r="W787" s="269"/>
      <c r="X787" s="269"/>
      <c r="Y787" s="269"/>
      <c r="Z787" s="269"/>
    </row>
    <row r="788">
      <c r="A788" s="269" t="str">
        <f>IFERROR(__xludf.DUMMYFUNCTION("""COMPUTED_VALUE"""),"")</f>
        <v/>
      </c>
      <c r="B788" s="269"/>
      <c r="C788" s="269"/>
      <c r="D788" s="269"/>
      <c r="E788" s="269"/>
      <c r="F788" s="269"/>
      <c r="G788" s="269"/>
      <c r="H788" s="269"/>
      <c r="I788" s="269"/>
      <c r="J788" s="269"/>
      <c r="K788" s="269"/>
      <c r="L788" s="269"/>
      <c r="M788" s="269"/>
      <c r="N788" s="269"/>
      <c r="O788" s="269"/>
      <c r="P788" s="269"/>
      <c r="Q788" s="269"/>
      <c r="R788" s="269"/>
      <c r="S788" s="269"/>
      <c r="T788" s="269"/>
      <c r="U788" s="269"/>
      <c r="V788" s="269"/>
      <c r="W788" s="269"/>
      <c r="X788" s="269"/>
      <c r="Y788" s="269"/>
      <c r="Z788" s="269"/>
    </row>
    <row r="789">
      <c r="A789" s="269" t="str">
        <f>IFERROR(__xludf.DUMMYFUNCTION("""COMPUTED_VALUE"""),"")</f>
        <v/>
      </c>
      <c r="B789" s="269"/>
      <c r="C789" s="269"/>
      <c r="D789" s="269"/>
      <c r="E789" s="269"/>
      <c r="F789" s="269"/>
      <c r="G789" s="269"/>
      <c r="H789" s="269"/>
      <c r="I789" s="269"/>
      <c r="J789" s="269"/>
      <c r="K789" s="269"/>
      <c r="L789" s="269"/>
      <c r="M789" s="269"/>
      <c r="N789" s="269"/>
      <c r="O789" s="269"/>
      <c r="P789" s="269"/>
      <c r="Q789" s="269"/>
      <c r="R789" s="269"/>
      <c r="S789" s="269"/>
      <c r="T789" s="269"/>
      <c r="U789" s="269"/>
      <c r="V789" s="269"/>
      <c r="W789" s="269"/>
      <c r="X789" s="269"/>
      <c r="Y789" s="269"/>
      <c r="Z789" s="269"/>
    </row>
    <row r="790">
      <c r="A790" s="269" t="str">
        <f>IFERROR(__xludf.DUMMYFUNCTION("""COMPUTED_VALUE"""),"")</f>
        <v/>
      </c>
      <c r="B790" s="269"/>
      <c r="C790" s="269"/>
      <c r="D790" s="269"/>
      <c r="E790" s="269"/>
      <c r="F790" s="269"/>
      <c r="G790" s="269"/>
      <c r="H790" s="269"/>
      <c r="I790" s="269"/>
      <c r="J790" s="269"/>
      <c r="K790" s="269"/>
      <c r="L790" s="269"/>
      <c r="M790" s="269"/>
      <c r="N790" s="269"/>
      <c r="O790" s="269"/>
      <c r="P790" s="269"/>
      <c r="Q790" s="269"/>
      <c r="R790" s="269"/>
      <c r="S790" s="269"/>
      <c r="T790" s="269"/>
      <c r="U790" s="269"/>
      <c r="V790" s="269"/>
      <c r="W790" s="269"/>
      <c r="X790" s="269"/>
      <c r="Y790" s="269"/>
      <c r="Z790" s="269"/>
    </row>
    <row r="791">
      <c r="A791" s="269" t="str">
        <f>IFERROR(__xludf.DUMMYFUNCTION("""COMPUTED_VALUE"""),"")</f>
        <v/>
      </c>
      <c r="B791" s="269"/>
      <c r="C791" s="269"/>
      <c r="D791" s="269"/>
      <c r="E791" s="269"/>
      <c r="F791" s="269"/>
      <c r="G791" s="269"/>
      <c r="H791" s="269"/>
      <c r="I791" s="269"/>
      <c r="J791" s="269"/>
      <c r="K791" s="269"/>
      <c r="L791" s="269"/>
      <c r="M791" s="269"/>
      <c r="N791" s="269"/>
      <c r="O791" s="269"/>
      <c r="P791" s="269"/>
      <c r="Q791" s="269"/>
      <c r="R791" s="269"/>
      <c r="S791" s="269"/>
      <c r="T791" s="269"/>
      <c r="U791" s="269"/>
      <c r="V791" s="269"/>
      <c r="W791" s="269"/>
      <c r="X791" s="269"/>
      <c r="Y791" s="269"/>
      <c r="Z791" s="269"/>
    </row>
    <row r="792">
      <c r="A792" s="269" t="str">
        <f>IFERROR(__xludf.DUMMYFUNCTION("""COMPUTED_VALUE"""),"")</f>
        <v/>
      </c>
      <c r="B792" s="269"/>
      <c r="C792" s="269"/>
      <c r="D792" s="269"/>
      <c r="E792" s="269"/>
      <c r="F792" s="269"/>
      <c r="G792" s="269"/>
      <c r="H792" s="269"/>
      <c r="I792" s="269"/>
      <c r="J792" s="269"/>
      <c r="K792" s="269"/>
      <c r="L792" s="269"/>
      <c r="M792" s="269"/>
      <c r="N792" s="269"/>
      <c r="O792" s="269"/>
      <c r="P792" s="269"/>
      <c r="Q792" s="269"/>
      <c r="R792" s="269"/>
      <c r="S792" s="269"/>
      <c r="T792" s="269"/>
      <c r="U792" s="269"/>
      <c r="V792" s="269"/>
      <c r="W792" s="269"/>
      <c r="X792" s="269"/>
      <c r="Y792" s="269"/>
      <c r="Z792" s="269"/>
    </row>
    <row r="793">
      <c r="A793" s="269" t="str">
        <f>IFERROR(__xludf.DUMMYFUNCTION("""COMPUTED_VALUE"""),"")</f>
        <v/>
      </c>
      <c r="B793" s="269"/>
      <c r="C793" s="269"/>
      <c r="D793" s="269"/>
      <c r="E793" s="269"/>
      <c r="F793" s="269"/>
      <c r="G793" s="269"/>
      <c r="H793" s="269"/>
      <c r="I793" s="269"/>
      <c r="J793" s="269"/>
      <c r="K793" s="269"/>
      <c r="L793" s="269"/>
      <c r="M793" s="269"/>
      <c r="N793" s="269"/>
      <c r="O793" s="269"/>
      <c r="P793" s="269"/>
      <c r="Q793" s="269"/>
      <c r="R793" s="269"/>
      <c r="S793" s="269"/>
      <c r="T793" s="269"/>
      <c r="U793" s="269"/>
      <c r="V793" s="269"/>
      <c r="W793" s="269"/>
      <c r="X793" s="269"/>
      <c r="Y793" s="269"/>
      <c r="Z793" s="269"/>
    </row>
    <row r="794">
      <c r="A794" s="269" t="str">
        <f>IFERROR(__xludf.DUMMYFUNCTION("""COMPUTED_VALUE"""),"")</f>
        <v/>
      </c>
      <c r="B794" s="269"/>
      <c r="C794" s="269"/>
      <c r="D794" s="269"/>
      <c r="E794" s="269"/>
      <c r="F794" s="269"/>
      <c r="G794" s="269"/>
      <c r="H794" s="269"/>
      <c r="I794" s="269"/>
      <c r="J794" s="269"/>
      <c r="K794" s="269"/>
      <c r="L794" s="269"/>
      <c r="M794" s="269"/>
      <c r="N794" s="269"/>
      <c r="O794" s="269"/>
      <c r="P794" s="269"/>
      <c r="Q794" s="269"/>
      <c r="R794" s="269"/>
      <c r="S794" s="269"/>
      <c r="T794" s="269"/>
      <c r="U794" s="269"/>
      <c r="V794" s="269"/>
      <c r="W794" s="269"/>
      <c r="X794" s="269"/>
      <c r="Y794" s="269"/>
      <c r="Z794" s="269"/>
    </row>
    <row r="795">
      <c r="A795" s="269" t="str">
        <f>IFERROR(__xludf.DUMMYFUNCTION("""COMPUTED_VALUE"""),"")</f>
        <v/>
      </c>
      <c r="B795" s="269"/>
      <c r="C795" s="269"/>
      <c r="D795" s="269"/>
      <c r="E795" s="269"/>
      <c r="F795" s="269"/>
      <c r="G795" s="269"/>
      <c r="H795" s="269"/>
      <c r="I795" s="269"/>
      <c r="J795" s="269"/>
      <c r="K795" s="269"/>
      <c r="L795" s="269"/>
      <c r="M795" s="269"/>
      <c r="N795" s="269"/>
      <c r="O795" s="269"/>
      <c r="P795" s="269"/>
      <c r="Q795" s="269"/>
      <c r="R795" s="269"/>
      <c r="S795" s="269"/>
      <c r="T795" s="269"/>
      <c r="U795" s="269"/>
      <c r="V795" s="269"/>
      <c r="W795" s="269"/>
      <c r="X795" s="269"/>
      <c r="Y795" s="269"/>
      <c r="Z795" s="269"/>
    </row>
    <row r="796">
      <c r="A796" s="269" t="str">
        <f>IFERROR(__xludf.DUMMYFUNCTION("""COMPUTED_VALUE"""),"")</f>
        <v/>
      </c>
      <c r="B796" s="269"/>
      <c r="C796" s="269"/>
      <c r="D796" s="269"/>
      <c r="E796" s="269"/>
      <c r="F796" s="269"/>
      <c r="G796" s="269"/>
      <c r="H796" s="269"/>
      <c r="I796" s="269"/>
      <c r="J796" s="269"/>
      <c r="K796" s="269"/>
      <c r="L796" s="269"/>
      <c r="M796" s="269"/>
      <c r="N796" s="269"/>
      <c r="O796" s="269"/>
      <c r="P796" s="269"/>
      <c r="Q796" s="269"/>
      <c r="R796" s="269"/>
      <c r="S796" s="269"/>
      <c r="T796" s="269"/>
      <c r="U796" s="269"/>
      <c r="V796" s="269"/>
      <c r="W796" s="269"/>
      <c r="X796" s="269"/>
      <c r="Y796" s="269"/>
      <c r="Z796" s="269"/>
    </row>
    <row r="797">
      <c r="A797" s="269" t="str">
        <f>IFERROR(__xludf.DUMMYFUNCTION("""COMPUTED_VALUE"""),"")</f>
        <v/>
      </c>
      <c r="B797" s="269"/>
      <c r="C797" s="269"/>
      <c r="D797" s="269"/>
      <c r="E797" s="269"/>
      <c r="F797" s="269"/>
      <c r="G797" s="269"/>
      <c r="H797" s="269"/>
      <c r="I797" s="269"/>
      <c r="J797" s="269"/>
      <c r="K797" s="269"/>
      <c r="L797" s="269"/>
      <c r="M797" s="269"/>
      <c r="N797" s="269"/>
      <c r="O797" s="269"/>
      <c r="P797" s="269"/>
      <c r="Q797" s="269"/>
      <c r="R797" s="269"/>
      <c r="S797" s="269"/>
      <c r="T797" s="269"/>
      <c r="U797" s="269"/>
      <c r="V797" s="269"/>
      <c r="W797" s="269"/>
      <c r="X797" s="269"/>
      <c r="Y797" s="269"/>
      <c r="Z797" s="269"/>
    </row>
    <row r="798">
      <c r="A798" s="269" t="str">
        <f>IFERROR(__xludf.DUMMYFUNCTION("""COMPUTED_VALUE"""),"")</f>
        <v/>
      </c>
      <c r="B798" s="269"/>
      <c r="C798" s="269"/>
      <c r="D798" s="269"/>
      <c r="E798" s="269"/>
      <c r="F798" s="269"/>
      <c r="G798" s="269"/>
      <c r="H798" s="269"/>
      <c r="I798" s="269"/>
      <c r="J798" s="269"/>
      <c r="K798" s="269"/>
      <c r="L798" s="269"/>
      <c r="M798" s="269"/>
      <c r="N798" s="269"/>
      <c r="O798" s="269"/>
      <c r="P798" s="269"/>
      <c r="Q798" s="269"/>
      <c r="R798" s="269"/>
      <c r="S798" s="269"/>
      <c r="T798" s="269"/>
      <c r="U798" s="269"/>
      <c r="V798" s="269"/>
      <c r="W798" s="269"/>
      <c r="X798" s="269"/>
      <c r="Y798" s="269"/>
      <c r="Z798" s="269"/>
    </row>
    <row r="799">
      <c r="A799" s="269" t="str">
        <f>IFERROR(__xludf.DUMMYFUNCTION("""COMPUTED_VALUE"""),"")</f>
        <v/>
      </c>
      <c r="B799" s="269"/>
      <c r="C799" s="269"/>
      <c r="D799" s="269"/>
      <c r="E799" s="269"/>
      <c r="F799" s="269"/>
      <c r="G799" s="269"/>
      <c r="H799" s="269"/>
      <c r="I799" s="269"/>
      <c r="J799" s="269"/>
      <c r="K799" s="269"/>
      <c r="L799" s="269"/>
      <c r="M799" s="269"/>
      <c r="N799" s="269"/>
      <c r="O799" s="269"/>
      <c r="P799" s="269"/>
      <c r="Q799" s="269"/>
      <c r="R799" s="269"/>
      <c r="S799" s="269"/>
      <c r="T799" s="269"/>
      <c r="U799" s="269"/>
      <c r="V799" s="269"/>
      <c r="W799" s="269"/>
      <c r="X799" s="269"/>
      <c r="Y799" s="269"/>
      <c r="Z799" s="269"/>
    </row>
    <row r="800">
      <c r="A800" s="269" t="str">
        <f>IFERROR(__xludf.DUMMYFUNCTION("""COMPUTED_VALUE"""),"")</f>
        <v/>
      </c>
      <c r="B800" s="269"/>
      <c r="C800" s="269"/>
      <c r="D800" s="269"/>
      <c r="E800" s="269"/>
      <c r="F800" s="269"/>
      <c r="G800" s="269"/>
      <c r="H800" s="269"/>
      <c r="I800" s="269"/>
      <c r="J800" s="269"/>
      <c r="K800" s="269"/>
      <c r="L800" s="269"/>
      <c r="M800" s="269"/>
      <c r="N800" s="269"/>
      <c r="O800" s="269"/>
      <c r="P800" s="269"/>
      <c r="Q800" s="269"/>
      <c r="R800" s="269"/>
      <c r="S800" s="269"/>
      <c r="T800" s="269"/>
      <c r="U800" s="269"/>
      <c r="V800" s="269"/>
      <c r="W800" s="269"/>
      <c r="X800" s="269"/>
      <c r="Y800" s="269"/>
      <c r="Z800" s="269"/>
    </row>
    <row r="801">
      <c r="A801" s="269" t="str">
        <f>IFERROR(__xludf.DUMMYFUNCTION("""COMPUTED_VALUE"""),"")</f>
        <v/>
      </c>
      <c r="B801" s="269"/>
      <c r="C801" s="269"/>
      <c r="D801" s="269"/>
      <c r="E801" s="269"/>
      <c r="F801" s="269"/>
      <c r="G801" s="269"/>
      <c r="H801" s="269"/>
      <c r="I801" s="269"/>
      <c r="J801" s="269"/>
      <c r="K801" s="269"/>
      <c r="L801" s="269"/>
      <c r="M801" s="269"/>
      <c r="N801" s="269"/>
      <c r="O801" s="269"/>
      <c r="P801" s="269"/>
      <c r="Q801" s="269"/>
      <c r="R801" s="269"/>
      <c r="S801" s="269"/>
      <c r="T801" s="269"/>
      <c r="U801" s="269"/>
      <c r="V801" s="269"/>
      <c r="W801" s="269"/>
      <c r="X801" s="269"/>
      <c r="Y801" s="269"/>
      <c r="Z801" s="269"/>
    </row>
    <row r="802">
      <c r="A802" s="269" t="str">
        <f>IFERROR(__xludf.DUMMYFUNCTION("""COMPUTED_VALUE"""),"")</f>
        <v/>
      </c>
      <c r="B802" s="269"/>
      <c r="C802" s="269"/>
      <c r="D802" s="269"/>
      <c r="E802" s="269"/>
      <c r="F802" s="269"/>
      <c r="G802" s="269"/>
      <c r="H802" s="269"/>
      <c r="I802" s="269"/>
      <c r="J802" s="269"/>
      <c r="K802" s="269"/>
      <c r="L802" s="269"/>
      <c r="M802" s="269"/>
      <c r="N802" s="269"/>
      <c r="O802" s="269"/>
      <c r="P802" s="269"/>
      <c r="Q802" s="269"/>
      <c r="R802" s="269"/>
      <c r="S802" s="269"/>
      <c r="T802" s="269"/>
      <c r="U802" s="269"/>
      <c r="V802" s="269"/>
      <c r="W802" s="269"/>
      <c r="X802" s="269"/>
      <c r="Y802" s="269"/>
      <c r="Z802" s="269"/>
    </row>
    <row r="803">
      <c r="A803" s="269" t="str">
        <f>IFERROR(__xludf.DUMMYFUNCTION("""COMPUTED_VALUE"""),"")</f>
        <v/>
      </c>
      <c r="B803" s="269"/>
      <c r="C803" s="269"/>
      <c r="D803" s="269"/>
      <c r="E803" s="269"/>
      <c r="F803" s="269"/>
      <c r="G803" s="269"/>
      <c r="H803" s="269"/>
      <c r="I803" s="269"/>
      <c r="J803" s="269"/>
      <c r="K803" s="269"/>
      <c r="L803" s="269"/>
      <c r="M803" s="269"/>
      <c r="N803" s="269"/>
      <c r="O803" s="269"/>
      <c r="P803" s="269"/>
      <c r="Q803" s="269"/>
      <c r="R803" s="269"/>
      <c r="S803" s="269"/>
      <c r="T803" s="269"/>
      <c r="U803" s="269"/>
      <c r="V803" s="269"/>
      <c r="W803" s="269"/>
      <c r="X803" s="269"/>
      <c r="Y803" s="269"/>
      <c r="Z803" s="269"/>
    </row>
    <row r="804">
      <c r="A804" s="269" t="str">
        <f>IFERROR(__xludf.DUMMYFUNCTION("""COMPUTED_VALUE"""),"")</f>
        <v/>
      </c>
      <c r="B804" s="269"/>
      <c r="C804" s="269"/>
      <c r="D804" s="269"/>
      <c r="E804" s="269"/>
      <c r="F804" s="269"/>
      <c r="G804" s="269"/>
      <c r="H804" s="269"/>
      <c r="I804" s="269"/>
      <c r="J804" s="269"/>
      <c r="K804" s="269"/>
      <c r="L804" s="269"/>
      <c r="M804" s="269"/>
      <c r="N804" s="269"/>
      <c r="O804" s="269"/>
      <c r="P804" s="269"/>
      <c r="Q804" s="269"/>
      <c r="R804" s="269"/>
      <c r="S804" s="269"/>
      <c r="T804" s="269"/>
      <c r="U804" s="269"/>
      <c r="V804" s="269"/>
      <c r="W804" s="269"/>
      <c r="X804" s="269"/>
      <c r="Y804" s="269"/>
      <c r="Z804" s="269"/>
    </row>
    <row r="805">
      <c r="A805" s="269" t="str">
        <f>IFERROR(__xludf.DUMMYFUNCTION("""COMPUTED_VALUE"""),"")</f>
        <v/>
      </c>
      <c r="B805" s="269"/>
      <c r="C805" s="269"/>
      <c r="D805" s="269"/>
      <c r="E805" s="269"/>
      <c r="F805" s="269"/>
      <c r="G805" s="269"/>
      <c r="H805" s="269"/>
      <c r="I805" s="269"/>
      <c r="J805" s="269"/>
      <c r="K805" s="269"/>
      <c r="L805" s="269"/>
      <c r="M805" s="269"/>
      <c r="N805" s="269"/>
      <c r="O805" s="269"/>
      <c r="P805" s="269"/>
      <c r="Q805" s="269"/>
      <c r="R805" s="269"/>
      <c r="S805" s="269"/>
      <c r="T805" s="269"/>
      <c r="U805" s="269"/>
      <c r="V805" s="269"/>
      <c r="W805" s="269"/>
      <c r="X805" s="269"/>
      <c r="Y805" s="269"/>
      <c r="Z805" s="269"/>
    </row>
    <row r="806">
      <c r="A806" s="269" t="str">
        <f>IFERROR(__xludf.DUMMYFUNCTION("""COMPUTED_VALUE"""),"")</f>
        <v/>
      </c>
      <c r="B806" s="269"/>
      <c r="C806" s="269"/>
      <c r="D806" s="269"/>
      <c r="E806" s="269"/>
      <c r="F806" s="269"/>
      <c r="G806" s="269"/>
      <c r="H806" s="269"/>
      <c r="I806" s="269"/>
      <c r="J806" s="269"/>
      <c r="K806" s="269"/>
      <c r="L806" s="269"/>
      <c r="M806" s="269"/>
      <c r="N806" s="269"/>
      <c r="O806" s="269"/>
      <c r="P806" s="269"/>
      <c r="Q806" s="269"/>
      <c r="R806" s="269"/>
      <c r="S806" s="269"/>
      <c r="T806" s="269"/>
      <c r="U806" s="269"/>
      <c r="V806" s="269"/>
      <c r="W806" s="269"/>
      <c r="X806" s="269"/>
      <c r="Y806" s="269"/>
      <c r="Z806" s="269"/>
    </row>
    <row r="807">
      <c r="A807" s="269" t="str">
        <f>IFERROR(__xludf.DUMMYFUNCTION("""COMPUTED_VALUE"""),"")</f>
        <v/>
      </c>
      <c r="B807" s="269"/>
      <c r="C807" s="269"/>
      <c r="D807" s="269"/>
      <c r="E807" s="269"/>
      <c r="F807" s="269"/>
      <c r="G807" s="269"/>
      <c r="H807" s="269"/>
      <c r="I807" s="269"/>
      <c r="J807" s="269"/>
      <c r="K807" s="269"/>
      <c r="L807" s="269"/>
      <c r="M807" s="269"/>
      <c r="N807" s="269"/>
      <c r="O807" s="269"/>
      <c r="P807" s="269"/>
      <c r="Q807" s="269"/>
      <c r="R807" s="269"/>
      <c r="S807" s="269"/>
      <c r="T807" s="269"/>
      <c r="U807" s="269"/>
      <c r="V807" s="269"/>
      <c r="W807" s="269"/>
      <c r="X807" s="269"/>
      <c r="Y807" s="269"/>
      <c r="Z807" s="269"/>
    </row>
    <row r="808">
      <c r="A808" s="269" t="str">
        <f>IFERROR(__xludf.DUMMYFUNCTION("""COMPUTED_VALUE"""),"")</f>
        <v/>
      </c>
      <c r="B808" s="269"/>
      <c r="C808" s="269"/>
      <c r="D808" s="269"/>
      <c r="E808" s="269"/>
      <c r="F808" s="269"/>
      <c r="G808" s="269"/>
      <c r="H808" s="269"/>
      <c r="I808" s="269"/>
      <c r="J808" s="269"/>
      <c r="K808" s="269"/>
      <c r="L808" s="269"/>
      <c r="M808" s="269"/>
      <c r="N808" s="269"/>
      <c r="O808" s="269"/>
      <c r="P808" s="269"/>
      <c r="Q808" s="269"/>
      <c r="R808" s="269"/>
      <c r="S808" s="269"/>
      <c r="T808" s="269"/>
      <c r="U808" s="269"/>
      <c r="V808" s="269"/>
      <c r="W808" s="269"/>
      <c r="X808" s="269"/>
      <c r="Y808" s="269"/>
      <c r="Z808" s="269"/>
    </row>
    <row r="809">
      <c r="A809" s="269" t="str">
        <f>IFERROR(__xludf.DUMMYFUNCTION("""COMPUTED_VALUE"""),"")</f>
        <v/>
      </c>
      <c r="B809" s="269"/>
      <c r="C809" s="269"/>
      <c r="D809" s="269"/>
      <c r="E809" s="269"/>
      <c r="F809" s="269"/>
      <c r="G809" s="269"/>
      <c r="H809" s="269"/>
      <c r="I809" s="269"/>
      <c r="J809" s="269"/>
      <c r="K809" s="269"/>
      <c r="L809" s="269"/>
      <c r="M809" s="269"/>
      <c r="N809" s="269"/>
      <c r="O809" s="269"/>
      <c r="P809" s="269"/>
      <c r="Q809" s="269"/>
      <c r="R809" s="269"/>
      <c r="S809" s="269"/>
      <c r="T809" s="269"/>
      <c r="U809" s="269"/>
      <c r="V809" s="269"/>
      <c r="W809" s="269"/>
      <c r="X809" s="269"/>
      <c r="Y809" s="269"/>
      <c r="Z809" s="269"/>
    </row>
    <row r="810">
      <c r="A810" s="269" t="str">
        <f>IFERROR(__xludf.DUMMYFUNCTION("""COMPUTED_VALUE"""),"")</f>
        <v/>
      </c>
      <c r="B810" s="269"/>
      <c r="C810" s="269"/>
      <c r="D810" s="269"/>
      <c r="E810" s="269"/>
      <c r="F810" s="269"/>
      <c r="G810" s="269"/>
      <c r="H810" s="269"/>
      <c r="I810" s="269"/>
      <c r="J810" s="269"/>
      <c r="K810" s="269"/>
      <c r="L810" s="269"/>
      <c r="M810" s="269"/>
      <c r="N810" s="269"/>
      <c r="O810" s="269"/>
      <c r="P810" s="269"/>
      <c r="Q810" s="269"/>
      <c r="R810" s="269"/>
      <c r="S810" s="269"/>
      <c r="T810" s="269"/>
      <c r="U810" s="269"/>
      <c r="V810" s="269"/>
      <c r="W810" s="269"/>
      <c r="X810" s="269"/>
      <c r="Y810" s="269"/>
      <c r="Z810" s="269"/>
    </row>
    <row r="811">
      <c r="A811" s="269" t="str">
        <f>IFERROR(__xludf.DUMMYFUNCTION("""COMPUTED_VALUE"""),"")</f>
        <v/>
      </c>
      <c r="B811" s="269"/>
      <c r="C811" s="269"/>
      <c r="D811" s="269"/>
      <c r="E811" s="269"/>
      <c r="F811" s="269"/>
      <c r="G811" s="269"/>
      <c r="H811" s="269"/>
      <c r="I811" s="269"/>
      <c r="J811" s="269"/>
      <c r="K811" s="269"/>
      <c r="L811" s="269"/>
      <c r="M811" s="269"/>
      <c r="N811" s="269"/>
      <c r="O811" s="269"/>
      <c r="P811" s="269"/>
      <c r="Q811" s="269"/>
      <c r="R811" s="269"/>
      <c r="S811" s="269"/>
      <c r="T811" s="269"/>
      <c r="U811" s="269"/>
      <c r="V811" s="269"/>
      <c r="W811" s="269"/>
      <c r="X811" s="269"/>
      <c r="Y811" s="269"/>
      <c r="Z811" s="269"/>
    </row>
    <row r="812">
      <c r="A812" s="269" t="str">
        <f>IFERROR(__xludf.DUMMYFUNCTION("""COMPUTED_VALUE"""),"")</f>
        <v/>
      </c>
      <c r="B812" s="269"/>
      <c r="C812" s="269"/>
      <c r="D812" s="269"/>
      <c r="E812" s="269"/>
      <c r="F812" s="269"/>
      <c r="G812" s="269"/>
      <c r="H812" s="269"/>
      <c r="I812" s="269"/>
      <c r="J812" s="269"/>
      <c r="K812" s="269"/>
      <c r="L812" s="269"/>
      <c r="M812" s="269"/>
      <c r="N812" s="269"/>
      <c r="O812" s="269"/>
      <c r="P812" s="269"/>
      <c r="Q812" s="269"/>
      <c r="R812" s="269"/>
      <c r="S812" s="269"/>
      <c r="T812" s="269"/>
      <c r="U812" s="269"/>
      <c r="V812" s="269"/>
      <c r="W812" s="269"/>
      <c r="X812" s="269"/>
      <c r="Y812" s="269"/>
      <c r="Z812" s="269"/>
    </row>
    <row r="813">
      <c r="A813" s="269" t="str">
        <f>IFERROR(__xludf.DUMMYFUNCTION("""COMPUTED_VALUE"""),"")</f>
        <v/>
      </c>
      <c r="B813" s="269"/>
      <c r="C813" s="269"/>
      <c r="D813" s="269"/>
      <c r="E813" s="269"/>
      <c r="F813" s="269"/>
      <c r="G813" s="269"/>
      <c r="H813" s="269"/>
      <c r="I813" s="269"/>
      <c r="J813" s="269"/>
      <c r="K813" s="269"/>
      <c r="L813" s="269"/>
      <c r="M813" s="269"/>
      <c r="N813" s="269"/>
      <c r="O813" s="269"/>
      <c r="P813" s="269"/>
      <c r="Q813" s="269"/>
      <c r="R813" s="269"/>
      <c r="S813" s="269"/>
      <c r="T813" s="269"/>
      <c r="U813" s="269"/>
      <c r="V813" s="269"/>
      <c r="W813" s="269"/>
      <c r="X813" s="269"/>
      <c r="Y813" s="269"/>
      <c r="Z813" s="269"/>
    </row>
    <row r="814">
      <c r="A814" s="269" t="str">
        <f>IFERROR(__xludf.DUMMYFUNCTION("""COMPUTED_VALUE"""),"")</f>
        <v/>
      </c>
      <c r="B814" s="269"/>
      <c r="C814" s="269"/>
      <c r="D814" s="269"/>
      <c r="E814" s="269"/>
      <c r="F814" s="269"/>
      <c r="G814" s="269"/>
      <c r="H814" s="269"/>
      <c r="I814" s="269"/>
      <c r="J814" s="269"/>
      <c r="K814" s="269"/>
      <c r="L814" s="269"/>
      <c r="M814" s="269"/>
      <c r="N814" s="269"/>
      <c r="O814" s="269"/>
      <c r="P814" s="269"/>
      <c r="Q814" s="269"/>
      <c r="R814" s="269"/>
      <c r="S814" s="269"/>
      <c r="T814" s="269"/>
      <c r="U814" s="269"/>
      <c r="V814" s="269"/>
      <c r="W814" s="269"/>
      <c r="X814" s="269"/>
      <c r="Y814" s="269"/>
      <c r="Z814" s="269"/>
    </row>
    <row r="815">
      <c r="A815" s="269" t="str">
        <f>IFERROR(__xludf.DUMMYFUNCTION("""COMPUTED_VALUE"""),"")</f>
        <v/>
      </c>
      <c r="B815" s="269"/>
      <c r="C815" s="269"/>
      <c r="D815" s="269"/>
      <c r="E815" s="269"/>
      <c r="F815" s="269"/>
      <c r="G815" s="269"/>
      <c r="H815" s="269"/>
      <c r="I815" s="269"/>
      <c r="J815" s="269"/>
      <c r="K815" s="269"/>
      <c r="L815" s="269"/>
      <c r="M815" s="269"/>
      <c r="N815" s="269"/>
      <c r="O815" s="269"/>
      <c r="P815" s="269"/>
      <c r="Q815" s="269"/>
      <c r="R815" s="269"/>
      <c r="S815" s="269"/>
      <c r="T815" s="269"/>
      <c r="U815" s="269"/>
      <c r="V815" s="269"/>
      <c r="W815" s="269"/>
      <c r="X815" s="269"/>
      <c r="Y815" s="269"/>
      <c r="Z815" s="269"/>
    </row>
    <row r="816">
      <c r="A816" s="269" t="str">
        <f>IFERROR(__xludf.DUMMYFUNCTION("""COMPUTED_VALUE"""),"")</f>
        <v/>
      </c>
      <c r="B816" s="269"/>
      <c r="C816" s="269"/>
      <c r="D816" s="269"/>
      <c r="E816" s="269"/>
      <c r="F816" s="269"/>
      <c r="G816" s="269"/>
      <c r="H816" s="269"/>
      <c r="I816" s="269"/>
      <c r="J816" s="269"/>
      <c r="K816" s="269"/>
      <c r="L816" s="269"/>
      <c r="M816" s="269"/>
      <c r="N816" s="269"/>
      <c r="O816" s="269"/>
      <c r="P816" s="269"/>
      <c r="Q816" s="269"/>
      <c r="R816" s="269"/>
      <c r="S816" s="269"/>
      <c r="T816" s="269"/>
      <c r="U816" s="269"/>
      <c r="V816" s="269"/>
      <c r="W816" s="269"/>
      <c r="X816" s="269"/>
      <c r="Y816" s="269"/>
      <c r="Z816" s="269"/>
    </row>
    <row r="817">
      <c r="A817" s="269" t="str">
        <f>IFERROR(__xludf.DUMMYFUNCTION("""COMPUTED_VALUE"""),"")</f>
        <v/>
      </c>
      <c r="B817" s="269"/>
      <c r="C817" s="269"/>
      <c r="D817" s="269"/>
      <c r="E817" s="269"/>
      <c r="F817" s="269"/>
      <c r="G817" s="269"/>
      <c r="H817" s="269"/>
      <c r="I817" s="269"/>
      <c r="J817" s="269"/>
      <c r="K817" s="269"/>
      <c r="L817" s="269"/>
      <c r="M817" s="269"/>
      <c r="N817" s="269"/>
      <c r="O817" s="269"/>
      <c r="P817" s="269"/>
      <c r="Q817" s="269"/>
      <c r="R817" s="269"/>
      <c r="S817" s="269"/>
      <c r="T817" s="269"/>
      <c r="U817" s="269"/>
      <c r="V817" s="269"/>
      <c r="W817" s="269"/>
      <c r="X817" s="269"/>
      <c r="Y817" s="269"/>
      <c r="Z817" s="269"/>
    </row>
    <row r="818">
      <c r="A818" s="269" t="str">
        <f>IFERROR(__xludf.DUMMYFUNCTION("""COMPUTED_VALUE"""),"")</f>
        <v/>
      </c>
      <c r="B818" s="269"/>
      <c r="C818" s="269"/>
      <c r="D818" s="269"/>
      <c r="E818" s="269"/>
      <c r="F818" s="269"/>
      <c r="G818" s="269"/>
      <c r="H818" s="269"/>
      <c r="I818" s="269"/>
      <c r="J818" s="269"/>
      <c r="K818" s="269"/>
      <c r="L818" s="269"/>
      <c r="M818" s="269"/>
      <c r="N818" s="269"/>
      <c r="O818" s="269"/>
      <c r="P818" s="269"/>
      <c r="Q818" s="269"/>
      <c r="R818" s="269"/>
      <c r="S818" s="269"/>
      <c r="T818" s="269"/>
      <c r="U818" s="269"/>
      <c r="V818" s="269"/>
      <c r="W818" s="269"/>
      <c r="X818" s="269"/>
      <c r="Y818" s="269"/>
      <c r="Z818" s="269"/>
    </row>
    <row r="819">
      <c r="A819" s="269" t="str">
        <f>IFERROR(__xludf.DUMMYFUNCTION("""COMPUTED_VALUE"""),"")</f>
        <v/>
      </c>
      <c r="B819" s="269"/>
      <c r="C819" s="269"/>
      <c r="D819" s="269"/>
      <c r="E819" s="269"/>
      <c r="F819" s="269"/>
      <c r="G819" s="269"/>
      <c r="H819" s="269"/>
      <c r="I819" s="269"/>
      <c r="J819" s="269"/>
      <c r="K819" s="269"/>
      <c r="L819" s="269"/>
      <c r="M819" s="269"/>
      <c r="N819" s="269"/>
      <c r="O819" s="269"/>
      <c r="P819" s="269"/>
      <c r="Q819" s="269"/>
      <c r="R819" s="269"/>
      <c r="S819" s="269"/>
      <c r="T819" s="269"/>
      <c r="U819" s="269"/>
      <c r="V819" s="269"/>
      <c r="W819" s="269"/>
      <c r="X819" s="269"/>
      <c r="Y819" s="269"/>
      <c r="Z819" s="269"/>
    </row>
    <row r="820">
      <c r="A820" s="269" t="str">
        <f>IFERROR(__xludf.DUMMYFUNCTION("""COMPUTED_VALUE"""),"")</f>
        <v/>
      </c>
      <c r="B820" s="269"/>
      <c r="C820" s="269"/>
      <c r="D820" s="269"/>
      <c r="E820" s="269"/>
      <c r="F820" s="269"/>
      <c r="G820" s="269"/>
      <c r="H820" s="269"/>
      <c r="I820" s="269"/>
      <c r="J820" s="269"/>
      <c r="K820" s="269"/>
      <c r="L820" s="269"/>
      <c r="M820" s="269"/>
      <c r="N820" s="269"/>
      <c r="O820" s="269"/>
      <c r="P820" s="269"/>
      <c r="Q820" s="269"/>
      <c r="R820" s="269"/>
      <c r="S820" s="269"/>
      <c r="T820" s="269"/>
      <c r="U820" s="269"/>
      <c r="V820" s="269"/>
      <c r="W820" s="269"/>
      <c r="X820" s="269"/>
      <c r="Y820" s="269"/>
      <c r="Z820" s="269"/>
    </row>
    <row r="821">
      <c r="A821" s="269" t="str">
        <f>IFERROR(__xludf.DUMMYFUNCTION("""COMPUTED_VALUE"""),"")</f>
        <v/>
      </c>
      <c r="B821" s="269"/>
      <c r="C821" s="269"/>
      <c r="D821" s="269"/>
      <c r="E821" s="269"/>
      <c r="F821" s="269"/>
      <c r="G821" s="269"/>
      <c r="H821" s="269"/>
      <c r="I821" s="269"/>
      <c r="J821" s="269"/>
      <c r="K821" s="269"/>
      <c r="L821" s="269"/>
      <c r="M821" s="269"/>
      <c r="N821" s="269"/>
      <c r="O821" s="269"/>
      <c r="P821" s="269"/>
      <c r="Q821" s="269"/>
      <c r="R821" s="269"/>
      <c r="S821" s="269"/>
      <c r="T821" s="269"/>
      <c r="U821" s="269"/>
      <c r="V821" s="269"/>
      <c r="W821" s="269"/>
      <c r="X821" s="269"/>
      <c r="Y821" s="269"/>
      <c r="Z821" s="269"/>
    </row>
    <row r="822">
      <c r="A822" s="269" t="str">
        <f>IFERROR(__xludf.DUMMYFUNCTION("""COMPUTED_VALUE"""),"")</f>
        <v/>
      </c>
      <c r="B822" s="269"/>
      <c r="C822" s="269"/>
      <c r="D822" s="269"/>
      <c r="E822" s="269"/>
      <c r="F822" s="269"/>
      <c r="G822" s="269"/>
      <c r="H822" s="269"/>
      <c r="I822" s="269"/>
      <c r="J822" s="269"/>
      <c r="K822" s="269"/>
      <c r="L822" s="269"/>
      <c r="M822" s="269"/>
      <c r="N822" s="269"/>
      <c r="O822" s="269"/>
      <c r="P822" s="269"/>
      <c r="Q822" s="269"/>
      <c r="R822" s="269"/>
      <c r="S822" s="269"/>
      <c r="T822" s="269"/>
      <c r="U822" s="269"/>
      <c r="V822" s="269"/>
      <c r="W822" s="269"/>
      <c r="X822" s="269"/>
      <c r="Y822" s="269"/>
      <c r="Z822" s="269"/>
    </row>
    <row r="823">
      <c r="A823" s="269" t="str">
        <f>IFERROR(__xludf.DUMMYFUNCTION("""COMPUTED_VALUE"""),"")</f>
        <v/>
      </c>
      <c r="B823" s="269"/>
      <c r="C823" s="269"/>
      <c r="D823" s="269"/>
      <c r="E823" s="269"/>
      <c r="F823" s="269"/>
      <c r="G823" s="269"/>
      <c r="H823" s="269"/>
      <c r="I823" s="269"/>
      <c r="J823" s="269"/>
      <c r="K823" s="269"/>
      <c r="L823" s="269"/>
      <c r="M823" s="269"/>
      <c r="N823" s="269"/>
      <c r="O823" s="269"/>
      <c r="P823" s="269"/>
      <c r="Q823" s="269"/>
      <c r="R823" s="269"/>
      <c r="S823" s="269"/>
      <c r="T823" s="269"/>
      <c r="U823" s="269"/>
      <c r="V823" s="269"/>
      <c r="W823" s="269"/>
      <c r="X823" s="269"/>
      <c r="Y823" s="269"/>
      <c r="Z823" s="269"/>
    </row>
    <row r="824">
      <c r="A824" s="269" t="str">
        <f>IFERROR(__xludf.DUMMYFUNCTION("""COMPUTED_VALUE"""),"")</f>
        <v/>
      </c>
      <c r="B824" s="269"/>
      <c r="C824" s="269"/>
      <c r="D824" s="269"/>
      <c r="E824" s="269"/>
      <c r="F824" s="269"/>
      <c r="G824" s="269"/>
      <c r="H824" s="269"/>
      <c r="I824" s="269"/>
      <c r="J824" s="269"/>
      <c r="K824" s="269"/>
      <c r="L824" s="269"/>
      <c r="M824" s="269"/>
      <c r="N824" s="269"/>
      <c r="O824" s="269"/>
      <c r="P824" s="269"/>
      <c r="Q824" s="269"/>
      <c r="R824" s="269"/>
      <c r="S824" s="269"/>
      <c r="T824" s="269"/>
      <c r="U824" s="269"/>
      <c r="V824" s="269"/>
      <c r="W824" s="269"/>
      <c r="X824" s="269"/>
      <c r="Y824" s="269"/>
      <c r="Z824" s="269"/>
    </row>
    <row r="825">
      <c r="A825" s="269" t="str">
        <f>IFERROR(__xludf.DUMMYFUNCTION("""COMPUTED_VALUE"""),"")</f>
        <v/>
      </c>
      <c r="B825" s="269"/>
      <c r="C825" s="269"/>
      <c r="D825" s="269"/>
      <c r="E825" s="269"/>
      <c r="F825" s="269"/>
      <c r="G825" s="269"/>
      <c r="H825" s="269"/>
      <c r="I825" s="269"/>
      <c r="J825" s="269"/>
      <c r="K825" s="269"/>
      <c r="L825" s="269"/>
      <c r="M825" s="269"/>
      <c r="N825" s="269"/>
      <c r="O825" s="269"/>
      <c r="P825" s="269"/>
      <c r="Q825" s="269"/>
      <c r="R825" s="269"/>
      <c r="S825" s="269"/>
      <c r="T825" s="269"/>
      <c r="U825" s="269"/>
      <c r="V825" s="269"/>
      <c r="W825" s="269"/>
      <c r="X825" s="269"/>
      <c r="Y825" s="269"/>
      <c r="Z825" s="269"/>
    </row>
    <row r="826">
      <c r="A826" s="269" t="str">
        <f>IFERROR(__xludf.DUMMYFUNCTION("""COMPUTED_VALUE"""),"")</f>
        <v/>
      </c>
      <c r="B826" s="269"/>
      <c r="C826" s="269"/>
      <c r="D826" s="269"/>
      <c r="E826" s="269"/>
      <c r="F826" s="269"/>
      <c r="G826" s="269"/>
      <c r="H826" s="269"/>
      <c r="I826" s="269"/>
      <c r="J826" s="269"/>
      <c r="K826" s="269"/>
      <c r="L826" s="269"/>
      <c r="M826" s="269"/>
      <c r="N826" s="269"/>
      <c r="O826" s="269"/>
      <c r="P826" s="269"/>
      <c r="Q826" s="269"/>
      <c r="R826" s="269"/>
      <c r="S826" s="269"/>
      <c r="T826" s="269"/>
      <c r="U826" s="269"/>
      <c r="V826" s="269"/>
      <c r="W826" s="269"/>
      <c r="X826" s="269"/>
      <c r="Y826" s="269"/>
      <c r="Z826" s="269"/>
    </row>
    <row r="827">
      <c r="A827" s="269" t="str">
        <f>IFERROR(__xludf.DUMMYFUNCTION("""COMPUTED_VALUE"""),"")</f>
        <v/>
      </c>
      <c r="B827" s="269"/>
      <c r="C827" s="269"/>
      <c r="D827" s="269"/>
      <c r="E827" s="269"/>
      <c r="F827" s="269"/>
      <c r="G827" s="269"/>
      <c r="H827" s="269"/>
      <c r="I827" s="269"/>
      <c r="J827" s="269"/>
      <c r="K827" s="269"/>
      <c r="L827" s="269"/>
      <c r="M827" s="269"/>
      <c r="N827" s="269"/>
      <c r="O827" s="269"/>
      <c r="P827" s="269"/>
      <c r="Q827" s="269"/>
      <c r="R827" s="269"/>
      <c r="S827" s="269"/>
      <c r="T827" s="269"/>
      <c r="U827" s="269"/>
      <c r="V827" s="269"/>
      <c r="W827" s="269"/>
      <c r="X827" s="269"/>
      <c r="Y827" s="269"/>
      <c r="Z827" s="269"/>
    </row>
    <row r="828">
      <c r="A828" s="269" t="str">
        <f>IFERROR(__xludf.DUMMYFUNCTION("""COMPUTED_VALUE"""),"")</f>
        <v/>
      </c>
      <c r="B828" s="269"/>
      <c r="C828" s="269"/>
      <c r="D828" s="269"/>
      <c r="E828" s="269"/>
      <c r="F828" s="269"/>
      <c r="G828" s="269"/>
      <c r="H828" s="269"/>
      <c r="I828" s="269"/>
      <c r="J828" s="269"/>
      <c r="K828" s="269"/>
      <c r="L828" s="269"/>
      <c r="M828" s="269"/>
      <c r="N828" s="269"/>
      <c r="O828" s="269"/>
      <c r="P828" s="269"/>
      <c r="Q828" s="269"/>
      <c r="R828" s="269"/>
      <c r="S828" s="269"/>
      <c r="T828" s="269"/>
      <c r="U828" s="269"/>
      <c r="V828" s="269"/>
      <c r="W828" s="269"/>
      <c r="X828" s="269"/>
      <c r="Y828" s="269"/>
      <c r="Z828" s="269"/>
    </row>
    <row r="829">
      <c r="A829" s="269" t="str">
        <f>IFERROR(__xludf.DUMMYFUNCTION("""COMPUTED_VALUE"""),"")</f>
        <v/>
      </c>
      <c r="B829" s="269"/>
      <c r="C829" s="269"/>
      <c r="D829" s="269"/>
      <c r="E829" s="269"/>
      <c r="F829" s="269"/>
      <c r="G829" s="269"/>
      <c r="H829" s="269"/>
      <c r="I829" s="269"/>
      <c r="J829" s="269"/>
      <c r="K829" s="269"/>
      <c r="L829" s="269"/>
      <c r="M829" s="269"/>
      <c r="N829" s="269"/>
      <c r="O829" s="269"/>
      <c r="P829" s="269"/>
      <c r="Q829" s="269"/>
      <c r="R829" s="269"/>
      <c r="S829" s="269"/>
      <c r="T829" s="269"/>
      <c r="U829" s="269"/>
      <c r="V829" s="269"/>
      <c r="W829" s="269"/>
      <c r="X829" s="269"/>
      <c r="Y829" s="269"/>
      <c r="Z829" s="269"/>
    </row>
    <row r="830">
      <c r="A830" s="269" t="str">
        <f>IFERROR(__xludf.DUMMYFUNCTION("""COMPUTED_VALUE"""),"")</f>
        <v/>
      </c>
      <c r="B830" s="269"/>
      <c r="C830" s="269"/>
      <c r="D830" s="269"/>
      <c r="E830" s="269"/>
      <c r="F830" s="269"/>
      <c r="G830" s="269"/>
      <c r="H830" s="269"/>
      <c r="I830" s="269"/>
      <c r="J830" s="269"/>
      <c r="K830" s="269"/>
      <c r="L830" s="269"/>
      <c r="M830" s="269"/>
      <c r="N830" s="269"/>
      <c r="O830" s="269"/>
      <c r="P830" s="269"/>
      <c r="Q830" s="269"/>
      <c r="R830" s="269"/>
      <c r="S830" s="269"/>
      <c r="T830" s="269"/>
      <c r="U830" s="269"/>
      <c r="V830" s="269"/>
      <c r="W830" s="269"/>
      <c r="X830" s="269"/>
      <c r="Y830" s="269"/>
      <c r="Z830" s="269"/>
    </row>
    <row r="831">
      <c r="A831" s="269" t="str">
        <f>IFERROR(__xludf.DUMMYFUNCTION("""COMPUTED_VALUE"""),"")</f>
        <v/>
      </c>
      <c r="B831" s="269"/>
      <c r="C831" s="269"/>
      <c r="D831" s="269"/>
      <c r="E831" s="269"/>
      <c r="F831" s="269"/>
      <c r="G831" s="269"/>
      <c r="H831" s="269"/>
      <c r="I831" s="269"/>
      <c r="J831" s="269"/>
      <c r="K831" s="269"/>
      <c r="L831" s="269"/>
      <c r="M831" s="269"/>
      <c r="N831" s="269"/>
      <c r="O831" s="269"/>
      <c r="P831" s="269"/>
      <c r="Q831" s="269"/>
      <c r="R831" s="269"/>
      <c r="S831" s="269"/>
      <c r="T831" s="269"/>
      <c r="U831" s="269"/>
      <c r="V831" s="269"/>
      <c r="W831" s="269"/>
      <c r="X831" s="269"/>
      <c r="Y831" s="269"/>
      <c r="Z831" s="269"/>
    </row>
    <row r="832">
      <c r="A832" s="269" t="str">
        <f>IFERROR(__xludf.DUMMYFUNCTION("""COMPUTED_VALUE"""),"")</f>
        <v/>
      </c>
      <c r="B832" s="269"/>
      <c r="C832" s="269"/>
      <c r="D832" s="269"/>
      <c r="E832" s="269"/>
      <c r="F832" s="269"/>
      <c r="G832" s="269"/>
      <c r="H832" s="269"/>
      <c r="I832" s="269"/>
      <c r="J832" s="269"/>
      <c r="K832" s="269"/>
      <c r="L832" s="269"/>
      <c r="M832" s="269"/>
      <c r="N832" s="269"/>
      <c r="O832" s="269"/>
      <c r="P832" s="269"/>
      <c r="Q832" s="269"/>
      <c r="R832" s="269"/>
      <c r="S832" s="269"/>
      <c r="T832" s="269"/>
      <c r="U832" s="269"/>
      <c r="V832" s="269"/>
      <c r="W832" s="269"/>
      <c r="X832" s="269"/>
      <c r="Y832" s="269"/>
      <c r="Z832" s="269"/>
    </row>
    <row r="833">
      <c r="A833" s="269" t="str">
        <f>IFERROR(__xludf.DUMMYFUNCTION("""COMPUTED_VALUE"""),"")</f>
        <v/>
      </c>
      <c r="B833" s="269"/>
      <c r="C833" s="269"/>
      <c r="D833" s="269"/>
      <c r="E833" s="269"/>
      <c r="F833" s="269"/>
      <c r="G833" s="269"/>
      <c r="H833" s="269"/>
      <c r="I833" s="269"/>
      <c r="J833" s="269"/>
      <c r="K833" s="269"/>
      <c r="L833" s="269"/>
      <c r="M833" s="269"/>
      <c r="N833" s="269"/>
      <c r="O833" s="269"/>
      <c r="P833" s="269"/>
      <c r="Q833" s="269"/>
      <c r="R833" s="269"/>
      <c r="S833" s="269"/>
      <c r="T833" s="269"/>
      <c r="U833" s="269"/>
      <c r="V833" s="269"/>
      <c r="W833" s="269"/>
      <c r="X833" s="269"/>
      <c r="Y833" s="269"/>
      <c r="Z833" s="269"/>
    </row>
    <row r="834">
      <c r="A834" s="269" t="str">
        <f>IFERROR(__xludf.DUMMYFUNCTION("""COMPUTED_VALUE"""),"")</f>
        <v/>
      </c>
      <c r="B834" s="269"/>
      <c r="C834" s="269"/>
      <c r="D834" s="269"/>
      <c r="E834" s="269"/>
      <c r="F834" s="269"/>
      <c r="G834" s="269"/>
      <c r="H834" s="269"/>
      <c r="I834" s="269"/>
      <c r="J834" s="269"/>
      <c r="K834" s="269"/>
      <c r="L834" s="269"/>
      <c r="M834" s="269"/>
      <c r="N834" s="269"/>
      <c r="O834" s="269"/>
      <c r="P834" s="269"/>
      <c r="Q834" s="269"/>
      <c r="R834" s="269"/>
      <c r="S834" s="269"/>
      <c r="T834" s="269"/>
      <c r="U834" s="269"/>
      <c r="V834" s="269"/>
      <c r="W834" s="269"/>
      <c r="X834" s="269"/>
      <c r="Y834" s="269"/>
      <c r="Z834" s="269"/>
    </row>
    <row r="835">
      <c r="A835" s="269" t="str">
        <f>IFERROR(__xludf.DUMMYFUNCTION("""COMPUTED_VALUE"""),"")</f>
        <v/>
      </c>
      <c r="B835" s="269"/>
      <c r="C835" s="269"/>
      <c r="D835" s="269"/>
      <c r="E835" s="269"/>
      <c r="F835" s="269"/>
      <c r="G835" s="269"/>
      <c r="H835" s="269"/>
      <c r="I835" s="269"/>
      <c r="J835" s="269"/>
      <c r="K835" s="269"/>
      <c r="L835" s="269"/>
      <c r="M835" s="269"/>
      <c r="N835" s="269"/>
      <c r="O835" s="269"/>
      <c r="P835" s="269"/>
      <c r="Q835" s="269"/>
      <c r="R835" s="269"/>
      <c r="S835" s="269"/>
      <c r="T835" s="269"/>
      <c r="U835" s="269"/>
      <c r="V835" s="269"/>
      <c r="W835" s="269"/>
      <c r="X835" s="269"/>
      <c r="Y835" s="269"/>
      <c r="Z835" s="269"/>
    </row>
    <row r="836">
      <c r="A836" s="269" t="str">
        <f>IFERROR(__xludf.DUMMYFUNCTION("""COMPUTED_VALUE"""),"")</f>
        <v/>
      </c>
      <c r="B836" s="269"/>
      <c r="C836" s="269"/>
      <c r="D836" s="269"/>
      <c r="E836" s="269"/>
      <c r="F836" s="269"/>
      <c r="G836" s="269"/>
      <c r="H836" s="269"/>
      <c r="I836" s="269"/>
      <c r="J836" s="269"/>
      <c r="K836" s="269"/>
      <c r="L836" s="269"/>
      <c r="M836" s="269"/>
      <c r="N836" s="269"/>
      <c r="O836" s="269"/>
      <c r="P836" s="269"/>
      <c r="Q836" s="269"/>
      <c r="R836" s="269"/>
      <c r="S836" s="269"/>
      <c r="T836" s="269"/>
      <c r="U836" s="269"/>
      <c r="V836" s="269"/>
      <c r="W836" s="269"/>
      <c r="X836" s="269"/>
      <c r="Y836" s="269"/>
      <c r="Z836" s="269"/>
    </row>
    <row r="837">
      <c r="A837" s="269" t="str">
        <f>IFERROR(__xludf.DUMMYFUNCTION("""COMPUTED_VALUE"""),"")</f>
        <v/>
      </c>
      <c r="B837" s="269"/>
      <c r="C837" s="269"/>
      <c r="D837" s="269"/>
      <c r="E837" s="269"/>
      <c r="F837" s="269"/>
      <c r="G837" s="269"/>
      <c r="H837" s="269"/>
      <c r="I837" s="269"/>
      <c r="J837" s="269"/>
      <c r="K837" s="269"/>
      <c r="L837" s="269"/>
      <c r="M837" s="269"/>
      <c r="N837" s="269"/>
      <c r="O837" s="269"/>
      <c r="P837" s="269"/>
      <c r="Q837" s="269"/>
      <c r="R837" s="269"/>
      <c r="S837" s="269"/>
      <c r="T837" s="269"/>
      <c r="U837" s="269"/>
      <c r="V837" s="269"/>
      <c r="W837" s="269"/>
      <c r="X837" s="269"/>
      <c r="Y837" s="269"/>
      <c r="Z837" s="269"/>
    </row>
    <row r="838">
      <c r="A838" s="269" t="str">
        <f>IFERROR(__xludf.DUMMYFUNCTION("""COMPUTED_VALUE"""),"")</f>
        <v/>
      </c>
      <c r="B838" s="269"/>
      <c r="C838" s="269"/>
      <c r="D838" s="269"/>
      <c r="E838" s="269"/>
      <c r="F838" s="269"/>
      <c r="G838" s="269"/>
      <c r="H838" s="269"/>
      <c r="I838" s="269"/>
      <c r="J838" s="269"/>
      <c r="K838" s="269"/>
      <c r="L838" s="269"/>
      <c r="M838" s="269"/>
      <c r="N838" s="269"/>
      <c r="O838" s="269"/>
      <c r="P838" s="269"/>
      <c r="Q838" s="269"/>
      <c r="R838" s="269"/>
      <c r="S838" s="269"/>
      <c r="T838" s="269"/>
      <c r="U838" s="269"/>
      <c r="V838" s="269"/>
      <c r="W838" s="269"/>
      <c r="X838" s="269"/>
      <c r="Y838" s="269"/>
      <c r="Z838" s="269"/>
    </row>
    <row r="839">
      <c r="A839" s="269" t="str">
        <f>IFERROR(__xludf.DUMMYFUNCTION("""COMPUTED_VALUE"""),"")</f>
        <v/>
      </c>
      <c r="B839" s="269"/>
      <c r="C839" s="269"/>
      <c r="D839" s="269"/>
      <c r="E839" s="269"/>
      <c r="F839" s="269"/>
      <c r="G839" s="269"/>
      <c r="H839" s="269"/>
      <c r="I839" s="269"/>
      <c r="J839" s="269"/>
      <c r="K839" s="269"/>
      <c r="L839" s="269"/>
      <c r="M839" s="269"/>
      <c r="N839" s="269"/>
      <c r="O839" s="269"/>
      <c r="P839" s="269"/>
      <c r="Q839" s="269"/>
      <c r="R839" s="269"/>
      <c r="S839" s="269"/>
      <c r="T839" s="269"/>
      <c r="U839" s="269"/>
      <c r="V839" s="269"/>
      <c r="W839" s="269"/>
      <c r="X839" s="269"/>
      <c r="Y839" s="269"/>
      <c r="Z839" s="269"/>
    </row>
    <row r="840">
      <c r="A840" s="269" t="str">
        <f>IFERROR(__xludf.DUMMYFUNCTION("""COMPUTED_VALUE"""),"")</f>
        <v/>
      </c>
      <c r="B840" s="269"/>
      <c r="C840" s="269"/>
      <c r="D840" s="269"/>
      <c r="E840" s="269"/>
      <c r="F840" s="269"/>
      <c r="G840" s="269"/>
      <c r="H840" s="269"/>
      <c r="I840" s="269"/>
      <c r="J840" s="269"/>
      <c r="K840" s="269"/>
      <c r="L840" s="269"/>
      <c r="M840" s="269"/>
      <c r="N840" s="269"/>
      <c r="O840" s="269"/>
      <c r="P840" s="269"/>
      <c r="Q840" s="269"/>
      <c r="R840" s="269"/>
      <c r="S840" s="269"/>
      <c r="T840" s="269"/>
      <c r="U840" s="269"/>
      <c r="V840" s="269"/>
      <c r="W840" s="269"/>
      <c r="X840" s="269"/>
      <c r="Y840" s="269"/>
      <c r="Z840" s="269"/>
    </row>
    <row r="841">
      <c r="A841" s="269" t="str">
        <f>IFERROR(__xludf.DUMMYFUNCTION("""COMPUTED_VALUE"""),"")</f>
        <v/>
      </c>
      <c r="B841" s="269"/>
      <c r="C841" s="269"/>
      <c r="D841" s="269"/>
      <c r="E841" s="269"/>
      <c r="F841" s="269"/>
      <c r="G841" s="269"/>
      <c r="H841" s="269"/>
      <c r="I841" s="269"/>
      <c r="J841" s="269"/>
      <c r="K841" s="269"/>
      <c r="L841" s="269"/>
      <c r="M841" s="269"/>
      <c r="N841" s="269"/>
      <c r="O841" s="269"/>
      <c r="P841" s="269"/>
      <c r="Q841" s="269"/>
      <c r="R841" s="269"/>
      <c r="S841" s="269"/>
      <c r="T841" s="269"/>
      <c r="U841" s="269"/>
      <c r="V841" s="269"/>
      <c r="W841" s="269"/>
      <c r="X841" s="269"/>
      <c r="Y841" s="269"/>
      <c r="Z841" s="269"/>
    </row>
    <row r="842">
      <c r="A842" s="269" t="str">
        <f>IFERROR(__xludf.DUMMYFUNCTION("""COMPUTED_VALUE"""),"")</f>
        <v/>
      </c>
      <c r="B842" s="269"/>
      <c r="C842" s="269"/>
      <c r="D842" s="269"/>
      <c r="E842" s="269"/>
      <c r="F842" s="269"/>
      <c r="G842" s="269"/>
      <c r="H842" s="269"/>
      <c r="I842" s="269"/>
      <c r="J842" s="269"/>
      <c r="K842" s="269"/>
      <c r="L842" s="269"/>
      <c r="M842" s="269"/>
      <c r="N842" s="269"/>
      <c r="O842" s="269"/>
      <c r="P842" s="269"/>
      <c r="Q842" s="269"/>
      <c r="R842" s="269"/>
      <c r="S842" s="269"/>
      <c r="T842" s="269"/>
      <c r="U842" s="269"/>
      <c r="V842" s="269"/>
      <c r="W842" s="269"/>
      <c r="X842" s="269"/>
      <c r="Y842" s="269"/>
      <c r="Z842" s="269"/>
    </row>
    <row r="843">
      <c r="A843" s="269" t="str">
        <f>IFERROR(__xludf.DUMMYFUNCTION("""COMPUTED_VALUE"""),"")</f>
        <v/>
      </c>
      <c r="B843" s="269"/>
      <c r="C843" s="269"/>
      <c r="D843" s="269"/>
      <c r="E843" s="269"/>
      <c r="F843" s="269"/>
      <c r="G843" s="269"/>
      <c r="H843" s="269"/>
      <c r="I843" s="269"/>
      <c r="J843" s="269"/>
      <c r="K843" s="269"/>
      <c r="L843" s="269"/>
      <c r="M843" s="269"/>
      <c r="N843" s="269"/>
      <c r="O843" s="269"/>
      <c r="P843" s="269"/>
      <c r="Q843" s="269"/>
      <c r="R843" s="269"/>
      <c r="S843" s="269"/>
      <c r="T843" s="269"/>
      <c r="U843" s="269"/>
      <c r="V843" s="269"/>
      <c r="W843" s="269"/>
      <c r="X843" s="269"/>
      <c r="Y843" s="269"/>
      <c r="Z843" s="269"/>
    </row>
    <row r="844">
      <c r="A844" s="269" t="str">
        <f>IFERROR(__xludf.DUMMYFUNCTION("""COMPUTED_VALUE"""),"")</f>
        <v/>
      </c>
      <c r="B844" s="269"/>
      <c r="C844" s="269"/>
      <c r="D844" s="269"/>
      <c r="E844" s="269"/>
      <c r="F844" s="269"/>
      <c r="G844" s="269"/>
      <c r="H844" s="269"/>
      <c r="I844" s="269"/>
      <c r="J844" s="269"/>
      <c r="K844" s="269"/>
      <c r="L844" s="269"/>
      <c r="M844" s="269"/>
      <c r="N844" s="269"/>
      <c r="O844" s="269"/>
      <c r="P844" s="269"/>
      <c r="Q844" s="269"/>
      <c r="R844" s="269"/>
      <c r="S844" s="269"/>
      <c r="T844" s="269"/>
      <c r="U844" s="269"/>
      <c r="V844" s="269"/>
      <c r="W844" s="269"/>
      <c r="X844" s="269"/>
      <c r="Y844" s="269"/>
      <c r="Z844" s="269"/>
    </row>
    <row r="845">
      <c r="A845" s="269" t="str">
        <f>IFERROR(__xludf.DUMMYFUNCTION("""COMPUTED_VALUE"""),"")</f>
        <v/>
      </c>
      <c r="B845" s="269"/>
      <c r="C845" s="269"/>
      <c r="D845" s="269"/>
      <c r="E845" s="269"/>
      <c r="F845" s="269"/>
      <c r="G845" s="269"/>
      <c r="H845" s="269"/>
      <c r="I845" s="269"/>
      <c r="J845" s="269"/>
      <c r="K845" s="269"/>
      <c r="L845" s="269"/>
      <c r="M845" s="269"/>
      <c r="N845" s="269"/>
      <c r="O845" s="269"/>
      <c r="P845" s="269"/>
      <c r="Q845" s="269"/>
      <c r="R845" s="269"/>
      <c r="S845" s="269"/>
      <c r="T845" s="269"/>
      <c r="U845" s="269"/>
      <c r="V845" s="269"/>
      <c r="W845" s="269"/>
      <c r="X845" s="269"/>
      <c r="Y845" s="269"/>
      <c r="Z845" s="269"/>
    </row>
    <row r="846">
      <c r="A846" s="269" t="str">
        <f>IFERROR(__xludf.DUMMYFUNCTION("""COMPUTED_VALUE"""),"")</f>
        <v/>
      </c>
      <c r="B846" s="269"/>
      <c r="C846" s="269"/>
      <c r="D846" s="269"/>
      <c r="E846" s="269"/>
      <c r="F846" s="269"/>
      <c r="G846" s="269"/>
      <c r="H846" s="269"/>
      <c r="I846" s="269"/>
      <c r="J846" s="269"/>
      <c r="K846" s="269"/>
      <c r="L846" s="269"/>
      <c r="M846" s="269"/>
      <c r="N846" s="269"/>
      <c r="O846" s="269"/>
      <c r="P846" s="269"/>
      <c r="Q846" s="269"/>
      <c r="R846" s="269"/>
      <c r="S846" s="269"/>
      <c r="T846" s="269"/>
      <c r="U846" s="269"/>
      <c r="V846" s="269"/>
      <c r="W846" s="269"/>
      <c r="X846" s="269"/>
      <c r="Y846" s="269"/>
      <c r="Z846" s="269"/>
    </row>
    <row r="847">
      <c r="A847" s="269" t="str">
        <f>IFERROR(__xludf.DUMMYFUNCTION("""COMPUTED_VALUE"""),"")</f>
        <v/>
      </c>
      <c r="B847" s="269"/>
      <c r="C847" s="269"/>
      <c r="D847" s="269"/>
      <c r="E847" s="269"/>
      <c r="F847" s="269"/>
      <c r="G847" s="269"/>
      <c r="H847" s="269"/>
      <c r="I847" s="269"/>
      <c r="J847" s="269"/>
      <c r="K847" s="269"/>
      <c r="L847" s="269"/>
      <c r="M847" s="269"/>
      <c r="N847" s="269"/>
      <c r="O847" s="269"/>
      <c r="P847" s="269"/>
      <c r="Q847" s="269"/>
      <c r="R847" s="269"/>
      <c r="S847" s="269"/>
      <c r="T847" s="269"/>
      <c r="U847" s="269"/>
      <c r="V847" s="269"/>
      <c r="W847" s="269"/>
      <c r="X847" s="269"/>
      <c r="Y847" s="269"/>
      <c r="Z847" s="269"/>
    </row>
    <row r="848">
      <c r="A848" s="269" t="str">
        <f>IFERROR(__xludf.DUMMYFUNCTION("""COMPUTED_VALUE"""),"")</f>
        <v/>
      </c>
      <c r="B848" s="269"/>
      <c r="C848" s="269"/>
      <c r="D848" s="269"/>
      <c r="E848" s="269"/>
      <c r="F848" s="269"/>
      <c r="G848" s="269"/>
      <c r="H848" s="269"/>
      <c r="I848" s="269"/>
      <c r="J848" s="269"/>
      <c r="K848" s="269"/>
      <c r="L848" s="269"/>
      <c r="M848" s="269"/>
      <c r="N848" s="269"/>
      <c r="O848" s="269"/>
      <c r="P848" s="269"/>
      <c r="Q848" s="269"/>
      <c r="R848" s="269"/>
      <c r="S848" s="269"/>
      <c r="T848" s="269"/>
      <c r="U848" s="269"/>
      <c r="V848" s="269"/>
      <c r="W848" s="269"/>
      <c r="X848" s="269"/>
      <c r="Y848" s="269"/>
      <c r="Z848" s="269"/>
    </row>
    <row r="849">
      <c r="A849" s="269" t="str">
        <f>IFERROR(__xludf.DUMMYFUNCTION("""COMPUTED_VALUE"""),"")</f>
        <v/>
      </c>
      <c r="B849" s="269"/>
      <c r="C849" s="269"/>
      <c r="D849" s="269"/>
      <c r="E849" s="269"/>
      <c r="F849" s="269"/>
      <c r="G849" s="269"/>
      <c r="H849" s="269"/>
      <c r="I849" s="269"/>
      <c r="J849" s="269"/>
      <c r="K849" s="269"/>
      <c r="L849" s="269"/>
      <c r="M849" s="269"/>
      <c r="N849" s="269"/>
      <c r="O849" s="269"/>
      <c r="P849" s="269"/>
      <c r="Q849" s="269"/>
      <c r="R849" s="269"/>
      <c r="S849" s="269"/>
      <c r="T849" s="269"/>
      <c r="U849" s="269"/>
      <c r="V849" s="269"/>
      <c r="W849" s="269"/>
      <c r="X849" s="269"/>
      <c r="Y849" s="269"/>
      <c r="Z849" s="269"/>
    </row>
    <row r="850">
      <c r="A850" s="269" t="str">
        <f>IFERROR(__xludf.DUMMYFUNCTION("""COMPUTED_VALUE"""),"")</f>
        <v/>
      </c>
      <c r="B850" s="269"/>
      <c r="C850" s="269"/>
      <c r="D850" s="269"/>
      <c r="E850" s="269"/>
      <c r="F850" s="269"/>
      <c r="G850" s="269"/>
      <c r="H850" s="269"/>
      <c r="I850" s="269"/>
      <c r="J850" s="269"/>
      <c r="K850" s="269"/>
      <c r="L850" s="269"/>
      <c r="M850" s="269"/>
      <c r="N850" s="269"/>
      <c r="O850" s="269"/>
      <c r="P850" s="269"/>
      <c r="Q850" s="269"/>
      <c r="R850" s="269"/>
      <c r="S850" s="269"/>
      <c r="T850" s="269"/>
      <c r="U850" s="269"/>
      <c r="V850" s="269"/>
      <c r="W850" s="269"/>
      <c r="X850" s="269"/>
      <c r="Y850" s="269"/>
      <c r="Z850" s="269"/>
    </row>
    <row r="851">
      <c r="A851" s="269" t="str">
        <f>IFERROR(__xludf.DUMMYFUNCTION("""COMPUTED_VALUE"""),"")</f>
        <v/>
      </c>
      <c r="B851" s="269"/>
      <c r="C851" s="269"/>
      <c r="D851" s="269"/>
      <c r="E851" s="269"/>
      <c r="F851" s="269"/>
      <c r="G851" s="269"/>
      <c r="H851" s="269"/>
      <c r="I851" s="269"/>
      <c r="J851" s="269"/>
      <c r="K851" s="269"/>
      <c r="L851" s="269"/>
      <c r="M851" s="269"/>
      <c r="N851" s="269"/>
      <c r="O851" s="269"/>
      <c r="P851" s="269"/>
      <c r="Q851" s="269"/>
      <c r="R851" s="269"/>
      <c r="S851" s="269"/>
      <c r="T851" s="269"/>
      <c r="U851" s="269"/>
      <c r="V851" s="269"/>
      <c r="W851" s="269"/>
      <c r="X851" s="269"/>
      <c r="Y851" s="269"/>
      <c r="Z851" s="269"/>
    </row>
    <row r="852">
      <c r="A852" s="269" t="str">
        <f>IFERROR(__xludf.DUMMYFUNCTION("""COMPUTED_VALUE"""),"")</f>
        <v/>
      </c>
      <c r="B852" s="269"/>
      <c r="C852" s="269"/>
      <c r="D852" s="269"/>
      <c r="E852" s="269"/>
      <c r="F852" s="269"/>
      <c r="G852" s="269"/>
      <c r="H852" s="269"/>
      <c r="I852" s="269"/>
      <c r="J852" s="269"/>
      <c r="K852" s="269"/>
      <c r="L852" s="269"/>
      <c r="M852" s="269"/>
      <c r="N852" s="269"/>
      <c r="O852" s="269"/>
      <c r="P852" s="269"/>
      <c r="Q852" s="269"/>
      <c r="R852" s="269"/>
      <c r="S852" s="269"/>
      <c r="T852" s="269"/>
      <c r="U852" s="269"/>
      <c r="V852" s="269"/>
      <c r="W852" s="269"/>
      <c r="X852" s="269"/>
      <c r="Y852" s="269"/>
      <c r="Z852" s="269"/>
    </row>
    <row r="853">
      <c r="A853" s="269" t="str">
        <f>IFERROR(__xludf.DUMMYFUNCTION("""COMPUTED_VALUE"""),"")</f>
        <v/>
      </c>
      <c r="B853" s="269"/>
      <c r="C853" s="269"/>
      <c r="D853" s="269"/>
      <c r="E853" s="269"/>
      <c r="F853" s="269"/>
      <c r="G853" s="269"/>
      <c r="H853" s="269"/>
      <c r="I853" s="269"/>
      <c r="J853" s="269"/>
      <c r="K853" s="269"/>
      <c r="L853" s="269"/>
      <c r="M853" s="269"/>
      <c r="N853" s="269"/>
      <c r="O853" s="269"/>
      <c r="P853" s="269"/>
      <c r="Q853" s="269"/>
      <c r="R853" s="269"/>
      <c r="S853" s="269"/>
      <c r="T853" s="269"/>
      <c r="U853" s="269"/>
      <c r="V853" s="269"/>
      <c r="W853" s="269"/>
      <c r="X853" s="269"/>
      <c r="Y853" s="269"/>
      <c r="Z853" s="269"/>
    </row>
    <row r="854">
      <c r="A854" s="269" t="str">
        <f>IFERROR(__xludf.DUMMYFUNCTION("""COMPUTED_VALUE"""),"")</f>
        <v/>
      </c>
      <c r="B854" s="269"/>
      <c r="C854" s="269"/>
      <c r="D854" s="269"/>
      <c r="E854" s="269"/>
      <c r="F854" s="269"/>
      <c r="G854" s="269"/>
      <c r="H854" s="269"/>
      <c r="I854" s="269"/>
      <c r="J854" s="269"/>
      <c r="K854" s="269"/>
      <c r="L854" s="269"/>
      <c r="M854" s="269"/>
      <c r="N854" s="269"/>
      <c r="O854" s="269"/>
      <c r="P854" s="269"/>
      <c r="Q854" s="269"/>
      <c r="R854" s="269"/>
      <c r="S854" s="269"/>
      <c r="T854" s="269"/>
      <c r="U854" s="269"/>
      <c r="V854" s="269"/>
      <c r="W854" s="269"/>
      <c r="X854" s="269"/>
      <c r="Y854" s="269"/>
      <c r="Z854" s="269"/>
    </row>
    <row r="855">
      <c r="A855" s="269" t="str">
        <f>IFERROR(__xludf.DUMMYFUNCTION("""COMPUTED_VALUE"""),"")</f>
        <v/>
      </c>
      <c r="B855" s="269"/>
      <c r="C855" s="269"/>
      <c r="D855" s="269"/>
      <c r="E855" s="269"/>
      <c r="F855" s="269"/>
      <c r="G855" s="269"/>
      <c r="H855" s="269"/>
      <c r="I855" s="269"/>
      <c r="J855" s="269"/>
      <c r="K855" s="269"/>
      <c r="L855" s="269"/>
      <c r="M855" s="269"/>
      <c r="N855" s="269"/>
      <c r="O855" s="269"/>
      <c r="P855" s="269"/>
      <c r="Q855" s="269"/>
      <c r="R855" s="269"/>
      <c r="S855" s="269"/>
      <c r="T855" s="269"/>
      <c r="U855" s="269"/>
      <c r="V855" s="269"/>
      <c r="W855" s="269"/>
      <c r="X855" s="269"/>
      <c r="Y855" s="269"/>
      <c r="Z855" s="269"/>
    </row>
    <row r="856">
      <c r="A856" s="269" t="str">
        <f>IFERROR(__xludf.DUMMYFUNCTION("""COMPUTED_VALUE"""),"")</f>
        <v/>
      </c>
      <c r="B856" s="269"/>
      <c r="C856" s="269"/>
      <c r="D856" s="269"/>
      <c r="E856" s="269"/>
      <c r="F856" s="269"/>
      <c r="G856" s="269"/>
      <c r="H856" s="269"/>
      <c r="I856" s="269"/>
      <c r="J856" s="269"/>
      <c r="K856" s="269"/>
      <c r="L856" s="269"/>
      <c r="M856" s="269"/>
      <c r="N856" s="269"/>
      <c r="O856" s="269"/>
      <c r="P856" s="269"/>
      <c r="Q856" s="269"/>
      <c r="R856" s="269"/>
      <c r="S856" s="269"/>
      <c r="T856" s="269"/>
      <c r="U856" s="269"/>
      <c r="V856" s="269"/>
      <c r="W856" s="269"/>
      <c r="X856" s="269"/>
      <c r="Y856" s="269"/>
      <c r="Z856" s="269"/>
    </row>
    <row r="857">
      <c r="A857" s="269" t="str">
        <f>IFERROR(__xludf.DUMMYFUNCTION("""COMPUTED_VALUE"""),"")</f>
        <v/>
      </c>
      <c r="B857" s="269"/>
      <c r="C857" s="269"/>
      <c r="D857" s="269"/>
      <c r="E857" s="269"/>
      <c r="F857" s="269"/>
      <c r="G857" s="269"/>
      <c r="H857" s="269"/>
      <c r="I857" s="269"/>
      <c r="J857" s="269"/>
      <c r="K857" s="269"/>
      <c r="L857" s="269"/>
      <c r="M857" s="269"/>
      <c r="N857" s="269"/>
      <c r="O857" s="269"/>
      <c r="P857" s="269"/>
      <c r="Q857" s="269"/>
      <c r="R857" s="269"/>
      <c r="S857" s="269"/>
      <c r="T857" s="269"/>
      <c r="U857" s="269"/>
      <c r="V857" s="269"/>
      <c r="W857" s="269"/>
      <c r="X857" s="269"/>
      <c r="Y857" s="269"/>
      <c r="Z857" s="269"/>
    </row>
    <row r="858">
      <c r="A858" s="269" t="str">
        <f>IFERROR(__xludf.DUMMYFUNCTION("""COMPUTED_VALUE"""),"")</f>
        <v/>
      </c>
      <c r="B858" s="269"/>
      <c r="C858" s="269"/>
      <c r="D858" s="269"/>
      <c r="E858" s="269"/>
      <c r="F858" s="269"/>
      <c r="G858" s="269"/>
      <c r="H858" s="269"/>
      <c r="I858" s="269"/>
      <c r="J858" s="269"/>
      <c r="K858" s="269"/>
      <c r="L858" s="269"/>
      <c r="M858" s="269"/>
      <c r="N858" s="269"/>
      <c r="O858" s="269"/>
      <c r="P858" s="269"/>
      <c r="Q858" s="269"/>
      <c r="R858" s="269"/>
      <c r="S858" s="269"/>
      <c r="T858" s="269"/>
      <c r="U858" s="269"/>
      <c r="V858" s="269"/>
      <c r="W858" s="269"/>
      <c r="X858" s="269"/>
      <c r="Y858" s="269"/>
      <c r="Z858" s="269"/>
    </row>
    <row r="859">
      <c r="A859" s="269" t="str">
        <f>IFERROR(__xludf.DUMMYFUNCTION("""COMPUTED_VALUE"""),"")</f>
        <v/>
      </c>
      <c r="B859" s="269"/>
      <c r="C859" s="269"/>
      <c r="D859" s="269"/>
      <c r="E859" s="269"/>
      <c r="F859" s="269"/>
      <c r="G859" s="269"/>
      <c r="H859" s="269"/>
      <c r="I859" s="269"/>
      <c r="J859" s="269"/>
      <c r="K859" s="269"/>
      <c r="L859" s="269"/>
      <c r="M859" s="269"/>
      <c r="N859" s="269"/>
      <c r="O859" s="269"/>
      <c r="P859" s="269"/>
      <c r="Q859" s="269"/>
      <c r="R859" s="269"/>
      <c r="S859" s="269"/>
      <c r="T859" s="269"/>
      <c r="U859" s="269"/>
      <c r="V859" s="269"/>
      <c r="W859" s="269"/>
      <c r="X859" s="269"/>
      <c r="Y859" s="269"/>
      <c r="Z859" s="269"/>
    </row>
    <row r="860">
      <c r="A860" s="269" t="str">
        <f>IFERROR(__xludf.DUMMYFUNCTION("""COMPUTED_VALUE"""),"")</f>
        <v/>
      </c>
      <c r="B860" s="269"/>
      <c r="C860" s="269"/>
      <c r="D860" s="269"/>
      <c r="E860" s="269"/>
      <c r="F860" s="269"/>
      <c r="G860" s="269"/>
      <c r="H860" s="269"/>
      <c r="I860" s="269"/>
      <c r="J860" s="269"/>
      <c r="K860" s="269"/>
      <c r="L860" s="269"/>
      <c r="M860" s="269"/>
      <c r="N860" s="269"/>
      <c r="O860" s="269"/>
      <c r="P860" s="269"/>
      <c r="Q860" s="269"/>
      <c r="R860" s="269"/>
      <c r="S860" s="269"/>
      <c r="T860" s="269"/>
      <c r="U860" s="269"/>
      <c r="V860" s="269"/>
      <c r="W860" s="269"/>
      <c r="X860" s="269"/>
      <c r="Y860" s="269"/>
      <c r="Z860" s="269"/>
    </row>
    <row r="861">
      <c r="A861" s="269" t="str">
        <f>IFERROR(__xludf.DUMMYFUNCTION("""COMPUTED_VALUE"""),"")</f>
        <v/>
      </c>
      <c r="B861" s="269"/>
      <c r="C861" s="269"/>
      <c r="D861" s="269"/>
      <c r="E861" s="269"/>
      <c r="F861" s="269"/>
      <c r="G861" s="269"/>
      <c r="H861" s="269"/>
      <c r="I861" s="269"/>
      <c r="J861" s="269"/>
      <c r="K861" s="269"/>
      <c r="L861" s="269"/>
      <c r="M861" s="269"/>
      <c r="N861" s="269"/>
      <c r="O861" s="269"/>
      <c r="P861" s="269"/>
      <c r="Q861" s="269"/>
      <c r="R861" s="269"/>
      <c r="S861" s="269"/>
      <c r="T861" s="269"/>
      <c r="U861" s="269"/>
      <c r="V861" s="269"/>
      <c r="W861" s="269"/>
      <c r="X861" s="269"/>
      <c r="Y861" s="269"/>
      <c r="Z861" s="269"/>
    </row>
    <row r="862">
      <c r="A862" s="269" t="str">
        <f>IFERROR(__xludf.DUMMYFUNCTION("""COMPUTED_VALUE"""),"")</f>
        <v/>
      </c>
      <c r="B862" s="269"/>
      <c r="C862" s="269"/>
      <c r="D862" s="269"/>
      <c r="E862" s="269"/>
      <c r="F862" s="269"/>
      <c r="G862" s="269"/>
      <c r="H862" s="269"/>
      <c r="I862" s="269"/>
      <c r="J862" s="269"/>
      <c r="K862" s="269"/>
      <c r="L862" s="269"/>
      <c r="M862" s="269"/>
      <c r="N862" s="269"/>
      <c r="O862" s="269"/>
      <c r="P862" s="269"/>
      <c r="Q862" s="269"/>
      <c r="R862" s="269"/>
      <c r="S862" s="269"/>
      <c r="T862" s="269"/>
      <c r="U862" s="269"/>
      <c r="V862" s="269"/>
      <c r="W862" s="269"/>
      <c r="X862" s="269"/>
      <c r="Y862" s="269"/>
      <c r="Z862" s="269"/>
    </row>
    <row r="863">
      <c r="A863" s="269" t="str">
        <f>IFERROR(__xludf.DUMMYFUNCTION("""COMPUTED_VALUE"""),"")</f>
        <v/>
      </c>
      <c r="B863" s="269"/>
      <c r="C863" s="269"/>
      <c r="D863" s="269"/>
      <c r="E863" s="269"/>
      <c r="F863" s="269"/>
      <c r="G863" s="269"/>
      <c r="H863" s="269"/>
      <c r="I863" s="269"/>
      <c r="J863" s="269"/>
      <c r="K863" s="269"/>
      <c r="L863" s="269"/>
      <c r="M863" s="269"/>
      <c r="N863" s="269"/>
      <c r="O863" s="269"/>
      <c r="P863" s="269"/>
      <c r="Q863" s="269"/>
      <c r="R863" s="269"/>
      <c r="S863" s="269"/>
      <c r="T863" s="269"/>
      <c r="U863" s="269"/>
      <c r="V863" s="269"/>
      <c r="W863" s="269"/>
      <c r="X863" s="269"/>
      <c r="Y863" s="269"/>
      <c r="Z863" s="269"/>
    </row>
    <row r="864">
      <c r="A864" s="269" t="str">
        <f>IFERROR(__xludf.DUMMYFUNCTION("""COMPUTED_VALUE"""),"")</f>
        <v/>
      </c>
      <c r="B864" s="269"/>
      <c r="C864" s="269"/>
      <c r="D864" s="269"/>
      <c r="E864" s="269"/>
      <c r="F864" s="269"/>
      <c r="G864" s="269"/>
      <c r="H864" s="269"/>
      <c r="I864" s="269"/>
      <c r="J864" s="269"/>
      <c r="K864" s="269"/>
      <c r="L864" s="269"/>
      <c r="M864" s="269"/>
      <c r="N864" s="269"/>
      <c r="O864" s="269"/>
      <c r="P864" s="269"/>
      <c r="Q864" s="269"/>
      <c r="R864" s="269"/>
      <c r="S864" s="269"/>
      <c r="T864" s="269"/>
      <c r="U864" s="269"/>
      <c r="V864" s="269"/>
      <c r="W864" s="269"/>
      <c r="X864" s="269"/>
      <c r="Y864" s="269"/>
      <c r="Z864" s="269"/>
    </row>
    <row r="865">
      <c r="A865" s="269" t="str">
        <f>IFERROR(__xludf.DUMMYFUNCTION("""COMPUTED_VALUE"""),"")</f>
        <v/>
      </c>
      <c r="B865" s="269"/>
      <c r="C865" s="269"/>
      <c r="D865" s="269"/>
      <c r="E865" s="269"/>
      <c r="F865" s="269"/>
      <c r="G865" s="269"/>
      <c r="H865" s="269"/>
      <c r="I865" s="269"/>
      <c r="J865" s="269"/>
      <c r="K865" s="269"/>
      <c r="L865" s="269"/>
      <c r="M865" s="269"/>
      <c r="N865" s="269"/>
      <c r="O865" s="269"/>
      <c r="P865" s="269"/>
      <c r="Q865" s="269"/>
      <c r="R865" s="269"/>
      <c r="S865" s="269"/>
      <c r="T865" s="269"/>
      <c r="U865" s="269"/>
      <c r="V865" s="269"/>
      <c r="W865" s="269"/>
      <c r="X865" s="269"/>
      <c r="Y865" s="269"/>
      <c r="Z865" s="269"/>
    </row>
    <row r="866">
      <c r="A866" s="269" t="str">
        <f>IFERROR(__xludf.DUMMYFUNCTION("""COMPUTED_VALUE"""),"")</f>
        <v/>
      </c>
      <c r="B866" s="269"/>
      <c r="C866" s="269"/>
      <c r="D866" s="269"/>
      <c r="E866" s="269"/>
      <c r="F866" s="269"/>
      <c r="G866" s="269"/>
      <c r="H866" s="269"/>
      <c r="I866" s="269"/>
      <c r="J866" s="269"/>
      <c r="K866" s="269"/>
      <c r="L866" s="269"/>
      <c r="M866" s="269"/>
      <c r="N866" s="269"/>
      <c r="O866" s="269"/>
      <c r="P866" s="269"/>
      <c r="Q866" s="269"/>
      <c r="R866" s="269"/>
      <c r="S866" s="269"/>
      <c r="T866" s="269"/>
      <c r="U866" s="269"/>
      <c r="V866" s="269"/>
      <c r="W866" s="269"/>
      <c r="X866" s="269"/>
      <c r="Y866" s="269"/>
      <c r="Z866" s="269"/>
    </row>
    <row r="867">
      <c r="A867" s="269" t="str">
        <f>IFERROR(__xludf.DUMMYFUNCTION("""COMPUTED_VALUE"""),"")</f>
        <v/>
      </c>
      <c r="B867" s="269"/>
      <c r="C867" s="269"/>
      <c r="D867" s="269"/>
      <c r="E867" s="269"/>
      <c r="F867" s="269"/>
      <c r="G867" s="269"/>
      <c r="H867" s="269"/>
      <c r="I867" s="269"/>
      <c r="J867" s="269"/>
      <c r="K867" s="269"/>
      <c r="L867" s="269"/>
      <c r="M867" s="269"/>
      <c r="N867" s="269"/>
      <c r="O867" s="269"/>
      <c r="P867" s="269"/>
      <c r="Q867" s="269"/>
      <c r="R867" s="269"/>
      <c r="S867" s="269"/>
      <c r="T867" s="269"/>
      <c r="U867" s="269"/>
      <c r="V867" s="269"/>
      <c r="W867" s="269"/>
      <c r="X867" s="269"/>
      <c r="Y867" s="269"/>
      <c r="Z867" s="269"/>
    </row>
    <row r="868">
      <c r="A868" s="269" t="str">
        <f>IFERROR(__xludf.DUMMYFUNCTION("""COMPUTED_VALUE"""),"")</f>
        <v/>
      </c>
      <c r="B868" s="269"/>
      <c r="C868" s="269"/>
      <c r="D868" s="269"/>
      <c r="E868" s="269"/>
      <c r="F868" s="269"/>
      <c r="G868" s="269"/>
      <c r="H868" s="269"/>
      <c r="I868" s="269"/>
      <c r="J868" s="269"/>
      <c r="K868" s="269"/>
      <c r="L868" s="269"/>
      <c r="M868" s="269"/>
      <c r="N868" s="269"/>
      <c r="O868" s="269"/>
      <c r="P868" s="269"/>
      <c r="Q868" s="269"/>
      <c r="R868" s="269"/>
      <c r="S868" s="269"/>
      <c r="T868" s="269"/>
      <c r="U868" s="269"/>
      <c r="V868" s="269"/>
      <c r="W868" s="269"/>
      <c r="X868" s="269"/>
      <c r="Y868" s="269"/>
      <c r="Z868" s="269"/>
    </row>
    <row r="869">
      <c r="A869" s="269" t="str">
        <f>IFERROR(__xludf.DUMMYFUNCTION("""COMPUTED_VALUE"""),"")</f>
        <v/>
      </c>
      <c r="B869" s="269"/>
      <c r="C869" s="269"/>
      <c r="D869" s="269"/>
      <c r="E869" s="269"/>
      <c r="F869" s="269"/>
      <c r="G869" s="269"/>
      <c r="H869" s="269"/>
      <c r="I869" s="269"/>
      <c r="J869" s="269"/>
      <c r="K869" s="269"/>
      <c r="L869" s="269"/>
      <c r="M869" s="269"/>
      <c r="N869" s="269"/>
      <c r="O869" s="269"/>
      <c r="P869" s="269"/>
      <c r="Q869" s="269"/>
      <c r="R869" s="269"/>
      <c r="S869" s="269"/>
      <c r="T869" s="269"/>
      <c r="U869" s="269"/>
      <c r="V869" s="269"/>
      <c r="W869" s="269"/>
      <c r="X869" s="269"/>
      <c r="Y869" s="269"/>
      <c r="Z869" s="269"/>
    </row>
    <row r="870">
      <c r="A870" s="269" t="str">
        <f>IFERROR(__xludf.DUMMYFUNCTION("""COMPUTED_VALUE"""),"")</f>
        <v/>
      </c>
      <c r="B870" s="269"/>
      <c r="C870" s="269"/>
      <c r="D870" s="269"/>
      <c r="E870" s="269"/>
      <c r="F870" s="269"/>
      <c r="G870" s="269"/>
      <c r="H870" s="269"/>
      <c r="I870" s="269"/>
      <c r="J870" s="269"/>
      <c r="K870" s="269"/>
      <c r="L870" s="269"/>
      <c r="M870" s="269"/>
      <c r="N870" s="269"/>
      <c r="O870" s="269"/>
      <c r="P870" s="269"/>
      <c r="Q870" s="269"/>
      <c r="R870" s="269"/>
      <c r="S870" s="269"/>
      <c r="T870" s="269"/>
      <c r="U870" s="269"/>
      <c r="V870" s="269"/>
      <c r="W870" s="269"/>
      <c r="X870" s="269"/>
      <c r="Y870" s="269"/>
      <c r="Z870" s="269"/>
    </row>
    <row r="871">
      <c r="A871" s="269" t="str">
        <f>IFERROR(__xludf.DUMMYFUNCTION("""COMPUTED_VALUE"""),"")</f>
        <v/>
      </c>
      <c r="B871" s="269"/>
      <c r="C871" s="269"/>
      <c r="D871" s="269"/>
      <c r="E871" s="269"/>
      <c r="F871" s="269"/>
      <c r="G871" s="269"/>
      <c r="H871" s="269"/>
      <c r="I871" s="269"/>
      <c r="J871" s="269"/>
      <c r="K871" s="269"/>
      <c r="L871" s="269"/>
      <c r="M871" s="269"/>
      <c r="N871" s="269"/>
      <c r="O871" s="269"/>
      <c r="P871" s="269"/>
      <c r="Q871" s="269"/>
      <c r="R871" s="269"/>
      <c r="S871" s="269"/>
      <c r="T871" s="269"/>
      <c r="U871" s="269"/>
      <c r="V871" s="269"/>
      <c r="W871" s="269"/>
      <c r="X871" s="269"/>
      <c r="Y871" s="269"/>
      <c r="Z871" s="269"/>
    </row>
    <row r="872">
      <c r="A872" s="269" t="str">
        <f>IFERROR(__xludf.DUMMYFUNCTION("""COMPUTED_VALUE"""),"")</f>
        <v/>
      </c>
      <c r="B872" s="269"/>
      <c r="C872" s="269"/>
      <c r="D872" s="269"/>
      <c r="E872" s="269"/>
      <c r="F872" s="269"/>
      <c r="G872" s="269"/>
      <c r="H872" s="269"/>
      <c r="I872" s="269"/>
      <c r="J872" s="269"/>
      <c r="K872" s="269"/>
      <c r="L872" s="269"/>
      <c r="M872" s="269"/>
      <c r="N872" s="269"/>
      <c r="O872" s="269"/>
      <c r="P872" s="269"/>
      <c r="Q872" s="269"/>
      <c r="R872" s="269"/>
      <c r="S872" s="269"/>
      <c r="T872" s="269"/>
      <c r="U872" s="269"/>
      <c r="V872" s="269"/>
      <c r="W872" s="269"/>
      <c r="X872" s="269"/>
      <c r="Y872" s="269"/>
      <c r="Z872" s="269"/>
    </row>
    <row r="873">
      <c r="A873" s="269" t="str">
        <f>IFERROR(__xludf.DUMMYFUNCTION("""COMPUTED_VALUE"""),"")</f>
        <v/>
      </c>
      <c r="B873" s="269"/>
      <c r="C873" s="269"/>
      <c r="D873" s="269"/>
      <c r="E873" s="269"/>
      <c r="F873" s="269"/>
      <c r="G873" s="269"/>
      <c r="H873" s="269"/>
      <c r="I873" s="269"/>
      <c r="J873" s="269"/>
      <c r="K873" s="269"/>
      <c r="L873" s="269"/>
      <c r="M873" s="269"/>
      <c r="N873" s="269"/>
      <c r="O873" s="269"/>
      <c r="P873" s="269"/>
      <c r="Q873" s="269"/>
      <c r="R873" s="269"/>
      <c r="S873" s="269"/>
      <c r="T873" s="269"/>
      <c r="U873" s="269"/>
      <c r="V873" s="269"/>
      <c r="W873" s="269"/>
      <c r="X873" s="269"/>
      <c r="Y873" s="269"/>
      <c r="Z873" s="269"/>
    </row>
    <row r="874">
      <c r="A874" s="269" t="str">
        <f>IFERROR(__xludf.DUMMYFUNCTION("""COMPUTED_VALUE"""),"")</f>
        <v/>
      </c>
      <c r="B874" s="269"/>
      <c r="C874" s="269"/>
      <c r="D874" s="269"/>
      <c r="E874" s="269"/>
      <c r="F874" s="269"/>
      <c r="G874" s="269"/>
      <c r="H874" s="269"/>
      <c r="I874" s="269"/>
      <c r="J874" s="269"/>
      <c r="K874" s="269"/>
      <c r="L874" s="269"/>
      <c r="M874" s="269"/>
      <c r="N874" s="269"/>
      <c r="O874" s="269"/>
      <c r="P874" s="269"/>
      <c r="Q874" s="269"/>
      <c r="R874" s="269"/>
      <c r="S874" s="269"/>
      <c r="T874" s="269"/>
      <c r="U874" s="269"/>
      <c r="V874" s="269"/>
      <c r="W874" s="269"/>
      <c r="X874" s="269"/>
      <c r="Y874" s="269"/>
      <c r="Z874" s="269"/>
    </row>
    <row r="875">
      <c r="A875" s="269" t="str">
        <f>IFERROR(__xludf.DUMMYFUNCTION("""COMPUTED_VALUE"""),"")</f>
        <v/>
      </c>
      <c r="B875" s="269"/>
      <c r="C875" s="269"/>
      <c r="D875" s="269"/>
      <c r="E875" s="269"/>
      <c r="F875" s="269"/>
      <c r="G875" s="269"/>
      <c r="H875" s="269"/>
      <c r="I875" s="269"/>
      <c r="J875" s="269"/>
      <c r="K875" s="269"/>
      <c r="L875" s="269"/>
      <c r="M875" s="269"/>
      <c r="N875" s="269"/>
      <c r="O875" s="269"/>
      <c r="P875" s="269"/>
      <c r="Q875" s="269"/>
      <c r="R875" s="269"/>
      <c r="S875" s="269"/>
      <c r="T875" s="269"/>
      <c r="U875" s="269"/>
      <c r="V875" s="269"/>
      <c r="W875" s="269"/>
      <c r="X875" s="269"/>
      <c r="Y875" s="269"/>
      <c r="Z875" s="269"/>
    </row>
    <row r="876">
      <c r="A876" s="269" t="str">
        <f>IFERROR(__xludf.DUMMYFUNCTION("""COMPUTED_VALUE"""),"")</f>
        <v/>
      </c>
      <c r="B876" s="269"/>
      <c r="C876" s="269"/>
      <c r="D876" s="269"/>
      <c r="E876" s="269"/>
      <c r="F876" s="269"/>
      <c r="G876" s="269"/>
      <c r="H876" s="269"/>
      <c r="I876" s="269"/>
      <c r="J876" s="269"/>
      <c r="K876" s="269"/>
      <c r="L876" s="269"/>
      <c r="M876" s="269"/>
      <c r="N876" s="269"/>
      <c r="O876" s="269"/>
      <c r="P876" s="269"/>
      <c r="Q876" s="269"/>
      <c r="R876" s="269"/>
      <c r="S876" s="269"/>
      <c r="T876" s="269"/>
      <c r="U876" s="269"/>
      <c r="V876" s="269"/>
      <c r="W876" s="269"/>
      <c r="X876" s="269"/>
      <c r="Y876" s="269"/>
      <c r="Z876" s="269"/>
    </row>
    <row r="877">
      <c r="A877" s="269" t="str">
        <f>IFERROR(__xludf.DUMMYFUNCTION("""COMPUTED_VALUE"""),"")</f>
        <v/>
      </c>
      <c r="B877" s="269"/>
      <c r="C877" s="269"/>
      <c r="D877" s="269"/>
      <c r="E877" s="269"/>
      <c r="F877" s="269"/>
      <c r="G877" s="269"/>
      <c r="H877" s="269"/>
      <c r="I877" s="269"/>
      <c r="J877" s="269"/>
      <c r="K877" s="269"/>
      <c r="L877" s="269"/>
      <c r="M877" s="269"/>
      <c r="N877" s="269"/>
      <c r="O877" s="269"/>
      <c r="P877" s="269"/>
      <c r="Q877" s="269"/>
      <c r="R877" s="269"/>
      <c r="S877" s="269"/>
      <c r="T877" s="269"/>
      <c r="U877" s="269"/>
      <c r="V877" s="269"/>
      <c r="W877" s="269"/>
      <c r="X877" s="269"/>
      <c r="Y877" s="269"/>
      <c r="Z877" s="269"/>
    </row>
    <row r="878">
      <c r="A878" s="269" t="str">
        <f>IFERROR(__xludf.DUMMYFUNCTION("""COMPUTED_VALUE"""),"")</f>
        <v/>
      </c>
      <c r="B878" s="269"/>
      <c r="C878" s="269"/>
      <c r="D878" s="269"/>
      <c r="E878" s="269"/>
      <c r="F878" s="269"/>
      <c r="G878" s="269"/>
      <c r="H878" s="269"/>
      <c r="I878" s="269"/>
      <c r="J878" s="269"/>
      <c r="K878" s="269"/>
      <c r="L878" s="269"/>
      <c r="M878" s="269"/>
      <c r="N878" s="269"/>
      <c r="O878" s="269"/>
      <c r="P878" s="269"/>
      <c r="Q878" s="269"/>
      <c r="R878" s="269"/>
      <c r="S878" s="269"/>
      <c r="T878" s="269"/>
      <c r="U878" s="269"/>
      <c r="V878" s="269"/>
      <c r="W878" s="269"/>
      <c r="X878" s="269"/>
      <c r="Y878" s="269"/>
      <c r="Z878" s="269"/>
    </row>
    <row r="879">
      <c r="A879" s="269" t="str">
        <f>IFERROR(__xludf.DUMMYFUNCTION("""COMPUTED_VALUE"""),"")</f>
        <v/>
      </c>
      <c r="B879" s="269"/>
      <c r="C879" s="269"/>
      <c r="D879" s="269"/>
      <c r="E879" s="269"/>
      <c r="F879" s="269"/>
      <c r="G879" s="269"/>
      <c r="H879" s="269"/>
      <c r="I879" s="269"/>
      <c r="J879" s="269"/>
      <c r="K879" s="269"/>
      <c r="L879" s="269"/>
      <c r="M879" s="269"/>
      <c r="N879" s="269"/>
      <c r="O879" s="269"/>
      <c r="P879" s="269"/>
      <c r="Q879" s="269"/>
      <c r="R879" s="269"/>
      <c r="S879" s="269"/>
      <c r="T879" s="269"/>
      <c r="U879" s="269"/>
      <c r="V879" s="269"/>
      <c r="W879" s="269"/>
      <c r="X879" s="269"/>
      <c r="Y879" s="269"/>
      <c r="Z879" s="269"/>
    </row>
    <row r="880">
      <c r="A880" s="269" t="str">
        <f>IFERROR(__xludf.DUMMYFUNCTION("""COMPUTED_VALUE"""),"")</f>
        <v/>
      </c>
      <c r="B880" s="269"/>
      <c r="C880" s="269"/>
      <c r="D880" s="269"/>
      <c r="E880" s="269"/>
      <c r="F880" s="269"/>
      <c r="G880" s="269"/>
      <c r="H880" s="269"/>
      <c r="I880" s="269"/>
      <c r="J880" s="269"/>
      <c r="K880" s="269"/>
      <c r="L880" s="269"/>
      <c r="M880" s="269"/>
      <c r="N880" s="269"/>
      <c r="O880" s="269"/>
      <c r="P880" s="269"/>
      <c r="Q880" s="269"/>
      <c r="R880" s="269"/>
      <c r="S880" s="269"/>
      <c r="T880" s="269"/>
      <c r="U880" s="269"/>
      <c r="V880" s="269"/>
      <c r="W880" s="269"/>
      <c r="X880" s="269"/>
      <c r="Y880" s="269"/>
      <c r="Z880" s="269"/>
    </row>
    <row r="881">
      <c r="A881" s="269" t="str">
        <f>IFERROR(__xludf.DUMMYFUNCTION("""COMPUTED_VALUE"""),"")</f>
        <v/>
      </c>
      <c r="B881" s="269"/>
      <c r="C881" s="269"/>
      <c r="D881" s="269"/>
      <c r="E881" s="269"/>
      <c r="F881" s="269"/>
      <c r="G881" s="269"/>
      <c r="H881" s="269"/>
      <c r="I881" s="269"/>
      <c r="J881" s="269"/>
      <c r="K881" s="269"/>
      <c r="L881" s="269"/>
      <c r="M881" s="269"/>
      <c r="N881" s="269"/>
      <c r="O881" s="269"/>
      <c r="P881" s="269"/>
      <c r="Q881" s="269"/>
      <c r="R881" s="269"/>
      <c r="S881" s="269"/>
      <c r="T881" s="269"/>
      <c r="U881" s="269"/>
      <c r="V881" s="269"/>
      <c r="W881" s="269"/>
      <c r="X881" s="269"/>
      <c r="Y881" s="269"/>
      <c r="Z881" s="269"/>
    </row>
    <row r="882">
      <c r="A882" s="269" t="str">
        <f>IFERROR(__xludf.DUMMYFUNCTION("""COMPUTED_VALUE"""),"")</f>
        <v/>
      </c>
      <c r="B882" s="269"/>
      <c r="C882" s="269"/>
      <c r="D882" s="269"/>
      <c r="E882" s="269"/>
      <c r="F882" s="269"/>
      <c r="G882" s="269"/>
      <c r="H882" s="269"/>
      <c r="I882" s="269"/>
      <c r="J882" s="269"/>
      <c r="K882" s="269"/>
      <c r="L882" s="269"/>
      <c r="M882" s="269"/>
      <c r="N882" s="269"/>
      <c r="O882" s="269"/>
      <c r="P882" s="269"/>
      <c r="Q882" s="269"/>
      <c r="R882" s="269"/>
      <c r="S882" s="269"/>
      <c r="T882" s="269"/>
      <c r="U882" s="269"/>
      <c r="V882" s="269"/>
      <c r="W882" s="269"/>
      <c r="X882" s="269"/>
      <c r="Y882" s="269"/>
      <c r="Z882" s="269"/>
    </row>
    <row r="883">
      <c r="A883" s="269" t="str">
        <f>IFERROR(__xludf.DUMMYFUNCTION("""COMPUTED_VALUE"""),"")</f>
        <v/>
      </c>
      <c r="B883" s="269"/>
      <c r="C883" s="269"/>
      <c r="D883" s="269"/>
      <c r="E883" s="269"/>
      <c r="F883" s="269"/>
      <c r="G883" s="269"/>
      <c r="H883" s="269"/>
      <c r="I883" s="269"/>
      <c r="J883" s="269"/>
      <c r="K883" s="269"/>
      <c r="L883" s="269"/>
      <c r="M883" s="269"/>
      <c r="N883" s="269"/>
      <c r="O883" s="269"/>
      <c r="P883" s="269"/>
      <c r="Q883" s="269"/>
      <c r="R883" s="269"/>
      <c r="S883" s="269"/>
      <c r="T883" s="269"/>
      <c r="U883" s="269"/>
      <c r="V883" s="269"/>
      <c r="W883" s="269"/>
      <c r="X883" s="269"/>
      <c r="Y883" s="269"/>
      <c r="Z883" s="269"/>
    </row>
    <row r="884">
      <c r="A884" s="269" t="str">
        <f>IFERROR(__xludf.DUMMYFUNCTION("""COMPUTED_VALUE"""),"")</f>
        <v/>
      </c>
      <c r="B884" s="269"/>
      <c r="C884" s="269"/>
      <c r="D884" s="269"/>
      <c r="E884" s="269"/>
      <c r="F884" s="269"/>
      <c r="G884" s="269"/>
      <c r="H884" s="269"/>
      <c r="I884" s="269"/>
      <c r="J884" s="269"/>
      <c r="K884" s="269"/>
      <c r="L884" s="269"/>
      <c r="M884" s="269"/>
      <c r="N884" s="269"/>
      <c r="O884" s="269"/>
      <c r="P884" s="269"/>
      <c r="Q884" s="269"/>
      <c r="R884" s="269"/>
      <c r="S884" s="269"/>
      <c r="T884" s="269"/>
      <c r="U884" s="269"/>
      <c r="V884" s="269"/>
      <c r="W884" s="269"/>
      <c r="X884" s="269"/>
      <c r="Y884" s="269"/>
      <c r="Z884" s="269"/>
    </row>
    <row r="885">
      <c r="A885" s="269" t="str">
        <f>IFERROR(__xludf.DUMMYFUNCTION("""COMPUTED_VALUE"""),"")</f>
        <v/>
      </c>
      <c r="B885" s="269"/>
      <c r="C885" s="269"/>
      <c r="D885" s="269"/>
      <c r="E885" s="269"/>
      <c r="F885" s="269"/>
      <c r="G885" s="269"/>
      <c r="H885" s="269"/>
      <c r="I885" s="269"/>
      <c r="J885" s="269"/>
      <c r="K885" s="269"/>
      <c r="L885" s="269"/>
      <c r="M885" s="269"/>
      <c r="N885" s="269"/>
      <c r="O885" s="269"/>
      <c r="P885" s="269"/>
      <c r="Q885" s="269"/>
      <c r="R885" s="269"/>
      <c r="S885" s="269"/>
      <c r="T885" s="269"/>
      <c r="U885" s="269"/>
      <c r="V885" s="269"/>
      <c r="W885" s="269"/>
      <c r="X885" s="269"/>
      <c r="Y885" s="269"/>
      <c r="Z885" s="269"/>
    </row>
    <row r="886">
      <c r="A886" s="269" t="str">
        <f>IFERROR(__xludf.DUMMYFUNCTION("""COMPUTED_VALUE"""),"")</f>
        <v/>
      </c>
      <c r="B886" s="269"/>
      <c r="C886" s="269"/>
      <c r="D886" s="269"/>
      <c r="E886" s="269"/>
      <c r="F886" s="269"/>
      <c r="G886" s="269"/>
      <c r="H886" s="269"/>
      <c r="I886" s="269"/>
      <c r="J886" s="269"/>
      <c r="K886" s="269"/>
      <c r="L886" s="269"/>
      <c r="M886" s="269"/>
      <c r="N886" s="269"/>
      <c r="O886" s="269"/>
      <c r="P886" s="269"/>
      <c r="Q886" s="269"/>
      <c r="R886" s="269"/>
      <c r="S886" s="269"/>
      <c r="T886" s="269"/>
      <c r="U886" s="269"/>
      <c r="V886" s="269"/>
      <c r="W886" s="269"/>
      <c r="X886" s="269"/>
      <c r="Y886" s="269"/>
      <c r="Z886" s="269"/>
    </row>
    <row r="887">
      <c r="A887" s="269" t="str">
        <f>IFERROR(__xludf.DUMMYFUNCTION("""COMPUTED_VALUE"""),"")</f>
        <v/>
      </c>
      <c r="B887" s="269"/>
      <c r="C887" s="269"/>
      <c r="D887" s="269"/>
      <c r="E887" s="269"/>
      <c r="F887" s="269"/>
      <c r="G887" s="269"/>
      <c r="H887" s="269"/>
      <c r="I887" s="269"/>
      <c r="J887" s="269"/>
      <c r="K887" s="269"/>
      <c r="L887" s="269"/>
      <c r="M887" s="269"/>
      <c r="N887" s="269"/>
      <c r="O887" s="269"/>
      <c r="P887" s="269"/>
      <c r="Q887" s="269"/>
      <c r="R887" s="269"/>
      <c r="S887" s="269"/>
      <c r="T887" s="269"/>
      <c r="U887" s="269"/>
      <c r="V887" s="269"/>
      <c r="W887" s="269"/>
      <c r="X887" s="269"/>
      <c r="Y887" s="269"/>
      <c r="Z887" s="269"/>
    </row>
    <row r="888">
      <c r="A888" s="269" t="str">
        <f>IFERROR(__xludf.DUMMYFUNCTION("""COMPUTED_VALUE"""),"")</f>
        <v/>
      </c>
      <c r="B888" s="269"/>
      <c r="C888" s="269"/>
      <c r="D888" s="269"/>
      <c r="E888" s="269"/>
      <c r="F888" s="269"/>
      <c r="G888" s="269"/>
      <c r="H888" s="269"/>
      <c r="I888" s="269"/>
      <c r="J888" s="269"/>
      <c r="K888" s="269"/>
      <c r="L888" s="269"/>
      <c r="M888" s="269"/>
      <c r="N888" s="269"/>
      <c r="O888" s="269"/>
      <c r="P888" s="269"/>
      <c r="Q888" s="269"/>
      <c r="R888" s="269"/>
      <c r="S888" s="269"/>
      <c r="T888" s="269"/>
      <c r="U888" s="269"/>
      <c r="V888" s="269"/>
      <c r="W888" s="269"/>
      <c r="X888" s="269"/>
      <c r="Y888" s="269"/>
      <c r="Z888" s="269"/>
    </row>
    <row r="889">
      <c r="A889" s="269" t="str">
        <f>IFERROR(__xludf.DUMMYFUNCTION("""COMPUTED_VALUE"""),"")</f>
        <v/>
      </c>
      <c r="B889" s="269"/>
      <c r="C889" s="269"/>
      <c r="D889" s="269"/>
      <c r="E889" s="269"/>
      <c r="F889" s="269"/>
      <c r="G889" s="269"/>
      <c r="H889" s="269"/>
      <c r="I889" s="269"/>
      <c r="J889" s="269"/>
      <c r="K889" s="269"/>
      <c r="L889" s="269"/>
      <c r="M889" s="269"/>
      <c r="N889" s="269"/>
      <c r="O889" s="269"/>
      <c r="P889" s="269"/>
      <c r="Q889" s="269"/>
      <c r="R889" s="269"/>
      <c r="S889" s="269"/>
      <c r="T889" s="269"/>
      <c r="U889" s="269"/>
      <c r="V889" s="269"/>
      <c r="W889" s="269"/>
      <c r="X889" s="269"/>
      <c r="Y889" s="269"/>
      <c r="Z889" s="269"/>
    </row>
    <row r="890">
      <c r="A890" s="269" t="str">
        <f>IFERROR(__xludf.DUMMYFUNCTION("""COMPUTED_VALUE"""),"")</f>
        <v/>
      </c>
      <c r="B890" s="269"/>
      <c r="C890" s="269"/>
      <c r="D890" s="269"/>
      <c r="E890" s="269"/>
      <c r="F890" s="269"/>
      <c r="G890" s="269"/>
      <c r="H890" s="269"/>
      <c r="I890" s="269"/>
      <c r="J890" s="269"/>
      <c r="K890" s="269"/>
      <c r="L890" s="269"/>
      <c r="M890" s="269"/>
      <c r="N890" s="269"/>
      <c r="O890" s="269"/>
      <c r="P890" s="269"/>
      <c r="Q890" s="269"/>
      <c r="R890" s="269"/>
      <c r="S890" s="269"/>
      <c r="T890" s="269"/>
      <c r="U890" s="269"/>
      <c r="V890" s="269"/>
      <c r="W890" s="269"/>
      <c r="X890" s="269"/>
      <c r="Y890" s="269"/>
      <c r="Z890" s="269"/>
    </row>
    <row r="891">
      <c r="A891" s="269" t="str">
        <f>IFERROR(__xludf.DUMMYFUNCTION("""COMPUTED_VALUE"""),"")</f>
        <v/>
      </c>
      <c r="B891" s="269"/>
      <c r="C891" s="269"/>
      <c r="D891" s="269"/>
      <c r="E891" s="269"/>
      <c r="F891" s="269"/>
      <c r="G891" s="269"/>
      <c r="H891" s="269"/>
      <c r="I891" s="269"/>
      <c r="J891" s="269"/>
      <c r="K891" s="269"/>
      <c r="L891" s="269"/>
      <c r="M891" s="269"/>
      <c r="N891" s="269"/>
      <c r="O891" s="269"/>
      <c r="P891" s="269"/>
      <c r="Q891" s="269"/>
      <c r="R891" s="269"/>
      <c r="S891" s="269"/>
      <c r="T891" s="269"/>
      <c r="U891" s="269"/>
      <c r="V891" s="269"/>
      <c r="W891" s="269"/>
      <c r="X891" s="269"/>
      <c r="Y891" s="269"/>
      <c r="Z891" s="269"/>
    </row>
    <row r="892">
      <c r="A892" s="269" t="str">
        <f>IFERROR(__xludf.DUMMYFUNCTION("""COMPUTED_VALUE"""),"")</f>
        <v/>
      </c>
      <c r="B892" s="269"/>
      <c r="C892" s="269"/>
      <c r="D892" s="269"/>
      <c r="E892" s="269"/>
      <c r="F892" s="269"/>
      <c r="G892" s="269"/>
      <c r="H892" s="269"/>
      <c r="I892" s="269"/>
      <c r="J892" s="269"/>
      <c r="K892" s="269"/>
      <c r="L892" s="269"/>
      <c r="M892" s="269"/>
      <c r="N892" s="269"/>
      <c r="O892" s="269"/>
      <c r="P892" s="269"/>
      <c r="Q892" s="269"/>
      <c r="R892" s="269"/>
      <c r="S892" s="269"/>
      <c r="T892" s="269"/>
      <c r="U892" s="269"/>
      <c r="V892" s="269"/>
      <c r="W892" s="269"/>
      <c r="X892" s="269"/>
      <c r="Y892" s="269"/>
      <c r="Z892" s="269"/>
    </row>
    <row r="893">
      <c r="A893" s="269" t="str">
        <f>IFERROR(__xludf.DUMMYFUNCTION("""COMPUTED_VALUE"""),"")</f>
        <v/>
      </c>
      <c r="B893" s="269"/>
      <c r="C893" s="269"/>
      <c r="D893" s="269"/>
      <c r="E893" s="269"/>
      <c r="F893" s="269"/>
      <c r="G893" s="269"/>
      <c r="H893" s="269"/>
      <c r="I893" s="269"/>
      <c r="J893" s="269"/>
      <c r="K893" s="269"/>
      <c r="L893" s="269"/>
      <c r="M893" s="269"/>
      <c r="N893" s="269"/>
      <c r="O893" s="269"/>
      <c r="P893" s="269"/>
      <c r="Q893" s="269"/>
      <c r="R893" s="269"/>
      <c r="S893" s="269"/>
      <c r="T893" s="269"/>
      <c r="U893" s="269"/>
      <c r="V893" s="269"/>
      <c r="W893" s="269"/>
      <c r="X893" s="269"/>
      <c r="Y893" s="269"/>
      <c r="Z893" s="269"/>
    </row>
    <row r="894">
      <c r="A894" s="269" t="str">
        <f>IFERROR(__xludf.DUMMYFUNCTION("""COMPUTED_VALUE"""),"")</f>
        <v/>
      </c>
      <c r="B894" s="269"/>
      <c r="C894" s="269"/>
      <c r="D894" s="269"/>
      <c r="E894" s="269"/>
      <c r="F894" s="269"/>
      <c r="G894" s="269"/>
      <c r="H894" s="269"/>
      <c r="I894" s="269"/>
      <c r="J894" s="269"/>
      <c r="K894" s="269"/>
      <c r="L894" s="269"/>
      <c r="M894" s="269"/>
      <c r="N894" s="269"/>
      <c r="O894" s="269"/>
      <c r="P894" s="269"/>
      <c r="Q894" s="269"/>
      <c r="R894" s="269"/>
      <c r="S894" s="269"/>
      <c r="T894" s="269"/>
      <c r="U894" s="269"/>
      <c r="V894" s="269"/>
      <c r="W894" s="269"/>
      <c r="X894" s="269"/>
      <c r="Y894" s="269"/>
      <c r="Z894" s="269"/>
    </row>
    <row r="895">
      <c r="A895" s="269" t="str">
        <f>IFERROR(__xludf.DUMMYFUNCTION("""COMPUTED_VALUE"""),"")</f>
        <v/>
      </c>
      <c r="B895" s="269"/>
      <c r="C895" s="269"/>
      <c r="D895" s="269"/>
      <c r="E895" s="269"/>
      <c r="F895" s="269"/>
      <c r="G895" s="269"/>
      <c r="H895" s="269"/>
      <c r="I895" s="269"/>
      <c r="J895" s="269"/>
      <c r="K895" s="269"/>
      <c r="L895" s="269"/>
      <c r="M895" s="269"/>
      <c r="N895" s="269"/>
      <c r="O895" s="269"/>
      <c r="P895" s="269"/>
      <c r="Q895" s="269"/>
      <c r="R895" s="269"/>
      <c r="S895" s="269"/>
      <c r="T895" s="269"/>
      <c r="U895" s="269"/>
      <c r="V895" s="269"/>
      <c r="W895" s="269"/>
      <c r="X895" s="269"/>
      <c r="Y895" s="269"/>
      <c r="Z895" s="269"/>
    </row>
    <row r="896">
      <c r="A896" s="269" t="str">
        <f>IFERROR(__xludf.DUMMYFUNCTION("""COMPUTED_VALUE"""),"")</f>
        <v/>
      </c>
      <c r="B896" s="269"/>
      <c r="C896" s="269"/>
      <c r="D896" s="269"/>
      <c r="E896" s="269"/>
      <c r="F896" s="269"/>
      <c r="G896" s="269"/>
      <c r="H896" s="269"/>
      <c r="I896" s="269"/>
      <c r="J896" s="269"/>
      <c r="K896" s="269"/>
      <c r="L896" s="269"/>
      <c r="M896" s="269"/>
      <c r="N896" s="269"/>
      <c r="O896" s="269"/>
      <c r="P896" s="269"/>
      <c r="Q896" s="269"/>
      <c r="R896" s="269"/>
      <c r="S896" s="269"/>
      <c r="T896" s="269"/>
      <c r="U896" s="269"/>
      <c r="V896" s="269"/>
      <c r="W896" s="269"/>
      <c r="X896" s="269"/>
      <c r="Y896" s="269"/>
      <c r="Z896" s="269"/>
    </row>
    <row r="897">
      <c r="A897" s="269" t="str">
        <f>IFERROR(__xludf.DUMMYFUNCTION("""COMPUTED_VALUE"""),"")</f>
        <v/>
      </c>
      <c r="B897" s="269"/>
      <c r="C897" s="269"/>
      <c r="D897" s="269"/>
      <c r="E897" s="269"/>
      <c r="F897" s="269"/>
      <c r="G897" s="269"/>
      <c r="H897" s="269"/>
      <c r="I897" s="269"/>
      <c r="J897" s="269"/>
      <c r="K897" s="269"/>
      <c r="L897" s="269"/>
      <c r="M897" s="269"/>
      <c r="N897" s="269"/>
      <c r="O897" s="269"/>
      <c r="P897" s="269"/>
      <c r="Q897" s="269"/>
      <c r="R897" s="269"/>
      <c r="S897" s="269"/>
      <c r="T897" s="269"/>
      <c r="U897" s="269"/>
      <c r="V897" s="269"/>
      <c r="W897" s="269"/>
      <c r="X897" s="269"/>
      <c r="Y897" s="269"/>
      <c r="Z897" s="269"/>
    </row>
    <row r="898">
      <c r="A898" s="269" t="str">
        <f>IFERROR(__xludf.DUMMYFUNCTION("""COMPUTED_VALUE"""),"")</f>
        <v/>
      </c>
      <c r="B898" s="269"/>
      <c r="C898" s="269"/>
      <c r="D898" s="269"/>
      <c r="E898" s="269"/>
      <c r="F898" s="269"/>
      <c r="G898" s="269"/>
      <c r="H898" s="269"/>
      <c r="I898" s="269"/>
      <c r="J898" s="269"/>
      <c r="K898" s="269"/>
      <c r="L898" s="269"/>
      <c r="M898" s="269"/>
      <c r="N898" s="269"/>
      <c r="O898" s="269"/>
      <c r="P898" s="269"/>
      <c r="Q898" s="269"/>
      <c r="R898" s="269"/>
      <c r="S898" s="269"/>
      <c r="T898" s="269"/>
      <c r="U898" s="269"/>
      <c r="V898" s="269"/>
      <c r="W898" s="269"/>
      <c r="X898" s="269"/>
      <c r="Y898" s="269"/>
      <c r="Z898" s="269"/>
    </row>
    <row r="899">
      <c r="A899" s="269" t="str">
        <f>IFERROR(__xludf.DUMMYFUNCTION("""COMPUTED_VALUE"""),"")</f>
        <v/>
      </c>
      <c r="B899" s="269"/>
      <c r="C899" s="269"/>
      <c r="D899" s="269"/>
      <c r="E899" s="269"/>
      <c r="F899" s="269"/>
      <c r="G899" s="269"/>
      <c r="H899" s="269"/>
      <c r="I899" s="269"/>
      <c r="J899" s="269"/>
      <c r="K899" s="269"/>
      <c r="L899" s="269"/>
      <c r="M899" s="269"/>
      <c r="N899" s="269"/>
      <c r="O899" s="269"/>
      <c r="P899" s="269"/>
      <c r="Q899" s="269"/>
      <c r="R899" s="269"/>
      <c r="S899" s="269"/>
      <c r="T899" s="269"/>
      <c r="U899" s="269"/>
      <c r="V899" s="269"/>
      <c r="W899" s="269"/>
      <c r="X899" s="269"/>
      <c r="Y899" s="269"/>
      <c r="Z899" s="269"/>
    </row>
    <row r="900">
      <c r="A900" s="269" t="str">
        <f>IFERROR(__xludf.DUMMYFUNCTION("""COMPUTED_VALUE"""),"")</f>
        <v/>
      </c>
      <c r="B900" s="269"/>
      <c r="C900" s="269"/>
      <c r="D900" s="269"/>
      <c r="E900" s="269"/>
      <c r="F900" s="269"/>
      <c r="G900" s="269"/>
      <c r="H900" s="269"/>
      <c r="I900" s="269"/>
      <c r="J900" s="269"/>
      <c r="K900" s="269"/>
      <c r="L900" s="269"/>
      <c r="M900" s="269"/>
      <c r="N900" s="269"/>
      <c r="O900" s="269"/>
      <c r="P900" s="269"/>
      <c r="Q900" s="269"/>
      <c r="R900" s="269"/>
      <c r="S900" s="269"/>
      <c r="T900" s="269"/>
      <c r="U900" s="269"/>
      <c r="V900" s="269"/>
      <c r="W900" s="269"/>
      <c r="X900" s="269"/>
      <c r="Y900" s="269"/>
      <c r="Z900" s="269"/>
    </row>
    <row r="901">
      <c r="A901" s="269" t="str">
        <f>IFERROR(__xludf.DUMMYFUNCTION("""COMPUTED_VALUE"""),"")</f>
        <v/>
      </c>
      <c r="B901" s="269"/>
      <c r="C901" s="269"/>
      <c r="D901" s="269"/>
      <c r="E901" s="269"/>
      <c r="F901" s="269"/>
      <c r="G901" s="269"/>
      <c r="H901" s="269"/>
      <c r="I901" s="269"/>
      <c r="J901" s="269"/>
      <c r="K901" s="269"/>
      <c r="L901" s="269"/>
      <c r="M901" s="269"/>
      <c r="N901" s="269"/>
      <c r="O901" s="269"/>
      <c r="P901" s="269"/>
      <c r="Q901" s="269"/>
      <c r="R901" s="269"/>
      <c r="S901" s="269"/>
      <c r="T901" s="269"/>
      <c r="U901" s="269"/>
      <c r="V901" s="269"/>
      <c r="W901" s="269"/>
      <c r="X901" s="269"/>
      <c r="Y901" s="269"/>
      <c r="Z901" s="269"/>
    </row>
    <row r="902">
      <c r="A902" s="269" t="str">
        <f>IFERROR(__xludf.DUMMYFUNCTION("""COMPUTED_VALUE"""),"")</f>
        <v/>
      </c>
      <c r="B902" s="269"/>
      <c r="C902" s="269"/>
      <c r="D902" s="269"/>
      <c r="E902" s="269"/>
      <c r="F902" s="269"/>
      <c r="G902" s="269"/>
      <c r="H902" s="269"/>
      <c r="I902" s="269"/>
      <c r="J902" s="269"/>
      <c r="K902" s="269"/>
      <c r="L902" s="269"/>
      <c r="M902" s="269"/>
      <c r="N902" s="269"/>
      <c r="O902" s="269"/>
      <c r="P902" s="269"/>
      <c r="Q902" s="269"/>
      <c r="R902" s="269"/>
      <c r="S902" s="269"/>
      <c r="T902" s="269"/>
      <c r="U902" s="269"/>
      <c r="V902" s="269"/>
      <c r="W902" s="269"/>
      <c r="X902" s="269"/>
      <c r="Y902" s="269"/>
      <c r="Z902" s="269"/>
    </row>
    <row r="903">
      <c r="A903" s="269" t="str">
        <f>IFERROR(__xludf.DUMMYFUNCTION("""COMPUTED_VALUE"""),"")</f>
        <v/>
      </c>
      <c r="B903" s="269"/>
      <c r="C903" s="269"/>
      <c r="D903" s="269"/>
      <c r="E903" s="269"/>
      <c r="F903" s="269"/>
      <c r="G903" s="269"/>
      <c r="H903" s="269"/>
      <c r="I903" s="269"/>
      <c r="J903" s="269"/>
      <c r="K903" s="269"/>
      <c r="L903" s="269"/>
      <c r="M903" s="269"/>
      <c r="N903" s="269"/>
      <c r="O903" s="269"/>
      <c r="P903" s="269"/>
      <c r="Q903" s="269"/>
      <c r="R903" s="269"/>
      <c r="S903" s="269"/>
      <c r="T903" s="269"/>
      <c r="U903" s="269"/>
      <c r="V903" s="269"/>
      <c r="W903" s="269"/>
      <c r="X903" s="269"/>
      <c r="Y903" s="269"/>
      <c r="Z903" s="269"/>
    </row>
    <row r="904">
      <c r="A904" s="269" t="str">
        <f>IFERROR(__xludf.DUMMYFUNCTION("""COMPUTED_VALUE"""),"")</f>
        <v/>
      </c>
      <c r="B904" s="269"/>
      <c r="C904" s="269"/>
      <c r="D904" s="269"/>
      <c r="E904" s="269"/>
      <c r="F904" s="269"/>
      <c r="G904" s="269"/>
      <c r="H904" s="269"/>
      <c r="I904" s="269"/>
      <c r="J904" s="269"/>
      <c r="K904" s="269"/>
      <c r="L904" s="269"/>
      <c r="M904" s="269"/>
      <c r="N904" s="269"/>
      <c r="O904" s="269"/>
      <c r="P904" s="269"/>
      <c r="Q904" s="269"/>
      <c r="R904" s="269"/>
      <c r="S904" s="269"/>
      <c r="T904" s="269"/>
      <c r="U904" s="269"/>
      <c r="V904" s="269"/>
      <c r="W904" s="269"/>
      <c r="X904" s="269"/>
      <c r="Y904" s="269"/>
      <c r="Z904" s="269"/>
    </row>
    <row r="905">
      <c r="A905" s="269" t="str">
        <f>IFERROR(__xludf.DUMMYFUNCTION("""COMPUTED_VALUE"""),"")</f>
        <v/>
      </c>
      <c r="B905" s="269"/>
      <c r="C905" s="269"/>
      <c r="D905" s="269"/>
      <c r="E905" s="269"/>
      <c r="F905" s="269"/>
      <c r="G905" s="269"/>
      <c r="H905" s="269"/>
      <c r="I905" s="269"/>
      <c r="J905" s="269"/>
      <c r="K905" s="269"/>
      <c r="L905" s="269"/>
      <c r="M905" s="269"/>
      <c r="N905" s="269"/>
      <c r="O905" s="269"/>
      <c r="P905" s="269"/>
      <c r="Q905" s="269"/>
      <c r="R905" s="269"/>
      <c r="S905" s="269"/>
      <c r="T905" s="269"/>
      <c r="U905" s="269"/>
      <c r="V905" s="269"/>
      <c r="W905" s="269"/>
      <c r="X905" s="269"/>
      <c r="Y905" s="269"/>
      <c r="Z905" s="269"/>
    </row>
    <row r="906">
      <c r="A906" s="269" t="str">
        <f>IFERROR(__xludf.DUMMYFUNCTION("""COMPUTED_VALUE"""),"")</f>
        <v/>
      </c>
      <c r="B906" s="269"/>
      <c r="C906" s="269"/>
      <c r="D906" s="269"/>
      <c r="E906" s="269"/>
      <c r="F906" s="269"/>
      <c r="G906" s="269"/>
      <c r="H906" s="269"/>
      <c r="I906" s="269"/>
      <c r="J906" s="269"/>
      <c r="K906" s="269"/>
      <c r="L906" s="269"/>
      <c r="M906" s="269"/>
      <c r="N906" s="269"/>
      <c r="O906" s="269"/>
      <c r="P906" s="269"/>
      <c r="Q906" s="269"/>
      <c r="R906" s="269"/>
      <c r="S906" s="269"/>
      <c r="T906" s="269"/>
      <c r="U906" s="269"/>
      <c r="V906" s="269"/>
      <c r="W906" s="269"/>
      <c r="X906" s="269"/>
      <c r="Y906" s="269"/>
      <c r="Z906" s="269"/>
    </row>
    <row r="907">
      <c r="A907" s="269" t="str">
        <f>IFERROR(__xludf.DUMMYFUNCTION("""COMPUTED_VALUE"""),"")</f>
        <v/>
      </c>
      <c r="B907" s="269"/>
      <c r="C907" s="269"/>
      <c r="D907" s="269"/>
      <c r="E907" s="269"/>
      <c r="F907" s="269"/>
      <c r="G907" s="269"/>
      <c r="H907" s="269"/>
      <c r="I907" s="269"/>
      <c r="J907" s="269"/>
      <c r="K907" s="269"/>
      <c r="L907" s="269"/>
      <c r="M907" s="269"/>
      <c r="N907" s="269"/>
      <c r="O907" s="269"/>
      <c r="P907" s="269"/>
      <c r="Q907" s="269"/>
      <c r="R907" s="269"/>
      <c r="S907" s="269"/>
      <c r="T907" s="269"/>
      <c r="U907" s="269"/>
      <c r="V907" s="269"/>
      <c r="W907" s="269"/>
      <c r="X907" s="269"/>
      <c r="Y907" s="269"/>
      <c r="Z907" s="269"/>
    </row>
    <row r="908">
      <c r="A908" s="269" t="str">
        <f>IFERROR(__xludf.DUMMYFUNCTION("""COMPUTED_VALUE"""),"")</f>
        <v/>
      </c>
      <c r="B908" s="269"/>
      <c r="C908" s="269"/>
      <c r="D908" s="269"/>
      <c r="E908" s="269"/>
      <c r="F908" s="269"/>
      <c r="G908" s="269"/>
      <c r="H908" s="269"/>
      <c r="I908" s="269"/>
      <c r="J908" s="269"/>
      <c r="K908" s="269"/>
      <c r="L908" s="269"/>
      <c r="M908" s="269"/>
      <c r="N908" s="269"/>
      <c r="O908" s="269"/>
      <c r="P908" s="269"/>
      <c r="Q908" s="269"/>
      <c r="R908" s="269"/>
      <c r="S908" s="269"/>
      <c r="T908" s="269"/>
      <c r="U908" s="269"/>
      <c r="V908" s="269"/>
      <c r="W908" s="269"/>
      <c r="X908" s="269"/>
      <c r="Y908" s="269"/>
      <c r="Z908" s="269"/>
    </row>
    <row r="909">
      <c r="A909" s="269" t="str">
        <f>IFERROR(__xludf.DUMMYFUNCTION("""COMPUTED_VALUE"""),"")</f>
        <v/>
      </c>
      <c r="B909" s="269"/>
      <c r="C909" s="269"/>
      <c r="D909" s="269"/>
      <c r="E909" s="269"/>
      <c r="F909" s="269"/>
      <c r="G909" s="269"/>
      <c r="H909" s="269"/>
      <c r="I909" s="269"/>
      <c r="J909" s="269"/>
      <c r="K909" s="269"/>
      <c r="L909" s="269"/>
      <c r="M909" s="269"/>
      <c r="N909" s="269"/>
      <c r="O909" s="269"/>
      <c r="P909" s="269"/>
      <c r="Q909" s="269"/>
      <c r="R909" s="269"/>
      <c r="S909" s="269"/>
      <c r="T909" s="269"/>
      <c r="U909" s="269"/>
      <c r="V909" s="269"/>
      <c r="W909" s="269"/>
      <c r="X909" s="269"/>
      <c r="Y909" s="269"/>
      <c r="Z909" s="269"/>
    </row>
    <row r="910">
      <c r="A910" s="269" t="str">
        <f>IFERROR(__xludf.DUMMYFUNCTION("""COMPUTED_VALUE"""),"")</f>
        <v/>
      </c>
      <c r="B910" s="269"/>
      <c r="C910" s="269"/>
      <c r="D910" s="269"/>
      <c r="E910" s="269"/>
      <c r="F910" s="269"/>
      <c r="G910" s="269"/>
      <c r="H910" s="269"/>
      <c r="I910" s="269"/>
      <c r="J910" s="269"/>
      <c r="K910" s="269"/>
      <c r="L910" s="269"/>
      <c r="M910" s="269"/>
      <c r="N910" s="269"/>
      <c r="O910" s="269"/>
      <c r="P910" s="269"/>
      <c r="Q910" s="269"/>
      <c r="R910" s="269"/>
      <c r="S910" s="269"/>
      <c r="T910" s="269"/>
      <c r="U910" s="269"/>
      <c r="V910" s="269"/>
      <c r="W910" s="269"/>
      <c r="X910" s="269"/>
      <c r="Y910" s="269"/>
      <c r="Z910" s="269"/>
    </row>
    <row r="911">
      <c r="A911" s="269" t="str">
        <f>IFERROR(__xludf.DUMMYFUNCTION("""COMPUTED_VALUE"""),"")</f>
        <v/>
      </c>
      <c r="B911" s="269"/>
      <c r="C911" s="269"/>
      <c r="D911" s="269"/>
      <c r="E911" s="269"/>
      <c r="F911" s="269"/>
      <c r="G911" s="269"/>
      <c r="H911" s="269"/>
      <c r="I911" s="269"/>
      <c r="J911" s="269"/>
      <c r="K911" s="269"/>
      <c r="L911" s="269"/>
      <c r="M911" s="269"/>
      <c r="N911" s="269"/>
      <c r="O911" s="269"/>
      <c r="P911" s="269"/>
      <c r="Q911" s="269"/>
      <c r="R911" s="269"/>
      <c r="S911" s="269"/>
      <c r="T911" s="269"/>
      <c r="U911" s="269"/>
      <c r="V911" s="269"/>
      <c r="W911" s="269"/>
      <c r="X911" s="269"/>
      <c r="Y911" s="269"/>
      <c r="Z911" s="269"/>
    </row>
    <row r="912">
      <c r="A912" s="269" t="str">
        <f>IFERROR(__xludf.DUMMYFUNCTION("""COMPUTED_VALUE"""),"")</f>
        <v/>
      </c>
      <c r="B912" s="269"/>
      <c r="C912" s="269"/>
      <c r="D912" s="269"/>
      <c r="E912" s="269"/>
      <c r="F912" s="269"/>
      <c r="G912" s="269"/>
      <c r="H912" s="269"/>
      <c r="I912" s="269"/>
      <c r="J912" s="269"/>
      <c r="K912" s="269"/>
      <c r="L912" s="269"/>
      <c r="M912" s="269"/>
      <c r="N912" s="269"/>
      <c r="O912" s="269"/>
      <c r="P912" s="269"/>
      <c r="Q912" s="269"/>
      <c r="R912" s="269"/>
      <c r="S912" s="269"/>
      <c r="T912" s="269"/>
      <c r="U912" s="269"/>
      <c r="V912" s="269"/>
      <c r="W912" s="269"/>
      <c r="X912" s="269"/>
      <c r="Y912" s="269"/>
      <c r="Z912" s="269"/>
    </row>
    <row r="913">
      <c r="A913" s="269" t="str">
        <f>IFERROR(__xludf.DUMMYFUNCTION("""COMPUTED_VALUE"""),"")</f>
        <v/>
      </c>
      <c r="B913" s="269"/>
      <c r="C913" s="269"/>
      <c r="D913" s="269"/>
      <c r="E913" s="269"/>
      <c r="F913" s="269"/>
      <c r="G913" s="269"/>
      <c r="H913" s="269"/>
      <c r="I913" s="269"/>
      <c r="J913" s="269"/>
      <c r="K913" s="269"/>
      <c r="L913" s="269"/>
      <c r="M913" s="269"/>
      <c r="N913" s="269"/>
      <c r="O913" s="269"/>
      <c r="P913" s="269"/>
      <c r="Q913" s="269"/>
      <c r="R913" s="269"/>
      <c r="S913" s="269"/>
      <c r="T913" s="269"/>
      <c r="U913" s="269"/>
      <c r="V913" s="269"/>
      <c r="W913" s="269"/>
      <c r="X913" s="269"/>
      <c r="Y913" s="269"/>
      <c r="Z913" s="269"/>
    </row>
    <row r="914">
      <c r="A914" s="269" t="str">
        <f>IFERROR(__xludf.DUMMYFUNCTION("""COMPUTED_VALUE"""),"")</f>
        <v/>
      </c>
      <c r="B914" s="269"/>
      <c r="C914" s="269"/>
      <c r="D914" s="269"/>
      <c r="E914" s="269"/>
      <c r="F914" s="269"/>
      <c r="G914" s="269"/>
      <c r="H914" s="269"/>
      <c r="I914" s="269"/>
      <c r="J914" s="269"/>
      <c r="K914" s="269"/>
      <c r="L914" s="269"/>
      <c r="M914" s="269"/>
      <c r="N914" s="269"/>
      <c r="O914" s="269"/>
      <c r="P914" s="269"/>
      <c r="Q914" s="269"/>
      <c r="R914" s="269"/>
      <c r="S914" s="269"/>
      <c r="T914" s="269"/>
      <c r="U914" s="269"/>
      <c r="V914" s="269"/>
      <c r="W914" s="269"/>
      <c r="X914" s="269"/>
      <c r="Y914" s="269"/>
      <c r="Z914" s="269"/>
    </row>
    <row r="915">
      <c r="A915" s="269" t="str">
        <f>IFERROR(__xludf.DUMMYFUNCTION("""COMPUTED_VALUE"""),"")</f>
        <v/>
      </c>
      <c r="B915" s="269"/>
      <c r="C915" s="269"/>
      <c r="D915" s="269"/>
      <c r="E915" s="269"/>
      <c r="F915" s="269"/>
      <c r="G915" s="269"/>
      <c r="H915" s="269"/>
      <c r="I915" s="269"/>
      <c r="J915" s="269"/>
      <c r="K915" s="269"/>
      <c r="L915" s="269"/>
      <c r="M915" s="269"/>
      <c r="N915" s="269"/>
      <c r="O915" s="269"/>
      <c r="P915" s="269"/>
      <c r="Q915" s="269"/>
      <c r="R915" s="269"/>
      <c r="S915" s="269"/>
      <c r="T915" s="269"/>
      <c r="U915" s="269"/>
      <c r="V915" s="269"/>
      <c r="W915" s="269"/>
      <c r="X915" s="269"/>
      <c r="Y915" s="269"/>
      <c r="Z915" s="269"/>
    </row>
    <row r="916">
      <c r="A916" s="269" t="str">
        <f>IFERROR(__xludf.DUMMYFUNCTION("""COMPUTED_VALUE"""),"")</f>
        <v/>
      </c>
      <c r="B916" s="269"/>
      <c r="C916" s="269"/>
      <c r="D916" s="269"/>
      <c r="E916" s="269"/>
      <c r="F916" s="269"/>
      <c r="G916" s="269"/>
      <c r="H916" s="269"/>
      <c r="I916" s="269"/>
      <c r="J916" s="269"/>
      <c r="K916" s="269"/>
      <c r="L916" s="269"/>
      <c r="M916" s="269"/>
      <c r="N916" s="269"/>
      <c r="O916" s="269"/>
      <c r="P916" s="269"/>
      <c r="Q916" s="269"/>
      <c r="R916" s="269"/>
      <c r="S916" s="269"/>
      <c r="T916" s="269"/>
      <c r="U916" s="269"/>
      <c r="V916" s="269"/>
      <c r="W916" s="269"/>
      <c r="X916" s="269"/>
      <c r="Y916" s="269"/>
      <c r="Z916" s="269"/>
    </row>
    <row r="917">
      <c r="A917" s="269" t="str">
        <f>IFERROR(__xludf.DUMMYFUNCTION("""COMPUTED_VALUE"""),"")</f>
        <v/>
      </c>
      <c r="B917" s="269"/>
      <c r="C917" s="269"/>
      <c r="D917" s="269"/>
      <c r="E917" s="269"/>
      <c r="F917" s="269"/>
      <c r="G917" s="269"/>
      <c r="H917" s="269"/>
      <c r="I917" s="269"/>
      <c r="J917" s="269"/>
      <c r="K917" s="269"/>
      <c r="L917" s="269"/>
      <c r="M917" s="269"/>
      <c r="N917" s="269"/>
      <c r="O917" s="269"/>
      <c r="P917" s="269"/>
      <c r="Q917" s="269"/>
      <c r="R917" s="269"/>
      <c r="S917" s="269"/>
      <c r="T917" s="269"/>
      <c r="U917" s="269"/>
      <c r="V917" s="269"/>
      <c r="W917" s="269"/>
      <c r="X917" s="269"/>
      <c r="Y917" s="269"/>
      <c r="Z917" s="269"/>
    </row>
    <row r="918">
      <c r="A918" s="269" t="str">
        <f>IFERROR(__xludf.DUMMYFUNCTION("""COMPUTED_VALUE"""),"")</f>
        <v/>
      </c>
      <c r="B918" s="269"/>
      <c r="C918" s="269"/>
      <c r="D918" s="269"/>
      <c r="E918" s="269"/>
      <c r="F918" s="269"/>
      <c r="G918" s="269"/>
      <c r="H918" s="269"/>
      <c r="I918" s="269"/>
      <c r="J918" s="269"/>
      <c r="K918" s="269"/>
      <c r="L918" s="269"/>
      <c r="M918" s="269"/>
      <c r="N918" s="269"/>
      <c r="O918" s="269"/>
      <c r="P918" s="269"/>
      <c r="Q918" s="269"/>
      <c r="R918" s="269"/>
      <c r="S918" s="269"/>
      <c r="T918" s="269"/>
      <c r="U918" s="269"/>
      <c r="V918" s="269"/>
      <c r="W918" s="269"/>
      <c r="X918" s="269"/>
      <c r="Y918" s="269"/>
      <c r="Z918" s="269"/>
    </row>
    <row r="919">
      <c r="A919" s="269" t="str">
        <f>IFERROR(__xludf.DUMMYFUNCTION("""COMPUTED_VALUE"""),"")</f>
        <v/>
      </c>
      <c r="B919" s="269"/>
      <c r="C919" s="269"/>
      <c r="D919" s="269"/>
      <c r="E919" s="269"/>
      <c r="F919" s="269"/>
      <c r="G919" s="269"/>
      <c r="H919" s="269"/>
      <c r="I919" s="269"/>
      <c r="J919" s="269"/>
      <c r="K919" s="269"/>
      <c r="L919" s="269"/>
      <c r="M919" s="269"/>
      <c r="N919" s="269"/>
      <c r="O919" s="269"/>
      <c r="P919" s="269"/>
      <c r="Q919" s="269"/>
      <c r="R919" s="269"/>
      <c r="S919" s="269"/>
      <c r="T919" s="269"/>
      <c r="U919" s="269"/>
      <c r="V919" s="269"/>
      <c r="W919" s="269"/>
      <c r="X919" s="269"/>
      <c r="Y919" s="269"/>
      <c r="Z919" s="269"/>
    </row>
    <row r="920">
      <c r="A920" s="269" t="str">
        <f>IFERROR(__xludf.DUMMYFUNCTION("""COMPUTED_VALUE"""),"")</f>
        <v/>
      </c>
      <c r="B920" s="269"/>
      <c r="C920" s="269"/>
      <c r="D920" s="269"/>
      <c r="E920" s="269"/>
      <c r="F920" s="269"/>
      <c r="G920" s="269"/>
      <c r="H920" s="269"/>
      <c r="I920" s="269"/>
      <c r="J920" s="269"/>
      <c r="K920" s="269"/>
      <c r="L920" s="269"/>
      <c r="M920" s="269"/>
      <c r="N920" s="269"/>
      <c r="O920" s="269"/>
      <c r="P920" s="269"/>
      <c r="Q920" s="269"/>
      <c r="R920" s="269"/>
      <c r="S920" s="269"/>
      <c r="T920" s="269"/>
      <c r="U920" s="269"/>
      <c r="V920" s="269"/>
      <c r="W920" s="269"/>
      <c r="X920" s="269"/>
      <c r="Y920" s="269"/>
      <c r="Z920" s="269"/>
    </row>
    <row r="921">
      <c r="A921" s="269" t="str">
        <f>IFERROR(__xludf.DUMMYFUNCTION("""COMPUTED_VALUE"""),"")</f>
        <v/>
      </c>
      <c r="B921" s="269"/>
      <c r="C921" s="269"/>
      <c r="D921" s="269"/>
      <c r="E921" s="269"/>
      <c r="F921" s="269"/>
      <c r="G921" s="269"/>
      <c r="H921" s="269"/>
      <c r="I921" s="269"/>
      <c r="J921" s="269"/>
      <c r="K921" s="269"/>
      <c r="L921" s="269"/>
      <c r="M921" s="269"/>
      <c r="N921" s="269"/>
      <c r="O921" s="269"/>
      <c r="P921" s="269"/>
      <c r="Q921" s="269"/>
      <c r="R921" s="269"/>
      <c r="S921" s="269"/>
      <c r="T921" s="269"/>
      <c r="U921" s="269"/>
      <c r="V921" s="269"/>
      <c r="W921" s="269"/>
      <c r="X921" s="269"/>
      <c r="Y921" s="269"/>
      <c r="Z921" s="269"/>
    </row>
    <row r="922">
      <c r="A922" s="269" t="str">
        <f>IFERROR(__xludf.DUMMYFUNCTION("""COMPUTED_VALUE"""),"")</f>
        <v/>
      </c>
      <c r="B922" s="269"/>
      <c r="C922" s="269"/>
      <c r="D922" s="269"/>
      <c r="E922" s="269"/>
      <c r="F922" s="269"/>
      <c r="G922" s="269"/>
      <c r="H922" s="269"/>
      <c r="I922" s="269"/>
      <c r="J922" s="269"/>
      <c r="K922" s="269"/>
      <c r="L922" s="269"/>
      <c r="M922" s="269"/>
      <c r="N922" s="269"/>
      <c r="O922" s="269"/>
      <c r="P922" s="269"/>
      <c r="Q922" s="269"/>
      <c r="R922" s="269"/>
      <c r="S922" s="269"/>
      <c r="T922" s="269"/>
      <c r="U922" s="269"/>
      <c r="V922" s="269"/>
      <c r="W922" s="269"/>
      <c r="X922" s="269"/>
      <c r="Y922" s="269"/>
      <c r="Z922" s="269"/>
    </row>
    <row r="923">
      <c r="A923" s="269" t="str">
        <f>IFERROR(__xludf.DUMMYFUNCTION("""COMPUTED_VALUE"""),"")</f>
        <v/>
      </c>
      <c r="B923" s="269"/>
      <c r="C923" s="269"/>
      <c r="D923" s="269"/>
      <c r="E923" s="269"/>
      <c r="F923" s="269"/>
      <c r="G923" s="269"/>
      <c r="H923" s="269"/>
      <c r="I923" s="269"/>
      <c r="J923" s="269"/>
      <c r="K923" s="269"/>
      <c r="L923" s="269"/>
      <c r="M923" s="269"/>
      <c r="N923" s="269"/>
      <c r="O923" s="269"/>
      <c r="P923" s="269"/>
      <c r="Q923" s="269"/>
      <c r="R923" s="269"/>
      <c r="S923" s="269"/>
      <c r="T923" s="269"/>
      <c r="U923" s="269"/>
      <c r="V923" s="269"/>
      <c r="W923" s="269"/>
      <c r="X923" s="269"/>
      <c r="Y923" s="269"/>
      <c r="Z923" s="269"/>
    </row>
    <row r="924">
      <c r="A924" s="269" t="str">
        <f>IFERROR(__xludf.DUMMYFUNCTION("""COMPUTED_VALUE"""),"")</f>
        <v/>
      </c>
      <c r="B924" s="269"/>
      <c r="C924" s="269"/>
      <c r="D924" s="269"/>
      <c r="E924" s="269"/>
      <c r="F924" s="269"/>
      <c r="G924" s="269"/>
      <c r="H924" s="269"/>
      <c r="I924" s="269"/>
      <c r="J924" s="269"/>
      <c r="K924" s="269"/>
      <c r="L924" s="269"/>
      <c r="M924" s="269"/>
      <c r="N924" s="269"/>
      <c r="O924" s="269"/>
      <c r="P924" s="269"/>
      <c r="Q924" s="269"/>
      <c r="R924" s="269"/>
      <c r="S924" s="269"/>
      <c r="T924" s="269"/>
      <c r="U924" s="269"/>
      <c r="V924" s="269"/>
      <c r="W924" s="269"/>
      <c r="X924" s="269"/>
      <c r="Y924" s="269"/>
      <c r="Z924" s="269"/>
    </row>
    <row r="925">
      <c r="A925" s="269" t="str">
        <f>IFERROR(__xludf.DUMMYFUNCTION("""COMPUTED_VALUE"""),"")</f>
        <v/>
      </c>
      <c r="B925" s="269"/>
      <c r="C925" s="269"/>
      <c r="D925" s="269"/>
      <c r="E925" s="269"/>
      <c r="F925" s="269"/>
      <c r="G925" s="269"/>
      <c r="H925" s="269"/>
      <c r="I925" s="269"/>
      <c r="J925" s="269"/>
      <c r="K925" s="269"/>
      <c r="L925" s="269"/>
      <c r="M925" s="269"/>
      <c r="N925" s="269"/>
      <c r="O925" s="269"/>
      <c r="P925" s="269"/>
      <c r="Q925" s="269"/>
      <c r="R925" s="269"/>
      <c r="S925" s="269"/>
      <c r="T925" s="269"/>
      <c r="U925" s="269"/>
      <c r="V925" s="269"/>
      <c r="W925" s="269"/>
      <c r="X925" s="269"/>
      <c r="Y925" s="269"/>
      <c r="Z925" s="269"/>
    </row>
    <row r="926">
      <c r="A926" s="269" t="str">
        <f>IFERROR(__xludf.DUMMYFUNCTION("""COMPUTED_VALUE"""),"")</f>
        <v/>
      </c>
      <c r="B926" s="269"/>
      <c r="C926" s="269"/>
      <c r="D926" s="269"/>
      <c r="E926" s="269"/>
      <c r="F926" s="269"/>
      <c r="G926" s="269"/>
      <c r="H926" s="269"/>
      <c r="I926" s="269"/>
      <c r="J926" s="269"/>
      <c r="K926" s="269"/>
      <c r="L926" s="269"/>
      <c r="M926" s="269"/>
      <c r="N926" s="269"/>
      <c r="O926" s="269"/>
      <c r="P926" s="269"/>
      <c r="Q926" s="269"/>
      <c r="R926" s="269"/>
      <c r="S926" s="269"/>
      <c r="T926" s="269"/>
      <c r="U926" s="269"/>
      <c r="V926" s="269"/>
      <c r="W926" s="269"/>
      <c r="X926" s="269"/>
      <c r="Y926" s="269"/>
      <c r="Z926" s="269"/>
    </row>
    <row r="927">
      <c r="A927" s="269" t="str">
        <f>IFERROR(__xludf.DUMMYFUNCTION("""COMPUTED_VALUE"""),"")</f>
        <v/>
      </c>
      <c r="B927" s="269"/>
      <c r="C927" s="269"/>
      <c r="D927" s="269"/>
      <c r="E927" s="269"/>
      <c r="F927" s="269"/>
      <c r="G927" s="269"/>
      <c r="H927" s="269"/>
      <c r="I927" s="269"/>
      <c r="J927" s="269"/>
      <c r="K927" s="269"/>
      <c r="L927" s="269"/>
      <c r="M927" s="269"/>
      <c r="N927" s="269"/>
      <c r="O927" s="269"/>
      <c r="P927" s="269"/>
      <c r="Q927" s="269"/>
      <c r="R927" s="269"/>
      <c r="S927" s="269"/>
      <c r="T927" s="269"/>
      <c r="U927" s="269"/>
      <c r="V927" s="269"/>
      <c r="W927" s="269"/>
      <c r="X927" s="269"/>
      <c r="Y927" s="269"/>
      <c r="Z927" s="269"/>
    </row>
    <row r="928">
      <c r="A928" s="269" t="str">
        <f>IFERROR(__xludf.DUMMYFUNCTION("""COMPUTED_VALUE"""),"")</f>
        <v/>
      </c>
      <c r="B928" s="269"/>
      <c r="C928" s="269"/>
      <c r="D928" s="269"/>
      <c r="E928" s="269"/>
      <c r="F928" s="269"/>
      <c r="G928" s="269"/>
      <c r="H928" s="269"/>
      <c r="I928" s="269"/>
      <c r="J928" s="269"/>
      <c r="K928" s="269"/>
      <c r="L928" s="269"/>
      <c r="M928" s="269"/>
      <c r="N928" s="269"/>
      <c r="O928" s="269"/>
      <c r="P928" s="269"/>
      <c r="Q928" s="269"/>
      <c r="R928" s="269"/>
      <c r="S928" s="269"/>
      <c r="T928" s="269"/>
      <c r="U928" s="269"/>
      <c r="V928" s="269"/>
      <c r="W928" s="269"/>
      <c r="X928" s="269"/>
      <c r="Y928" s="269"/>
      <c r="Z928" s="269"/>
    </row>
    <row r="929">
      <c r="A929" s="269" t="str">
        <f>IFERROR(__xludf.DUMMYFUNCTION("""COMPUTED_VALUE"""),"")</f>
        <v/>
      </c>
      <c r="B929" s="269"/>
      <c r="C929" s="269"/>
      <c r="D929" s="269"/>
      <c r="E929" s="269"/>
      <c r="F929" s="269"/>
      <c r="G929" s="269"/>
      <c r="H929" s="269"/>
      <c r="I929" s="269"/>
      <c r="J929" s="269"/>
      <c r="K929" s="269"/>
      <c r="L929" s="269"/>
      <c r="M929" s="269"/>
      <c r="N929" s="269"/>
      <c r="O929" s="269"/>
      <c r="P929" s="269"/>
      <c r="Q929" s="269"/>
      <c r="R929" s="269"/>
      <c r="S929" s="269"/>
      <c r="T929" s="269"/>
      <c r="U929" s="269"/>
      <c r="V929" s="269"/>
      <c r="W929" s="269"/>
      <c r="X929" s="269"/>
      <c r="Y929" s="269"/>
      <c r="Z929" s="269"/>
    </row>
    <row r="930">
      <c r="A930" s="269" t="str">
        <f>IFERROR(__xludf.DUMMYFUNCTION("""COMPUTED_VALUE"""),"")</f>
        <v/>
      </c>
      <c r="B930" s="269"/>
      <c r="C930" s="269"/>
      <c r="D930" s="269"/>
      <c r="E930" s="269"/>
      <c r="F930" s="269"/>
      <c r="G930" s="269"/>
      <c r="H930" s="269"/>
      <c r="I930" s="269"/>
      <c r="J930" s="269"/>
      <c r="K930" s="269"/>
      <c r="L930" s="269"/>
      <c r="M930" s="269"/>
      <c r="N930" s="269"/>
      <c r="O930" s="269"/>
      <c r="P930" s="269"/>
      <c r="Q930" s="269"/>
      <c r="R930" s="269"/>
      <c r="S930" s="269"/>
      <c r="T930" s="269"/>
      <c r="U930" s="269"/>
      <c r="V930" s="269"/>
      <c r="W930" s="269"/>
      <c r="X930" s="269"/>
      <c r="Y930" s="269"/>
      <c r="Z930" s="269"/>
    </row>
    <row r="931">
      <c r="A931" s="269" t="str">
        <f>IFERROR(__xludf.DUMMYFUNCTION("""COMPUTED_VALUE"""),"")</f>
        <v/>
      </c>
      <c r="B931" s="269"/>
      <c r="C931" s="269"/>
      <c r="D931" s="269"/>
      <c r="E931" s="269"/>
      <c r="F931" s="269"/>
      <c r="G931" s="269"/>
      <c r="H931" s="269"/>
      <c r="I931" s="269"/>
      <c r="J931" s="269"/>
      <c r="K931" s="269"/>
      <c r="L931" s="269"/>
      <c r="M931" s="269"/>
      <c r="N931" s="269"/>
      <c r="O931" s="269"/>
      <c r="P931" s="269"/>
      <c r="Q931" s="269"/>
      <c r="R931" s="269"/>
      <c r="S931" s="269"/>
      <c r="T931" s="269"/>
      <c r="U931" s="269"/>
      <c r="V931" s="269"/>
      <c r="W931" s="269"/>
      <c r="X931" s="269"/>
      <c r="Y931" s="269"/>
      <c r="Z931" s="269"/>
    </row>
    <row r="932">
      <c r="A932" s="269" t="str">
        <f>IFERROR(__xludf.DUMMYFUNCTION("""COMPUTED_VALUE"""),"")</f>
        <v/>
      </c>
      <c r="B932" s="269"/>
      <c r="C932" s="269"/>
      <c r="D932" s="269"/>
      <c r="E932" s="269"/>
      <c r="F932" s="269"/>
      <c r="G932" s="269"/>
      <c r="H932" s="269"/>
      <c r="I932" s="269"/>
      <c r="J932" s="269"/>
      <c r="K932" s="269"/>
      <c r="L932" s="269"/>
      <c r="M932" s="269"/>
      <c r="N932" s="269"/>
      <c r="O932" s="269"/>
      <c r="P932" s="269"/>
      <c r="Q932" s="269"/>
      <c r="R932" s="269"/>
      <c r="S932" s="269"/>
      <c r="T932" s="269"/>
      <c r="U932" s="269"/>
      <c r="V932" s="269"/>
      <c r="W932" s="269"/>
      <c r="X932" s="269"/>
      <c r="Y932" s="269"/>
      <c r="Z932" s="269"/>
    </row>
    <row r="933">
      <c r="A933" s="269" t="str">
        <f>IFERROR(__xludf.DUMMYFUNCTION("""COMPUTED_VALUE"""),"")</f>
        <v/>
      </c>
      <c r="B933" s="269"/>
      <c r="C933" s="269"/>
      <c r="D933" s="269"/>
      <c r="E933" s="269"/>
      <c r="F933" s="269"/>
      <c r="G933" s="269"/>
      <c r="H933" s="269"/>
      <c r="I933" s="269"/>
      <c r="J933" s="269"/>
      <c r="K933" s="269"/>
      <c r="L933" s="269"/>
      <c r="M933" s="269"/>
      <c r="N933" s="269"/>
      <c r="O933" s="269"/>
      <c r="P933" s="269"/>
      <c r="Q933" s="269"/>
      <c r="R933" s="269"/>
      <c r="S933" s="269"/>
      <c r="T933" s="269"/>
      <c r="U933" s="269"/>
      <c r="V933" s="269"/>
      <c r="W933" s="269"/>
      <c r="X933" s="269"/>
      <c r="Y933" s="269"/>
      <c r="Z933" s="269"/>
    </row>
    <row r="934">
      <c r="A934" s="269" t="str">
        <f>IFERROR(__xludf.DUMMYFUNCTION("""COMPUTED_VALUE"""),"")</f>
        <v/>
      </c>
      <c r="B934" s="269"/>
      <c r="C934" s="269"/>
      <c r="D934" s="269"/>
      <c r="E934" s="269"/>
      <c r="F934" s="269"/>
      <c r="G934" s="269"/>
      <c r="H934" s="269"/>
      <c r="I934" s="269"/>
      <c r="J934" s="269"/>
      <c r="K934" s="269"/>
      <c r="L934" s="269"/>
      <c r="M934" s="269"/>
      <c r="N934" s="269"/>
      <c r="O934" s="269"/>
      <c r="P934" s="269"/>
      <c r="Q934" s="269"/>
      <c r="R934" s="269"/>
      <c r="S934" s="269"/>
      <c r="T934" s="269"/>
      <c r="U934" s="269"/>
      <c r="V934" s="269"/>
      <c r="W934" s="269"/>
      <c r="X934" s="269"/>
      <c r="Y934" s="269"/>
      <c r="Z934" s="269"/>
    </row>
    <row r="935">
      <c r="A935" s="269" t="str">
        <f>IFERROR(__xludf.DUMMYFUNCTION("""COMPUTED_VALUE"""),"")</f>
        <v/>
      </c>
      <c r="B935" s="269"/>
      <c r="C935" s="269"/>
      <c r="D935" s="269"/>
      <c r="E935" s="269"/>
      <c r="F935" s="269"/>
      <c r="G935" s="269"/>
      <c r="H935" s="269"/>
      <c r="I935" s="269"/>
      <c r="J935" s="269"/>
      <c r="K935" s="269"/>
      <c r="L935" s="269"/>
      <c r="M935" s="269"/>
      <c r="N935" s="269"/>
      <c r="O935" s="269"/>
      <c r="P935" s="269"/>
      <c r="Q935" s="269"/>
      <c r="R935" s="269"/>
      <c r="S935" s="269"/>
      <c r="T935" s="269"/>
      <c r="U935" s="269"/>
      <c r="V935" s="269"/>
      <c r="W935" s="269"/>
      <c r="X935" s="269"/>
      <c r="Y935" s="269"/>
      <c r="Z935" s="269"/>
    </row>
    <row r="936">
      <c r="A936" s="269" t="str">
        <f>IFERROR(__xludf.DUMMYFUNCTION("""COMPUTED_VALUE"""),"")</f>
        <v/>
      </c>
      <c r="B936" s="269"/>
      <c r="C936" s="269"/>
      <c r="D936" s="269"/>
      <c r="E936" s="269"/>
      <c r="F936" s="269"/>
      <c r="G936" s="269"/>
      <c r="H936" s="269"/>
      <c r="I936" s="269"/>
      <c r="J936" s="269"/>
      <c r="K936" s="269"/>
      <c r="L936" s="269"/>
      <c r="M936" s="269"/>
      <c r="N936" s="269"/>
      <c r="O936" s="269"/>
      <c r="P936" s="269"/>
      <c r="Q936" s="269"/>
      <c r="R936" s="269"/>
      <c r="S936" s="269"/>
      <c r="T936" s="269"/>
      <c r="U936" s="269"/>
      <c r="V936" s="269"/>
      <c r="W936" s="269"/>
      <c r="X936" s="269"/>
      <c r="Y936" s="269"/>
      <c r="Z936" s="269"/>
    </row>
    <row r="937">
      <c r="A937" s="269" t="str">
        <f>IFERROR(__xludf.DUMMYFUNCTION("""COMPUTED_VALUE"""),"")</f>
        <v/>
      </c>
      <c r="B937" s="269"/>
      <c r="C937" s="269"/>
      <c r="D937" s="269"/>
      <c r="E937" s="269"/>
      <c r="F937" s="269"/>
      <c r="G937" s="269"/>
      <c r="H937" s="269"/>
      <c r="I937" s="269"/>
      <c r="J937" s="269"/>
      <c r="K937" s="269"/>
      <c r="L937" s="269"/>
      <c r="M937" s="269"/>
      <c r="N937" s="269"/>
      <c r="O937" s="269"/>
      <c r="P937" s="269"/>
      <c r="Q937" s="269"/>
      <c r="R937" s="269"/>
      <c r="S937" s="269"/>
      <c r="T937" s="269"/>
      <c r="U937" s="269"/>
      <c r="V937" s="269"/>
      <c r="W937" s="269"/>
      <c r="X937" s="269"/>
      <c r="Y937" s="269"/>
      <c r="Z937" s="269"/>
    </row>
    <row r="938">
      <c r="A938" s="269" t="str">
        <f>IFERROR(__xludf.DUMMYFUNCTION("""COMPUTED_VALUE"""),"")</f>
        <v/>
      </c>
      <c r="B938" s="269"/>
      <c r="C938" s="269"/>
      <c r="D938" s="269"/>
      <c r="E938" s="269"/>
      <c r="F938" s="269"/>
      <c r="G938" s="269"/>
      <c r="H938" s="269"/>
      <c r="I938" s="269"/>
      <c r="J938" s="269"/>
      <c r="K938" s="269"/>
      <c r="L938" s="269"/>
      <c r="M938" s="269"/>
      <c r="N938" s="269"/>
      <c r="O938" s="269"/>
      <c r="P938" s="269"/>
      <c r="Q938" s="269"/>
      <c r="R938" s="269"/>
      <c r="S938" s="269"/>
      <c r="T938" s="269"/>
      <c r="U938" s="269"/>
      <c r="V938" s="269"/>
      <c r="W938" s="269"/>
      <c r="X938" s="269"/>
      <c r="Y938" s="269"/>
      <c r="Z938" s="269"/>
    </row>
    <row r="939">
      <c r="A939" s="269" t="str">
        <f>IFERROR(__xludf.DUMMYFUNCTION("""COMPUTED_VALUE"""),"")</f>
        <v/>
      </c>
      <c r="B939" s="269"/>
      <c r="C939" s="269"/>
      <c r="D939" s="269"/>
      <c r="E939" s="269"/>
      <c r="F939" s="269"/>
      <c r="G939" s="269"/>
      <c r="H939" s="269"/>
      <c r="I939" s="269"/>
      <c r="J939" s="269"/>
      <c r="K939" s="269"/>
      <c r="L939" s="269"/>
      <c r="M939" s="269"/>
      <c r="N939" s="269"/>
      <c r="O939" s="269"/>
      <c r="P939" s="269"/>
      <c r="Q939" s="269"/>
      <c r="R939" s="269"/>
      <c r="S939" s="269"/>
      <c r="T939" s="269"/>
      <c r="U939" s="269"/>
      <c r="V939" s="269"/>
      <c r="W939" s="269"/>
      <c r="X939" s="269"/>
      <c r="Y939" s="269"/>
      <c r="Z939" s="269"/>
    </row>
    <row r="940">
      <c r="A940" s="269" t="str">
        <f>IFERROR(__xludf.DUMMYFUNCTION("""COMPUTED_VALUE"""),"")</f>
        <v/>
      </c>
      <c r="B940" s="269"/>
      <c r="C940" s="269"/>
      <c r="D940" s="269"/>
      <c r="E940" s="269"/>
      <c r="F940" s="269"/>
      <c r="G940" s="269"/>
      <c r="H940" s="269"/>
      <c r="I940" s="269"/>
      <c r="J940" s="269"/>
      <c r="K940" s="269"/>
      <c r="L940" s="269"/>
      <c r="M940" s="269"/>
      <c r="N940" s="269"/>
      <c r="O940" s="269"/>
      <c r="P940" s="269"/>
      <c r="Q940" s="269"/>
      <c r="R940" s="269"/>
      <c r="S940" s="269"/>
      <c r="T940" s="269"/>
      <c r="U940" s="269"/>
      <c r="V940" s="269"/>
      <c r="W940" s="269"/>
      <c r="X940" s="269"/>
      <c r="Y940" s="269"/>
      <c r="Z940" s="269"/>
    </row>
    <row r="941">
      <c r="A941" s="269" t="str">
        <f>IFERROR(__xludf.DUMMYFUNCTION("""COMPUTED_VALUE"""),"")</f>
        <v/>
      </c>
      <c r="B941" s="269"/>
      <c r="C941" s="269"/>
      <c r="D941" s="269"/>
      <c r="E941" s="269"/>
      <c r="F941" s="269"/>
      <c r="G941" s="269"/>
      <c r="H941" s="269"/>
      <c r="I941" s="269"/>
      <c r="J941" s="269"/>
      <c r="K941" s="269"/>
      <c r="L941" s="269"/>
      <c r="M941" s="269"/>
      <c r="N941" s="269"/>
      <c r="O941" s="269"/>
      <c r="P941" s="269"/>
      <c r="Q941" s="269"/>
      <c r="R941" s="269"/>
      <c r="S941" s="269"/>
      <c r="T941" s="269"/>
      <c r="U941" s="269"/>
      <c r="V941" s="269"/>
      <c r="W941" s="269"/>
      <c r="X941" s="269"/>
      <c r="Y941" s="269"/>
      <c r="Z941" s="269"/>
    </row>
    <row r="942">
      <c r="A942" s="269" t="str">
        <f>IFERROR(__xludf.DUMMYFUNCTION("""COMPUTED_VALUE"""),"")</f>
        <v/>
      </c>
      <c r="B942" s="269"/>
      <c r="C942" s="269"/>
      <c r="D942" s="269"/>
      <c r="E942" s="269"/>
      <c r="F942" s="269"/>
      <c r="G942" s="269"/>
      <c r="H942" s="269"/>
      <c r="I942" s="269"/>
      <c r="J942" s="269"/>
      <c r="K942" s="269"/>
      <c r="L942" s="269"/>
      <c r="M942" s="269"/>
      <c r="N942" s="269"/>
      <c r="O942" s="269"/>
      <c r="P942" s="269"/>
      <c r="Q942" s="269"/>
      <c r="R942" s="269"/>
      <c r="S942" s="269"/>
      <c r="T942" s="269"/>
      <c r="U942" s="269"/>
      <c r="V942" s="269"/>
      <c r="W942" s="269"/>
      <c r="X942" s="269"/>
      <c r="Y942" s="269"/>
      <c r="Z942" s="269"/>
    </row>
    <row r="943">
      <c r="A943" s="269" t="str">
        <f>IFERROR(__xludf.DUMMYFUNCTION("""COMPUTED_VALUE"""),"")</f>
        <v/>
      </c>
      <c r="B943" s="269"/>
      <c r="C943" s="269"/>
      <c r="D943" s="269"/>
      <c r="E943" s="269"/>
      <c r="F943" s="269"/>
      <c r="G943" s="269"/>
      <c r="H943" s="269"/>
      <c r="I943" s="269"/>
      <c r="J943" s="269"/>
      <c r="K943" s="269"/>
      <c r="L943" s="269"/>
      <c r="M943" s="269"/>
      <c r="N943" s="269"/>
      <c r="O943" s="269"/>
      <c r="P943" s="269"/>
      <c r="Q943" s="269"/>
      <c r="R943" s="269"/>
      <c r="S943" s="269"/>
      <c r="T943" s="269"/>
      <c r="U943" s="269"/>
      <c r="V943" s="269"/>
      <c r="W943" s="269"/>
      <c r="X943" s="269"/>
      <c r="Y943" s="269"/>
      <c r="Z943" s="269"/>
    </row>
    <row r="944">
      <c r="A944" s="269" t="str">
        <f>IFERROR(__xludf.DUMMYFUNCTION("""COMPUTED_VALUE"""),"")</f>
        <v/>
      </c>
      <c r="B944" s="269"/>
      <c r="C944" s="269"/>
      <c r="D944" s="269"/>
      <c r="E944" s="269"/>
      <c r="F944" s="269"/>
      <c r="G944" s="269"/>
      <c r="H944" s="269"/>
      <c r="I944" s="269"/>
      <c r="J944" s="269"/>
      <c r="K944" s="269"/>
      <c r="L944" s="269"/>
      <c r="M944" s="269"/>
      <c r="N944" s="269"/>
      <c r="O944" s="269"/>
      <c r="P944" s="269"/>
      <c r="Q944" s="269"/>
      <c r="R944" s="269"/>
      <c r="S944" s="269"/>
      <c r="T944" s="269"/>
      <c r="U944" s="269"/>
      <c r="V944" s="269"/>
      <c r="W944" s="269"/>
      <c r="X944" s="269"/>
      <c r="Y944" s="269"/>
      <c r="Z944" s="269"/>
    </row>
    <row r="945">
      <c r="A945" s="269" t="str">
        <f>IFERROR(__xludf.DUMMYFUNCTION("""COMPUTED_VALUE"""),"")</f>
        <v/>
      </c>
      <c r="B945" s="269"/>
      <c r="C945" s="269"/>
      <c r="D945" s="269"/>
      <c r="E945" s="269"/>
      <c r="F945" s="269"/>
      <c r="G945" s="269"/>
      <c r="H945" s="269"/>
      <c r="I945" s="269"/>
      <c r="J945" s="269"/>
      <c r="K945" s="269"/>
      <c r="L945" s="269"/>
      <c r="M945" s="269"/>
      <c r="N945" s="269"/>
      <c r="O945" s="269"/>
      <c r="P945" s="269"/>
      <c r="Q945" s="269"/>
      <c r="R945" s="269"/>
      <c r="S945" s="269"/>
      <c r="T945" s="269"/>
      <c r="U945" s="269"/>
      <c r="V945" s="269"/>
      <c r="W945" s="269"/>
      <c r="X945" s="269"/>
      <c r="Y945" s="269"/>
      <c r="Z945" s="269"/>
    </row>
    <row r="946">
      <c r="A946" s="269" t="str">
        <f>IFERROR(__xludf.DUMMYFUNCTION("""COMPUTED_VALUE"""),"")</f>
        <v/>
      </c>
      <c r="B946" s="269"/>
      <c r="C946" s="269"/>
      <c r="D946" s="269"/>
      <c r="E946" s="269"/>
      <c r="F946" s="269"/>
      <c r="G946" s="269"/>
      <c r="H946" s="269"/>
      <c r="I946" s="269"/>
      <c r="J946" s="269"/>
      <c r="K946" s="269"/>
      <c r="L946" s="269"/>
      <c r="M946" s="269"/>
      <c r="N946" s="269"/>
      <c r="O946" s="269"/>
      <c r="P946" s="269"/>
      <c r="Q946" s="269"/>
      <c r="R946" s="269"/>
      <c r="S946" s="269"/>
      <c r="T946" s="269"/>
      <c r="U946" s="269"/>
      <c r="V946" s="269"/>
      <c r="W946" s="269"/>
      <c r="X946" s="269"/>
      <c r="Y946" s="269"/>
      <c r="Z946" s="269"/>
    </row>
    <row r="947">
      <c r="A947" s="269" t="str">
        <f>IFERROR(__xludf.DUMMYFUNCTION("""COMPUTED_VALUE"""),"")</f>
        <v/>
      </c>
      <c r="B947" s="269"/>
      <c r="C947" s="269"/>
      <c r="D947" s="269"/>
      <c r="E947" s="269"/>
      <c r="F947" s="269"/>
      <c r="G947" s="269"/>
      <c r="H947" s="269"/>
      <c r="I947" s="269"/>
      <c r="J947" s="269"/>
      <c r="K947" s="269"/>
      <c r="L947" s="269"/>
      <c r="M947" s="269"/>
      <c r="N947" s="269"/>
      <c r="O947" s="269"/>
      <c r="P947" s="269"/>
      <c r="Q947" s="269"/>
      <c r="R947" s="269"/>
      <c r="S947" s="269"/>
      <c r="T947" s="269"/>
      <c r="U947" s="269"/>
      <c r="V947" s="269"/>
      <c r="W947" s="269"/>
      <c r="X947" s="269"/>
      <c r="Y947" s="269"/>
      <c r="Z947" s="269"/>
    </row>
    <row r="948">
      <c r="A948" s="269" t="str">
        <f>IFERROR(__xludf.DUMMYFUNCTION("""COMPUTED_VALUE"""),"")</f>
        <v/>
      </c>
      <c r="B948" s="269"/>
      <c r="C948" s="269"/>
      <c r="D948" s="269"/>
      <c r="E948" s="269"/>
      <c r="F948" s="269"/>
      <c r="G948" s="269"/>
      <c r="H948" s="269"/>
      <c r="I948" s="269"/>
      <c r="J948" s="269"/>
      <c r="K948" s="269"/>
      <c r="L948" s="269"/>
      <c r="M948" s="269"/>
      <c r="N948" s="269"/>
      <c r="O948" s="269"/>
      <c r="P948" s="269"/>
      <c r="Q948" s="269"/>
      <c r="R948" s="269"/>
      <c r="S948" s="269"/>
      <c r="T948" s="269"/>
      <c r="U948" s="269"/>
      <c r="V948" s="269"/>
      <c r="W948" s="269"/>
      <c r="X948" s="269"/>
      <c r="Y948" s="269"/>
      <c r="Z948" s="269"/>
    </row>
    <row r="949">
      <c r="A949" s="269" t="str">
        <f>IFERROR(__xludf.DUMMYFUNCTION("""COMPUTED_VALUE"""),"")</f>
        <v/>
      </c>
      <c r="B949" s="269"/>
      <c r="C949" s="269"/>
      <c r="D949" s="269"/>
      <c r="E949" s="269"/>
      <c r="F949" s="269"/>
      <c r="G949" s="269"/>
      <c r="H949" s="269"/>
      <c r="I949" s="269"/>
      <c r="J949" s="269"/>
      <c r="K949" s="269"/>
      <c r="L949" s="269"/>
      <c r="M949" s="269"/>
      <c r="N949" s="269"/>
      <c r="O949" s="269"/>
      <c r="P949" s="269"/>
      <c r="Q949" s="269"/>
      <c r="R949" s="269"/>
      <c r="S949" s="269"/>
      <c r="T949" s="269"/>
      <c r="U949" s="269"/>
      <c r="V949" s="269"/>
      <c r="W949" s="269"/>
      <c r="X949" s="269"/>
      <c r="Y949" s="269"/>
      <c r="Z949" s="269"/>
    </row>
    <row r="950">
      <c r="A950" s="269" t="str">
        <f>IFERROR(__xludf.DUMMYFUNCTION("""COMPUTED_VALUE"""),"")</f>
        <v/>
      </c>
      <c r="B950" s="269"/>
      <c r="C950" s="269"/>
      <c r="D950" s="269"/>
      <c r="E950" s="269"/>
      <c r="F950" s="269"/>
      <c r="G950" s="269"/>
      <c r="H950" s="269"/>
      <c r="I950" s="269"/>
      <c r="J950" s="269"/>
      <c r="K950" s="269"/>
      <c r="L950" s="269"/>
      <c r="M950" s="269"/>
      <c r="N950" s="269"/>
      <c r="O950" s="269"/>
      <c r="P950" s="269"/>
      <c r="Q950" s="269"/>
      <c r="R950" s="269"/>
      <c r="S950" s="269"/>
      <c r="T950" s="269"/>
      <c r="U950" s="269"/>
      <c r="V950" s="269"/>
      <c r="W950" s="269"/>
      <c r="X950" s="269"/>
      <c r="Y950" s="269"/>
      <c r="Z950" s="269"/>
    </row>
    <row r="951">
      <c r="A951" s="269" t="str">
        <f>IFERROR(__xludf.DUMMYFUNCTION("""COMPUTED_VALUE"""),"")</f>
        <v/>
      </c>
      <c r="B951" s="269"/>
      <c r="C951" s="269"/>
      <c r="D951" s="269"/>
      <c r="E951" s="269"/>
      <c r="F951" s="269"/>
      <c r="G951" s="269"/>
      <c r="H951" s="269"/>
      <c r="I951" s="269"/>
      <c r="J951" s="269"/>
      <c r="K951" s="269"/>
      <c r="L951" s="269"/>
      <c r="M951" s="269"/>
      <c r="N951" s="269"/>
      <c r="O951" s="269"/>
      <c r="P951" s="269"/>
      <c r="Q951" s="269"/>
      <c r="R951" s="269"/>
      <c r="S951" s="269"/>
      <c r="T951" s="269"/>
      <c r="U951" s="269"/>
      <c r="V951" s="269"/>
      <c r="W951" s="269"/>
      <c r="X951" s="269"/>
      <c r="Y951" s="269"/>
      <c r="Z951" s="269"/>
    </row>
    <row r="952">
      <c r="A952" s="269" t="str">
        <f>IFERROR(__xludf.DUMMYFUNCTION("""COMPUTED_VALUE"""),"")</f>
        <v/>
      </c>
      <c r="B952" s="269"/>
      <c r="C952" s="269"/>
      <c r="D952" s="269"/>
      <c r="E952" s="269"/>
      <c r="F952" s="269"/>
      <c r="G952" s="269"/>
      <c r="H952" s="269"/>
      <c r="I952" s="269"/>
      <c r="J952" s="269"/>
      <c r="K952" s="269"/>
      <c r="L952" s="269"/>
      <c r="M952" s="269"/>
      <c r="N952" s="269"/>
      <c r="O952" s="269"/>
      <c r="P952" s="269"/>
      <c r="Q952" s="269"/>
      <c r="R952" s="269"/>
      <c r="S952" s="269"/>
      <c r="T952" s="269"/>
      <c r="U952" s="269"/>
      <c r="V952" s="269"/>
      <c r="W952" s="269"/>
      <c r="X952" s="269"/>
      <c r="Y952" s="269"/>
      <c r="Z952" s="269"/>
    </row>
    <row r="953">
      <c r="A953" s="269" t="str">
        <f>IFERROR(__xludf.DUMMYFUNCTION("""COMPUTED_VALUE"""),"")</f>
        <v/>
      </c>
      <c r="B953" s="269"/>
      <c r="C953" s="269"/>
      <c r="D953" s="269"/>
      <c r="E953" s="269"/>
      <c r="F953" s="269"/>
      <c r="G953" s="269"/>
      <c r="H953" s="269"/>
      <c r="I953" s="269"/>
      <c r="J953" s="269"/>
      <c r="K953" s="269"/>
      <c r="L953" s="269"/>
      <c r="M953" s="269"/>
      <c r="N953" s="269"/>
      <c r="O953" s="269"/>
      <c r="P953" s="269"/>
      <c r="Q953" s="269"/>
      <c r="R953" s="269"/>
      <c r="S953" s="269"/>
      <c r="T953" s="269"/>
      <c r="U953" s="269"/>
      <c r="V953" s="269"/>
      <c r="W953" s="269"/>
      <c r="X953" s="269"/>
      <c r="Y953" s="269"/>
      <c r="Z953" s="269"/>
    </row>
    <row r="954">
      <c r="A954" s="269" t="str">
        <f>IFERROR(__xludf.DUMMYFUNCTION("""COMPUTED_VALUE"""),"")</f>
        <v/>
      </c>
      <c r="B954" s="269"/>
      <c r="C954" s="269"/>
      <c r="D954" s="269"/>
      <c r="E954" s="269"/>
      <c r="F954" s="269"/>
      <c r="G954" s="269"/>
      <c r="H954" s="269"/>
      <c r="I954" s="269"/>
      <c r="J954" s="269"/>
      <c r="K954" s="269"/>
      <c r="L954" s="269"/>
      <c r="M954" s="269"/>
      <c r="N954" s="269"/>
      <c r="O954" s="269"/>
      <c r="P954" s="269"/>
      <c r="Q954" s="269"/>
      <c r="R954" s="269"/>
      <c r="S954" s="269"/>
      <c r="T954" s="269"/>
      <c r="U954" s="269"/>
      <c r="V954" s="269"/>
      <c r="W954" s="269"/>
      <c r="X954" s="269"/>
      <c r="Y954" s="269"/>
      <c r="Z954" s="269"/>
    </row>
    <row r="955">
      <c r="A955" s="269" t="str">
        <f>IFERROR(__xludf.DUMMYFUNCTION("""COMPUTED_VALUE"""),"")</f>
        <v/>
      </c>
      <c r="B955" s="269"/>
      <c r="C955" s="269"/>
      <c r="D955" s="269"/>
      <c r="E955" s="269"/>
      <c r="F955" s="269"/>
      <c r="G955" s="269"/>
      <c r="H955" s="269"/>
      <c r="I955" s="269"/>
      <c r="J955" s="269"/>
      <c r="K955" s="269"/>
      <c r="L955" s="269"/>
      <c r="M955" s="269"/>
      <c r="N955" s="269"/>
      <c r="O955" s="269"/>
      <c r="P955" s="269"/>
      <c r="Q955" s="269"/>
      <c r="R955" s="269"/>
      <c r="S955" s="269"/>
      <c r="T955" s="269"/>
      <c r="U955" s="269"/>
      <c r="V955" s="269"/>
      <c r="W955" s="269"/>
      <c r="X955" s="269"/>
      <c r="Y955" s="269"/>
      <c r="Z955" s="269"/>
    </row>
    <row r="956">
      <c r="A956" s="269" t="str">
        <f>IFERROR(__xludf.DUMMYFUNCTION("""COMPUTED_VALUE"""),"")</f>
        <v/>
      </c>
      <c r="B956" s="269"/>
      <c r="C956" s="269"/>
      <c r="D956" s="269"/>
      <c r="E956" s="269"/>
      <c r="F956" s="269"/>
      <c r="G956" s="269"/>
      <c r="H956" s="269"/>
      <c r="I956" s="269"/>
      <c r="J956" s="269"/>
      <c r="K956" s="269"/>
      <c r="L956" s="269"/>
      <c r="M956" s="269"/>
      <c r="N956" s="269"/>
      <c r="O956" s="269"/>
      <c r="P956" s="269"/>
      <c r="Q956" s="269"/>
      <c r="R956" s="269"/>
      <c r="S956" s="269"/>
      <c r="T956" s="269"/>
      <c r="U956" s="269"/>
      <c r="V956" s="269"/>
      <c r="W956" s="269"/>
      <c r="X956" s="269"/>
      <c r="Y956" s="269"/>
      <c r="Z956" s="269"/>
    </row>
    <row r="957">
      <c r="A957" s="269" t="str">
        <f>IFERROR(__xludf.DUMMYFUNCTION("""COMPUTED_VALUE"""),"")</f>
        <v/>
      </c>
      <c r="B957" s="269"/>
      <c r="C957" s="269"/>
      <c r="D957" s="269"/>
      <c r="E957" s="269"/>
      <c r="F957" s="269"/>
      <c r="G957" s="269"/>
      <c r="H957" s="269"/>
      <c r="I957" s="269"/>
      <c r="J957" s="269"/>
      <c r="K957" s="269"/>
      <c r="L957" s="269"/>
      <c r="M957" s="269"/>
      <c r="N957" s="269"/>
      <c r="O957" s="269"/>
      <c r="P957" s="269"/>
      <c r="Q957" s="269"/>
      <c r="R957" s="269"/>
      <c r="S957" s="269"/>
      <c r="T957" s="269"/>
      <c r="U957" s="269"/>
      <c r="V957" s="269"/>
      <c r="W957" s="269"/>
      <c r="X957" s="269"/>
      <c r="Y957" s="269"/>
      <c r="Z957" s="269"/>
    </row>
    <row r="958">
      <c r="A958" s="269" t="str">
        <f>IFERROR(__xludf.DUMMYFUNCTION("""COMPUTED_VALUE"""),"")</f>
        <v/>
      </c>
      <c r="B958" s="269"/>
      <c r="C958" s="269"/>
      <c r="D958" s="269"/>
      <c r="E958" s="269"/>
      <c r="F958" s="269"/>
      <c r="G958" s="269"/>
      <c r="H958" s="269"/>
      <c r="I958" s="269"/>
      <c r="J958" s="269"/>
      <c r="K958" s="269"/>
      <c r="L958" s="269"/>
      <c r="M958" s="269"/>
      <c r="N958" s="269"/>
      <c r="O958" s="269"/>
      <c r="P958" s="269"/>
      <c r="Q958" s="269"/>
      <c r="R958" s="269"/>
      <c r="S958" s="269"/>
      <c r="T958" s="269"/>
      <c r="U958" s="269"/>
      <c r="V958" s="269"/>
      <c r="W958" s="269"/>
      <c r="X958" s="269"/>
      <c r="Y958" s="269"/>
      <c r="Z958" s="269"/>
    </row>
    <row r="959">
      <c r="A959" s="269" t="str">
        <f>IFERROR(__xludf.DUMMYFUNCTION("""COMPUTED_VALUE"""),"")</f>
        <v/>
      </c>
      <c r="B959" s="269"/>
      <c r="C959" s="269"/>
      <c r="D959" s="269"/>
      <c r="E959" s="269"/>
      <c r="F959" s="269"/>
      <c r="G959" s="269"/>
      <c r="H959" s="269"/>
      <c r="I959" s="269"/>
      <c r="J959" s="269"/>
      <c r="K959" s="269"/>
      <c r="L959" s="269"/>
      <c r="M959" s="269"/>
      <c r="N959" s="269"/>
      <c r="O959" s="269"/>
      <c r="P959" s="269"/>
      <c r="Q959" s="269"/>
      <c r="R959" s="269"/>
      <c r="S959" s="269"/>
      <c r="T959" s="269"/>
      <c r="U959" s="269"/>
      <c r="V959" s="269"/>
      <c r="W959" s="269"/>
      <c r="X959" s="269"/>
      <c r="Y959" s="269"/>
      <c r="Z959" s="269"/>
    </row>
    <row r="960">
      <c r="A960" s="269" t="str">
        <f>IFERROR(__xludf.DUMMYFUNCTION("""COMPUTED_VALUE"""),"")</f>
        <v/>
      </c>
      <c r="B960" s="269"/>
      <c r="C960" s="269"/>
      <c r="D960" s="269"/>
      <c r="E960" s="269"/>
      <c r="F960" s="269"/>
      <c r="G960" s="269"/>
      <c r="H960" s="269"/>
      <c r="I960" s="269"/>
      <c r="J960" s="269"/>
      <c r="K960" s="269"/>
      <c r="L960" s="269"/>
      <c r="M960" s="269"/>
      <c r="N960" s="269"/>
      <c r="O960" s="269"/>
      <c r="P960" s="269"/>
      <c r="Q960" s="269"/>
      <c r="R960" s="269"/>
      <c r="S960" s="269"/>
      <c r="T960" s="269"/>
      <c r="U960" s="269"/>
      <c r="V960" s="269"/>
      <c r="W960" s="269"/>
      <c r="X960" s="269"/>
      <c r="Y960" s="269"/>
      <c r="Z960" s="269"/>
    </row>
    <row r="961">
      <c r="A961" s="269" t="str">
        <f>IFERROR(__xludf.DUMMYFUNCTION("""COMPUTED_VALUE"""),"")</f>
        <v/>
      </c>
      <c r="B961" s="269"/>
      <c r="C961" s="269"/>
      <c r="D961" s="269"/>
      <c r="E961" s="269"/>
      <c r="F961" s="269"/>
      <c r="G961" s="269"/>
      <c r="H961" s="269"/>
      <c r="I961" s="269"/>
      <c r="J961" s="269"/>
      <c r="K961" s="269"/>
      <c r="L961" s="269"/>
      <c r="M961" s="269"/>
      <c r="N961" s="269"/>
      <c r="O961" s="269"/>
      <c r="P961" s="269"/>
      <c r="Q961" s="269"/>
      <c r="R961" s="269"/>
      <c r="S961" s="269"/>
      <c r="T961" s="269"/>
      <c r="U961" s="269"/>
      <c r="V961" s="269"/>
      <c r="W961" s="269"/>
      <c r="X961" s="269"/>
      <c r="Y961" s="269"/>
      <c r="Z961" s="269"/>
    </row>
    <row r="962">
      <c r="A962" s="269" t="str">
        <f>IFERROR(__xludf.DUMMYFUNCTION("""COMPUTED_VALUE"""),"")</f>
        <v/>
      </c>
      <c r="B962" s="269"/>
      <c r="C962" s="269"/>
      <c r="D962" s="269"/>
      <c r="E962" s="269"/>
      <c r="F962" s="269"/>
      <c r="G962" s="269"/>
      <c r="H962" s="269"/>
      <c r="I962" s="269"/>
      <c r="J962" s="269"/>
      <c r="K962" s="269"/>
      <c r="L962" s="269"/>
      <c r="M962" s="269"/>
      <c r="N962" s="269"/>
      <c r="O962" s="269"/>
      <c r="P962" s="269"/>
      <c r="Q962" s="269"/>
      <c r="R962" s="269"/>
      <c r="S962" s="269"/>
      <c r="T962" s="269"/>
      <c r="U962" s="269"/>
      <c r="V962" s="269"/>
      <c r="W962" s="269"/>
      <c r="X962" s="269"/>
      <c r="Y962" s="269"/>
      <c r="Z962" s="269"/>
    </row>
    <row r="963">
      <c r="A963" s="269" t="str">
        <f>IFERROR(__xludf.DUMMYFUNCTION("""COMPUTED_VALUE"""),"")</f>
        <v/>
      </c>
      <c r="B963" s="269"/>
      <c r="C963" s="269"/>
      <c r="D963" s="269"/>
      <c r="E963" s="269"/>
      <c r="F963" s="269"/>
      <c r="G963" s="269"/>
      <c r="H963" s="269"/>
      <c r="I963" s="269"/>
      <c r="J963" s="269"/>
      <c r="K963" s="269"/>
      <c r="L963" s="269"/>
      <c r="M963" s="269"/>
      <c r="N963" s="269"/>
      <c r="O963" s="269"/>
      <c r="P963" s="269"/>
      <c r="Q963" s="269"/>
      <c r="R963" s="269"/>
      <c r="S963" s="269"/>
      <c r="T963" s="269"/>
      <c r="U963" s="269"/>
      <c r="V963" s="269"/>
      <c r="W963" s="269"/>
      <c r="X963" s="269"/>
      <c r="Y963" s="269"/>
      <c r="Z963" s="269"/>
    </row>
    <row r="964">
      <c r="A964" s="269" t="str">
        <f>IFERROR(__xludf.DUMMYFUNCTION("""COMPUTED_VALUE"""),"")</f>
        <v/>
      </c>
      <c r="B964" s="269"/>
      <c r="C964" s="269"/>
      <c r="D964" s="269"/>
      <c r="E964" s="269"/>
      <c r="F964" s="269"/>
      <c r="G964" s="269"/>
      <c r="H964" s="269"/>
      <c r="I964" s="269"/>
      <c r="J964" s="269"/>
      <c r="K964" s="269"/>
      <c r="L964" s="269"/>
      <c r="M964" s="269"/>
      <c r="N964" s="269"/>
      <c r="O964" s="269"/>
      <c r="P964" s="269"/>
      <c r="Q964" s="269"/>
      <c r="R964" s="269"/>
      <c r="S964" s="269"/>
      <c r="T964" s="269"/>
      <c r="U964" s="269"/>
      <c r="V964" s="269"/>
      <c r="W964" s="269"/>
      <c r="X964" s="269"/>
      <c r="Y964" s="269"/>
      <c r="Z964" s="269"/>
    </row>
    <row r="965">
      <c r="A965" s="269" t="str">
        <f>IFERROR(__xludf.DUMMYFUNCTION("""COMPUTED_VALUE"""),"")</f>
        <v/>
      </c>
      <c r="B965" s="269"/>
      <c r="C965" s="269"/>
      <c r="D965" s="269"/>
      <c r="E965" s="269"/>
      <c r="F965" s="269"/>
      <c r="G965" s="269"/>
      <c r="H965" s="269"/>
      <c r="I965" s="269"/>
      <c r="J965" s="269"/>
      <c r="K965" s="269"/>
      <c r="L965" s="269"/>
      <c r="M965" s="269"/>
      <c r="N965" s="269"/>
      <c r="O965" s="269"/>
      <c r="P965" s="269"/>
      <c r="Q965" s="269"/>
      <c r="R965" s="269"/>
      <c r="S965" s="269"/>
      <c r="T965" s="269"/>
      <c r="U965" s="269"/>
      <c r="V965" s="269"/>
      <c r="W965" s="269"/>
      <c r="X965" s="269"/>
      <c r="Y965" s="269"/>
      <c r="Z965" s="269"/>
    </row>
    <row r="966">
      <c r="A966" s="269" t="str">
        <f>IFERROR(__xludf.DUMMYFUNCTION("""COMPUTED_VALUE"""),"")</f>
        <v/>
      </c>
      <c r="B966" s="269"/>
      <c r="C966" s="269"/>
      <c r="D966" s="269"/>
      <c r="E966" s="269"/>
      <c r="F966" s="269"/>
      <c r="G966" s="269"/>
      <c r="H966" s="269"/>
      <c r="I966" s="269"/>
      <c r="J966" s="269"/>
      <c r="K966" s="269"/>
      <c r="L966" s="269"/>
      <c r="M966" s="269"/>
      <c r="N966" s="269"/>
      <c r="O966" s="269"/>
      <c r="P966" s="269"/>
      <c r="Q966" s="269"/>
      <c r="R966" s="269"/>
      <c r="S966" s="269"/>
      <c r="T966" s="269"/>
      <c r="U966" s="269"/>
      <c r="V966" s="269"/>
      <c r="W966" s="269"/>
      <c r="X966" s="269"/>
      <c r="Y966" s="269"/>
      <c r="Z966" s="269"/>
    </row>
    <row r="967">
      <c r="A967" s="269" t="str">
        <f>IFERROR(__xludf.DUMMYFUNCTION("""COMPUTED_VALUE"""),"")</f>
        <v/>
      </c>
      <c r="B967" s="269"/>
      <c r="C967" s="269"/>
      <c r="D967" s="269"/>
      <c r="E967" s="269"/>
      <c r="F967" s="269"/>
      <c r="G967" s="269"/>
      <c r="H967" s="269"/>
      <c r="I967" s="269"/>
      <c r="J967" s="269"/>
      <c r="K967" s="269"/>
      <c r="L967" s="269"/>
      <c r="M967" s="269"/>
      <c r="N967" s="269"/>
      <c r="O967" s="269"/>
      <c r="P967" s="269"/>
      <c r="Q967" s="269"/>
      <c r="R967" s="269"/>
      <c r="S967" s="269"/>
      <c r="T967" s="269"/>
      <c r="U967" s="269"/>
      <c r="V967" s="269"/>
      <c r="W967" s="269"/>
      <c r="X967" s="269"/>
      <c r="Y967" s="269"/>
      <c r="Z967" s="269"/>
    </row>
    <row r="968">
      <c r="A968" s="269" t="str">
        <f>IFERROR(__xludf.DUMMYFUNCTION("""COMPUTED_VALUE"""),"")</f>
        <v/>
      </c>
      <c r="B968" s="269"/>
      <c r="C968" s="269"/>
      <c r="D968" s="269"/>
      <c r="E968" s="269"/>
      <c r="F968" s="269"/>
      <c r="G968" s="269"/>
      <c r="H968" s="269"/>
      <c r="I968" s="269"/>
      <c r="J968" s="269"/>
      <c r="K968" s="269"/>
      <c r="L968" s="269"/>
      <c r="M968" s="269"/>
      <c r="N968" s="269"/>
      <c r="O968" s="269"/>
      <c r="P968" s="269"/>
      <c r="Q968" s="269"/>
      <c r="R968" s="269"/>
      <c r="S968" s="269"/>
      <c r="T968" s="269"/>
      <c r="U968" s="269"/>
      <c r="V968" s="269"/>
      <c r="W968" s="269"/>
      <c r="X968" s="269"/>
      <c r="Y968" s="269"/>
      <c r="Z968" s="269"/>
    </row>
    <row r="969">
      <c r="A969" s="269" t="str">
        <f>IFERROR(__xludf.DUMMYFUNCTION("""COMPUTED_VALUE"""),"")</f>
        <v/>
      </c>
      <c r="B969" s="269"/>
      <c r="C969" s="269"/>
      <c r="D969" s="269"/>
      <c r="E969" s="269"/>
      <c r="F969" s="269"/>
      <c r="G969" s="269"/>
      <c r="H969" s="269"/>
      <c r="I969" s="269"/>
      <c r="J969" s="269"/>
      <c r="K969" s="269"/>
      <c r="L969" s="269"/>
      <c r="M969" s="269"/>
      <c r="N969" s="269"/>
      <c r="O969" s="269"/>
      <c r="P969" s="269"/>
      <c r="Q969" s="269"/>
      <c r="R969" s="269"/>
      <c r="S969" s="269"/>
      <c r="T969" s="269"/>
      <c r="U969" s="269"/>
      <c r="V969" s="269"/>
      <c r="W969" s="269"/>
      <c r="X969" s="269"/>
      <c r="Y969" s="269"/>
      <c r="Z969" s="269"/>
    </row>
    <row r="970">
      <c r="A970" s="269" t="str">
        <f>IFERROR(__xludf.DUMMYFUNCTION("""COMPUTED_VALUE"""),"")</f>
        <v/>
      </c>
      <c r="B970" s="269"/>
      <c r="C970" s="269"/>
      <c r="D970" s="269"/>
      <c r="E970" s="269"/>
      <c r="F970" s="269"/>
      <c r="G970" s="269"/>
      <c r="H970" s="269"/>
      <c r="I970" s="269"/>
      <c r="J970" s="269"/>
      <c r="K970" s="269"/>
      <c r="L970" s="269"/>
      <c r="M970" s="269"/>
      <c r="N970" s="269"/>
      <c r="O970" s="269"/>
      <c r="P970" s="269"/>
      <c r="Q970" s="269"/>
      <c r="R970" s="269"/>
      <c r="S970" s="269"/>
      <c r="T970" s="269"/>
      <c r="U970" s="269"/>
      <c r="V970" s="269"/>
      <c r="W970" s="269"/>
      <c r="X970" s="269"/>
      <c r="Y970" s="269"/>
      <c r="Z970" s="269"/>
    </row>
    <row r="971">
      <c r="A971" s="269" t="str">
        <f>IFERROR(__xludf.DUMMYFUNCTION("""COMPUTED_VALUE"""),"")</f>
        <v/>
      </c>
      <c r="B971" s="269"/>
      <c r="C971" s="269"/>
      <c r="D971" s="269"/>
      <c r="E971" s="269"/>
      <c r="F971" s="269"/>
      <c r="G971" s="269"/>
      <c r="H971" s="269"/>
      <c r="I971" s="269"/>
      <c r="J971" s="269"/>
      <c r="K971" s="269"/>
      <c r="L971" s="269"/>
      <c r="M971" s="269"/>
      <c r="N971" s="269"/>
      <c r="O971" s="269"/>
      <c r="P971" s="269"/>
      <c r="Q971" s="269"/>
      <c r="R971" s="269"/>
      <c r="S971" s="269"/>
      <c r="T971" s="269"/>
      <c r="U971" s="269"/>
      <c r="V971" s="269"/>
      <c r="W971" s="269"/>
      <c r="X971" s="269"/>
      <c r="Y971" s="269"/>
      <c r="Z971" s="269"/>
    </row>
    <row r="972">
      <c r="A972" s="269" t="str">
        <f>IFERROR(__xludf.DUMMYFUNCTION("""COMPUTED_VALUE"""),"")</f>
        <v/>
      </c>
      <c r="B972" s="269"/>
      <c r="C972" s="269"/>
      <c r="D972" s="269"/>
      <c r="E972" s="269"/>
      <c r="F972" s="269"/>
      <c r="G972" s="269"/>
      <c r="H972" s="269"/>
      <c r="I972" s="269"/>
      <c r="J972" s="269"/>
      <c r="K972" s="269"/>
      <c r="L972" s="269"/>
      <c r="M972" s="269"/>
      <c r="N972" s="269"/>
      <c r="O972" s="269"/>
      <c r="P972" s="269"/>
      <c r="Q972" s="269"/>
      <c r="R972" s="269"/>
      <c r="S972" s="269"/>
      <c r="T972" s="269"/>
      <c r="U972" s="269"/>
      <c r="V972" s="269"/>
      <c r="W972" s="269"/>
      <c r="X972" s="269"/>
      <c r="Y972" s="269"/>
      <c r="Z972" s="269"/>
    </row>
    <row r="973">
      <c r="A973" s="269" t="str">
        <f>IFERROR(__xludf.DUMMYFUNCTION("""COMPUTED_VALUE"""),"")</f>
        <v/>
      </c>
      <c r="B973" s="269"/>
      <c r="C973" s="269"/>
      <c r="D973" s="269"/>
      <c r="E973" s="269"/>
      <c r="F973" s="269"/>
      <c r="G973" s="269"/>
      <c r="H973" s="269"/>
      <c r="I973" s="269"/>
      <c r="J973" s="269"/>
      <c r="K973" s="269"/>
      <c r="L973" s="269"/>
      <c r="M973" s="269"/>
      <c r="N973" s="269"/>
      <c r="O973" s="269"/>
      <c r="P973" s="269"/>
      <c r="Q973" s="269"/>
      <c r="R973" s="269"/>
      <c r="S973" s="269"/>
      <c r="T973" s="269"/>
      <c r="U973" s="269"/>
      <c r="V973" s="269"/>
      <c r="W973" s="269"/>
      <c r="X973" s="269"/>
      <c r="Y973" s="269"/>
      <c r="Z973" s="269"/>
    </row>
    <row r="974">
      <c r="A974" s="269" t="str">
        <f>IFERROR(__xludf.DUMMYFUNCTION("""COMPUTED_VALUE"""),"")</f>
        <v/>
      </c>
      <c r="B974" s="269"/>
      <c r="C974" s="269"/>
      <c r="D974" s="269"/>
      <c r="E974" s="269"/>
      <c r="F974" s="269"/>
      <c r="G974" s="269"/>
      <c r="H974" s="269"/>
      <c r="I974" s="269"/>
      <c r="J974" s="269"/>
      <c r="K974" s="269"/>
      <c r="L974" s="269"/>
      <c r="M974" s="269"/>
      <c r="N974" s="269"/>
      <c r="O974" s="269"/>
      <c r="P974" s="269"/>
      <c r="Q974" s="269"/>
      <c r="R974" s="269"/>
      <c r="S974" s="269"/>
      <c r="T974" s="269"/>
      <c r="U974" s="269"/>
      <c r="V974" s="269"/>
      <c r="W974" s="269"/>
      <c r="X974" s="269"/>
      <c r="Y974" s="269"/>
      <c r="Z974" s="269"/>
    </row>
    <row r="975">
      <c r="A975" s="269" t="str">
        <f>IFERROR(__xludf.DUMMYFUNCTION("""COMPUTED_VALUE"""),"")</f>
        <v/>
      </c>
      <c r="B975" s="269"/>
      <c r="C975" s="269"/>
      <c r="D975" s="269"/>
      <c r="E975" s="269"/>
      <c r="F975" s="269"/>
      <c r="G975" s="269"/>
      <c r="H975" s="269"/>
      <c r="I975" s="269"/>
      <c r="J975" s="269"/>
      <c r="K975" s="269"/>
      <c r="L975" s="269"/>
      <c r="M975" s="269"/>
      <c r="N975" s="269"/>
      <c r="O975" s="269"/>
      <c r="P975" s="269"/>
      <c r="Q975" s="269"/>
      <c r="R975" s="269"/>
      <c r="S975" s="269"/>
      <c r="T975" s="269"/>
      <c r="U975" s="269"/>
      <c r="V975" s="269"/>
      <c r="W975" s="269"/>
      <c r="X975" s="269"/>
      <c r="Y975" s="269"/>
      <c r="Z975" s="269"/>
    </row>
    <row r="976">
      <c r="A976" s="269" t="str">
        <f>IFERROR(__xludf.DUMMYFUNCTION("""COMPUTED_VALUE"""),"")</f>
        <v/>
      </c>
      <c r="B976" s="269"/>
      <c r="C976" s="269"/>
      <c r="D976" s="269"/>
      <c r="E976" s="269"/>
      <c r="F976" s="269"/>
      <c r="G976" s="269"/>
      <c r="H976" s="269"/>
      <c r="I976" s="269"/>
      <c r="J976" s="269"/>
      <c r="K976" s="269"/>
      <c r="L976" s="269"/>
      <c r="M976" s="269"/>
      <c r="N976" s="269"/>
      <c r="O976" s="269"/>
      <c r="P976" s="269"/>
      <c r="Q976" s="269"/>
      <c r="R976" s="269"/>
      <c r="S976" s="269"/>
      <c r="T976" s="269"/>
      <c r="U976" s="269"/>
      <c r="V976" s="269"/>
      <c r="W976" s="269"/>
      <c r="X976" s="269"/>
      <c r="Y976" s="269"/>
      <c r="Z976" s="269"/>
    </row>
    <row r="977">
      <c r="A977" s="269" t="str">
        <f>IFERROR(__xludf.DUMMYFUNCTION("""COMPUTED_VALUE"""),"")</f>
        <v/>
      </c>
      <c r="B977" s="269"/>
      <c r="C977" s="269"/>
      <c r="D977" s="269"/>
      <c r="E977" s="269"/>
      <c r="F977" s="269"/>
      <c r="G977" s="269"/>
      <c r="H977" s="269"/>
      <c r="I977" s="269"/>
      <c r="J977" s="269"/>
      <c r="K977" s="269"/>
      <c r="L977" s="269"/>
      <c r="M977" s="269"/>
      <c r="N977" s="269"/>
      <c r="O977" s="269"/>
      <c r="P977" s="269"/>
      <c r="Q977" s="269"/>
      <c r="R977" s="269"/>
      <c r="S977" s="269"/>
      <c r="T977" s="269"/>
      <c r="U977" s="269"/>
      <c r="V977" s="269"/>
      <c r="W977" s="269"/>
      <c r="X977" s="269"/>
      <c r="Y977" s="269"/>
      <c r="Z977" s="269"/>
    </row>
    <row r="978">
      <c r="A978" s="269" t="str">
        <f>IFERROR(__xludf.DUMMYFUNCTION("""COMPUTED_VALUE"""),"")</f>
        <v/>
      </c>
      <c r="B978" s="269"/>
      <c r="C978" s="269"/>
      <c r="D978" s="269"/>
      <c r="E978" s="269"/>
      <c r="F978" s="269"/>
      <c r="G978" s="269"/>
      <c r="H978" s="269"/>
      <c r="I978" s="269"/>
      <c r="J978" s="269"/>
      <c r="K978" s="269"/>
      <c r="L978" s="269"/>
      <c r="M978" s="269"/>
      <c r="N978" s="269"/>
      <c r="O978" s="269"/>
      <c r="P978" s="269"/>
      <c r="Q978" s="269"/>
      <c r="R978" s="269"/>
      <c r="S978" s="269"/>
      <c r="T978" s="269"/>
      <c r="U978" s="269"/>
      <c r="V978" s="269"/>
      <c r="W978" s="269"/>
      <c r="X978" s="269"/>
      <c r="Y978" s="269"/>
      <c r="Z978" s="269"/>
    </row>
    <row r="979">
      <c r="A979" s="269" t="str">
        <f>IFERROR(__xludf.DUMMYFUNCTION("""COMPUTED_VALUE"""),"")</f>
        <v/>
      </c>
      <c r="B979" s="269"/>
      <c r="C979" s="269"/>
      <c r="D979" s="269"/>
      <c r="E979" s="269"/>
      <c r="F979" s="269"/>
      <c r="G979" s="269"/>
      <c r="H979" s="269"/>
      <c r="I979" s="269"/>
      <c r="J979" s="269"/>
      <c r="K979" s="269"/>
      <c r="L979" s="269"/>
      <c r="M979" s="269"/>
      <c r="N979" s="269"/>
      <c r="O979" s="269"/>
      <c r="P979" s="269"/>
      <c r="Q979" s="269"/>
      <c r="R979" s="269"/>
      <c r="S979" s="269"/>
      <c r="T979" s="269"/>
      <c r="U979" s="269"/>
      <c r="V979" s="269"/>
      <c r="W979" s="269"/>
      <c r="X979" s="269"/>
      <c r="Y979" s="269"/>
      <c r="Z979" s="269"/>
    </row>
    <row r="980">
      <c r="A980" s="269" t="str">
        <f>IFERROR(__xludf.DUMMYFUNCTION("""COMPUTED_VALUE"""),"")</f>
        <v/>
      </c>
      <c r="B980" s="269"/>
      <c r="C980" s="269"/>
      <c r="D980" s="269"/>
      <c r="E980" s="269"/>
      <c r="F980" s="269"/>
      <c r="G980" s="269"/>
      <c r="H980" s="269"/>
      <c r="I980" s="269"/>
      <c r="J980" s="269"/>
      <c r="K980" s="269"/>
      <c r="L980" s="269"/>
      <c r="M980" s="269"/>
      <c r="N980" s="269"/>
      <c r="O980" s="269"/>
      <c r="P980" s="269"/>
      <c r="Q980" s="269"/>
      <c r="R980" s="269"/>
      <c r="S980" s="269"/>
      <c r="T980" s="269"/>
      <c r="U980" s="269"/>
      <c r="V980" s="269"/>
      <c r="W980" s="269"/>
      <c r="X980" s="269"/>
      <c r="Y980" s="269"/>
      <c r="Z980" s="269"/>
    </row>
    <row r="981">
      <c r="A981" s="269" t="str">
        <f>IFERROR(__xludf.DUMMYFUNCTION("""COMPUTED_VALUE"""),"")</f>
        <v/>
      </c>
      <c r="B981" s="269"/>
      <c r="C981" s="269"/>
      <c r="D981" s="269"/>
      <c r="E981" s="269"/>
      <c r="F981" s="269"/>
      <c r="G981" s="269"/>
      <c r="H981" s="269"/>
      <c r="I981" s="269"/>
      <c r="J981" s="269"/>
      <c r="K981" s="269"/>
      <c r="L981" s="269"/>
      <c r="M981" s="269"/>
      <c r="N981" s="269"/>
      <c r="O981" s="269"/>
      <c r="P981" s="269"/>
      <c r="Q981" s="269"/>
      <c r="R981" s="269"/>
      <c r="S981" s="269"/>
      <c r="T981" s="269"/>
      <c r="U981" s="269"/>
      <c r="V981" s="269"/>
      <c r="W981" s="269"/>
      <c r="X981" s="269"/>
      <c r="Y981" s="269"/>
      <c r="Z981" s="269"/>
    </row>
    <row r="982">
      <c r="A982" s="269" t="str">
        <f>IFERROR(__xludf.DUMMYFUNCTION("""COMPUTED_VALUE"""),"")</f>
        <v/>
      </c>
      <c r="B982" s="269"/>
      <c r="C982" s="269"/>
      <c r="D982" s="269"/>
      <c r="E982" s="269"/>
      <c r="F982" s="269"/>
      <c r="G982" s="269"/>
      <c r="H982" s="269"/>
      <c r="I982" s="269"/>
      <c r="J982" s="269"/>
      <c r="K982" s="269"/>
      <c r="L982" s="269"/>
      <c r="M982" s="269"/>
      <c r="N982" s="269"/>
      <c r="O982" s="269"/>
      <c r="P982" s="269"/>
      <c r="Q982" s="269"/>
      <c r="R982" s="269"/>
      <c r="S982" s="269"/>
      <c r="T982" s="269"/>
      <c r="U982" s="269"/>
      <c r="V982" s="269"/>
      <c r="W982" s="269"/>
      <c r="X982" s="269"/>
      <c r="Y982" s="269"/>
      <c r="Z982" s="269"/>
    </row>
    <row r="983">
      <c r="A983" s="269" t="str">
        <f>IFERROR(__xludf.DUMMYFUNCTION("""COMPUTED_VALUE"""),"")</f>
        <v/>
      </c>
      <c r="B983" s="269"/>
      <c r="C983" s="269"/>
      <c r="D983" s="269"/>
      <c r="E983" s="269"/>
      <c r="F983" s="269"/>
      <c r="G983" s="269"/>
      <c r="H983" s="269"/>
      <c r="I983" s="269"/>
      <c r="J983" s="269"/>
      <c r="K983" s="269"/>
      <c r="L983" s="269"/>
      <c r="M983" s="269"/>
      <c r="N983" s="269"/>
      <c r="O983" s="269"/>
      <c r="P983" s="269"/>
      <c r="Q983" s="269"/>
      <c r="R983" s="269"/>
      <c r="S983" s="269"/>
      <c r="T983" s="269"/>
      <c r="U983" s="269"/>
      <c r="V983" s="269"/>
      <c r="W983" s="269"/>
      <c r="X983" s="269"/>
      <c r="Y983" s="269"/>
      <c r="Z983" s="269"/>
    </row>
    <row r="984">
      <c r="A984" s="269" t="str">
        <f>IFERROR(__xludf.DUMMYFUNCTION("""COMPUTED_VALUE"""),"")</f>
        <v/>
      </c>
      <c r="B984" s="269"/>
      <c r="C984" s="269"/>
      <c r="D984" s="269"/>
      <c r="E984" s="269"/>
      <c r="F984" s="269"/>
      <c r="G984" s="269"/>
      <c r="H984" s="269"/>
      <c r="I984" s="269"/>
      <c r="J984" s="269"/>
      <c r="K984" s="269"/>
      <c r="L984" s="269"/>
      <c r="M984" s="269"/>
      <c r="N984" s="269"/>
      <c r="O984" s="269"/>
      <c r="P984" s="269"/>
      <c r="Q984" s="269"/>
      <c r="R984" s="269"/>
      <c r="S984" s="269"/>
      <c r="T984" s="269"/>
      <c r="U984" s="269"/>
      <c r="V984" s="269"/>
      <c r="W984" s="269"/>
      <c r="X984" s="269"/>
      <c r="Y984" s="269"/>
      <c r="Z984" s="269"/>
    </row>
    <row r="985">
      <c r="A985" s="269" t="str">
        <f>IFERROR(__xludf.DUMMYFUNCTION("""COMPUTED_VALUE"""),"")</f>
        <v/>
      </c>
      <c r="B985" s="269"/>
      <c r="C985" s="269"/>
      <c r="D985" s="269"/>
      <c r="E985" s="269"/>
      <c r="F985" s="269"/>
      <c r="G985" s="269"/>
      <c r="H985" s="269"/>
      <c r="I985" s="269"/>
      <c r="J985" s="269"/>
      <c r="K985" s="269"/>
      <c r="L985" s="269"/>
      <c r="M985" s="269"/>
      <c r="N985" s="269"/>
      <c r="O985" s="269"/>
      <c r="P985" s="269"/>
      <c r="Q985" s="269"/>
      <c r="R985" s="269"/>
      <c r="S985" s="269"/>
      <c r="T985" s="269"/>
      <c r="U985" s="269"/>
      <c r="V985" s="269"/>
      <c r="W985" s="269"/>
      <c r="X985" s="269"/>
      <c r="Y985" s="269"/>
      <c r="Z985" s="269"/>
    </row>
    <row r="986">
      <c r="A986" s="269" t="str">
        <f>IFERROR(__xludf.DUMMYFUNCTION("""COMPUTED_VALUE"""),"")</f>
        <v/>
      </c>
      <c r="B986" s="269"/>
      <c r="C986" s="269"/>
      <c r="D986" s="269"/>
      <c r="E986" s="269"/>
      <c r="F986" s="269"/>
      <c r="G986" s="269"/>
      <c r="H986" s="269"/>
      <c r="I986" s="269"/>
      <c r="J986" s="269"/>
      <c r="K986" s="269"/>
      <c r="L986" s="269"/>
      <c r="M986" s="269"/>
      <c r="N986" s="269"/>
      <c r="O986" s="269"/>
      <c r="P986" s="269"/>
      <c r="Q986" s="269"/>
      <c r="R986" s="269"/>
      <c r="S986" s="269"/>
      <c r="T986" s="269"/>
      <c r="U986" s="269"/>
      <c r="V986" s="269"/>
      <c r="W986" s="269"/>
      <c r="X986" s="269"/>
      <c r="Y986" s="269"/>
      <c r="Z986" s="269"/>
    </row>
    <row r="987">
      <c r="A987" s="269" t="str">
        <f>IFERROR(__xludf.DUMMYFUNCTION("""COMPUTED_VALUE"""),"")</f>
        <v/>
      </c>
      <c r="B987" s="269"/>
      <c r="C987" s="269"/>
      <c r="D987" s="269"/>
      <c r="E987" s="269"/>
      <c r="F987" s="269"/>
      <c r="G987" s="269"/>
      <c r="H987" s="269"/>
      <c r="I987" s="269"/>
      <c r="J987" s="269"/>
      <c r="K987" s="269"/>
      <c r="L987" s="269"/>
      <c r="M987" s="269"/>
      <c r="N987" s="269"/>
      <c r="O987" s="269"/>
      <c r="P987" s="269"/>
      <c r="Q987" s="269"/>
      <c r="R987" s="269"/>
      <c r="S987" s="269"/>
      <c r="T987" s="269"/>
      <c r="U987" s="269"/>
      <c r="V987" s="269"/>
      <c r="W987" s="269"/>
      <c r="X987" s="269"/>
      <c r="Y987" s="269"/>
      <c r="Z987" s="269"/>
    </row>
    <row r="988">
      <c r="A988" s="269" t="str">
        <f>IFERROR(__xludf.DUMMYFUNCTION("""COMPUTED_VALUE"""),"")</f>
        <v/>
      </c>
      <c r="B988" s="269"/>
      <c r="C988" s="269"/>
      <c r="D988" s="269"/>
      <c r="E988" s="269"/>
      <c r="F988" s="269"/>
      <c r="G988" s="269"/>
      <c r="H988" s="269"/>
      <c r="I988" s="269"/>
      <c r="J988" s="269"/>
      <c r="K988" s="269"/>
      <c r="L988" s="269"/>
      <c r="M988" s="269"/>
      <c r="N988" s="269"/>
      <c r="O988" s="269"/>
      <c r="P988" s="269"/>
      <c r="Q988" s="269"/>
      <c r="R988" s="269"/>
      <c r="S988" s="269"/>
      <c r="T988" s="269"/>
      <c r="U988" s="269"/>
      <c r="V988" s="269"/>
      <c r="W988" s="269"/>
      <c r="X988" s="269"/>
      <c r="Y988" s="269"/>
      <c r="Z988" s="269"/>
    </row>
    <row r="989">
      <c r="A989" s="269" t="str">
        <f>IFERROR(__xludf.DUMMYFUNCTION("""COMPUTED_VALUE"""),"")</f>
        <v/>
      </c>
      <c r="B989" s="269"/>
      <c r="C989" s="269"/>
      <c r="D989" s="269"/>
      <c r="E989" s="269"/>
      <c r="F989" s="269"/>
      <c r="G989" s="269"/>
      <c r="H989" s="269"/>
      <c r="I989" s="269"/>
      <c r="J989" s="269"/>
      <c r="K989" s="269"/>
      <c r="L989" s="269"/>
      <c r="M989" s="269"/>
      <c r="N989" s="269"/>
      <c r="O989" s="269"/>
      <c r="P989" s="269"/>
      <c r="Q989" s="269"/>
      <c r="R989" s="269"/>
      <c r="S989" s="269"/>
      <c r="T989" s="269"/>
      <c r="U989" s="269"/>
      <c r="V989" s="269"/>
      <c r="W989" s="269"/>
      <c r="X989" s="269"/>
      <c r="Y989" s="269"/>
      <c r="Z989" s="269"/>
    </row>
    <row r="990">
      <c r="A990" s="269" t="str">
        <f>IFERROR(__xludf.DUMMYFUNCTION("""COMPUTED_VALUE"""),"")</f>
        <v/>
      </c>
      <c r="B990" s="269"/>
      <c r="C990" s="269"/>
      <c r="D990" s="269"/>
      <c r="E990" s="269"/>
      <c r="F990" s="269"/>
      <c r="G990" s="269"/>
      <c r="H990" s="269"/>
      <c r="I990" s="269"/>
      <c r="J990" s="269"/>
      <c r="K990" s="269"/>
      <c r="L990" s="269"/>
      <c r="M990" s="269"/>
      <c r="N990" s="269"/>
      <c r="O990" s="269"/>
      <c r="P990" s="269"/>
      <c r="Q990" s="269"/>
      <c r="R990" s="269"/>
      <c r="S990" s="269"/>
      <c r="T990" s="269"/>
      <c r="U990" s="269"/>
      <c r="V990" s="269"/>
      <c r="W990" s="269"/>
      <c r="X990" s="269"/>
      <c r="Y990" s="269"/>
      <c r="Z990" s="269"/>
    </row>
    <row r="991">
      <c r="A991" s="269" t="str">
        <f>IFERROR(__xludf.DUMMYFUNCTION("""COMPUTED_VALUE"""),"")</f>
        <v/>
      </c>
      <c r="B991" s="269"/>
      <c r="C991" s="269"/>
      <c r="D991" s="269"/>
      <c r="E991" s="269"/>
      <c r="F991" s="269"/>
      <c r="G991" s="269"/>
      <c r="H991" s="269"/>
      <c r="I991" s="269"/>
      <c r="J991" s="269"/>
      <c r="K991" s="269"/>
      <c r="L991" s="269"/>
      <c r="M991" s="269"/>
      <c r="N991" s="269"/>
      <c r="O991" s="269"/>
      <c r="P991" s="269"/>
      <c r="Q991" s="269"/>
      <c r="R991" s="269"/>
      <c r="S991" s="269"/>
      <c r="T991" s="269"/>
      <c r="U991" s="269"/>
      <c r="V991" s="269"/>
      <c r="W991" s="269"/>
      <c r="X991" s="269"/>
      <c r="Y991" s="269"/>
      <c r="Z991" s="269"/>
    </row>
    <row r="992">
      <c r="A992" s="269" t="str">
        <f>IFERROR(__xludf.DUMMYFUNCTION("""COMPUTED_VALUE"""),"")</f>
        <v/>
      </c>
      <c r="B992" s="269"/>
      <c r="C992" s="269"/>
      <c r="D992" s="269"/>
      <c r="E992" s="269"/>
      <c r="F992" s="269"/>
      <c r="G992" s="269"/>
      <c r="H992" s="269"/>
      <c r="I992" s="269"/>
      <c r="J992" s="269"/>
      <c r="K992" s="269"/>
      <c r="L992" s="269"/>
      <c r="M992" s="269"/>
      <c r="N992" s="269"/>
      <c r="O992" s="269"/>
      <c r="P992" s="269"/>
      <c r="Q992" s="269"/>
      <c r="R992" s="269"/>
      <c r="S992" s="269"/>
      <c r="T992" s="269"/>
      <c r="U992" s="269"/>
      <c r="V992" s="269"/>
      <c r="W992" s="269"/>
      <c r="X992" s="269"/>
      <c r="Y992" s="269"/>
      <c r="Z992" s="269"/>
    </row>
    <row r="993">
      <c r="A993" s="269" t="str">
        <f>IFERROR(__xludf.DUMMYFUNCTION("""COMPUTED_VALUE"""),"")</f>
        <v/>
      </c>
      <c r="B993" s="269"/>
      <c r="C993" s="269"/>
      <c r="D993" s="269"/>
      <c r="E993" s="269"/>
      <c r="F993" s="269"/>
      <c r="G993" s="269"/>
      <c r="H993" s="269"/>
      <c r="I993" s="269"/>
      <c r="J993" s="269"/>
      <c r="K993" s="269"/>
      <c r="L993" s="269"/>
      <c r="M993" s="269"/>
      <c r="N993" s="269"/>
      <c r="O993" s="269"/>
      <c r="P993" s="269"/>
      <c r="Q993" s="269"/>
      <c r="R993" s="269"/>
      <c r="S993" s="269"/>
      <c r="T993" s="269"/>
      <c r="U993" s="269"/>
      <c r="V993" s="269"/>
      <c r="W993" s="269"/>
      <c r="X993" s="269"/>
      <c r="Y993" s="269"/>
      <c r="Z993" s="269"/>
    </row>
    <row r="994">
      <c r="A994" s="269" t="str">
        <f>IFERROR(__xludf.DUMMYFUNCTION("""COMPUTED_VALUE"""),"")</f>
        <v/>
      </c>
      <c r="B994" s="269"/>
      <c r="C994" s="269"/>
      <c r="D994" s="269"/>
      <c r="E994" s="269"/>
      <c r="F994" s="269"/>
      <c r="G994" s="269"/>
      <c r="H994" s="269"/>
      <c r="I994" s="269"/>
      <c r="J994" s="269"/>
      <c r="K994" s="269"/>
      <c r="L994" s="269"/>
      <c r="M994" s="269"/>
      <c r="N994" s="269"/>
      <c r="O994" s="269"/>
      <c r="P994" s="269"/>
      <c r="Q994" s="269"/>
      <c r="R994" s="269"/>
      <c r="S994" s="269"/>
      <c r="T994" s="269"/>
      <c r="U994" s="269"/>
      <c r="V994" s="269"/>
      <c r="W994" s="269"/>
      <c r="X994" s="269"/>
      <c r="Y994" s="269"/>
      <c r="Z994" s="269"/>
    </row>
    <row r="995">
      <c r="A995" s="269" t="str">
        <f>IFERROR(__xludf.DUMMYFUNCTION("""COMPUTED_VALUE"""),"")</f>
        <v/>
      </c>
      <c r="B995" s="269"/>
      <c r="C995" s="269"/>
      <c r="D995" s="269"/>
      <c r="E995" s="269"/>
      <c r="F995" s="269"/>
      <c r="G995" s="269"/>
      <c r="H995" s="269"/>
      <c r="I995" s="269"/>
      <c r="J995" s="269"/>
      <c r="K995" s="269"/>
      <c r="L995" s="269"/>
      <c r="M995" s="269"/>
      <c r="N995" s="269"/>
      <c r="O995" s="269"/>
      <c r="P995" s="269"/>
      <c r="Q995" s="269"/>
      <c r="R995" s="269"/>
      <c r="S995" s="269"/>
      <c r="T995" s="269"/>
      <c r="U995" s="269"/>
      <c r="V995" s="269"/>
      <c r="W995" s="269"/>
      <c r="X995" s="269"/>
      <c r="Y995" s="269"/>
      <c r="Z995" s="269"/>
    </row>
    <row r="996">
      <c r="A996" s="269" t="str">
        <f>IFERROR(__xludf.DUMMYFUNCTION("""COMPUTED_VALUE"""),"")</f>
        <v/>
      </c>
      <c r="B996" s="269"/>
      <c r="C996" s="269"/>
      <c r="D996" s="269"/>
      <c r="E996" s="269"/>
      <c r="F996" s="269"/>
      <c r="G996" s="269"/>
      <c r="H996" s="269"/>
      <c r="I996" s="269"/>
      <c r="J996" s="269"/>
      <c r="K996" s="269"/>
      <c r="L996" s="269"/>
      <c r="M996" s="269"/>
      <c r="N996" s="269"/>
      <c r="O996" s="269"/>
      <c r="P996" s="269"/>
      <c r="Q996" s="269"/>
      <c r="R996" s="269"/>
      <c r="S996" s="269"/>
      <c r="T996" s="269"/>
      <c r="U996" s="269"/>
      <c r="V996" s="269"/>
      <c r="W996" s="269"/>
      <c r="X996" s="269"/>
      <c r="Y996" s="269"/>
      <c r="Z996" s="269"/>
    </row>
    <row r="997">
      <c r="A997" s="269" t="str">
        <f>IFERROR(__xludf.DUMMYFUNCTION("""COMPUTED_VALUE"""),"")</f>
        <v/>
      </c>
      <c r="B997" s="269"/>
      <c r="C997" s="269"/>
      <c r="D997" s="269"/>
      <c r="E997" s="269"/>
      <c r="F997" s="269"/>
      <c r="G997" s="269"/>
      <c r="H997" s="269"/>
      <c r="I997" s="269"/>
      <c r="J997" s="269"/>
      <c r="K997" s="269"/>
      <c r="L997" s="269"/>
      <c r="M997" s="269"/>
      <c r="N997" s="269"/>
      <c r="O997" s="269"/>
      <c r="P997" s="269"/>
      <c r="Q997" s="269"/>
      <c r="R997" s="269"/>
      <c r="S997" s="269"/>
      <c r="T997" s="269"/>
      <c r="U997" s="269"/>
      <c r="V997" s="269"/>
      <c r="W997" s="269"/>
      <c r="X997" s="269"/>
      <c r="Y997" s="269"/>
      <c r="Z997" s="269"/>
    </row>
    <row r="998">
      <c r="A998" s="269" t="str">
        <f>IFERROR(__xludf.DUMMYFUNCTION("""COMPUTED_VALUE"""),"")</f>
        <v/>
      </c>
      <c r="B998" s="269"/>
      <c r="C998" s="269"/>
      <c r="D998" s="269"/>
      <c r="E998" s="269"/>
      <c r="F998" s="269"/>
      <c r="G998" s="269"/>
      <c r="H998" s="269"/>
      <c r="I998" s="269"/>
      <c r="J998" s="269"/>
      <c r="K998" s="269"/>
      <c r="L998" s="269"/>
      <c r="M998" s="269"/>
      <c r="N998" s="269"/>
      <c r="O998" s="269"/>
      <c r="P998" s="269"/>
      <c r="Q998" s="269"/>
      <c r="R998" s="269"/>
      <c r="S998" s="269"/>
      <c r="T998" s="269"/>
      <c r="U998" s="269"/>
      <c r="V998" s="269"/>
      <c r="W998" s="269"/>
      <c r="X998" s="269"/>
      <c r="Y998" s="269"/>
      <c r="Z998" s="269"/>
    </row>
    <row r="999">
      <c r="A999" s="269" t="str">
        <f>IFERROR(__xludf.DUMMYFUNCTION("""COMPUTED_VALUE"""),"")</f>
        <v/>
      </c>
      <c r="B999" s="269"/>
      <c r="C999" s="269"/>
      <c r="D999" s="269"/>
      <c r="E999" s="269"/>
      <c r="F999" s="269"/>
      <c r="G999" s="269"/>
      <c r="H999" s="269"/>
      <c r="I999" s="269"/>
      <c r="J999" s="269"/>
      <c r="K999" s="269"/>
      <c r="L999" s="269"/>
      <c r="M999" s="269"/>
      <c r="N999" s="269"/>
      <c r="O999" s="269"/>
      <c r="P999" s="269"/>
      <c r="Q999" s="269"/>
      <c r="R999" s="269"/>
      <c r="S999" s="269"/>
      <c r="T999" s="269"/>
      <c r="U999" s="269"/>
      <c r="V999" s="269"/>
      <c r="W999" s="269"/>
      <c r="X999" s="269"/>
      <c r="Y999" s="269"/>
      <c r="Z999" s="269"/>
    </row>
    <row r="1000">
      <c r="A1000" s="269" t="str">
        <f>IFERROR(__xludf.DUMMYFUNCTION("""COMPUTED_VALUE"""),"")</f>
        <v/>
      </c>
      <c r="B1000" s="269"/>
      <c r="C1000" s="269"/>
      <c r="D1000" s="269"/>
      <c r="E1000" s="269"/>
      <c r="F1000" s="269"/>
      <c r="G1000" s="269"/>
      <c r="H1000" s="269"/>
      <c r="I1000" s="269"/>
      <c r="J1000" s="269"/>
      <c r="K1000" s="269"/>
      <c r="L1000" s="269"/>
      <c r="M1000" s="269"/>
      <c r="N1000" s="269"/>
      <c r="O1000" s="269"/>
      <c r="P1000" s="269"/>
      <c r="Q1000" s="269"/>
      <c r="R1000" s="269"/>
      <c r="S1000" s="269"/>
      <c r="T1000" s="269"/>
      <c r="U1000" s="269"/>
      <c r="V1000" s="269"/>
      <c r="W1000" s="269"/>
      <c r="X1000" s="269"/>
      <c r="Y1000" s="269"/>
      <c r="Z1000" s="269"/>
    </row>
  </sheetData>
  <drawing r:id="rId1"/>
</worksheet>
</file>